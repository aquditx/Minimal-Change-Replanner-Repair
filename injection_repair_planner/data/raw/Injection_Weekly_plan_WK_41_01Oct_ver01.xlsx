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kco-my.sharepoint.com/personal/grod_takweenai_com/Documents/Desktop/"/>
    </mc:Choice>
  </mc:AlternateContent>
  <xr:revisionPtr revIDLastSave="630" documentId="8_{A41AF092-A2F5-4CC4-9131-485DF322A079}" xr6:coauthVersionLast="47" xr6:coauthVersionMax="47" xr10:uidLastSave="{02A30DCC-96DA-42DC-B48C-2E538859A9A0}"/>
  <bookViews>
    <workbookView xWindow="-108" yWindow="-108" windowWidth="23256" windowHeight="12456" tabRatio="423" firstSheet="1" activeTab="1" xr2:uid="{C0A2E1A6-E378-497E-844B-062CCF9AE7F9}"/>
  </bookViews>
  <sheets>
    <sheet name="Thursday" sheetId="3" state="hidden" r:id="rId1"/>
    <sheet name="InjPlan" sheetId="1" r:id="rId2"/>
    <sheet name="Balance" sheetId="4" r:id="rId3"/>
    <sheet name="Status" sheetId="5" r:id="rId4"/>
    <sheet name="Material" sheetId="2" state="hidden" r:id="rId5"/>
  </sheets>
  <definedNames>
    <definedName name="_xlnm._FilterDatabase" localSheetId="2" hidden="1">Balance!$B$2:$J$41</definedName>
    <definedName name="_xlnm._FilterDatabase" localSheetId="1" hidden="1">InjPlan!$A$3:$T$23</definedName>
    <definedName name="_xlnm._FilterDatabase" localSheetId="0" hidden="1">Thursday!$A$3:$X$26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4" i="1" l="1"/>
  <c r="R24" i="1" s="1"/>
  <c r="I23" i="1"/>
  <c r="U3" i="4" l="1"/>
  <c r="P12" i="4"/>
  <c r="P10" i="4"/>
  <c r="P7" i="4"/>
  <c r="P6" i="4"/>
  <c r="P4" i="4"/>
  <c r="P3" i="4"/>
  <c r="F1" i="5"/>
  <c r="E1" i="5"/>
  <c r="H22" i="1" l="1"/>
  <c r="I22" i="1" s="1"/>
  <c r="R22" i="1" s="1"/>
  <c r="I14" i="1"/>
  <c r="I6" i="1"/>
  <c r="C11" i="2"/>
  <c r="R5" i="1"/>
  <c r="R4" i="1"/>
  <c r="V26" i="3"/>
  <c r="V25" i="3"/>
  <c r="V24" i="3"/>
  <c r="V23" i="3"/>
  <c r="V22" i="3"/>
  <c r="V21" i="3"/>
  <c r="V20" i="3"/>
  <c r="V19" i="3"/>
  <c r="V18" i="3"/>
  <c r="V17" i="3"/>
  <c r="V16" i="3"/>
  <c r="V15" i="3"/>
  <c r="H14" i="3"/>
  <c r="L14" i="3" s="1"/>
  <c r="V13" i="3"/>
  <c r="V12" i="3"/>
  <c r="V11" i="3"/>
  <c r="V10" i="3"/>
  <c r="V9" i="3"/>
  <c r="V8" i="3"/>
  <c r="V7" i="3"/>
  <c r="V6" i="3"/>
  <c r="V5" i="3"/>
  <c r="V4" i="3"/>
  <c r="C9" i="2"/>
  <c r="R15" i="1"/>
  <c r="R20" i="1"/>
  <c r="R19" i="1"/>
  <c r="R21" i="1"/>
  <c r="R23" i="1"/>
  <c r="R8" i="1"/>
  <c r="R9" i="1"/>
  <c r="R10" i="1"/>
  <c r="R11" i="1"/>
  <c r="R12" i="1"/>
  <c r="R13" i="1"/>
  <c r="R17" i="1"/>
  <c r="R18" i="1"/>
  <c r="R16" i="1"/>
  <c r="R7" i="1"/>
  <c r="R6" i="1" l="1"/>
  <c r="I2" i="1"/>
  <c r="I14" i="3"/>
  <c r="M14" i="3" s="1"/>
  <c r="V14" i="3" s="1"/>
  <c r="R14" i="1"/>
  <c r="C5" i="2" l="1"/>
</calcChain>
</file>

<file path=xl/sharedStrings.xml><?xml version="1.0" encoding="utf-8"?>
<sst xmlns="http://schemas.openxmlformats.org/spreadsheetml/2006/main" count="702" uniqueCount="201">
  <si>
    <t>WrkCnt</t>
  </si>
  <si>
    <t>ProdOrder</t>
  </si>
  <si>
    <t>FGCode</t>
  </si>
  <si>
    <t>Description</t>
  </si>
  <si>
    <t>R_Material</t>
  </si>
  <si>
    <t>Color</t>
  </si>
  <si>
    <t>Pallet</t>
  </si>
  <si>
    <t>Customer</t>
  </si>
  <si>
    <t>StartOn</t>
  </si>
  <si>
    <t>FinishOn</t>
  </si>
  <si>
    <t>Notes</t>
  </si>
  <si>
    <t>Pc/Pal</t>
  </si>
  <si>
    <t>IMP01</t>
  </si>
  <si>
    <t>52.0BC1RD-CL-G</t>
  </si>
  <si>
    <t>52.0 BC 38mm 3 Rnd Clear OJ/C(W plt</t>
  </si>
  <si>
    <t>Clear</t>
  </si>
  <si>
    <t>Wooden</t>
  </si>
  <si>
    <t>SFG</t>
  </si>
  <si>
    <t>Sat, 03-Oct</t>
  </si>
  <si>
    <t>CSD</t>
  </si>
  <si>
    <t>52.0BC1RD-DB-Z</t>
  </si>
  <si>
    <t>52.0 BC38mm 3 Rnd Dark Blue EXP/C(W Plt</t>
  </si>
  <si>
    <t>Blue</t>
  </si>
  <si>
    <t>Hexa Plast for Plastic Industr</t>
  </si>
  <si>
    <t>Mon, 05-Oct</t>
  </si>
  <si>
    <t>IMP02</t>
  </si>
  <si>
    <t>Thu, 01-Oct</t>
  </si>
  <si>
    <t>IMP07</t>
  </si>
  <si>
    <t>13.5BC1RD-CL-G</t>
  </si>
  <si>
    <t>13.5 BC38mm 3 Rnd Clear OJ/C(p plt</t>
  </si>
  <si>
    <t>Mold Changeover on Sat, 03-Oct //  From 51.0BC To 13.5BC</t>
  </si>
  <si>
    <t>34.0BC1EC-CL2-S</t>
  </si>
  <si>
    <t>34.0 BC38mm 3 ECO Huayan Clear steel C</t>
  </si>
  <si>
    <t>Crate</t>
  </si>
  <si>
    <t>Tue, 06-Oct</t>
  </si>
  <si>
    <t>Thu, 08-Oct</t>
  </si>
  <si>
    <t>Mold Changeover on Tue, 06-Oct //  From 13.5BC To 34.0BC</t>
  </si>
  <si>
    <t>34.0BC1EC-W2-S</t>
  </si>
  <si>
    <t>34.0 BC38mm 3 ECO Huayan White Steel C</t>
  </si>
  <si>
    <t>White</t>
  </si>
  <si>
    <t>Fri, 09-Oct</t>
  </si>
  <si>
    <t>IMP12</t>
  </si>
  <si>
    <t>26.6TO2RD-CL-B</t>
  </si>
  <si>
    <t>26.6 TO 29/25 Rnd Clear J/C(P Plt</t>
  </si>
  <si>
    <t>Plastic</t>
  </si>
  <si>
    <t>Al Jomaih Bottling Plant</t>
  </si>
  <si>
    <t>WTR</t>
  </si>
  <si>
    <t>IMP19</t>
  </si>
  <si>
    <t>IMP24</t>
  </si>
  <si>
    <t>12.7BC1EC-CL-S</t>
  </si>
  <si>
    <t>12.7 BC38mm 3 ECO Clear Steel c.</t>
  </si>
  <si>
    <t>IMPS01</t>
  </si>
  <si>
    <t>9.4TO2RD-BS6-B</t>
  </si>
  <si>
    <t>9.4TO29/25 Rd Nova Blue-PET"ST-BC211</t>
  </si>
  <si>
    <t>BC211 ST PET WTR - NOVA</t>
  </si>
  <si>
    <t>HEALTH WATER BOTTLING COMPANY</t>
  </si>
  <si>
    <t>Fri, 02-Oct</t>
  </si>
  <si>
    <t>SOFT</t>
  </si>
  <si>
    <t>IMPS02</t>
  </si>
  <si>
    <t>IMPS03</t>
  </si>
  <si>
    <t>IMPS04</t>
  </si>
  <si>
    <t>IMPS05</t>
  </si>
  <si>
    <t>IMPS06</t>
  </si>
  <si>
    <t>IMPS07</t>
  </si>
  <si>
    <t>Target Box / Crate</t>
  </si>
  <si>
    <t>Resin</t>
  </si>
  <si>
    <t>MTon</t>
  </si>
  <si>
    <t>WT</t>
  </si>
  <si>
    <t>Starting from Friday, 02-Oct-26 to Friday, 09-Oct-26 (week 41)</t>
  </si>
  <si>
    <t>Will update next week</t>
  </si>
  <si>
    <t>PET CSD special stock</t>
  </si>
  <si>
    <t>RELPET CSD G5841</t>
  </si>
  <si>
    <t>Hainain WTR -- YS-W01L</t>
  </si>
  <si>
    <t>PET Shortage</t>
  </si>
  <si>
    <t>52.0BC-***</t>
  </si>
  <si>
    <t>14.0PCO-***</t>
  </si>
  <si>
    <t>26.6TO-***</t>
  </si>
  <si>
    <t>12.7BC-***</t>
  </si>
  <si>
    <t>7.45TO-***</t>
  </si>
  <si>
    <t>8.3TO-***</t>
  </si>
  <si>
    <t>11.5TO-***</t>
  </si>
  <si>
    <t>30.5PCO-***</t>
  </si>
  <si>
    <t>45.0PC0-***</t>
  </si>
  <si>
    <t>CSD_SFG</t>
  </si>
  <si>
    <t/>
  </si>
  <si>
    <t>Grand Total</t>
  </si>
  <si>
    <t>Group</t>
  </si>
  <si>
    <t>TargetQty</t>
  </si>
  <si>
    <t>Actual Box</t>
  </si>
  <si>
    <t>Actual PC</t>
  </si>
  <si>
    <t>Injection Weekly plan WK #41_01Oct_draft</t>
  </si>
  <si>
    <t>Orignal Target Box</t>
  </si>
  <si>
    <t>Orignal TargetQty</t>
  </si>
  <si>
    <t>RELPET CSD G5841 // ??</t>
  </si>
  <si>
    <t>Total Requirements = 104 boxes</t>
  </si>
  <si>
    <t>Total Requirements = 200 crates</t>
  </si>
  <si>
    <t>36.0BC1RD-CJ-S</t>
  </si>
  <si>
    <t>36.0 BC 38mm 3 Rnd Clear Steel C-(Aujan)</t>
  </si>
  <si>
    <t>Aujan Soft Drinks Industries</t>
  </si>
  <si>
    <t>Total Requirements = 96 boxes</t>
  </si>
  <si>
    <t>Target_Qty</t>
  </si>
  <si>
    <t>Total Requirements =480 PC x 1200 small boxes = 576,000 PC</t>
  </si>
  <si>
    <t>52.0BC1RD-CL-B</t>
  </si>
  <si>
    <t>52.0 BC38mm 3 Rnd Clear J/C(P Plt</t>
  </si>
  <si>
    <t>Almarai Company</t>
  </si>
  <si>
    <t>30.5PC2RD-CLR-V</t>
  </si>
  <si>
    <t>30.5PCO 1881Rd Clear RPET Mena Bev</t>
  </si>
  <si>
    <t>rPET
Bariq 
QPET IV84</t>
  </si>
  <si>
    <t>Middle East &amp; North Africa Bev</t>
  </si>
  <si>
    <t>Sun, 04-Oct</t>
  </si>
  <si>
    <t>rPET</t>
  </si>
  <si>
    <t>Injection Weekly plan WK #41_01Oct_ver04</t>
  </si>
  <si>
    <t>Sep-2026, Week # 4 Plan - Balance / Scan</t>
  </si>
  <si>
    <t>Target</t>
  </si>
  <si>
    <t>Resin for Orders Released</t>
  </si>
  <si>
    <t>Balance Box</t>
  </si>
  <si>
    <t>Balance Qty</t>
  </si>
  <si>
    <t>Trailer</t>
  </si>
  <si>
    <t>MT</t>
  </si>
  <si>
    <t>Status</t>
  </si>
  <si>
    <t>Line</t>
  </si>
  <si>
    <t>Allocation</t>
  </si>
  <si>
    <t>Consumption</t>
  </si>
  <si>
    <t>Balance</t>
  </si>
  <si>
    <t>Bal.Req.from.Prod.Plan</t>
  </si>
  <si>
    <t>Nova</t>
  </si>
  <si>
    <t>NOVA</t>
  </si>
  <si>
    <t>Jomaih</t>
  </si>
  <si>
    <t>Total CSD</t>
  </si>
  <si>
    <t>HDPE</t>
  </si>
  <si>
    <t>SFG Preforms</t>
  </si>
  <si>
    <t>SFGCode</t>
  </si>
  <si>
    <t>HDPE Caps</t>
  </si>
  <si>
    <t>Balance Pallets</t>
  </si>
  <si>
    <t>N/A</t>
  </si>
  <si>
    <t>Preforms Not Planned</t>
  </si>
  <si>
    <t>Mold</t>
  </si>
  <si>
    <t>IMP 01</t>
  </si>
  <si>
    <t>IMP 02</t>
  </si>
  <si>
    <t>No Plan</t>
  </si>
  <si>
    <t>Plan Completed</t>
  </si>
  <si>
    <t>IMP 07</t>
  </si>
  <si>
    <t>IMP 12</t>
  </si>
  <si>
    <t>Sal Factory</t>
  </si>
  <si>
    <t>Running</t>
  </si>
  <si>
    <t xml:space="preserve">Continue </t>
  </si>
  <si>
    <t>IMP 19</t>
  </si>
  <si>
    <t>IMP 24</t>
  </si>
  <si>
    <t>SIPA 01</t>
  </si>
  <si>
    <t>9.4TO2RD-B1-B</t>
  </si>
  <si>
    <t>SIPA 02</t>
  </si>
  <si>
    <t>SIPA 03</t>
  </si>
  <si>
    <t>7.45TO2RD-LBS1-A</t>
  </si>
  <si>
    <t>Al - Jouf/Azbah</t>
  </si>
  <si>
    <t>SIPA 04</t>
  </si>
  <si>
    <t>8.3TO2RD-LBS-A</t>
  </si>
  <si>
    <t>Delta</t>
  </si>
  <si>
    <t>SIPA 05</t>
  </si>
  <si>
    <t>11.5TO2RD-AJBS-B</t>
  </si>
  <si>
    <t>PBIC</t>
  </si>
  <si>
    <t>SIPA 06</t>
  </si>
  <si>
    <t>IRC</t>
  </si>
  <si>
    <t>SIPA 07</t>
  </si>
  <si>
    <t>45.0PC2RD-IGS-B</t>
  </si>
  <si>
    <t>Engel</t>
  </si>
  <si>
    <t>Hyelectric</t>
  </si>
  <si>
    <t>29-1.15-2TP-NB-A</t>
  </si>
  <si>
    <t>Hycap 1</t>
  </si>
  <si>
    <t>Hycap 2</t>
  </si>
  <si>
    <t>29-1.25-2TP-CL-A</t>
  </si>
  <si>
    <t>National Water</t>
  </si>
  <si>
    <t>IMPS01 + IMPS02</t>
  </si>
  <si>
    <t>Al Marai</t>
  </si>
  <si>
    <t>Aujan</t>
  </si>
  <si>
    <t>RPET</t>
  </si>
  <si>
    <t>Sal Factory for Food Products</t>
  </si>
  <si>
    <t>HYCAP1</t>
  </si>
  <si>
    <t>29-1.15-2TP-HG-A</t>
  </si>
  <si>
    <t>Arwa Gulf General Trading and</t>
  </si>
  <si>
    <t>29-1.35-2TWOL-AB-A</t>
  </si>
  <si>
    <t>Delta Agtia Manufacturing</t>
  </si>
  <si>
    <t>HYELECT1</t>
  </si>
  <si>
    <t>29-1.25-2TP-W1-A</t>
  </si>
  <si>
    <t>AL OYOUN WATER FACTORY</t>
  </si>
  <si>
    <t>National Mineral Water Company</t>
  </si>
  <si>
    <t>HYCAP2</t>
  </si>
  <si>
    <t>Mena Beverage</t>
  </si>
  <si>
    <t>r-PET</t>
  </si>
  <si>
    <t>Breakdown</t>
  </si>
  <si>
    <t>Material Runout today</t>
  </si>
  <si>
    <t>Tuesday</t>
  </si>
  <si>
    <t>Extra Aujan 36.0BC = 24MT</t>
  </si>
  <si>
    <t>Extra Nova 9.4TO = 33.5MT</t>
  </si>
  <si>
    <t>Complete today morning</t>
  </si>
  <si>
    <t>Waiting</t>
  </si>
  <si>
    <t>45.0 PCO 1881 ICI Green J/C(P Plt - SIPA</t>
  </si>
  <si>
    <t>45.0PC2RD-CLS-B</t>
  </si>
  <si>
    <t>45.0 PCO 1881Rd Clear J/C(P Plt - SIPA</t>
  </si>
  <si>
    <t>Green</t>
  </si>
  <si>
    <t>International Refreshments Company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</si>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</sst>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#.00"/>
    <numFmt numFmtId="165" formatCode="dd\-mmm\-yyyy"/>
    <numFmt numFmtId="166" formatCode="ddd\,\ dd\-mmm"/>
    <numFmt numFmtId="167" formatCode="dddd"/>
    <numFmt numFmtId="168" formatCode="#,##0.0"/>
    <numFmt numFmtId="169" formatCode="_(* #,##0.0_);_(* \(#,##0.0\);_(* &quot;-&quot;?_);_(@_)"/>
  </numFmts>
  <fonts count="6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2"/>
      <color rgb="FF3333FF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1"/>
      <color rgb="FF3333FF"/>
      <name val="Aptos Narrow"/>
      <family val="2"/>
      <scheme val="minor"/>
    </font>
    <font>
      <sz val="10"/>
      <color rgb="FF3333F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rial"/>
      <family val="2"/>
    </font>
    <font>
      <b/>
      <sz val="16"/>
      <color rgb="FFFFFFFF"/>
      <name val="Arial"/>
      <family val="2"/>
    </font>
    <font>
      <b/>
      <sz val="18"/>
      <color rgb="FFFFFFFF"/>
      <name val="Arial"/>
      <family val="2"/>
    </font>
    <font>
      <b/>
      <sz val="11"/>
      <name val="Arial"/>
      <family val="2"/>
    </font>
    <font>
      <b/>
      <sz val="16"/>
      <color theme="0"/>
      <name val="Arial"/>
      <family val="2"/>
    </font>
    <font>
      <b/>
      <sz val="15"/>
      <color theme="3"/>
      <name val="Arial"/>
      <family val="2"/>
    </font>
    <font>
      <b/>
      <sz val="14"/>
      <color theme="1"/>
      <name val="Arial"/>
      <family val="2"/>
    </font>
    <font>
      <b/>
      <sz val="11"/>
      <color rgb="FF0000CC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3366FF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sz val="10"/>
      <color rgb="FFC00000"/>
      <name val="Arial"/>
      <family val="2"/>
    </font>
    <font>
      <b/>
      <sz val="10"/>
      <color rgb="FF006100"/>
      <name val="Arial"/>
      <family val="2"/>
    </font>
    <font>
      <b/>
      <sz val="10"/>
      <color theme="1"/>
      <name val="Arial"/>
      <family val="2"/>
    </font>
    <font>
      <b/>
      <sz val="14"/>
      <color rgb="FF006100"/>
      <name val="Arial"/>
      <family val="2"/>
    </font>
    <font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CC"/>
      <name val="Arial"/>
      <family val="2"/>
    </font>
    <font>
      <sz val="12"/>
      <color rgb="FF000000"/>
      <name val="Segoe UI"/>
      <family val="2"/>
    </font>
    <font>
      <b/>
      <sz val="11"/>
      <color theme="0"/>
      <name val="Arial"/>
      <family val="2"/>
    </font>
    <font>
      <b/>
      <sz val="12"/>
      <color theme="0"/>
      <name val="Segoe UI"/>
      <family val="2"/>
    </font>
    <font>
      <sz val="11"/>
      <color rgb="FFC00000"/>
      <name val="Arial"/>
      <family val="2"/>
    </font>
    <font>
      <b/>
      <sz val="10"/>
      <color rgb="FF3333FF"/>
      <name val="Arial"/>
      <family val="2"/>
    </font>
    <font>
      <sz val="10"/>
      <color rgb="FF3333FF"/>
      <name val="Arial"/>
      <family val="2"/>
    </font>
    <font>
      <b/>
      <sz val="14"/>
      <color rgb="FF3333FF"/>
      <name val="Arial"/>
      <family val="2"/>
    </font>
    <font>
      <sz val="11"/>
      <color rgb="FF0000FF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2"/>
      <color rgb="FF0000FF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61CB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0080"/>
        <bgColor rgb="FFFFFFFF"/>
      </patternFill>
    </fill>
    <fill>
      <patternFill patternType="solid">
        <fgColor rgb="FF66FF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CC"/>
      </left>
      <right style="medium">
        <color auto="1"/>
      </right>
      <top style="thick">
        <color rgb="FF0000CC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rgb="FF0000CC"/>
      </top>
      <bottom style="medium">
        <color auto="1"/>
      </bottom>
      <diagonal/>
    </border>
    <border>
      <left/>
      <right/>
      <top style="thick">
        <color rgb="FF0000CC"/>
      </top>
      <bottom/>
      <diagonal/>
    </border>
    <border>
      <left style="medium">
        <color rgb="FF0066FF"/>
      </left>
      <right style="thick">
        <color rgb="FF0000CC"/>
      </right>
      <top style="thick">
        <color rgb="FF0000CC"/>
      </top>
      <bottom style="medium">
        <color auto="1"/>
      </bottom>
      <diagonal/>
    </border>
    <border>
      <left style="thick">
        <color rgb="FF0000CC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0066FF"/>
      </left>
      <right style="thick">
        <color rgb="FF0000CC"/>
      </right>
      <top style="medium">
        <color auto="1"/>
      </top>
      <bottom style="medium">
        <color auto="1"/>
      </bottom>
      <diagonal/>
    </border>
    <border>
      <left style="thick">
        <color rgb="FF0000CC"/>
      </left>
      <right/>
      <top/>
      <bottom/>
      <diagonal/>
    </border>
    <border>
      <left/>
      <right style="thick">
        <color rgb="FF0000CC"/>
      </right>
      <top/>
      <bottom/>
      <diagonal/>
    </border>
    <border>
      <left style="thick">
        <color rgb="FF0000CC"/>
      </left>
      <right/>
      <top style="medium">
        <color auto="1"/>
      </top>
      <bottom style="double">
        <color indexed="64"/>
      </bottom>
      <diagonal/>
    </border>
    <border>
      <left/>
      <right/>
      <top style="medium">
        <color auto="1"/>
      </top>
      <bottom style="double">
        <color indexed="64"/>
      </bottom>
      <diagonal/>
    </border>
    <border>
      <left style="thick">
        <color rgb="FF0000CC"/>
      </left>
      <right style="thin">
        <color indexed="64"/>
      </right>
      <top style="thin">
        <color indexed="64"/>
      </top>
      <bottom style="thick">
        <color rgb="FF0000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rgb="FF0000CC"/>
      </bottom>
      <diagonal/>
    </border>
    <border>
      <left/>
      <right/>
      <top/>
      <bottom style="thick">
        <color rgb="FF0000CC"/>
      </bottom>
      <diagonal/>
    </border>
    <border>
      <left style="medium">
        <color auto="1"/>
      </left>
      <right/>
      <top style="medium">
        <color auto="1"/>
      </top>
      <bottom style="thick">
        <color rgb="FF0000CC"/>
      </bottom>
      <diagonal/>
    </border>
    <border>
      <left style="medium">
        <color rgb="FF0066FF"/>
      </left>
      <right style="thick">
        <color rgb="FF0000CC"/>
      </right>
      <top style="medium">
        <color auto="1"/>
      </top>
      <bottom style="thick">
        <color rgb="FF0000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19" fillId="0" borderId="4" applyNumberFormat="0" applyFill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vertical="top"/>
    </xf>
    <xf numFmtId="0" fontId="6" fillId="0" borderId="0" xfId="0" applyFont="1" applyAlignment="1">
      <alignment vertical="top" wrapText="1"/>
    </xf>
    <xf numFmtId="165" fontId="10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4" fillId="4" borderId="3" xfId="0" applyFont="1" applyFill="1" applyBorder="1" applyAlignment="1">
      <alignment vertical="top"/>
    </xf>
    <xf numFmtId="0" fontId="11" fillId="4" borderId="3" xfId="0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5" fillId="2" borderId="3" xfId="0" applyFont="1" applyFill="1" applyBorder="1" applyAlignment="1">
      <alignment vertical="top"/>
    </xf>
    <xf numFmtId="0" fontId="7" fillId="2" borderId="3" xfId="0" applyFont="1" applyFill="1" applyBorder="1" applyAlignment="1">
      <alignment vertical="top" wrapText="1"/>
    </xf>
    <xf numFmtId="164" fontId="0" fillId="0" borderId="0" xfId="0" applyNumberFormat="1" applyAlignment="1">
      <alignment vertical="top"/>
    </xf>
    <xf numFmtId="0" fontId="5" fillId="3" borderId="3" xfId="0" applyFont="1" applyFill="1" applyBorder="1" applyAlignment="1">
      <alignment vertical="top"/>
    </xf>
    <xf numFmtId="0" fontId="7" fillId="3" borderId="3" xfId="0" applyFont="1" applyFill="1" applyBorder="1" applyAlignment="1">
      <alignment vertical="top" wrapText="1"/>
    </xf>
    <xf numFmtId="4" fontId="10" fillId="0" borderId="0" xfId="0" applyNumberFormat="1" applyFont="1" applyAlignment="1">
      <alignment horizontal="center" vertical="top"/>
    </xf>
    <xf numFmtId="4" fontId="9" fillId="2" borderId="3" xfId="0" applyNumberFormat="1" applyFont="1" applyFill="1" applyBorder="1" applyAlignment="1">
      <alignment horizontal="center" vertical="top"/>
    </xf>
    <xf numFmtId="4" fontId="9" fillId="3" borderId="3" xfId="0" applyNumberFormat="1" applyFont="1" applyFill="1" applyBorder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9" fillId="2" borderId="3" xfId="0" applyNumberFormat="1" applyFont="1" applyFill="1" applyBorder="1" applyAlignment="1">
      <alignment horizontal="center" vertical="top"/>
    </xf>
    <xf numFmtId="3" fontId="9" fillId="3" borderId="3" xfId="0" applyNumberFormat="1" applyFont="1" applyFill="1" applyBorder="1" applyAlignment="1">
      <alignment horizontal="center" vertical="top"/>
    </xf>
    <xf numFmtId="0" fontId="13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/>
    </xf>
    <xf numFmtId="0" fontId="3" fillId="5" borderId="0" xfId="0" applyFont="1" applyFill="1" applyAlignment="1">
      <alignment vertical="top"/>
    </xf>
    <xf numFmtId="43" fontId="0" fillId="0" borderId="0" xfId="1" applyFont="1"/>
    <xf numFmtId="0" fontId="2" fillId="0" borderId="1" xfId="2"/>
    <xf numFmtId="43" fontId="2" fillId="0" borderId="1" xfId="2" applyNumberFormat="1"/>
    <xf numFmtId="0" fontId="4" fillId="0" borderId="2" xfId="3"/>
    <xf numFmtId="43" fontId="4" fillId="0" borderId="2" xfId="3" applyNumberFormat="1"/>
    <xf numFmtId="4" fontId="10" fillId="4" borderId="3" xfId="0" applyNumberFormat="1" applyFont="1" applyFill="1" applyBorder="1" applyAlignment="1">
      <alignment horizontal="center" vertical="top" wrapText="1"/>
    </xf>
    <xf numFmtId="3" fontId="10" fillId="4" borderId="3" xfId="0" applyNumberFormat="1" applyFont="1" applyFill="1" applyBorder="1" applyAlignment="1">
      <alignment horizontal="center" vertical="top" wrapText="1"/>
    </xf>
    <xf numFmtId="4" fontId="10" fillId="6" borderId="3" xfId="0" applyNumberFormat="1" applyFont="1" applyFill="1" applyBorder="1" applyAlignment="1">
      <alignment horizontal="center" vertical="top" wrapText="1"/>
    </xf>
    <xf numFmtId="3" fontId="10" fillId="6" borderId="3" xfId="0" applyNumberFormat="1" applyFont="1" applyFill="1" applyBorder="1" applyAlignment="1">
      <alignment horizontal="center" vertical="top" wrapText="1"/>
    </xf>
    <xf numFmtId="4" fontId="14" fillId="0" borderId="3" xfId="0" applyNumberFormat="1" applyFont="1" applyBorder="1" applyAlignment="1">
      <alignment horizontal="center" vertical="top"/>
    </xf>
    <xf numFmtId="3" fontId="14" fillId="0" borderId="3" xfId="0" applyNumberFormat="1" applyFont="1" applyBorder="1" applyAlignment="1">
      <alignment horizontal="center" vertical="top"/>
    </xf>
    <xf numFmtId="4" fontId="15" fillId="0" borderId="3" xfId="0" applyNumberFormat="1" applyFont="1" applyBorder="1" applyAlignment="1">
      <alignment horizontal="center" vertical="top"/>
    </xf>
    <xf numFmtId="3" fontId="15" fillId="0" borderId="3" xfId="0" applyNumberFormat="1" applyFont="1" applyBorder="1" applyAlignment="1">
      <alignment horizontal="center" vertical="top"/>
    </xf>
    <xf numFmtId="0" fontId="5" fillId="7" borderId="3" xfId="0" applyFont="1" applyFill="1" applyBorder="1" applyAlignment="1">
      <alignment vertical="top"/>
    </xf>
    <xf numFmtId="0" fontId="7" fillId="7" borderId="3" xfId="0" applyFont="1" applyFill="1" applyBorder="1" applyAlignment="1">
      <alignment vertical="top" wrapText="1"/>
    </xf>
    <xf numFmtId="4" fontId="14" fillId="7" borderId="3" xfId="0" applyNumberFormat="1" applyFont="1" applyFill="1" applyBorder="1" applyAlignment="1">
      <alignment horizontal="center" vertical="top"/>
    </xf>
    <xf numFmtId="3" fontId="14" fillId="7" borderId="3" xfId="0" applyNumberFormat="1" applyFont="1" applyFill="1" applyBorder="1" applyAlignment="1">
      <alignment horizontal="center" vertical="top"/>
    </xf>
    <xf numFmtId="4" fontId="15" fillId="7" borderId="3" xfId="0" applyNumberFormat="1" applyFont="1" applyFill="1" applyBorder="1" applyAlignment="1">
      <alignment horizontal="center" vertical="top"/>
    </xf>
    <xf numFmtId="3" fontId="15" fillId="7" borderId="3" xfId="0" applyNumberFormat="1" applyFont="1" applyFill="1" applyBorder="1" applyAlignment="1">
      <alignment horizontal="center" vertical="top"/>
    </xf>
    <xf numFmtId="4" fontId="9" fillId="7" borderId="3" xfId="0" applyNumberFormat="1" applyFont="1" applyFill="1" applyBorder="1" applyAlignment="1">
      <alignment horizontal="center" vertical="top"/>
    </xf>
    <xf numFmtId="3" fontId="9" fillId="7" borderId="3" xfId="0" applyNumberFormat="1" applyFont="1" applyFill="1" applyBorder="1" applyAlignment="1">
      <alignment horizontal="center" vertical="top"/>
    </xf>
    <xf numFmtId="4" fontId="10" fillId="8" borderId="3" xfId="0" applyNumberFormat="1" applyFont="1" applyFill="1" applyBorder="1" applyAlignment="1">
      <alignment horizontal="center" vertical="top" wrapText="1"/>
    </xf>
    <xf numFmtId="3" fontId="10" fillId="8" borderId="3" xfId="0" applyNumberFormat="1" applyFont="1" applyFill="1" applyBorder="1" applyAlignment="1">
      <alignment horizontal="center" vertical="top" wrapText="1"/>
    </xf>
    <xf numFmtId="0" fontId="15" fillId="0" borderId="0" xfId="0" applyFont="1" applyAlignment="1">
      <alignment vertical="top"/>
    </xf>
    <xf numFmtId="0" fontId="7" fillId="0" borderId="3" xfId="0" applyFont="1" applyBorder="1" applyAlignment="1">
      <alignment vertical="top" wrapText="1"/>
    </xf>
    <xf numFmtId="0" fontId="5" fillId="9" borderId="3" xfId="0" applyFont="1" applyFill="1" applyBorder="1" applyAlignment="1">
      <alignment vertical="top"/>
    </xf>
    <xf numFmtId="0" fontId="13" fillId="9" borderId="3" xfId="0" applyFont="1" applyFill="1" applyBorder="1" applyAlignment="1">
      <alignment vertical="top" wrapText="1"/>
    </xf>
    <xf numFmtId="4" fontId="14" fillId="9" borderId="3" xfId="0" applyNumberFormat="1" applyFont="1" applyFill="1" applyBorder="1" applyAlignment="1">
      <alignment horizontal="center" vertical="top"/>
    </xf>
    <xf numFmtId="3" fontId="14" fillId="9" borderId="3" xfId="0" applyNumberFormat="1" applyFont="1" applyFill="1" applyBorder="1" applyAlignment="1">
      <alignment horizontal="center" vertical="top"/>
    </xf>
    <xf numFmtId="4" fontId="15" fillId="9" borderId="3" xfId="0" applyNumberFormat="1" applyFont="1" applyFill="1" applyBorder="1" applyAlignment="1">
      <alignment horizontal="center" vertical="top"/>
    </xf>
    <xf numFmtId="3" fontId="15" fillId="9" borderId="3" xfId="0" applyNumberFormat="1" applyFont="1" applyFill="1" applyBorder="1" applyAlignment="1">
      <alignment horizontal="center" vertical="top"/>
    </xf>
    <xf numFmtId="4" fontId="9" fillId="9" borderId="3" xfId="0" applyNumberFormat="1" applyFont="1" applyFill="1" applyBorder="1" applyAlignment="1">
      <alignment horizontal="center" vertical="top"/>
    </xf>
    <xf numFmtId="3" fontId="9" fillId="9" borderId="3" xfId="0" applyNumberFormat="1" applyFont="1" applyFill="1" applyBorder="1" applyAlignment="1">
      <alignment horizontal="center" vertical="top"/>
    </xf>
    <xf numFmtId="0" fontId="16" fillId="9" borderId="3" xfId="0" applyFont="1" applyFill="1" applyBorder="1" applyAlignment="1">
      <alignment vertical="top"/>
    </xf>
    <xf numFmtId="0" fontId="17" fillId="9" borderId="3" xfId="0" applyFont="1" applyFill="1" applyBorder="1" applyAlignment="1">
      <alignment vertical="top" wrapText="1"/>
    </xf>
    <xf numFmtId="0" fontId="5" fillId="10" borderId="3" xfId="0" applyFont="1" applyFill="1" applyBorder="1" applyAlignment="1">
      <alignment vertical="top"/>
    </xf>
    <xf numFmtId="0" fontId="7" fillId="10" borderId="3" xfId="0" applyFont="1" applyFill="1" applyBorder="1" applyAlignment="1">
      <alignment vertical="top" wrapText="1"/>
    </xf>
    <xf numFmtId="4" fontId="9" fillId="10" borderId="3" xfId="0" applyNumberFormat="1" applyFont="1" applyFill="1" applyBorder="1" applyAlignment="1">
      <alignment horizontal="center" vertical="top"/>
    </xf>
    <xf numFmtId="3" fontId="9" fillId="10" borderId="3" xfId="0" applyNumberFormat="1" applyFont="1" applyFill="1" applyBorder="1" applyAlignment="1">
      <alignment horizontal="center" vertical="top"/>
    </xf>
    <xf numFmtId="166" fontId="5" fillId="10" borderId="3" xfId="0" applyNumberFormat="1" applyFont="1" applyFill="1" applyBorder="1" applyAlignment="1">
      <alignment vertical="top"/>
    </xf>
    <xf numFmtId="20" fontId="18" fillId="11" borderId="0" xfId="0" applyNumberFormat="1" applyFont="1" applyFill="1" applyAlignment="1">
      <alignment vertical="top"/>
    </xf>
    <xf numFmtId="0" fontId="22" fillId="0" borderId="0" xfId="0" applyFont="1" applyAlignment="1">
      <alignment vertical="top"/>
    </xf>
    <xf numFmtId="0" fontId="23" fillId="15" borderId="0" xfId="0" applyFont="1" applyFill="1" applyAlignment="1">
      <alignment horizontal="centerContinuous" vertical="center"/>
    </xf>
    <xf numFmtId="0" fontId="24" fillId="15" borderId="0" xfId="0" applyFont="1" applyFill="1" applyAlignment="1">
      <alignment horizontal="centerContinuous" vertical="center"/>
    </xf>
    <xf numFmtId="0" fontId="24" fillId="15" borderId="0" xfId="0" applyFont="1" applyFill="1" applyAlignment="1">
      <alignment horizontal="left" vertical="center"/>
    </xf>
    <xf numFmtId="16" fontId="25" fillId="16" borderId="0" xfId="0" applyNumberFormat="1" applyFont="1" applyFill="1" applyAlignment="1">
      <alignment horizontal="center" vertical="top"/>
    </xf>
    <xf numFmtId="167" fontId="25" fillId="16" borderId="0" xfId="0" applyNumberFormat="1" applyFont="1" applyFill="1" applyAlignment="1">
      <alignment horizontal="center" vertical="top"/>
    </xf>
    <xf numFmtId="0" fontId="22" fillId="0" borderId="0" xfId="0" applyFont="1"/>
    <xf numFmtId="0" fontId="26" fillId="5" borderId="0" xfId="0" applyFont="1" applyFill="1" applyAlignment="1">
      <alignment vertical="top"/>
    </xf>
    <xf numFmtId="0" fontId="27" fillId="17" borderId="0" xfId="4" applyFont="1" applyFill="1" applyBorder="1" applyAlignment="1">
      <alignment horizontal="centerContinuous" vertical="top"/>
    </xf>
    <xf numFmtId="0" fontId="22" fillId="17" borderId="0" xfId="0" applyFont="1" applyFill="1" applyAlignment="1">
      <alignment horizontal="centerContinuous" vertical="top"/>
    </xf>
    <xf numFmtId="0" fontId="22" fillId="17" borderId="0" xfId="0" applyFont="1" applyFill="1"/>
    <xf numFmtId="0" fontId="28" fillId="7" borderId="3" xfId="8" applyFont="1" applyFill="1" applyBorder="1" applyAlignment="1">
      <alignment vertical="top"/>
    </xf>
    <xf numFmtId="37" fontId="29" fillId="7" borderId="3" xfId="9" applyNumberFormat="1" applyFont="1" applyFill="1" applyBorder="1" applyAlignment="1">
      <alignment horizontal="center" vertical="top" wrapText="1"/>
    </xf>
    <xf numFmtId="3" fontId="30" fillId="7" borderId="3" xfId="9" applyNumberFormat="1" applyFont="1" applyFill="1" applyBorder="1" applyAlignment="1">
      <alignment horizontal="center" vertical="top"/>
    </xf>
    <xf numFmtId="168" fontId="30" fillId="7" borderId="3" xfId="8" applyNumberFormat="1" applyFont="1" applyFill="1" applyBorder="1" applyAlignment="1">
      <alignment horizontal="center" vertical="top"/>
    </xf>
    <xf numFmtId="0" fontId="30" fillId="7" borderId="3" xfId="8" applyFont="1" applyFill="1" applyBorder="1" applyAlignment="1">
      <alignment vertical="top"/>
    </xf>
    <xf numFmtId="0" fontId="29" fillId="7" borderId="3" xfId="8" applyFont="1" applyFill="1" applyBorder="1" applyAlignment="1">
      <alignment horizontal="left" vertical="top"/>
    </xf>
    <xf numFmtId="168" fontId="31" fillId="7" borderId="6" xfId="8" applyNumberFormat="1" applyFont="1" applyFill="1" applyBorder="1" applyAlignment="1">
      <alignment horizontal="center" vertical="top"/>
    </xf>
    <xf numFmtId="0" fontId="25" fillId="7" borderId="3" xfId="8" applyFont="1" applyFill="1" applyBorder="1" applyAlignment="1">
      <alignment horizontal="center" vertical="top"/>
    </xf>
    <xf numFmtId="0" fontId="32" fillId="18" borderId="7" xfId="0" applyFont="1" applyFill="1" applyBorder="1" applyAlignment="1">
      <alignment vertical="top"/>
    </xf>
    <xf numFmtId="0" fontId="32" fillId="18" borderId="8" xfId="0" applyFont="1" applyFill="1" applyBorder="1" applyAlignment="1">
      <alignment horizontal="center" vertical="top"/>
    </xf>
    <xf numFmtId="0" fontId="32" fillId="18" borderId="8" xfId="7" applyFont="1" applyFill="1" applyBorder="1" applyAlignment="1">
      <alignment horizontal="center" vertical="top"/>
    </xf>
    <xf numFmtId="0" fontId="33" fillId="0" borderId="9" xfId="0" applyFont="1" applyBorder="1"/>
    <xf numFmtId="168" fontId="34" fillId="19" borderId="9" xfId="8" applyNumberFormat="1" applyFont="1" applyFill="1" applyBorder="1" applyAlignment="1">
      <alignment horizontal="center" vertical="top" wrapText="1"/>
    </xf>
    <xf numFmtId="0" fontId="33" fillId="6" borderId="10" xfId="0" applyFont="1" applyFill="1" applyBorder="1" applyAlignment="1">
      <alignment horizontal="center" vertical="top"/>
    </xf>
    <xf numFmtId="0" fontId="35" fillId="0" borderId="3" xfId="8" applyFont="1" applyBorder="1" applyAlignment="1">
      <alignment vertical="top"/>
    </xf>
    <xf numFmtId="0" fontId="35" fillId="0" borderId="3" xfId="8" applyFont="1" applyBorder="1" applyAlignment="1">
      <alignment horizontal="center" vertical="top"/>
    </xf>
    <xf numFmtId="3" fontId="35" fillId="0" borderId="3" xfId="8" applyNumberFormat="1" applyFont="1" applyBorder="1" applyAlignment="1">
      <alignment horizontal="center" vertical="top"/>
    </xf>
    <xf numFmtId="168" fontId="35" fillId="0" borderId="3" xfId="8" applyNumberFormat="1" applyFont="1" applyBorder="1" applyAlignment="1">
      <alignment horizontal="center" vertical="top"/>
    </xf>
    <xf numFmtId="0" fontId="35" fillId="0" borderId="3" xfId="8" applyFont="1" applyBorder="1" applyAlignment="1">
      <alignment vertical="top" wrapText="1"/>
    </xf>
    <xf numFmtId="0" fontId="36" fillId="13" borderId="3" xfId="6" applyFont="1" applyBorder="1" applyAlignment="1">
      <alignment horizontal="left" vertical="center"/>
    </xf>
    <xf numFmtId="168" fontId="37" fillId="0" borderId="6" xfId="8" applyNumberFormat="1" applyFont="1" applyBorder="1" applyAlignment="1">
      <alignment horizontal="center" vertical="top"/>
    </xf>
    <xf numFmtId="0" fontId="22" fillId="0" borderId="3" xfId="8" applyFont="1" applyBorder="1" applyAlignment="1">
      <alignment vertical="top"/>
    </xf>
    <xf numFmtId="3" fontId="39" fillId="0" borderId="12" xfId="8" applyNumberFormat="1" applyFont="1" applyBorder="1" applyAlignment="1">
      <alignment horizontal="center" vertical="center"/>
    </xf>
    <xf numFmtId="3" fontId="40" fillId="0" borderId="12" xfId="7" applyNumberFormat="1" applyFont="1" applyFill="1" applyBorder="1" applyAlignment="1">
      <alignment horizontal="center" vertical="center"/>
    </xf>
    <xf numFmtId="3" fontId="40" fillId="0" borderId="0" xfId="0" applyNumberFormat="1" applyFont="1"/>
    <xf numFmtId="3" fontId="41" fillId="0" borderId="13" xfId="5" applyNumberFormat="1" applyFont="1" applyFill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42" fillId="0" borderId="3" xfId="5" applyFont="1" applyFill="1" applyBorder="1" applyAlignment="1">
      <alignment horizontal="left" vertical="center"/>
    </xf>
    <xf numFmtId="3" fontId="43" fillId="0" borderId="0" xfId="0" applyNumberFormat="1" applyFont="1"/>
    <xf numFmtId="0" fontId="43" fillId="0" borderId="15" xfId="0" applyFont="1" applyBorder="1"/>
    <xf numFmtId="0" fontId="43" fillId="0" borderId="0" xfId="0" applyFont="1"/>
    <xf numFmtId="0" fontId="40" fillId="0" borderId="0" xfId="0" applyFont="1"/>
    <xf numFmtId="0" fontId="44" fillId="0" borderId="0" xfId="0" applyFont="1"/>
    <xf numFmtId="0" fontId="22" fillId="0" borderId="16" xfId="0" applyFont="1" applyBorder="1"/>
    <xf numFmtId="0" fontId="30" fillId="0" borderId="0" xfId="0" applyFont="1" applyAlignment="1">
      <alignment horizontal="center" vertical="top"/>
    </xf>
    <xf numFmtId="0" fontId="39" fillId="0" borderId="11" xfId="8" applyFont="1" applyBorder="1" applyAlignment="1">
      <alignment horizontal="left" vertical="center"/>
    </xf>
    <xf numFmtId="3" fontId="47" fillId="0" borderId="0" xfId="0" applyNumberFormat="1" applyFont="1"/>
    <xf numFmtId="4" fontId="22" fillId="0" borderId="0" xfId="0" applyNumberFormat="1" applyFont="1"/>
    <xf numFmtId="169" fontId="22" fillId="0" borderId="0" xfId="0" applyNumberFormat="1" applyFont="1"/>
    <xf numFmtId="3" fontId="48" fillId="12" borderId="17" xfId="5" applyNumberFormat="1" applyFont="1" applyBorder="1" applyAlignment="1">
      <alignment horizontal="center" vertical="center"/>
    </xf>
    <xf numFmtId="3" fontId="48" fillId="12" borderId="18" xfId="5" applyNumberFormat="1" applyFont="1" applyBorder="1" applyAlignment="1">
      <alignment horizontal="center" vertical="center"/>
    </xf>
    <xf numFmtId="3" fontId="40" fillId="12" borderId="18" xfId="5" applyNumberFormat="1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3" fontId="50" fillId="12" borderId="18" xfId="5" applyNumberFormat="1" applyFont="1" applyBorder="1" applyAlignment="1">
      <alignment horizontal="center" vertical="center"/>
    </xf>
    <xf numFmtId="0" fontId="22" fillId="0" borderId="16" xfId="0" applyFont="1" applyBorder="1" applyAlignment="1">
      <alignment vertical="top"/>
    </xf>
    <xf numFmtId="0" fontId="6" fillId="0" borderId="15" xfId="0" applyFont="1" applyBorder="1"/>
    <xf numFmtId="0" fontId="6" fillId="0" borderId="0" xfId="0" applyFont="1"/>
    <xf numFmtId="0" fontId="51" fillId="0" borderId="0" xfId="0" applyFont="1"/>
    <xf numFmtId="0" fontId="52" fillId="0" borderId="0" xfId="0" applyFont="1"/>
    <xf numFmtId="0" fontId="0" fillId="0" borderId="16" xfId="0" applyBorder="1"/>
    <xf numFmtId="0" fontId="35" fillId="0" borderId="0" xfId="0" applyFont="1"/>
    <xf numFmtId="0" fontId="49" fillId="0" borderId="19" xfId="8" applyFont="1" applyBorder="1" applyAlignment="1">
      <alignment vertical="center"/>
    </xf>
    <xf numFmtId="3" fontId="38" fillId="0" borderId="20" xfId="8" applyNumberFormat="1" applyFont="1" applyBorder="1" applyAlignment="1">
      <alignment horizontal="center" vertical="center"/>
    </xf>
    <xf numFmtId="3" fontId="40" fillId="0" borderId="20" xfId="7" applyNumberFormat="1" applyFont="1" applyFill="1" applyBorder="1" applyAlignment="1">
      <alignment horizontal="center" vertical="center"/>
    </xf>
    <xf numFmtId="3" fontId="43" fillId="0" borderId="21" xfId="0" applyNumberFormat="1" applyFont="1" applyBorder="1"/>
    <xf numFmtId="3" fontId="41" fillId="0" borderId="22" xfId="5" applyNumberFormat="1" applyFont="1" applyFill="1" applyBorder="1" applyAlignment="1">
      <alignment horizontal="center" vertical="center"/>
    </xf>
    <xf numFmtId="0" fontId="22" fillId="0" borderId="23" xfId="0" applyFont="1" applyBorder="1" applyAlignment="1">
      <alignment horizontal="left" vertical="center"/>
    </xf>
    <xf numFmtId="0" fontId="26" fillId="20" borderId="0" xfId="8" applyFont="1" applyFill="1" applyAlignment="1">
      <alignment vertical="top"/>
    </xf>
    <xf numFmtId="37" fontId="53" fillId="20" borderId="0" xfId="9" applyNumberFormat="1" applyFont="1" applyFill="1" applyAlignment="1">
      <alignment horizontal="center" vertical="top" wrapText="1"/>
    </xf>
    <xf numFmtId="3" fontId="45" fillId="20" borderId="0" xfId="9" applyNumberFormat="1" applyFont="1" applyFill="1" applyAlignment="1">
      <alignment horizontal="center" vertical="top"/>
    </xf>
    <xf numFmtId="168" fontId="45" fillId="20" borderId="0" xfId="9" applyNumberFormat="1" applyFont="1" applyFill="1" applyAlignment="1">
      <alignment horizontal="center" vertical="top"/>
    </xf>
    <xf numFmtId="0" fontId="45" fillId="20" borderId="0" xfId="8" applyFont="1" applyFill="1" applyAlignment="1">
      <alignment vertical="top"/>
    </xf>
    <xf numFmtId="168" fontId="46" fillId="20" borderId="0" xfId="8" applyNumberFormat="1" applyFont="1" applyFill="1" applyAlignment="1">
      <alignment horizontal="center" vertical="top"/>
    </xf>
    <xf numFmtId="0" fontId="45" fillId="20" borderId="0" xfId="8" applyFont="1" applyFill="1" applyAlignment="1">
      <alignment horizontal="center" vertical="top"/>
    </xf>
    <xf numFmtId="168" fontId="31" fillId="7" borderId="3" xfId="8" applyNumberFormat="1" applyFont="1" applyFill="1" applyBorder="1" applyAlignment="1">
      <alignment horizontal="center" vertical="top"/>
    </xf>
    <xf numFmtId="0" fontId="22" fillId="0" borderId="3" xfId="8" applyFont="1" applyBorder="1" applyAlignment="1">
      <alignment horizontal="center" vertical="top"/>
    </xf>
    <xf numFmtId="3" fontId="22" fillId="0" borderId="3" xfId="8" applyNumberFormat="1" applyFont="1" applyBorder="1" applyAlignment="1">
      <alignment horizontal="center" vertical="top"/>
    </xf>
    <xf numFmtId="168" fontId="22" fillId="0" borderId="3" xfId="8" applyNumberFormat="1" applyFont="1" applyBorder="1" applyAlignment="1">
      <alignment horizontal="center" vertical="top"/>
    </xf>
    <xf numFmtId="0" fontId="39" fillId="0" borderId="3" xfId="8" applyFont="1" applyBorder="1" applyAlignment="1">
      <alignment vertical="top"/>
    </xf>
    <xf numFmtId="168" fontId="31" fillId="0" borderId="3" xfId="8" applyNumberFormat="1" applyFont="1" applyBorder="1" applyAlignment="1">
      <alignment horizontal="center" vertical="top"/>
    </xf>
    <xf numFmtId="0" fontId="26" fillId="21" borderId="0" xfId="8" applyFont="1" applyFill="1" applyAlignment="1">
      <alignment vertical="top"/>
    </xf>
    <xf numFmtId="37" fontId="53" fillId="21" borderId="0" xfId="9" applyNumberFormat="1" applyFont="1" applyFill="1" applyAlignment="1">
      <alignment horizontal="center" vertical="top" wrapText="1"/>
    </xf>
    <xf numFmtId="3" fontId="45" fillId="21" borderId="0" xfId="9" applyNumberFormat="1" applyFont="1" applyFill="1" applyAlignment="1">
      <alignment horizontal="center" vertical="top"/>
    </xf>
    <xf numFmtId="168" fontId="45" fillId="21" borderId="0" xfId="9" applyNumberFormat="1" applyFont="1" applyFill="1" applyAlignment="1">
      <alignment horizontal="center" vertical="top"/>
    </xf>
    <xf numFmtId="0" fontId="45" fillId="21" borderId="0" xfId="8" applyFont="1" applyFill="1" applyAlignment="1">
      <alignment vertical="top"/>
    </xf>
    <xf numFmtId="168" fontId="46" fillId="21" borderId="0" xfId="8" applyNumberFormat="1" applyFont="1" applyFill="1" applyAlignment="1">
      <alignment horizontal="center" vertical="top"/>
    </xf>
    <xf numFmtId="0" fontId="45" fillId="21" borderId="0" xfId="8" applyFont="1" applyFill="1" applyAlignment="1">
      <alignment horizontal="center" vertical="top"/>
    </xf>
    <xf numFmtId="0" fontId="26" fillId="5" borderId="0" xfId="8" applyFont="1" applyFill="1" applyAlignment="1">
      <alignment vertical="top"/>
    </xf>
    <xf numFmtId="37" fontId="53" fillId="5" borderId="0" xfId="9" applyNumberFormat="1" applyFont="1" applyFill="1" applyAlignment="1">
      <alignment horizontal="center" vertical="top" wrapText="1"/>
    </xf>
    <xf numFmtId="3" fontId="45" fillId="5" borderId="0" xfId="9" applyNumberFormat="1" applyFont="1" applyFill="1" applyAlignment="1">
      <alignment horizontal="center" vertical="top"/>
    </xf>
    <xf numFmtId="168" fontId="45" fillId="5" borderId="0" xfId="9" applyNumberFormat="1" applyFont="1" applyFill="1" applyAlignment="1">
      <alignment horizontal="center" vertical="top"/>
    </xf>
    <xf numFmtId="0" fontId="45" fillId="5" borderId="0" xfId="8" applyFont="1" applyFill="1" applyAlignment="1">
      <alignment vertical="top"/>
    </xf>
    <xf numFmtId="168" fontId="46" fillId="5" borderId="0" xfId="8" applyNumberFormat="1" applyFont="1" applyFill="1" applyAlignment="1">
      <alignment horizontal="center" vertical="top"/>
    </xf>
    <xf numFmtId="0" fontId="45" fillId="5" borderId="0" xfId="8" applyFont="1" applyFill="1" applyAlignment="1">
      <alignment horizontal="center" vertical="top"/>
    </xf>
    <xf numFmtId="3" fontId="22" fillId="0" borderId="0" xfId="0" applyNumberFormat="1" applyFont="1" applyAlignment="1">
      <alignment horizontal="center" vertical="top"/>
    </xf>
    <xf numFmtId="168" fontId="22" fillId="0" borderId="0" xfId="0" applyNumberFormat="1" applyFont="1" applyAlignment="1">
      <alignment horizontal="center" vertical="top"/>
    </xf>
    <xf numFmtId="168" fontId="31" fillId="0" borderId="0" xfId="0" applyNumberFormat="1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right" vertical="top"/>
    </xf>
    <xf numFmtId="0" fontId="31" fillId="7" borderId="3" xfId="8" applyFont="1" applyFill="1" applyBorder="1" applyAlignment="1">
      <alignment vertical="top"/>
    </xf>
    <xf numFmtId="0" fontId="31" fillId="7" borderId="3" xfId="8" applyFont="1" applyFill="1" applyBorder="1" applyAlignment="1">
      <alignment horizontal="center" vertical="top"/>
    </xf>
    <xf numFmtId="0" fontId="22" fillId="0" borderId="3" xfId="0" applyFont="1" applyBorder="1" applyAlignment="1">
      <alignment vertical="top"/>
    </xf>
    <xf numFmtId="0" fontId="54" fillId="0" borderId="0" xfId="0" applyFont="1"/>
    <xf numFmtId="0" fontId="22" fillId="0" borderId="3" xfId="0" applyFont="1" applyBorder="1" applyAlignment="1">
      <alignment horizontal="right" vertical="top"/>
    </xf>
    <xf numFmtId="0" fontId="22" fillId="22" borderId="24" xfId="0" applyFont="1" applyFill="1" applyBorder="1" applyAlignment="1">
      <alignment vertical="top"/>
    </xf>
    <xf numFmtId="16" fontId="22" fillId="0" borderId="0" xfId="0" applyNumberFormat="1" applyFont="1" applyAlignment="1">
      <alignment vertical="top"/>
    </xf>
    <xf numFmtId="0" fontId="22" fillId="23" borderId="3" xfId="0" applyFont="1" applyFill="1" applyBorder="1" applyAlignment="1">
      <alignment vertical="top"/>
    </xf>
    <xf numFmtId="0" fontId="54" fillId="0" borderId="3" xfId="0" applyFont="1" applyBorder="1"/>
    <xf numFmtId="0" fontId="22" fillId="23" borderId="24" xfId="0" applyFont="1" applyFill="1" applyBorder="1" applyAlignment="1">
      <alignment vertical="top"/>
    </xf>
    <xf numFmtId="0" fontId="57" fillId="0" borderId="3" xfId="0" applyFont="1" applyBorder="1" applyAlignment="1">
      <alignment horizontal="right" vertical="top"/>
    </xf>
    <xf numFmtId="0" fontId="58" fillId="0" borderId="11" xfId="8" applyFont="1" applyBorder="1" applyAlignment="1">
      <alignment horizontal="left" vertical="center"/>
    </xf>
    <xf numFmtId="3" fontId="58" fillId="0" borderId="12" xfId="8" applyNumberFormat="1" applyFont="1" applyBorder="1" applyAlignment="1">
      <alignment horizontal="center" vertical="center"/>
    </xf>
    <xf numFmtId="3" fontId="59" fillId="0" borderId="12" xfId="7" applyNumberFormat="1" applyFont="1" applyFill="1" applyBorder="1" applyAlignment="1">
      <alignment horizontal="center" vertical="center"/>
    </xf>
    <xf numFmtId="3" fontId="60" fillId="0" borderId="13" xfId="5" applyNumberFormat="1" applyFont="1" applyFill="1" applyBorder="1" applyAlignment="1">
      <alignment horizontal="center" vertical="center"/>
    </xf>
    <xf numFmtId="0" fontId="22" fillId="24" borderId="24" xfId="0" applyFont="1" applyFill="1" applyBorder="1" applyAlignment="1">
      <alignment vertical="top"/>
    </xf>
    <xf numFmtId="0" fontId="55" fillId="5" borderId="3" xfId="0" applyFont="1" applyFill="1" applyBorder="1" applyAlignment="1">
      <alignment vertical="top"/>
    </xf>
    <xf numFmtId="0" fontId="56" fillId="5" borderId="3" xfId="0" applyFont="1" applyFill="1" applyBorder="1"/>
    <xf numFmtId="0" fontId="55" fillId="5" borderId="3" xfId="0" applyFont="1" applyFill="1" applyBorder="1" applyAlignment="1">
      <alignment horizontal="right" vertical="top"/>
    </xf>
    <xf numFmtId="0" fontId="61" fillId="14" borderId="5" xfId="7" applyFont="1" applyAlignment="1">
      <alignment vertical="top"/>
    </xf>
    <xf numFmtId="164" fontId="61" fillId="14" borderId="5" xfId="7" applyNumberFormat="1" applyFont="1" applyAlignment="1">
      <alignment vertical="top"/>
    </xf>
    <xf numFmtId="0" fontId="61" fillId="14" borderId="3" xfId="7" applyFont="1" applyBorder="1" applyAlignment="1">
      <alignment vertical="top"/>
    </xf>
    <xf numFmtId="0" fontId="62" fillId="14" borderId="3" xfId="7" applyFont="1" applyBorder="1" applyAlignment="1">
      <alignment vertical="top" wrapText="1"/>
    </xf>
    <xf numFmtId="4" fontId="63" fillId="14" borderId="3" xfId="7" applyNumberFormat="1" applyFont="1" applyBorder="1" applyAlignment="1">
      <alignment horizontal="center" vertical="top"/>
    </xf>
    <xf numFmtId="3" fontId="63" fillId="14" borderId="3" xfId="7" applyNumberFormat="1" applyFont="1" applyBorder="1" applyAlignment="1">
      <alignment horizontal="center" vertical="top"/>
    </xf>
  </cellXfs>
  <cellStyles count="10">
    <cellStyle name="Comma" xfId="1" builtinId="3"/>
    <cellStyle name="Comma 2" xfId="9" xr:uid="{F9AB0CC5-8109-4987-8CBF-26516384E4D3}"/>
    <cellStyle name="Good" xfId="5" builtinId="26"/>
    <cellStyle name="Heading 1" xfId="4" builtinId="16"/>
    <cellStyle name="Heading 2" xfId="2" builtinId="17"/>
    <cellStyle name="Neutral" xfId="6" builtinId="28"/>
    <cellStyle name="Normal" xfId="0" builtinId="0"/>
    <cellStyle name="Normal 4" xfId="8" xr:uid="{E0B4BA35-282D-43AD-ACD2-B96FDFEA9699}"/>
    <cellStyle name="Note" xfId="7" builtinId="10"/>
    <cellStyle name="Total" xfId="3" builtinId="2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A191-882A-49DB-ACE7-361DD6323863}">
  <dimension ref="A2:X26"/>
  <sheetViews>
    <sheetView topLeftCell="A9" workbookViewId="0">
      <selection activeCell="H1" sqref="H1:K1048576"/>
    </sheetView>
  </sheetViews>
  <sheetFormatPr defaultRowHeight="15.6" x14ac:dyDescent="0.3"/>
  <cols>
    <col min="1" max="1" width="7" style="1" bestFit="1" customWidth="1"/>
    <col min="2" max="2" width="14.44140625" style="1" customWidth="1"/>
    <col min="3" max="3" width="18.33203125" style="1" bestFit="1" customWidth="1"/>
    <col min="4" max="4" width="38.33203125" style="1" bestFit="1" customWidth="1"/>
    <col min="5" max="5" width="11.77734375" style="2" customWidth="1"/>
    <col min="6" max="6" width="6" style="1" bestFit="1" customWidth="1"/>
    <col min="7" max="7" width="7.6640625" style="1" bestFit="1" customWidth="1"/>
    <col min="8" max="8" width="11.44140625" style="15" customWidth="1"/>
    <col min="9" max="9" width="11" style="18" customWidth="1"/>
    <col min="10" max="10" width="11.44140625" style="15" customWidth="1"/>
    <col min="11" max="11" width="11" style="18" customWidth="1"/>
    <col min="12" max="12" width="15.6640625" style="15" bestFit="1" customWidth="1"/>
    <col min="13" max="13" width="14.21875" style="18" bestFit="1" customWidth="1"/>
    <col min="14" max="14" width="32.5546875" style="1" bestFit="1" customWidth="1"/>
    <col min="15" max="15" width="12.21875" style="1" bestFit="1" customWidth="1"/>
    <col min="16" max="16" width="11.21875" style="1" bestFit="1" customWidth="1"/>
    <col min="17" max="17" width="49" style="1" bestFit="1" customWidth="1"/>
    <col min="18" max="18" width="11.44140625" style="1" bestFit="1" customWidth="1"/>
    <col min="19" max="19" width="11.44140625" style="1" customWidth="1"/>
    <col min="20" max="20" width="7.33203125" style="1" customWidth="1"/>
    <col min="21" max="21" width="8.5546875" style="1" bestFit="1" customWidth="1"/>
    <col min="22" max="22" width="7.77734375" style="1" bestFit="1" customWidth="1"/>
    <col min="23" max="23" width="8" style="5" bestFit="1" customWidth="1"/>
    <col min="24" max="24" width="6.33203125" style="5" bestFit="1" customWidth="1"/>
    <col min="25" max="16384" width="8.88671875" style="1"/>
  </cols>
  <sheetData>
    <row r="2" spans="1:24" ht="34.049999999999997" customHeight="1" x14ac:dyDescent="0.3">
      <c r="B2" s="47" t="s">
        <v>68</v>
      </c>
      <c r="O2" s="3">
        <v>46296</v>
      </c>
      <c r="Q2" s="4" t="s">
        <v>90</v>
      </c>
    </row>
    <row r="3" spans="1:24" s="8" customFormat="1" ht="30" customHeight="1" x14ac:dyDescent="0.3">
      <c r="A3" s="6" t="s">
        <v>0</v>
      </c>
      <c r="B3" s="6" t="s">
        <v>1</v>
      </c>
      <c r="C3" s="6" t="s">
        <v>2</v>
      </c>
      <c r="D3" s="6" t="s">
        <v>3</v>
      </c>
      <c r="E3" s="7" t="s">
        <v>4</v>
      </c>
      <c r="F3" s="6" t="s">
        <v>5</v>
      </c>
      <c r="G3" s="6" t="s">
        <v>6</v>
      </c>
      <c r="H3" s="31" t="s">
        <v>91</v>
      </c>
      <c r="I3" s="32" t="s">
        <v>92</v>
      </c>
      <c r="J3" s="45" t="s">
        <v>88</v>
      </c>
      <c r="K3" s="46" t="s">
        <v>89</v>
      </c>
      <c r="L3" s="29" t="s">
        <v>64</v>
      </c>
      <c r="M3" s="30" t="s">
        <v>87</v>
      </c>
      <c r="N3" s="6" t="s">
        <v>7</v>
      </c>
      <c r="O3" s="6" t="s">
        <v>8</v>
      </c>
      <c r="P3" s="6" t="s">
        <v>9</v>
      </c>
      <c r="Q3" s="6" t="s">
        <v>10</v>
      </c>
      <c r="T3" s="8" t="s">
        <v>86</v>
      </c>
      <c r="U3" s="8" t="s">
        <v>65</v>
      </c>
      <c r="V3" s="8" t="s">
        <v>66</v>
      </c>
      <c r="W3" s="9" t="s">
        <v>67</v>
      </c>
      <c r="X3" s="9" t="s">
        <v>11</v>
      </c>
    </row>
    <row r="4" spans="1:24" ht="30" customHeight="1" x14ac:dyDescent="0.3">
      <c r="A4" s="49" t="s">
        <v>12</v>
      </c>
      <c r="B4" s="49">
        <v>2100001748</v>
      </c>
      <c r="C4" s="49" t="s">
        <v>13</v>
      </c>
      <c r="D4" s="49" t="s">
        <v>14</v>
      </c>
      <c r="E4" s="50" t="s">
        <v>70</v>
      </c>
      <c r="F4" s="49" t="s">
        <v>15</v>
      </c>
      <c r="G4" s="49" t="s">
        <v>16</v>
      </c>
      <c r="H4" s="51">
        <v>104</v>
      </c>
      <c r="I4" s="52">
        <v>499200</v>
      </c>
      <c r="J4" s="53">
        <v>36</v>
      </c>
      <c r="K4" s="54">
        <v>172800</v>
      </c>
      <c r="L4" s="55">
        <v>68</v>
      </c>
      <c r="M4" s="56">
        <v>326400</v>
      </c>
      <c r="N4" s="49" t="s">
        <v>17</v>
      </c>
      <c r="O4" s="49" t="s">
        <v>26</v>
      </c>
      <c r="P4" s="49" t="s">
        <v>56</v>
      </c>
      <c r="Q4" s="49" t="s">
        <v>94</v>
      </c>
      <c r="T4" s="1" t="s">
        <v>19</v>
      </c>
      <c r="U4" s="1" t="s">
        <v>83</v>
      </c>
      <c r="V4" s="12">
        <f>(W4*M4)/1000</f>
        <v>16.972799999999999</v>
      </c>
      <c r="W4" s="5">
        <v>5.1999999999999998E-2</v>
      </c>
      <c r="X4" s="5">
        <v>4800</v>
      </c>
    </row>
    <row r="5" spans="1:24" ht="30" customHeight="1" x14ac:dyDescent="0.3">
      <c r="A5" s="10" t="s">
        <v>12</v>
      </c>
      <c r="B5" s="10">
        <v>4100021951</v>
      </c>
      <c r="C5" s="10" t="s">
        <v>20</v>
      </c>
      <c r="D5" s="10" t="s">
        <v>21</v>
      </c>
      <c r="E5" s="11" t="s">
        <v>71</v>
      </c>
      <c r="F5" s="10" t="s">
        <v>22</v>
      </c>
      <c r="G5" s="10" t="s">
        <v>16</v>
      </c>
      <c r="H5" s="33">
        <v>48</v>
      </c>
      <c r="I5" s="34">
        <v>576000</v>
      </c>
      <c r="J5" s="35"/>
      <c r="K5" s="36"/>
      <c r="L5" s="16">
        <v>48</v>
      </c>
      <c r="M5" s="19">
        <v>576000</v>
      </c>
      <c r="N5" s="10" t="s">
        <v>23</v>
      </c>
      <c r="O5" s="10" t="s">
        <v>56</v>
      </c>
      <c r="P5" s="10" t="s">
        <v>18</v>
      </c>
      <c r="Q5" s="10"/>
      <c r="T5" s="1" t="s">
        <v>19</v>
      </c>
      <c r="U5" s="1" t="s">
        <v>19</v>
      </c>
      <c r="V5" s="12">
        <f>(W5*M5)/1000</f>
        <v>29.952000000000002</v>
      </c>
      <c r="W5" s="5">
        <v>5.1999999999999998E-2</v>
      </c>
      <c r="X5" s="5">
        <v>12000</v>
      </c>
    </row>
    <row r="6" spans="1:24" ht="30" customHeight="1" x14ac:dyDescent="0.3">
      <c r="A6" s="10" t="s">
        <v>12</v>
      </c>
      <c r="B6" s="10"/>
      <c r="C6" s="10" t="s">
        <v>74</v>
      </c>
      <c r="D6" s="10"/>
      <c r="E6" s="11"/>
      <c r="F6" s="10"/>
      <c r="G6" s="10"/>
      <c r="H6" s="33">
        <v>0</v>
      </c>
      <c r="I6" s="34">
        <v>0</v>
      </c>
      <c r="J6" s="35"/>
      <c r="K6" s="36"/>
      <c r="L6" s="16">
        <v>0</v>
      </c>
      <c r="M6" s="19">
        <v>0</v>
      </c>
      <c r="N6" s="10"/>
      <c r="O6" s="10" t="s">
        <v>18</v>
      </c>
      <c r="P6" s="10" t="s">
        <v>40</v>
      </c>
      <c r="Q6" s="10" t="s">
        <v>69</v>
      </c>
      <c r="T6" s="1" t="s">
        <v>19</v>
      </c>
      <c r="U6" s="1" t="s">
        <v>19</v>
      </c>
      <c r="V6" s="12">
        <f t="shared" ref="V6:V13" si="0">(W6*M6)/1000</f>
        <v>0</v>
      </c>
      <c r="W6" s="5">
        <v>5.1999999999999998E-2</v>
      </c>
      <c r="X6" s="5">
        <v>12000</v>
      </c>
    </row>
    <row r="7" spans="1:24" ht="30" customHeight="1" x14ac:dyDescent="0.3">
      <c r="A7" s="13" t="s">
        <v>25</v>
      </c>
      <c r="B7" s="13"/>
      <c r="C7" s="13" t="s">
        <v>75</v>
      </c>
      <c r="D7" s="13"/>
      <c r="E7" s="14"/>
      <c r="F7" s="13"/>
      <c r="G7" s="13"/>
      <c r="H7" s="33"/>
      <c r="I7" s="34">
        <v>0</v>
      </c>
      <c r="J7" s="35"/>
      <c r="K7" s="36"/>
      <c r="L7" s="17">
        <v>0</v>
      </c>
      <c r="M7" s="20">
        <v>0</v>
      </c>
      <c r="N7" s="13"/>
      <c r="O7" s="13" t="s">
        <v>56</v>
      </c>
      <c r="P7" s="13" t="s">
        <v>40</v>
      </c>
      <c r="Q7" s="13" t="s">
        <v>69</v>
      </c>
      <c r="T7" s="1" t="s">
        <v>19</v>
      </c>
      <c r="U7" s="1" t="s">
        <v>19</v>
      </c>
      <c r="V7" s="12">
        <f t="shared" si="0"/>
        <v>0</v>
      </c>
      <c r="W7" s="5">
        <v>1.4E-2</v>
      </c>
      <c r="X7" s="5">
        <v>20640</v>
      </c>
    </row>
    <row r="8" spans="1:24" ht="30" customHeight="1" x14ac:dyDescent="0.3">
      <c r="A8" s="10" t="s">
        <v>27</v>
      </c>
      <c r="B8" s="10">
        <v>2100001754</v>
      </c>
      <c r="C8" s="10" t="s">
        <v>28</v>
      </c>
      <c r="D8" s="10" t="s">
        <v>29</v>
      </c>
      <c r="E8" s="48" t="s">
        <v>93</v>
      </c>
      <c r="F8" s="10" t="s">
        <v>15</v>
      </c>
      <c r="G8" s="10" t="s">
        <v>16</v>
      </c>
      <c r="H8" s="33">
        <v>104</v>
      </c>
      <c r="I8" s="34">
        <v>1857024</v>
      </c>
      <c r="J8" s="35"/>
      <c r="K8" s="36"/>
      <c r="L8" s="16">
        <v>104</v>
      </c>
      <c r="M8" s="19">
        <v>1857024</v>
      </c>
      <c r="N8" s="10" t="s">
        <v>17</v>
      </c>
      <c r="O8" s="10" t="s">
        <v>18</v>
      </c>
      <c r="P8" s="10" t="s">
        <v>24</v>
      </c>
      <c r="Q8" s="22" t="s">
        <v>30</v>
      </c>
      <c r="R8" s="23" t="s">
        <v>73</v>
      </c>
      <c r="T8" s="1" t="s">
        <v>19</v>
      </c>
      <c r="U8" s="1" t="s">
        <v>83</v>
      </c>
      <c r="V8" s="12">
        <f t="shared" si="0"/>
        <v>25.069824000000001</v>
      </c>
      <c r="W8" s="5">
        <v>1.35E-2</v>
      </c>
      <c r="X8" s="5">
        <v>17856</v>
      </c>
    </row>
    <row r="9" spans="1:24" ht="30" customHeight="1" x14ac:dyDescent="0.3">
      <c r="A9" s="10" t="s">
        <v>27</v>
      </c>
      <c r="B9" s="10">
        <v>2100001751</v>
      </c>
      <c r="C9" s="10" t="s">
        <v>31</v>
      </c>
      <c r="D9" s="10" t="s">
        <v>32</v>
      </c>
      <c r="E9" s="48" t="s">
        <v>93</v>
      </c>
      <c r="F9" s="10" t="s">
        <v>15</v>
      </c>
      <c r="G9" s="10" t="s">
        <v>33</v>
      </c>
      <c r="H9" s="33">
        <v>150</v>
      </c>
      <c r="I9" s="34">
        <v>745200</v>
      </c>
      <c r="J9" s="35"/>
      <c r="K9" s="36"/>
      <c r="L9" s="16">
        <v>150</v>
      </c>
      <c r="M9" s="19">
        <v>745200</v>
      </c>
      <c r="N9" s="10" t="s">
        <v>17</v>
      </c>
      <c r="O9" s="10" t="s">
        <v>34</v>
      </c>
      <c r="P9" s="10" t="s">
        <v>35</v>
      </c>
      <c r="Q9" s="22" t="s">
        <v>36</v>
      </c>
      <c r="R9" s="23" t="s">
        <v>73</v>
      </c>
      <c r="T9" s="1" t="s">
        <v>19</v>
      </c>
      <c r="U9" s="1" t="s">
        <v>83</v>
      </c>
      <c r="V9" s="12">
        <f t="shared" si="0"/>
        <v>25.336800000000004</v>
      </c>
      <c r="W9" s="5">
        <v>3.4000000000000002E-2</v>
      </c>
      <c r="X9" s="5">
        <v>4968</v>
      </c>
    </row>
    <row r="10" spans="1:24" ht="30" customHeight="1" x14ac:dyDescent="0.3">
      <c r="A10" s="10" t="s">
        <v>27</v>
      </c>
      <c r="B10" s="10">
        <v>2100001752</v>
      </c>
      <c r="C10" s="10" t="s">
        <v>37</v>
      </c>
      <c r="D10" s="10" t="s">
        <v>38</v>
      </c>
      <c r="E10" s="48" t="s">
        <v>93</v>
      </c>
      <c r="F10" s="10" t="s">
        <v>39</v>
      </c>
      <c r="G10" s="10" t="s">
        <v>33</v>
      </c>
      <c r="H10" s="33">
        <v>110</v>
      </c>
      <c r="I10" s="34">
        <v>546480</v>
      </c>
      <c r="J10" s="35"/>
      <c r="K10" s="36"/>
      <c r="L10" s="16">
        <v>110</v>
      </c>
      <c r="M10" s="19">
        <v>546480</v>
      </c>
      <c r="N10" s="10" t="s">
        <v>17</v>
      </c>
      <c r="O10" s="10" t="s">
        <v>35</v>
      </c>
      <c r="P10" s="10" t="s">
        <v>40</v>
      </c>
      <c r="Q10" s="10"/>
      <c r="R10" s="23" t="s">
        <v>73</v>
      </c>
      <c r="T10" s="1" t="s">
        <v>19</v>
      </c>
      <c r="U10" s="1" t="s">
        <v>83</v>
      </c>
      <c r="V10" s="12">
        <f t="shared" si="0"/>
        <v>18.58032</v>
      </c>
      <c r="W10" s="5">
        <v>3.4000000000000002E-2</v>
      </c>
      <c r="X10" s="5">
        <v>4968</v>
      </c>
    </row>
    <row r="11" spans="1:24" ht="30" customHeight="1" x14ac:dyDescent="0.3">
      <c r="A11" s="37" t="s">
        <v>41</v>
      </c>
      <c r="B11" s="37">
        <v>4100021954</v>
      </c>
      <c r="C11" s="37" t="s">
        <v>42</v>
      </c>
      <c r="D11" s="37" t="s">
        <v>43</v>
      </c>
      <c r="E11" s="38" t="s">
        <v>72</v>
      </c>
      <c r="F11" s="37" t="s">
        <v>15</v>
      </c>
      <c r="G11" s="37" t="s">
        <v>44</v>
      </c>
      <c r="H11" s="39">
        <v>48</v>
      </c>
      <c r="I11" s="40">
        <v>483840</v>
      </c>
      <c r="J11" s="41"/>
      <c r="K11" s="42"/>
      <c r="L11" s="43">
        <v>48</v>
      </c>
      <c r="M11" s="44">
        <v>483840</v>
      </c>
      <c r="N11" s="37" t="s">
        <v>45</v>
      </c>
      <c r="O11" s="37" t="s">
        <v>26</v>
      </c>
      <c r="P11" s="37" t="s">
        <v>56</v>
      </c>
      <c r="Q11" s="37"/>
      <c r="T11" s="1" t="s">
        <v>46</v>
      </c>
      <c r="U11" s="1" t="s">
        <v>46</v>
      </c>
      <c r="V11" s="12">
        <f t="shared" si="0"/>
        <v>12.870144</v>
      </c>
      <c r="W11" s="5">
        <v>2.6600000000000002E-2</v>
      </c>
      <c r="X11" s="5">
        <v>10080</v>
      </c>
    </row>
    <row r="12" spans="1:24" ht="30" customHeight="1" x14ac:dyDescent="0.3">
      <c r="A12" s="13" t="s">
        <v>41</v>
      </c>
      <c r="B12" s="13">
        <v>4100021954</v>
      </c>
      <c r="C12" s="13" t="s">
        <v>42</v>
      </c>
      <c r="D12" s="13" t="s">
        <v>43</v>
      </c>
      <c r="E12" s="14" t="s">
        <v>72</v>
      </c>
      <c r="F12" s="13" t="s">
        <v>15</v>
      </c>
      <c r="G12" s="13" t="s">
        <v>44</v>
      </c>
      <c r="H12" s="33">
        <v>48</v>
      </c>
      <c r="I12" s="34">
        <v>483840</v>
      </c>
      <c r="J12" s="35"/>
      <c r="K12" s="36"/>
      <c r="L12" s="17">
        <v>48</v>
      </c>
      <c r="M12" s="20">
        <v>483840</v>
      </c>
      <c r="N12" s="13" t="s">
        <v>45</v>
      </c>
      <c r="O12" s="13" t="s">
        <v>56</v>
      </c>
      <c r="P12" s="13" t="s">
        <v>18</v>
      </c>
      <c r="Q12" s="13"/>
      <c r="T12" s="1" t="s">
        <v>46</v>
      </c>
      <c r="U12" s="1" t="s">
        <v>46</v>
      </c>
      <c r="V12" s="12">
        <f t="shared" si="0"/>
        <v>12.870144</v>
      </c>
      <c r="W12" s="5">
        <v>2.6600000000000002E-2</v>
      </c>
      <c r="X12" s="5">
        <v>10080</v>
      </c>
    </row>
    <row r="13" spans="1:24" ht="30" customHeight="1" x14ac:dyDescent="0.3">
      <c r="A13" s="13" t="s">
        <v>41</v>
      </c>
      <c r="B13" s="13"/>
      <c r="C13" s="13" t="s">
        <v>76</v>
      </c>
      <c r="D13" s="13"/>
      <c r="E13" s="14"/>
      <c r="F13" s="13"/>
      <c r="G13" s="13"/>
      <c r="H13" s="33"/>
      <c r="I13" s="34">
        <v>0</v>
      </c>
      <c r="J13" s="35"/>
      <c r="K13" s="36"/>
      <c r="L13" s="17">
        <v>0</v>
      </c>
      <c r="M13" s="20">
        <v>0</v>
      </c>
      <c r="N13" s="13"/>
      <c r="O13" s="13" t="s">
        <v>18</v>
      </c>
      <c r="P13" s="13" t="s">
        <v>40</v>
      </c>
      <c r="Q13" s="13" t="s">
        <v>69</v>
      </c>
      <c r="T13" s="1" t="s">
        <v>46</v>
      </c>
      <c r="U13" s="1" t="s">
        <v>46</v>
      </c>
      <c r="V13" s="12">
        <f t="shared" si="0"/>
        <v>0</v>
      </c>
      <c r="W13" s="5">
        <v>2.6600000000000002E-2</v>
      </c>
      <c r="X13" s="5">
        <v>10080</v>
      </c>
    </row>
    <row r="14" spans="1:24" ht="30" customHeight="1" x14ac:dyDescent="0.3">
      <c r="A14" s="10" t="s">
        <v>47</v>
      </c>
      <c r="B14" s="10">
        <v>4100021956</v>
      </c>
      <c r="C14" s="10" t="s">
        <v>96</v>
      </c>
      <c r="D14" s="10" t="s">
        <v>97</v>
      </c>
      <c r="E14" s="11" t="s">
        <v>72</v>
      </c>
      <c r="F14" s="10" t="s">
        <v>15</v>
      </c>
      <c r="G14" s="10" t="s">
        <v>33</v>
      </c>
      <c r="H14" s="33">
        <f>60*5</f>
        <v>300</v>
      </c>
      <c r="I14" s="34">
        <f>H14*X14</f>
        <v>1900800</v>
      </c>
      <c r="J14" s="35"/>
      <c r="K14" s="36"/>
      <c r="L14" s="16">
        <f>H14-J14</f>
        <v>300</v>
      </c>
      <c r="M14" s="19">
        <f>I14-K14</f>
        <v>1900800</v>
      </c>
      <c r="N14" s="10" t="s">
        <v>98</v>
      </c>
      <c r="O14" s="10" t="s">
        <v>26</v>
      </c>
      <c r="P14" s="10" t="s">
        <v>40</v>
      </c>
      <c r="Q14" s="10"/>
      <c r="T14" s="1" t="s">
        <v>46</v>
      </c>
      <c r="U14" s="1" t="s">
        <v>46</v>
      </c>
      <c r="V14" s="12">
        <f>(W14*M14)/1000</f>
        <v>68.428799999999995</v>
      </c>
      <c r="W14" s="5">
        <v>3.5999999999999997E-2</v>
      </c>
      <c r="X14" s="5">
        <v>6336</v>
      </c>
    </row>
    <row r="15" spans="1:24" ht="30" customHeight="1" x14ac:dyDescent="0.3">
      <c r="A15" s="37" t="s">
        <v>48</v>
      </c>
      <c r="B15" s="37">
        <v>2100001713</v>
      </c>
      <c r="C15" s="37" t="s">
        <v>49</v>
      </c>
      <c r="D15" s="37" t="s">
        <v>50</v>
      </c>
      <c r="E15" s="38" t="s">
        <v>70</v>
      </c>
      <c r="F15" s="37" t="s">
        <v>15</v>
      </c>
      <c r="G15" s="37" t="s">
        <v>33</v>
      </c>
      <c r="H15" s="39">
        <v>163</v>
      </c>
      <c r="I15" s="40">
        <v>2131200</v>
      </c>
      <c r="J15" s="41">
        <v>115</v>
      </c>
      <c r="K15" s="42">
        <v>1225440</v>
      </c>
      <c r="L15" s="43">
        <v>48</v>
      </c>
      <c r="M15" s="44">
        <v>511488</v>
      </c>
      <c r="N15" s="37" t="s">
        <v>17</v>
      </c>
      <c r="O15" s="37" t="s">
        <v>26</v>
      </c>
      <c r="P15" s="37" t="s">
        <v>18</v>
      </c>
      <c r="Q15" s="37"/>
      <c r="T15" s="1" t="s">
        <v>19</v>
      </c>
      <c r="U15" s="1" t="s">
        <v>19</v>
      </c>
      <c r="V15" s="12">
        <f>(W15*M15)/1000</f>
        <v>6.4958975999999993</v>
      </c>
      <c r="W15" s="5">
        <v>1.2699999999999999E-2</v>
      </c>
      <c r="X15" s="5">
        <v>10656</v>
      </c>
    </row>
    <row r="16" spans="1:24" ht="30" customHeight="1" x14ac:dyDescent="0.3">
      <c r="A16" s="13" t="s">
        <v>48</v>
      </c>
      <c r="B16" s="13">
        <v>2100001753</v>
      </c>
      <c r="C16" s="13" t="s">
        <v>49</v>
      </c>
      <c r="D16" s="13" t="s">
        <v>50</v>
      </c>
      <c r="E16" s="21" t="s">
        <v>70</v>
      </c>
      <c r="F16" s="13" t="s">
        <v>15</v>
      </c>
      <c r="G16" s="13" t="s">
        <v>33</v>
      </c>
      <c r="H16" s="33">
        <v>37</v>
      </c>
      <c r="I16" s="34">
        <v>394272</v>
      </c>
      <c r="J16" s="35"/>
      <c r="K16" s="36"/>
      <c r="L16" s="17">
        <v>37</v>
      </c>
      <c r="M16" s="20">
        <v>394272</v>
      </c>
      <c r="N16" s="13" t="s">
        <v>17</v>
      </c>
      <c r="O16" s="13" t="s">
        <v>26</v>
      </c>
      <c r="P16" s="13" t="s">
        <v>18</v>
      </c>
      <c r="Q16" s="13" t="s">
        <v>95</v>
      </c>
      <c r="T16" s="1" t="s">
        <v>19</v>
      </c>
      <c r="U16" s="1" t="s">
        <v>19</v>
      </c>
      <c r="V16" s="12">
        <f>(W16*M16)/1000</f>
        <v>5.0072543999999999</v>
      </c>
      <c r="W16" s="5">
        <v>1.2699999999999999E-2</v>
      </c>
      <c r="X16" s="5">
        <v>10656</v>
      </c>
    </row>
    <row r="17" spans="1:24" ht="30" customHeight="1" x14ac:dyDescent="0.3">
      <c r="A17" s="13" t="s">
        <v>48</v>
      </c>
      <c r="B17" s="13"/>
      <c r="C17" s="13" t="s">
        <v>77</v>
      </c>
      <c r="D17" s="13"/>
      <c r="E17" s="14"/>
      <c r="F17" s="13"/>
      <c r="G17" s="13"/>
      <c r="H17" s="33"/>
      <c r="I17" s="34">
        <v>0</v>
      </c>
      <c r="J17" s="35"/>
      <c r="K17" s="36"/>
      <c r="L17" s="17">
        <v>0</v>
      </c>
      <c r="M17" s="20">
        <v>0</v>
      </c>
      <c r="N17" s="13"/>
      <c r="O17" s="13" t="s">
        <v>56</v>
      </c>
      <c r="P17" s="13" t="s">
        <v>40</v>
      </c>
      <c r="Q17" s="13" t="s">
        <v>69</v>
      </c>
      <c r="T17" s="1" t="s">
        <v>19</v>
      </c>
      <c r="U17" s="1" t="s">
        <v>19</v>
      </c>
      <c r="V17" s="12">
        <f t="shared" ref="V17:V26" si="1">(W17*M17)/1000</f>
        <v>0</v>
      </c>
      <c r="W17" s="5">
        <v>1.2699999999999999E-2</v>
      </c>
      <c r="X17" s="5">
        <v>10656</v>
      </c>
    </row>
    <row r="18" spans="1:24" ht="30" customHeight="1" x14ac:dyDescent="0.3">
      <c r="A18" s="37" t="s">
        <v>51</v>
      </c>
      <c r="B18" s="37">
        <v>4100021952</v>
      </c>
      <c r="C18" s="37" t="s">
        <v>52</v>
      </c>
      <c r="D18" s="37" t="s">
        <v>53</v>
      </c>
      <c r="E18" s="38" t="s">
        <v>54</v>
      </c>
      <c r="F18" s="37" t="s">
        <v>22</v>
      </c>
      <c r="G18" s="37" t="s">
        <v>44</v>
      </c>
      <c r="H18" s="39"/>
      <c r="I18" s="40">
        <v>0</v>
      </c>
      <c r="J18" s="41"/>
      <c r="K18" s="42"/>
      <c r="L18" s="43">
        <v>70</v>
      </c>
      <c r="M18" s="44">
        <v>1776600</v>
      </c>
      <c r="N18" s="37" t="s">
        <v>55</v>
      </c>
      <c r="O18" s="37" t="s">
        <v>26</v>
      </c>
      <c r="P18" s="37" t="s">
        <v>56</v>
      </c>
      <c r="Q18" s="37"/>
      <c r="T18" s="1" t="s">
        <v>46</v>
      </c>
      <c r="U18" s="1" t="s">
        <v>57</v>
      </c>
      <c r="V18" s="12">
        <f t="shared" si="1"/>
        <v>16.700040000000001</v>
      </c>
      <c r="W18" s="5">
        <v>9.4000000000000004E-3</v>
      </c>
      <c r="X18" s="5">
        <v>25380</v>
      </c>
    </row>
    <row r="19" spans="1:24" ht="30" customHeight="1" x14ac:dyDescent="0.3">
      <c r="A19" s="10" t="s">
        <v>51</v>
      </c>
      <c r="B19" s="10">
        <v>4100021952</v>
      </c>
      <c r="C19" s="10" t="s">
        <v>52</v>
      </c>
      <c r="D19" s="10" t="s">
        <v>53</v>
      </c>
      <c r="E19" s="11" t="s">
        <v>54</v>
      </c>
      <c r="F19" s="10" t="s">
        <v>22</v>
      </c>
      <c r="G19" s="10" t="s">
        <v>44</v>
      </c>
      <c r="H19" s="33"/>
      <c r="I19" s="34">
        <v>0</v>
      </c>
      <c r="J19" s="35"/>
      <c r="K19" s="36"/>
      <c r="L19" s="16">
        <v>490</v>
      </c>
      <c r="M19" s="19">
        <v>12436200</v>
      </c>
      <c r="N19" s="10" t="s">
        <v>55</v>
      </c>
      <c r="O19" s="10" t="s">
        <v>56</v>
      </c>
      <c r="P19" s="10" t="s">
        <v>40</v>
      </c>
      <c r="Q19" s="10"/>
      <c r="T19" s="1" t="s">
        <v>46</v>
      </c>
      <c r="U19" s="1" t="s">
        <v>57</v>
      </c>
      <c r="V19" s="12">
        <f t="shared" si="1"/>
        <v>116.90028</v>
      </c>
      <c r="W19" s="5">
        <v>9.4000000000000004E-3</v>
      </c>
      <c r="X19" s="5">
        <v>25380</v>
      </c>
    </row>
    <row r="20" spans="1:24" ht="30" customHeight="1" x14ac:dyDescent="0.3">
      <c r="A20" s="37" t="s">
        <v>58</v>
      </c>
      <c r="B20" s="37">
        <v>4100021953</v>
      </c>
      <c r="C20" s="37" t="s">
        <v>52</v>
      </c>
      <c r="D20" s="37" t="s">
        <v>53</v>
      </c>
      <c r="E20" s="38" t="s">
        <v>54</v>
      </c>
      <c r="F20" s="37" t="s">
        <v>22</v>
      </c>
      <c r="G20" s="37" t="s">
        <v>44</v>
      </c>
      <c r="H20" s="39"/>
      <c r="I20" s="40">
        <v>0</v>
      </c>
      <c r="J20" s="41"/>
      <c r="K20" s="42"/>
      <c r="L20" s="43">
        <v>70</v>
      </c>
      <c r="M20" s="44">
        <v>1776600</v>
      </c>
      <c r="N20" s="37" t="s">
        <v>55</v>
      </c>
      <c r="O20" s="37" t="s">
        <v>26</v>
      </c>
      <c r="P20" s="37" t="s">
        <v>56</v>
      </c>
      <c r="Q20" s="37"/>
      <c r="T20" s="1" t="s">
        <v>46</v>
      </c>
      <c r="U20" s="1" t="s">
        <v>57</v>
      </c>
      <c r="V20" s="12">
        <f t="shared" si="1"/>
        <v>16.700040000000001</v>
      </c>
      <c r="W20" s="5">
        <v>9.4000000000000004E-3</v>
      </c>
      <c r="X20" s="5">
        <v>25380</v>
      </c>
    </row>
    <row r="21" spans="1:24" ht="30" customHeight="1" x14ac:dyDescent="0.3">
      <c r="A21" s="13" t="s">
        <v>58</v>
      </c>
      <c r="B21" s="13">
        <v>4100021953</v>
      </c>
      <c r="C21" s="13" t="s">
        <v>52</v>
      </c>
      <c r="D21" s="13" t="s">
        <v>53</v>
      </c>
      <c r="E21" s="14" t="s">
        <v>54</v>
      </c>
      <c r="F21" s="13" t="s">
        <v>22</v>
      </c>
      <c r="G21" s="13" t="s">
        <v>44</v>
      </c>
      <c r="H21" s="33"/>
      <c r="I21" s="34">
        <v>0</v>
      </c>
      <c r="J21" s="35"/>
      <c r="K21" s="36"/>
      <c r="L21" s="17">
        <v>490</v>
      </c>
      <c r="M21" s="20">
        <v>12436200</v>
      </c>
      <c r="N21" s="13" t="s">
        <v>55</v>
      </c>
      <c r="O21" s="13" t="s">
        <v>56</v>
      </c>
      <c r="P21" s="13" t="s">
        <v>40</v>
      </c>
      <c r="Q21" s="13"/>
      <c r="T21" s="1" t="s">
        <v>46</v>
      </c>
      <c r="U21" s="1" t="s">
        <v>57</v>
      </c>
      <c r="V21" s="12">
        <f t="shared" si="1"/>
        <v>116.90028</v>
      </c>
      <c r="W21" s="5">
        <v>9.4000000000000004E-3</v>
      </c>
      <c r="X21" s="5">
        <v>25380</v>
      </c>
    </row>
    <row r="22" spans="1:24" ht="30" customHeight="1" x14ac:dyDescent="0.3">
      <c r="A22" s="10" t="s">
        <v>59</v>
      </c>
      <c r="B22" s="10"/>
      <c r="C22" s="10" t="s">
        <v>78</v>
      </c>
      <c r="D22" s="10"/>
      <c r="E22" s="11"/>
      <c r="F22" s="10"/>
      <c r="G22" s="10"/>
      <c r="H22" s="33"/>
      <c r="I22" s="34">
        <v>0</v>
      </c>
      <c r="J22" s="35"/>
      <c r="K22" s="36"/>
      <c r="L22" s="16">
        <v>0</v>
      </c>
      <c r="M22" s="19">
        <v>0</v>
      </c>
      <c r="N22" s="10"/>
      <c r="O22" s="10" t="s">
        <v>56</v>
      </c>
      <c r="P22" s="10" t="s">
        <v>40</v>
      </c>
      <c r="Q22" s="10" t="s">
        <v>69</v>
      </c>
      <c r="T22" s="1" t="s">
        <v>46</v>
      </c>
      <c r="U22" s="1" t="s">
        <v>46</v>
      </c>
      <c r="V22" s="12">
        <f t="shared" si="1"/>
        <v>0</v>
      </c>
      <c r="W22" s="5">
        <v>7.45E-3</v>
      </c>
      <c r="X22" s="5">
        <v>29880</v>
      </c>
    </row>
    <row r="23" spans="1:24" ht="30" customHeight="1" x14ac:dyDescent="0.3">
      <c r="A23" s="13" t="s">
        <v>60</v>
      </c>
      <c r="B23" s="13"/>
      <c r="C23" s="13" t="s">
        <v>79</v>
      </c>
      <c r="D23" s="13"/>
      <c r="E23" s="14"/>
      <c r="F23" s="13"/>
      <c r="G23" s="13"/>
      <c r="H23" s="33"/>
      <c r="I23" s="34">
        <v>0</v>
      </c>
      <c r="J23" s="35"/>
      <c r="K23" s="36"/>
      <c r="L23" s="17">
        <v>0</v>
      </c>
      <c r="M23" s="20">
        <v>0</v>
      </c>
      <c r="N23" s="13"/>
      <c r="O23" s="13" t="s">
        <v>56</v>
      </c>
      <c r="P23" s="13" t="s">
        <v>40</v>
      </c>
      <c r="Q23" s="13" t="s">
        <v>69</v>
      </c>
      <c r="T23" s="1" t="s">
        <v>46</v>
      </c>
      <c r="U23" s="1" t="s">
        <v>46</v>
      </c>
      <c r="V23" s="12">
        <f t="shared" si="1"/>
        <v>0</v>
      </c>
      <c r="W23" s="5">
        <v>8.3000000000000001E-3</v>
      </c>
      <c r="X23" s="5">
        <v>27000</v>
      </c>
    </row>
    <row r="24" spans="1:24" ht="30" customHeight="1" x14ac:dyDescent="0.3">
      <c r="A24" s="10" t="s">
        <v>61</v>
      </c>
      <c r="B24" s="10"/>
      <c r="C24" s="10" t="s">
        <v>80</v>
      </c>
      <c r="D24" s="10"/>
      <c r="E24" s="11"/>
      <c r="F24" s="10"/>
      <c r="G24" s="10"/>
      <c r="H24" s="33"/>
      <c r="I24" s="34">
        <v>0</v>
      </c>
      <c r="J24" s="35"/>
      <c r="K24" s="36"/>
      <c r="L24" s="16">
        <v>0</v>
      </c>
      <c r="M24" s="19">
        <v>0</v>
      </c>
      <c r="N24" s="10"/>
      <c r="O24" s="10" t="s">
        <v>56</v>
      </c>
      <c r="P24" s="10" t="s">
        <v>40</v>
      </c>
      <c r="Q24" s="10" t="s">
        <v>69</v>
      </c>
      <c r="T24" s="1" t="s">
        <v>46</v>
      </c>
      <c r="U24" s="1" t="s">
        <v>46</v>
      </c>
      <c r="V24" s="12">
        <f t="shared" si="1"/>
        <v>0</v>
      </c>
      <c r="W24" s="5">
        <v>1.15E-2</v>
      </c>
      <c r="X24" s="5">
        <v>20880</v>
      </c>
    </row>
    <row r="25" spans="1:24" ht="30" customHeight="1" x14ac:dyDescent="0.3">
      <c r="A25" s="13" t="s">
        <v>62</v>
      </c>
      <c r="B25" s="13"/>
      <c r="C25" s="13" t="s">
        <v>81</v>
      </c>
      <c r="D25" s="13"/>
      <c r="E25" s="14"/>
      <c r="F25" s="13"/>
      <c r="G25" s="13"/>
      <c r="H25" s="33"/>
      <c r="I25" s="34">
        <v>0</v>
      </c>
      <c r="J25" s="35"/>
      <c r="K25" s="36"/>
      <c r="L25" s="17">
        <v>0</v>
      </c>
      <c r="M25" s="20">
        <v>0</v>
      </c>
      <c r="N25" s="13"/>
      <c r="O25" s="13" t="s">
        <v>56</v>
      </c>
      <c r="P25" s="13" t="s">
        <v>40</v>
      </c>
      <c r="Q25" s="13" t="s">
        <v>69</v>
      </c>
      <c r="T25" s="1" t="s">
        <v>19</v>
      </c>
      <c r="U25" s="1" t="s">
        <v>19</v>
      </c>
      <c r="V25" s="12">
        <f t="shared" si="1"/>
        <v>0</v>
      </c>
      <c r="W25" s="5">
        <v>3.0499999999999999E-2</v>
      </c>
      <c r="X25" s="5">
        <v>10620</v>
      </c>
    </row>
    <row r="26" spans="1:24" ht="30" customHeight="1" x14ac:dyDescent="0.3">
      <c r="A26" s="10" t="s">
        <v>63</v>
      </c>
      <c r="B26" s="10"/>
      <c r="C26" s="10" t="s">
        <v>82</v>
      </c>
      <c r="D26" s="10"/>
      <c r="E26" s="11"/>
      <c r="F26" s="10"/>
      <c r="G26" s="10"/>
      <c r="H26" s="33"/>
      <c r="I26" s="34">
        <v>0</v>
      </c>
      <c r="J26" s="35"/>
      <c r="K26" s="36"/>
      <c r="L26" s="16">
        <v>0</v>
      </c>
      <c r="M26" s="19">
        <v>0</v>
      </c>
      <c r="N26" s="10"/>
      <c r="O26" s="10" t="s">
        <v>56</v>
      </c>
      <c r="P26" s="10" t="s">
        <v>40</v>
      </c>
      <c r="Q26" s="10" t="s">
        <v>69</v>
      </c>
      <c r="T26" s="1" t="s">
        <v>19</v>
      </c>
      <c r="U26" s="1" t="s">
        <v>19</v>
      </c>
      <c r="V26" s="12">
        <f t="shared" si="1"/>
        <v>0</v>
      </c>
      <c r="W26" s="5">
        <v>4.4999999999999998E-2</v>
      </c>
      <c r="X26" s="5">
        <v>6624</v>
      </c>
    </row>
  </sheetData>
  <autoFilter ref="A3:X26" xr:uid="{5FC5F419-4B19-4AB9-8FC3-8DAED5EF2A2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F419-4B19-4AB9-8FC3-8DAED5EF2A23}">
  <dimension ref="A1:T24"/>
  <sheetViews>
    <sheetView tabSelected="1" workbookViewId="0"/>
  </sheetViews>
  <sheetFormatPr defaultRowHeight="15.6" x14ac:dyDescent="0.3"/>
  <cols>
    <col min="1" max="1" width="7" style="1" bestFit="1" customWidth="1"/>
    <col min="2" max="2" width="14.44140625" style="1" customWidth="1"/>
    <col min="3" max="3" width="18.33203125" style="1" bestFit="1" customWidth="1"/>
    <col min="4" max="4" width="38.33203125" style="1" bestFit="1" customWidth="1"/>
    <col min="5" max="5" width="11.77734375" style="2" customWidth="1"/>
    <col min="6" max="6" width="6" style="1" bestFit="1" customWidth="1"/>
    <col min="7" max="7" width="7.6640625" style="1" bestFit="1" customWidth="1"/>
    <col min="8" max="8" width="15.6640625" style="15" bestFit="1" customWidth="1"/>
    <col min="9" max="9" width="14.21875" style="18" bestFit="1" customWidth="1"/>
    <col min="10" max="10" width="32.5546875" style="1" bestFit="1" customWidth="1"/>
    <col min="11" max="11" width="12.21875" style="1" bestFit="1" customWidth="1"/>
    <col min="12" max="12" width="11.21875" style="1" bestFit="1" customWidth="1"/>
    <col min="13" max="13" width="50.6640625" style="1" customWidth="1"/>
    <col min="14" max="14" width="11.44140625" style="1" bestFit="1" customWidth="1"/>
    <col min="15" max="15" width="11.44140625" style="1" customWidth="1"/>
    <col min="16" max="16" width="7.33203125" style="1" customWidth="1"/>
    <col min="17" max="17" width="8.5546875" style="1" bestFit="1" customWidth="1"/>
    <col min="18" max="18" width="7.77734375" style="1" bestFit="1" customWidth="1"/>
    <col min="19" max="19" width="8" style="5" bestFit="1" customWidth="1"/>
    <col min="20" max="20" width="6.33203125" style="5" bestFit="1" customWidth="1"/>
    <col min="21" max="16384" width="8.88671875" style="1"/>
  </cols>
  <sheetData>
    <row r="1" spans="1:20" ht="25.2" customHeight="1" x14ac:dyDescent="0.3">
      <c r="M1" s="64">
        <v>0.74097222222222225</v>
      </c>
    </row>
    <row r="2" spans="1:20" ht="34.049999999999997" customHeight="1" x14ac:dyDescent="0.3">
      <c r="B2" s="47" t="s">
        <v>68</v>
      </c>
      <c r="I2" s="1">
        <f>_xlfn.AGGREGATE(9,3,I3:I32)</f>
        <v>39328080</v>
      </c>
      <c r="K2" s="3">
        <v>46296</v>
      </c>
      <c r="M2" s="4" t="s">
        <v>111</v>
      </c>
    </row>
    <row r="3" spans="1:20" s="8" customFormat="1" ht="30" customHeight="1" x14ac:dyDescent="0.3">
      <c r="A3" s="6" t="s">
        <v>0</v>
      </c>
      <c r="B3" s="6" t="s">
        <v>1</v>
      </c>
      <c r="C3" s="6" t="s">
        <v>2</v>
      </c>
      <c r="D3" s="6" t="s">
        <v>3</v>
      </c>
      <c r="E3" s="7" t="s">
        <v>4</v>
      </c>
      <c r="F3" s="6" t="s">
        <v>5</v>
      </c>
      <c r="G3" s="6" t="s">
        <v>6</v>
      </c>
      <c r="H3" s="29" t="s">
        <v>64</v>
      </c>
      <c r="I3" s="30" t="s">
        <v>100</v>
      </c>
      <c r="J3" s="6" t="s">
        <v>7</v>
      </c>
      <c r="K3" s="6" t="s">
        <v>8</v>
      </c>
      <c r="L3" s="6" t="s">
        <v>9</v>
      </c>
      <c r="M3" s="6" t="s">
        <v>10</v>
      </c>
      <c r="P3" s="8" t="s">
        <v>86</v>
      </c>
      <c r="Q3" s="8" t="s">
        <v>65</v>
      </c>
      <c r="R3" s="8" t="s">
        <v>66</v>
      </c>
      <c r="S3" s="9" t="s">
        <v>67</v>
      </c>
      <c r="T3" s="9" t="s">
        <v>11</v>
      </c>
    </row>
    <row r="4" spans="1:20" ht="30" customHeight="1" x14ac:dyDescent="0.3">
      <c r="A4" s="57" t="s">
        <v>12</v>
      </c>
      <c r="B4" s="57">
        <v>4100021951</v>
      </c>
      <c r="C4" s="57" t="s">
        <v>20</v>
      </c>
      <c r="D4" s="57" t="s">
        <v>21</v>
      </c>
      <c r="E4" s="58" t="s">
        <v>71</v>
      </c>
      <c r="F4" s="57" t="s">
        <v>22</v>
      </c>
      <c r="G4" s="57" t="s">
        <v>16</v>
      </c>
      <c r="H4" s="51">
        <v>30</v>
      </c>
      <c r="I4" s="52">
        <v>360000</v>
      </c>
      <c r="J4" s="57" t="s">
        <v>23</v>
      </c>
      <c r="K4" s="57" t="s">
        <v>26</v>
      </c>
      <c r="L4" s="57" t="s">
        <v>56</v>
      </c>
      <c r="M4" s="57"/>
      <c r="P4" s="1" t="s">
        <v>19</v>
      </c>
      <c r="Q4" s="1" t="s">
        <v>19</v>
      </c>
      <c r="R4" s="12">
        <f>(S4*I4)/1000</f>
        <v>18.72</v>
      </c>
      <c r="S4" s="5">
        <v>5.1999999999999998E-2</v>
      </c>
      <c r="T4" s="5">
        <v>12000</v>
      </c>
    </row>
    <row r="5" spans="1:20" ht="30" customHeight="1" x14ac:dyDescent="0.3">
      <c r="A5" s="10" t="s">
        <v>12</v>
      </c>
      <c r="B5" s="10">
        <v>4100021951</v>
      </c>
      <c r="C5" s="10" t="s">
        <v>20</v>
      </c>
      <c r="D5" s="10" t="s">
        <v>21</v>
      </c>
      <c r="E5" s="11" t="s">
        <v>71</v>
      </c>
      <c r="F5" s="10" t="s">
        <v>22</v>
      </c>
      <c r="G5" s="10" t="s">
        <v>16</v>
      </c>
      <c r="H5" s="16">
        <v>18</v>
      </c>
      <c r="I5" s="19">
        <v>216000</v>
      </c>
      <c r="J5" s="10" t="s">
        <v>23</v>
      </c>
      <c r="K5" s="10" t="s">
        <v>56</v>
      </c>
      <c r="L5" s="10" t="s">
        <v>56</v>
      </c>
      <c r="M5" s="10" t="s">
        <v>101</v>
      </c>
      <c r="P5" s="1" t="s">
        <v>19</v>
      </c>
      <c r="Q5" s="1" t="s">
        <v>19</v>
      </c>
      <c r="R5" s="12">
        <f>(S5*I5)/1000</f>
        <v>11.231999999999999</v>
      </c>
      <c r="S5" s="5">
        <v>5.1999999999999998E-2</v>
      </c>
      <c r="T5" s="5">
        <v>12000</v>
      </c>
    </row>
    <row r="6" spans="1:20" ht="30" customHeight="1" x14ac:dyDescent="0.3">
      <c r="A6" s="10" t="s">
        <v>12</v>
      </c>
      <c r="B6" s="59">
        <v>4100021974</v>
      </c>
      <c r="C6" s="59" t="s">
        <v>102</v>
      </c>
      <c r="D6" s="59" t="s">
        <v>103</v>
      </c>
      <c r="E6" s="60" t="s">
        <v>71</v>
      </c>
      <c r="F6" s="59" t="s">
        <v>15</v>
      </c>
      <c r="G6" s="59" t="s">
        <v>44</v>
      </c>
      <c r="H6" s="61">
        <v>400</v>
      </c>
      <c r="I6" s="62">
        <f>H6*4800</f>
        <v>1920000</v>
      </c>
      <c r="J6" s="59" t="s">
        <v>104</v>
      </c>
      <c r="K6" s="59" t="s">
        <v>56</v>
      </c>
      <c r="L6" s="59" t="s">
        <v>40</v>
      </c>
      <c r="M6" s="10"/>
      <c r="P6" s="1" t="s">
        <v>19</v>
      </c>
      <c r="Q6" s="1" t="s">
        <v>19</v>
      </c>
      <c r="R6" s="12">
        <f t="shared" ref="R6" si="0">(S6*I6)/1000</f>
        <v>99.84</v>
      </c>
      <c r="S6" s="5">
        <v>5.1999999999999998E-2</v>
      </c>
      <c r="T6" s="5">
        <v>12000</v>
      </c>
    </row>
    <row r="7" spans="1:20" ht="30" customHeight="1" x14ac:dyDescent="0.3">
      <c r="A7" s="10" t="s">
        <v>12</v>
      </c>
      <c r="B7" s="10"/>
      <c r="C7" s="10" t="s">
        <v>74</v>
      </c>
      <c r="D7" s="10"/>
      <c r="E7" s="11"/>
      <c r="F7" s="10"/>
      <c r="G7" s="10"/>
      <c r="H7" s="16">
        <v>0</v>
      </c>
      <c r="I7" s="19">
        <v>0</v>
      </c>
      <c r="J7" s="10"/>
      <c r="K7" s="10" t="s">
        <v>18</v>
      </c>
      <c r="L7" s="10" t="s">
        <v>40</v>
      </c>
      <c r="M7" s="10" t="s">
        <v>69</v>
      </c>
      <c r="P7" s="1" t="s">
        <v>19</v>
      </c>
      <c r="Q7" s="1" t="s">
        <v>19</v>
      </c>
      <c r="R7" s="12">
        <f t="shared" ref="R7" si="1">(S7*I7)/1000</f>
        <v>0</v>
      </c>
      <c r="S7" s="5">
        <v>5.1999999999999998E-2</v>
      </c>
      <c r="T7" s="5">
        <v>12000</v>
      </c>
    </row>
    <row r="8" spans="1:20" ht="30" customHeight="1" x14ac:dyDescent="0.3">
      <c r="A8" s="13" t="s">
        <v>25</v>
      </c>
      <c r="B8" s="13"/>
      <c r="C8" s="13" t="s">
        <v>75</v>
      </c>
      <c r="D8" s="13"/>
      <c r="E8" s="14"/>
      <c r="F8" s="13"/>
      <c r="G8" s="13"/>
      <c r="H8" s="17">
        <v>0</v>
      </c>
      <c r="I8" s="20">
        <v>0</v>
      </c>
      <c r="J8" s="13"/>
      <c r="K8" s="13" t="s">
        <v>56</v>
      </c>
      <c r="L8" s="13" t="s">
        <v>40</v>
      </c>
      <c r="M8" s="13" t="s">
        <v>69</v>
      </c>
      <c r="P8" s="1" t="s">
        <v>19</v>
      </c>
      <c r="Q8" s="1" t="s">
        <v>19</v>
      </c>
      <c r="R8" s="12">
        <f t="shared" ref="R8:R12" si="2">(S8*I8)/1000</f>
        <v>0</v>
      </c>
      <c r="S8" s="5">
        <v>1.4E-2</v>
      </c>
      <c r="T8" s="5">
        <v>20640</v>
      </c>
    </row>
    <row r="9" spans="1:20" ht="30" customHeight="1" x14ac:dyDescent="0.3">
      <c r="A9" s="10" t="s">
        <v>27</v>
      </c>
      <c r="B9" s="10">
        <v>2100001754</v>
      </c>
      <c r="C9" s="10" t="s">
        <v>28</v>
      </c>
      <c r="D9" s="10" t="s">
        <v>29</v>
      </c>
      <c r="E9" s="48" t="s">
        <v>93</v>
      </c>
      <c r="F9" s="10" t="s">
        <v>15</v>
      </c>
      <c r="G9" s="10" t="s">
        <v>16</v>
      </c>
      <c r="H9" s="16">
        <v>104</v>
      </c>
      <c r="I9" s="19">
        <v>1857024</v>
      </c>
      <c r="J9" s="10" t="s">
        <v>17</v>
      </c>
      <c r="K9" s="10" t="s">
        <v>18</v>
      </c>
      <c r="L9" s="10" t="s">
        <v>24</v>
      </c>
      <c r="M9" s="22" t="s">
        <v>30</v>
      </c>
      <c r="N9" s="23" t="s">
        <v>73</v>
      </c>
      <c r="P9" s="1" t="s">
        <v>19</v>
      </c>
      <c r="Q9" s="1" t="s">
        <v>83</v>
      </c>
      <c r="R9" s="12">
        <f t="shared" si="2"/>
        <v>25.069824000000001</v>
      </c>
      <c r="S9" s="5">
        <v>1.35E-2</v>
      </c>
      <c r="T9" s="5">
        <v>17856</v>
      </c>
    </row>
    <row r="10" spans="1:20" ht="30" customHeight="1" x14ac:dyDescent="0.3">
      <c r="A10" s="10" t="s">
        <v>27</v>
      </c>
      <c r="B10" s="10">
        <v>2100001751</v>
      </c>
      <c r="C10" s="10" t="s">
        <v>31</v>
      </c>
      <c r="D10" s="10" t="s">
        <v>32</v>
      </c>
      <c r="E10" s="48" t="s">
        <v>93</v>
      </c>
      <c r="F10" s="10" t="s">
        <v>15</v>
      </c>
      <c r="G10" s="10" t="s">
        <v>33</v>
      </c>
      <c r="H10" s="16">
        <v>150</v>
      </c>
      <c r="I10" s="19">
        <v>745200</v>
      </c>
      <c r="J10" s="10" t="s">
        <v>17</v>
      </c>
      <c r="K10" s="10" t="s">
        <v>34</v>
      </c>
      <c r="L10" s="10" t="s">
        <v>35</v>
      </c>
      <c r="M10" s="22" t="s">
        <v>36</v>
      </c>
      <c r="N10" s="23" t="s">
        <v>73</v>
      </c>
      <c r="P10" s="1" t="s">
        <v>19</v>
      </c>
      <c r="Q10" s="1" t="s">
        <v>83</v>
      </c>
      <c r="R10" s="12">
        <f t="shared" si="2"/>
        <v>25.336800000000004</v>
      </c>
      <c r="S10" s="5">
        <v>3.4000000000000002E-2</v>
      </c>
      <c r="T10" s="5">
        <v>4968</v>
      </c>
    </row>
    <row r="11" spans="1:20" ht="30" customHeight="1" x14ac:dyDescent="0.3">
      <c r="A11" s="10" t="s">
        <v>27</v>
      </c>
      <c r="B11" s="10">
        <v>2100001752</v>
      </c>
      <c r="C11" s="10" t="s">
        <v>37</v>
      </c>
      <c r="D11" s="10" t="s">
        <v>38</v>
      </c>
      <c r="E11" s="48" t="s">
        <v>93</v>
      </c>
      <c r="F11" s="10" t="s">
        <v>39</v>
      </c>
      <c r="G11" s="10" t="s">
        <v>33</v>
      </c>
      <c r="H11" s="16">
        <v>110</v>
      </c>
      <c r="I11" s="19">
        <v>546480</v>
      </c>
      <c r="J11" s="10" t="s">
        <v>17</v>
      </c>
      <c r="K11" s="10" t="s">
        <v>35</v>
      </c>
      <c r="L11" s="10" t="s">
        <v>40</v>
      </c>
      <c r="M11" s="10"/>
      <c r="N11" s="23" t="s">
        <v>73</v>
      </c>
      <c r="P11" s="1" t="s">
        <v>19</v>
      </c>
      <c r="Q11" s="1" t="s">
        <v>83</v>
      </c>
      <c r="R11" s="12">
        <f t="shared" si="2"/>
        <v>18.58032</v>
      </c>
      <c r="S11" s="5">
        <v>3.4000000000000002E-2</v>
      </c>
      <c r="T11" s="5">
        <v>4968</v>
      </c>
    </row>
    <row r="12" spans="1:20" ht="30" customHeight="1" x14ac:dyDescent="0.3">
      <c r="A12" s="13" t="s">
        <v>41</v>
      </c>
      <c r="B12" s="13">
        <v>4100021954</v>
      </c>
      <c r="C12" s="13" t="s">
        <v>42</v>
      </c>
      <c r="D12" s="13" t="s">
        <v>43</v>
      </c>
      <c r="E12" s="14" t="s">
        <v>72</v>
      </c>
      <c r="F12" s="13" t="s">
        <v>15</v>
      </c>
      <c r="G12" s="13" t="s">
        <v>44</v>
      </c>
      <c r="H12" s="17">
        <v>48</v>
      </c>
      <c r="I12" s="20">
        <v>483840</v>
      </c>
      <c r="J12" s="13" t="s">
        <v>45</v>
      </c>
      <c r="K12" s="13" t="s">
        <v>56</v>
      </c>
      <c r="L12" s="13" t="s">
        <v>18</v>
      </c>
      <c r="M12" s="13" t="s">
        <v>99</v>
      </c>
      <c r="P12" s="1" t="s">
        <v>46</v>
      </c>
      <c r="Q12" s="1" t="s">
        <v>46</v>
      </c>
      <c r="R12" s="12">
        <f t="shared" si="2"/>
        <v>12.870144</v>
      </c>
      <c r="S12" s="5">
        <v>2.6600000000000002E-2</v>
      </c>
      <c r="T12" s="5">
        <v>10080</v>
      </c>
    </row>
    <row r="13" spans="1:20" ht="30" customHeight="1" x14ac:dyDescent="0.3">
      <c r="A13" s="13" t="s">
        <v>41</v>
      </c>
      <c r="B13" s="13"/>
      <c r="C13" s="13" t="s">
        <v>76</v>
      </c>
      <c r="D13" s="13"/>
      <c r="E13" s="14"/>
      <c r="F13" s="13"/>
      <c r="G13" s="13"/>
      <c r="H13" s="17">
        <v>0</v>
      </c>
      <c r="I13" s="20">
        <v>0</v>
      </c>
      <c r="J13" s="13"/>
      <c r="K13" s="13" t="s">
        <v>18</v>
      </c>
      <c r="L13" s="13" t="s">
        <v>40</v>
      </c>
      <c r="M13" s="13" t="s">
        <v>69</v>
      </c>
      <c r="P13" s="1" t="s">
        <v>46</v>
      </c>
      <c r="Q13" s="1" t="s">
        <v>46</v>
      </c>
      <c r="R13" s="12">
        <f t="shared" ref="R13" si="3">(S13*I13)/1000</f>
        <v>0</v>
      </c>
      <c r="S13" s="5">
        <v>2.6600000000000002E-2</v>
      </c>
      <c r="T13" s="5">
        <v>10080</v>
      </c>
    </row>
    <row r="14" spans="1:20" ht="30" customHeight="1" x14ac:dyDescent="0.3">
      <c r="A14" s="10" t="s">
        <v>47</v>
      </c>
      <c r="B14" s="59">
        <v>4100021956</v>
      </c>
      <c r="C14" s="59" t="s">
        <v>96</v>
      </c>
      <c r="D14" s="59" t="s">
        <v>97</v>
      </c>
      <c r="E14" s="60" t="s">
        <v>72</v>
      </c>
      <c r="F14" s="59" t="s">
        <v>15</v>
      </c>
      <c r="G14" s="59" t="s">
        <v>33</v>
      </c>
      <c r="H14" s="61">
        <v>130</v>
      </c>
      <c r="I14" s="62">
        <f>H14*4224</f>
        <v>549120</v>
      </c>
      <c r="J14" s="59" t="s">
        <v>98</v>
      </c>
      <c r="K14" s="59" t="s">
        <v>26</v>
      </c>
      <c r="L14" s="59" t="s">
        <v>18</v>
      </c>
      <c r="M14" s="10"/>
      <c r="P14" s="1" t="s">
        <v>46</v>
      </c>
      <c r="Q14" s="1" t="s">
        <v>46</v>
      </c>
      <c r="R14" s="12">
        <f>(S14*I14)/1000</f>
        <v>19.768319999999999</v>
      </c>
      <c r="S14" s="5">
        <v>3.5999999999999997E-2</v>
      </c>
      <c r="T14" s="5">
        <v>6336</v>
      </c>
    </row>
    <row r="15" spans="1:20" ht="30" customHeight="1" x14ac:dyDescent="0.3">
      <c r="A15" s="13" t="s">
        <v>48</v>
      </c>
      <c r="B15" s="13">
        <v>2100001753</v>
      </c>
      <c r="C15" s="13" t="s">
        <v>49</v>
      </c>
      <c r="D15" s="13" t="s">
        <v>50</v>
      </c>
      <c r="E15" s="21" t="s">
        <v>70</v>
      </c>
      <c r="F15" s="13" t="s">
        <v>15</v>
      </c>
      <c r="G15" s="13" t="s">
        <v>33</v>
      </c>
      <c r="H15" s="17">
        <v>37</v>
      </c>
      <c r="I15" s="20">
        <v>394272</v>
      </c>
      <c r="J15" s="13" t="s">
        <v>17</v>
      </c>
      <c r="K15" s="13" t="s">
        <v>26</v>
      </c>
      <c r="L15" s="13" t="s">
        <v>18</v>
      </c>
      <c r="M15" s="13" t="s">
        <v>95</v>
      </c>
      <c r="P15" s="1" t="s">
        <v>19</v>
      </c>
      <c r="Q15" s="1" t="s">
        <v>83</v>
      </c>
      <c r="R15" s="12">
        <f>(S15*I15)/1000</f>
        <v>5.0072543999999999</v>
      </c>
      <c r="S15" s="5">
        <v>1.2699999999999999E-2</v>
      </c>
      <c r="T15" s="5">
        <v>10656</v>
      </c>
    </row>
    <row r="16" spans="1:20" ht="30" customHeight="1" x14ac:dyDescent="0.3">
      <c r="A16" s="13" t="s">
        <v>48</v>
      </c>
      <c r="B16" s="13"/>
      <c r="C16" s="13" t="s">
        <v>77</v>
      </c>
      <c r="D16" s="13"/>
      <c r="E16" s="14"/>
      <c r="F16" s="13"/>
      <c r="G16" s="13"/>
      <c r="H16" s="17">
        <v>0</v>
      </c>
      <c r="I16" s="20">
        <v>0</v>
      </c>
      <c r="J16" s="13"/>
      <c r="K16" s="13" t="s">
        <v>56</v>
      </c>
      <c r="L16" s="13" t="s">
        <v>40</v>
      </c>
      <c r="M16" s="13" t="s">
        <v>69</v>
      </c>
      <c r="P16" s="1" t="s">
        <v>19</v>
      </c>
      <c r="Q16" s="1" t="s">
        <v>19</v>
      </c>
      <c r="R16" s="12">
        <f t="shared" ref="R16" si="4">(S16*I16)/1000</f>
        <v>0</v>
      </c>
      <c r="S16" s="5">
        <v>1.2699999999999999E-2</v>
      </c>
      <c r="T16" s="5">
        <v>10656</v>
      </c>
    </row>
    <row r="17" spans="1:20" ht="30" customHeight="1" x14ac:dyDescent="0.3">
      <c r="A17" s="10" t="s">
        <v>51</v>
      </c>
      <c r="B17" s="10">
        <v>4100021952</v>
      </c>
      <c r="C17" s="10" t="s">
        <v>52</v>
      </c>
      <c r="D17" s="10" t="s">
        <v>53</v>
      </c>
      <c r="E17" s="11" t="s">
        <v>54</v>
      </c>
      <c r="F17" s="10" t="s">
        <v>22</v>
      </c>
      <c r="G17" s="10" t="s">
        <v>44</v>
      </c>
      <c r="H17" s="16">
        <v>490</v>
      </c>
      <c r="I17" s="19">
        <v>12436200</v>
      </c>
      <c r="J17" s="10" t="s">
        <v>55</v>
      </c>
      <c r="K17" s="10" t="s">
        <v>56</v>
      </c>
      <c r="L17" s="10" t="s">
        <v>40</v>
      </c>
      <c r="M17" s="10"/>
      <c r="P17" s="1" t="s">
        <v>46</v>
      </c>
      <c r="Q17" s="1" t="s">
        <v>57</v>
      </c>
      <c r="R17" s="12">
        <f t="shared" ref="R17:R23" si="5">(S17*I17)/1000</f>
        <v>116.90028</v>
      </c>
      <c r="S17" s="5">
        <v>9.4000000000000004E-3</v>
      </c>
      <c r="T17" s="5">
        <v>25380</v>
      </c>
    </row>
    <row r="18" spans="1:20" ht="30" customHeight="1" x14ac:dyDescent="0.3">
      <c r="A18" s="13" t="s">
        <v>58</v>
      </c>
      <c r="B18" s="13">
        <v>4100021953</v>
      </c>
      <c r="C18" s="13" t="s">
        <v>52</v>
      </c>
      <c r="D18" s="13" t="s">
        <v>53</v>
      </c>
      <c r="E18" s="14" t="s">
        <v>54</v>
      </c>
      <c r="F18" s="13" t="s">
        <v>22</v>
      </c>
      <c r="G18" s="13" t="s">
        <v>44</v>
      </c>
      <c r="H18" s="17">
        <v>490</v>
      </c>
      <c r="I18" s="20">
        <v>12436200</v>
      </c>
      <c r="J18" s="13" t="s">
        <v>55</v>
      </c>
      <c r="K18" s="13" t="s">
        <v>56</v>
      </c>
      <c r="L18" s="13" t="s">
        <v>40</v>
      </c>
      <c r="M18" s="13"/>
      <c r="P18" s="1" t="s">
        <v>46</v>
      </c>
      <c r="Q18" s="1" t="s">
        <v>57</v>
      </c>
      <c r="R18" s="12">
        <f t="shared" si="5"/>
        <v>116.90028</v>
      </c>
      <c r="S18" s="5">
        <v>9.4000000000000004E-3</v>
      </c>
      <c r="T18" s="5">
        <v>25380</v>
      </c>
    </row>
    <row r="19" spans="1:20" ht="30" customHeight="1" x14ac:dyDescent="0.3">
      <c r="A19" s="10" t="s">
        <v>59</v>
      </c>
      <c r="B19" s="10"/>
      <c r="C19" s="10" t="s">
        <v>78</v>
      </c>
      <c r="D19" s="10"/>
      <c r="E19" s="11"/>
      <c r="F19" s="10"/>
      <c r="G19" s="10"/>
      <c r="H19" s="16">
        <v>0</v>
      </c>
      <c r="I19" s="19">
        <v>0</v>
      </c>
      <c r="J19" s="10"/>
      <c r="K19" s="10" t="s">
        <v>56</v>
      </c>
      <c r="L19" s="10" t="s">
        <v>40</v>
      </c>
      <c r="M19" s="10" t="s">
        <v>69</v>
      </c>
      <c r="P19" s="1" t="s">
        <v>46</v>
      </c>
      <c r="Q19" s="1" t="s">
        <v>46</v>
      </c>
      <c r="R19" s="12">
        <f t="shared" si="5"/>
        <v>0</v>
      </c>
      <c r="S19" s="5">
        <v>7.45E-3</v>
      </c>
      <c r="T19" s="5">
        <v>29880</v>
      </c>
    </row>
    <row r="20" spans="1:20" ht="30" customHeight="1" x14ac:dyDescent="0.3">
      <c r="A20" s="13" t="s">
        <v>60</v>
      </c>
      <c r="B20" s="13"/>
      <c r="C20" s="13" t="s">
        <v>79</v>
      </c>
      <c r="D20" s="13"/>
      <c r="E20" s="14"/>
      <c r="F20" s="13"/>
      <c r="G20" s="13"/>
      <c r="H20" s="17">
        <v>0</v>
      </c>
      <c r="I20" s="20">
        <v>0</v>
      </c>
      <c r="J20" s="13"/>
      <c r="K20" s="13" t="s">
        <v>56</v>
      </c>
      <c r="L20" s="13" t="s">
        <v>40</v>
      </c>
      <c r="M20" s="13" t="s">
        <v>69</v>
      </c>
      <c r="P20" s="1" t="s">
        <v>46</v>
      </c>
      <c r="Q20" s="1" t="s">
        <v>46</v>
      </c>
      <c r="R20" s="12">
        <f t="shared" si="5"/>
        <v>0</v>
      </c>
      <c r="S20" s="5">
        <v>8.3000000000000001E-3</v>
      </c>
      <c r="T20" s="5">
        <v>27000</v>
      </c>
    </row>
    <row r="21" spans="1:20" ht="30" customHeight="1" x14ac:dyDescent="0.3">
      <c r="A21" s="10" t="s">
        <v>61</v>
      </c>
      <c r="B21" s="10"/>
      <c r="C21" s="10" t="s">
        <v>80</v>
      </c>
      <c r="D21" s="10"/>
      <c r="E21" s="11"/>
      <c r="F21" s="10"/>
      <c r="G21" s="10"/>
      <c r="H21" s="16">
        <v>0</v>
      </c>
      <c r="I21" s="19">
        <v>0</v>
      </c>
      <c r="J21" s="10"/>
      <c r="K21" s="10" t="s">
        <v>56</v>
      </c>
      <c r="L21" s="10" t="s">
        <v>40</v>
      </c>
      <c r="M21" s="10" t="s">
        <v>69</v>
      </c>
      <c r="P21" s="1" t="s">
        <v>46</v>
      </c>
      <c r="Q21" s="1" t="s">
        <v>46</v>
      </c>
      <c r="R21" s="12">
        <f t="shared" si="5"/>
        <v>0</v>
      </c>
      <c r="S21" s="5">
        <v>1.15E-2</v>
      </c>
      <c r="T21" s="5">
        <v>20880</v>
      </c>
    </row>
    <row r="22" spans="1:20" ht="30" customHeight="1" x14ac:dyDescent="0.3">
      <c r="A22" s="13" t="s">
        <v>62</v>
      </c>
      <c r="B22" s="59">
        <v>4100021999</v>
      </c>
      <c r="C22" s="59" t="s">
        <v>105</v>
      </c>
      <c r="D22" s="59" t="s">
        <v>106</v>
      </c>
      <c r="E22" s="60" t="s">
        <v>107</v>
      </c>
      <c r="F22" s="59" t="s">
        <v>15</v>
      </c>
      <c r="G22" s="59" t="s">
        <v>44</v>
      </c>
      <c r="H22" s="61">
        <f>7*48</f>
        <v>336</v>
      </c>
      <c r="I22" s="62">
        <f>H22*T22</f>
        <v>3568320</v>
      </c>
      <c r="J22" s="59" t="s">
        <v>108</v>
      </c>
      <c r="K22" s="63" t="s">
        <v>109</v>
      </c>
      <c r="L22" s="63" t="s">
        <v>24</v>
      </c>
      <c r="M22" s="13"/>
      <c r="P22" s="1" t="s">
        <v>19</v>
      </c>
      <c r="Q22" s="1" t="s">
        <v>110</v>
      </c>
      <c r="R22" s="12">
        <f t="shared" si="5"/>
        <v>108.83376</v>
      </c>
      <c r="S22" s="5">
        <v>3.0499999999999999E-2</v>
      </c>
      <c r="T22" s="5">
        <v>10620</v>
      </c>
    </row>
    <row r="23" spans="1:20" ht="30" customHeight="1" x14ac:dyDescent="0.3">
      <c r="A23" s="186" t="s">
        <v>63</v>
      </c>
      <c r="B23" s="186">
        <v>4100022005</v>
      </c>
      <c r="C23" s="186" t="s">
        <v>163</v>
      </c>
      <c r="D23" s="186" t="s">
        <v>195</v>
      </c>
      <c r="E23" s="187" t="s">
        <v>71</v>
      </c>
      <c r="F23" s="187" t="s">
        <v>198</v>
      </c>
      <c r="G23" s="187" t="s">
        <v>44</v>
      </c>
      <c r="H23" s="188">
        <v>480</v>
      </c>
      <c r="I23" s="189">
        <f>H23*T23</f>
        <v>3179520</v>
      </c>
      <c r="J23" s="186" t="s">
        <v>199</v>
      </c>
      <c r="K23" s="186"/>
      <c r="L23" s="186"/>
      <c r="M23" s="186" t="s">
        <v>200</v>
      </c>
      <c r="P23" s="184" t="s">
        <v>19</v>
      </c>
      <c r="Q23" s="184" t="s">
        <v>19</v>
      </c>
      <c r="R23" s="185">
        <f t="shared" si="5"/>
        <v>143.07839999999999</v>
      </c>
      <c r="S23" s="184">
        <v>4.4999999999999998E-2</v>
      </c>
      <c r="T23" s="184">
        <v>6624</v>
      </c>
    </row>
    <row r="24" spans="1:20" ht="30" customHeight="1" x14ac:dyDescent="0.3">
      <c r="A24" s="186" t="s">
        <v>63</v>
      </c>
      <c r="B24" s="186">
        <v>4100022010</v>
      </c>
      <c r="C24" s="186" t="s">
        <v>196</v>
      </c>
      <c r="D24" s="186" t="s">
        <v>197</v>
      </c>
      <c r="E24" s="187" t="s">
        <v>71</v>
      </c>
      <c r="F24" s="187" t="s">
        <v>15</v>
      </c>
      <c r="G24" s="187" t="s">
        <v>44</v>
      </c>
      <c r="H24" s="188">
        <v>96</v>
      </c>
      <c r="I24" s="189">
        <f>H24*T24</f>
        <v>635904</v>
      </c>
      <c r="J24" s="186" t="s">
        <v>199</v>
      </c>
      <c r="K24" s="186"/>
      <c r="L24" s="186"/>
      <c r="M24" s="186" t="s">
        <v>200</v>
      </c>
      <c r="P24" s="184" t="s">
        <v>19</v>
      </c>
      <c r="Q24" s="184" t="s">
        <v>19</v>
      </c>
      <c r="R24" s="185">
        <f t="shared" ref="R24" si="6">(S24*I24)/1000</f>
        <v>28.615680000000001</v>
      </c>
      <c r="S24" s="184">
        <v>4.4999999999999998E-2</v>
      </c>
      <c r="T24" s="184">
        <v>6624</v>
      </c>
    </row>
  </sheetData>
  <autoFilter ref="A3:T23" xr:uid="{5FC5F419-4B19-4AB9-8FC3-8DAED5EF2A2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C2B9-8374-4298-85D5-8B77B7336FA7}">
  <dimension ref="A1:Z75"/>
  <sheetViews>
    <sheetView workbookViewId="0">
      <selection activeCell="H5" sqref="H5"/>
    </sheetView>
  </sheetViews>
  <sheetFormatPr defaultRowHeight="15.6" x14ac:dyDescent="0.25"/>
  <cols>
    <col min="1" max="1" width="1.44140625" style="65" customWidth="1"/>
    <col min="2" max="2" width="22.88671875" style="65" customWidth="1"/>
    <col min="3" max="3" width="9.33203125" style="160" customWidth="1"/>
    <col min="4" max="4" width="12.77734375" style="160" bestFit="1" customWidth="1"/>
    <col min="5" max="5" width="8.88671875" style="161" customWidth="1"/>
    <col min="6" max="6" width="13.6640625" style="65" customWidth="1"/>
    <col min="7" max="7" width="10.44140625" style="162" bestFit="1" customWidth="1"/>
    <col min="8" max="8" width="8.88671875" style="163" customWidth="1"/>
    <col min="9" max="9" width="9.5546875" style="65" bestFit="1" customWidth="1"/>
    <col min="10" max="10" width="14" style="163" bestFit="1" customWidth="1"/>
    <col min="11" max="11" width="2.21875" style="71" customWidth="1"/>
    <col min="12" max="12" width="2" style="71" customWidth="1"/>
    <col min="13" max="13" width="13.88671875" style="71" customWidth="1"/>
    <col min="14" max="14" width="10.21875" style="71" bestFit="1" customWidth="1"/>
    <col min="15" max="15" width="13.109375" style="71" bestFit="1" customWidth="1"/>
    <col min="16" max="16" width="8.5546875" style="71" bestFit="1" customWidth="1"/>
    <col min="17" max="17" width="2.88671875" style="71" customWidth="1"/>
    <col min="18" max="18" width="13.6640625" style="71" customWidth="1"/>
    <col min="19" max="19" width="42.33203125" style="71" bestFit="1" customWidth="1"/>
    <col min="20" max="20" width="11.21875" style="71" customWidth="1"/>
    <col min="21" max="21" width="34" style="71" customWidth="1"/>
    <col min="22" max="26" width="8.88671875" style="71"/>
    <col min="27" max="16384" width="8.88671875" style="65"/>
  </cols>
  <sheetData>
    <row r="1" spans="1:26" ht="25.95" customHeight="1" thickBot="1" x14ac:dyDescent="0.3">
      <c r="B1" s="66" t="s">
        <v>112</v>
      </c>
      <c r="C1" s="67"/>
      <c r="D1" s="67"/>
      <c r="E1" s="67"/>
      <c r="F1" s="67"/>
      <c r="G1" s="67"/>
      <c r="H1" s="68"/>
      <c r="I1" s="69">
        <v>46301.291666666664</v>
      </c>
      <c r="J1" s="70" t="s">
        <v>190</v>
      </c>
      <c r="M1" s="72" t="s">
        <v>113</v>
      </c>
      <c r="N1" s="73" t="s">
        <v>114</v>
      </c>
      <c r="O1" s="74"/>
      <c r="P1" s="74"/>
      <c r="Q1" s="74"/>
      <c r="R1" s="74"/>
      <c r="S1" s="75"/>
    </row>
    <row r="2" spans="1:26" ht="28.8" thickTop="1" thickBot="1" x14ac:dyDescent="0.3">
      <c r="B2" s="76" t="s">
        <v>2</v>
      </c>
      <c r="C2" s="77" t="s">
        <v>115</v>
      </c>
      <c r="D2" s="78" t="s">
        <v>116</v>
      </c>
      <c r="E2" s="79" t="s">
        <v>117</v>
      </c>
      <c r="F2" s="80" t="s">
        <v>7</v>
      </c>
      <c r="G2" s="81" t="s">
        <v>65</v>
      </c>
      <c r="H2" s="82" t="s">
        <v>118</v>
      </c>
      <c r="I2" s="80" t="s">
        <v>119</v>
      </c>
      <c r="J2" s="83" t="s">
        <v>120</v>
      </c>
      <c r="M2" s="84" t="s">
        <v>65</v>
      </c>
      <c r="N2" s="85" t="s">
        <v>121</v>
      </c>
      <c r="O2" s="85" t="s">
        <v>122</v>
      </c>
      <c r="P2" s="86" t="s">
        <v>123</v>
      </c>
      <c r="Q2" s="87"/>
      <c r="R2" s="88" t="s">
        <v>124</v>
      </c>
      <c r="S2" s="89" t="s">
        <v>10</v>
      </c>
    </row>
    <row r="3" spans="1:26" ht="28.2" thickBot="1" x14ac:dyDescent="0.3">
      <c r="A3" s="71"/>
      <c r="B3" s="90" t="s">
        <v>52</v>
      </c>
      <c r="C3" s="91">
        <v>478</v>
      </c>
      <c r="D3" s="92">
        <v>12131640</v>
      </c>
      <c r="E3" s="93">
        <v>9.9583333333333339</v>
      </c>
      <c r="F3" s="94" t="s">
        <v>125</v>
      </c>
      <c r="G3" s="95" t="s">
        <v>126</v>
      </c>
      <c r="H3" s="96">
        <v>114.03741599999999</v>
      </c>
      <c r="I3" s="97"/>
      <c r="J3" s="94" t="s">
        <v>171</v>
      </c>
      <c r="M3" s="176" t="s">
        <v>125</v>
      </c>
      <c r="N3" s="177">
        <v>233.80055999999999</v>
      </c>
      <c r="O3" s="177">
        <v>153.16322399999999</v>
      </c>
      <c r="P3" s="178">
        <f>N3-O3</f>
        <v>80.637336000000005</v>
      </c>
      <c r="Q3" s="100"/>
      <c r="R3" s="179">
        <v>114.03741599999999</v>
      </c>
      <c r="S3" s="102" t="s">
        <v>192</v>
      </c>
      <c r="U3" s="71">
        <f>140*25380*9.4/1000000</f>
        <v>33.400080000000003</v>
      </c>
    </row>
    <row r="4" spans="1:26" ht="19.05" customHeight="1" thickBot="1" x14ac:dyDescent="0.3">
      <c r="A4" s="71"/>
      <c r="B4" s="90" t="s">
        <v>102</v>
      </c>
      <c r="C4" s="91">
        <v>170</v>
      </c>
      <c r="D4" s="92">
        <v>816000</v>
      </c>
      <c r="E4" s="93">
        <v>2.8333333333333335</v>
      </c>
      <c r="F4" s="94" t="s">
        <v>172</v>
      </c>
      <c r="G4" s="103" t="s">
        <v>19</v>
      </c>
      <c r="H4" s="96">
        <v>42.431999999999995</v>
      </c>
      <c r="I4" s="97"/>
      <c r="J4" s="90" t="s">
        <v>12</v>
      </c>
      <c r="M4" s="176" t="s">
        <v>46</v>
      </c>
      <c r="N4" s="177">
        <v>51</v>
      </c>
      <c r="O4" s="177">
        <v>69.96182399999995</v>
      </c>
      <c r="P4" s="178">
        <f>N4-O4</f>
        <v>-18.96182399999995</v>
      </c>
      <c r="Q4" s="104"/>
      <c r="R4" s="179">
        <v>5.1701760000000005</v>
      </c>
      <c r="S4" s="102" t="s">
        <v>191</v>
      </c>
    </row>
    <row r="5" spans="1:26" ht="19.8" customHeight="1" thickBot="1" x14ac:dyDescent="0.35">
      <c r="A5" s="71"/>
      <c r="B5" s="90" t="s">
        <v>96</v>
      </c>
      <c r="C5" s="91">
        <v>34</v>
      </c>
      <c r="D5" s="92">
        <v>143616</v>
      </c>
      <c r="E5" s="93">
        <v>0.56666666666666665</v>
      </c>
      <c r="F5" s="94" t="s">
        <v>173</v>
      </c>
      <c r="G5" s="103" t="s">
        <v>46</v>
      </c>
      <c r="H5" s="96">
        <v>5.1701760000000005</v>
      </c>
      <c r="I5" s="97"/>
      <c r="J5" s="90" t="s">
        <v>47</v>
      </c>
      <c r="M5" s="105"/>
      <c r="N5" s="106"/>
      <c r="O5" s="106"/>
      <c r="P5" s="107"/>
      <c r="Q5" s="106"/>
      <c r="R5" s="108"/>
      <c r="S5" s="109"/>
      <c r="T5" s="110"/>
      <c r="U5" s="65"/>
      <c r="V5" s="65"/>
      <c r="W5" s="65"/>
      <c r="X5" s="65"/>
      <c r="Y5" s="65"/>
      <c r="Z5" s="65"/>
    </row>
    <row r="6" spans="1:26" ht="19.05" customHeight="1" thickBot="1" x14ac:dyDescent="0.3">
      <c r="A6" s="71"/>
      <c r="B6" s="90" t="s">
        <v>105</v>
      </c>
      <c r="C6" s="91">
        <v>156</v>
      </c>
      <c r="D6" s="92">
        <v>1656720</v>
      </c>
      <c r="E6" s="93">
        <v>3.25</v>
      </c>
      <c r="F6" s="94" t="s">
        <v>127</v>
      </c>
      <c r="G6" s="103" t="s">
        <v>174</v>
      </c>
      <c r="H6" s="96">
        <v>50.529959999999996</v>
      </c>
      <c r="I6" s="97"/>
      <c r="J6" s="90" t="s">
        <v>62</v>
      </c>
      <c r="K6" s="65"/>
      <c r="M6" s="111" t="s">
        <v>19</v>
      </c>
      <c r="N6" s="98">
        <v>115</v>
      </c>
      <c r="O6" s="98">
        <v>72.384000000000015</v>
      </c>
      <c r="P6" s="99">
        <f t="shared" ref="P6:P7" si="0">N6-O6</f>
        <v>42.615999999999985</v>
      </c>
      <c r="Q6" s="112"/>
      <c r="R6" s="101">
        <v>42.431999999999995</v>
      </c>
      <c r="S6" s="102"/>
      <c r="T6" s="113"/>
      <c r="U6" s="114"/>
    </row>
    <row r="7" spans="1:26" ht="18" thickBot="1" x14ac:dyDescent="0.3">
      <c r="A7" s="71"/>
      <c r="B7" s="90"/>
      <c r="C7" s="91"/>
      <c r="D7" s="92"/>
      <c r="E7" s="93"/>
      <c r="F7" s="94"/>
      <c r="G7" s="103"/>
      <c r="H7" s="96"/>
      <c r="I7" s="97"/>
      <c r="J7" s="90"/>
      <c r="K7" s="114"/>
      <c r="M7" s="111" t="s">
        <v>83</v>
      </c>
      <c r="N7" s="98">
        <v>89</v>
      </c>
      <c r="O7" s="98">
        <v>13.830153600000003</v>
      </c>
      <c r="P7" s="99">
        <f t="shared" si="0"/>
        <v>75.169846399999997</v>
      </c>
      <c r="Q7" s="112"/>
      <c r="R7" s="101">
        <v>61.514207999999996</v>
      </c>
      <c r="S7" s="102"/>
      <c r="T7" s="65"/>
      <c r="U7" s="65"/>
      <c r="V7" s="65"/>
      <c r="W7" s="65"/>
      <c r="X7" s="65"/>
      <c r="Y7" s="65"/>
      <c r="Z7" s="65"/>
    </row>
    <row r="8" spans="1:26" ht="19.05" customHeight="1" thickBot="1" x14ac:dyDescent="0.3">
      <c r="A8" s="71"/>
      <c r="B8" s="71"/>
      <c r="C8" s="71"/>
      <c r="D8" s="71"/>
      <c r="E8" s="71"/>
      <c r="F8" s="71"/>
      <c r="G8" s="71"/>
      <c r="H8" s="71"/>
      <c r="I8" s="71"/>
      <c r="J8" s="71"/>
      <c r="M8" s="115" t="s">
        <v>128</v>
      </c>
      <c r="N8" s="116">
        <v>204</v>
      </c>
      <c r="O8" s="116">
        <v>86.214153600000017</v>
      </c>
      <c r="P8" s="117">
        <v>54.339542000000421</v>
      </c>
      <c r="Q8" s="118"/>
      <c r="R8" s="119">
        <v>103.94620799999998</v>
      </c>
      <c r="S8" s="120"/>
      <c r="U8" s="114"/>
    </row>
    <row r="9" spans="1:26" ht="19.05" customHeight="1" thickTop="1" thickBot="1" x14ac:dyDescent="0.4">
      <c r="A9" s="71"/>
      <c r="B9" s="133" t="s">
        <v>130</v>
      </c>
      <c r="C9" s="134"/>
      <c r="D9" s="135"/>
      <c r="E9" s="136"/>
      <c r="F9" s="137"/>
      <c r="G9" s="137"/>
      <c r="H9" s="138"/>
      <c r="I9" s="137"/>
      <c r="J9" s="139"/>
      <c r="L9" s="65"/>
      <c r="M9" s="121"/>
      <c r="N9" s="122"/>
      <c r="O9" s="122"/>
      <c r="P9" s="123"/>
      <c r="Q9" s="122"/>
      <c r="R9" s="124"/>
      <c r="S9" s="125"/>
      <c r="U9" s="114"/>
    </row>
    <row r="10" spans="1:26" s="71" customFormat="1" ht="28.2" thickBot="1" x14ac:dyDescent="0.3">
      <c r="B10" s="76" t="s">
        <v>131</v>
      </c>
      <c r="C10" s="77" t="s">
        <v>115</v>
      </c>
      <c r="D10" s="78" t="s">
        <v>116</v>
      </c>
      <c r="E10" s="79" t="s">
        <v>117</v>
      </c>
      <c r="F10" s="80" t="s">
        <v>7</v>
      </c>
      <c r="G10" s="81" t="s">
        <v>65</v>
      </c>
      <c r="H10" s="140" t="s">
        <v>118</v>
      </c>
      <c r="I10" s="80" t="s">
        <v>119</v>
      </c>
      <c r="J10" s="83" t="s">
        <v>120</v>
      </c>
      <c r="M10" s="111" t="s">
        <v>110</v>
      </c>
      <c r="N10" s="98">
        <v>108.83376</v>
      </c>
      <c r="O10" s="98">
        <v>58.303799999999995</v>
      </c>
      <c r="P10" s="99">
        <f t="shared" ref="P10:P12" si="1">N10-O10</f>
        <v>50.529960000000003</v>
      </c>
      <c r="Q10" s="112"/>
      <c r="R10" s="101">
        <v>50.529959999999996</v>
      </c>
      <c r="S10" s="102"/>
      <c r="U10" s="114"/>
    </row>
    <row r="11" spans="1:26" s="71" customFormat="1" ht="19.05" customHeight="1" thickBot="1" x14ac:dyDescent="0.35">
      <c r="B11" s="97" t="s">
        <v>28</v>
      </c>
      <c r="C11" s="141"/>
      <c r="D11" s="142">
        <v>1303488</v>
      </c>
      <c r="E11" s="143"/>
      <c r="F11" s="97" t="s">
        <v>17</v>
      </c>
      <c r="G11" s="144" t="s">
        <v>83</v>
      </c>
      <c r="H11" s="145">
        <v>17.597087999999999</v>
      </c>
      <c r="I11" s="97"/>
      <c r="J11" s="97" t="s">
        <v>25</v>
      </c>
      <c r="K11" s="126"/>
      <c r="P11" s="126"/>
      <c r="R11" s="108"/>
      <c r="U11" s="114"/>
    </row>
    <row r="12" spans="1:26" s="71" customFormat="1" ht="19.05" customHeight="1" thickBot="1" x14ac:dyDescent="0.3">
      <c r="B12" s="97" t="s">
        <v>31</v>
      </c>
      <c r="C12" s="141"/>
      <c r="D12" s="142">
        <v>745200</v>
      </c>
      <c r="E12" s="143"/>
      <c r="F12" s="97" t="s">
        <v>17</v>
      </c>
      <c r="G12" s="144" t="s">
        <v>83</v>
      </c>
      <c r="H12" s="145">
        <v>25.3368</v>
      </c>
      <c r="I12" s="97"/>
      <c r="J12" s="97" t="s">
        <v>27</v>
      </c>
      <c r="K12" s="126"/>
      <c r="M12" s="127" t="s">
        <v>129</v>
      </c>
      <c r="N12" s="128">
        <v>25.6</v>
      </c>
      <c r="O12" s="128">
        <v>5.8320000000000007</v>
      </c>
      <c r="P12" s="129">
        <f t="shared" si="1"/>
        <v>19.768000000000001</v>
      </c>
      <c r="Q12" s="130"/>
      <c r="R12" s="131">
        <v>19.768000000000001</v>
      </c>
      <c r="S12" s="132"/>
    </row>
    <row r="13" spans="1:26" s="71" customFormat="1" ht="19.05" customHeight="1" thickTop="1" x14ac:dyDescent="0.3">
      <c r="B13" s="97" t="s">
        <v>37</v>
      </c>
      <c r="C13" s="141"/>
      <c r="D13" s="142">
        <v>546480</v>
      </c>
      <c r="E13" s="143"/>
      <c r="F13" s="97" t="s">
        <v>17</v>
      </c>
      <c r="G13" s="144" t="s">
        <v>83</v>
      </c>
      <c r="H13" s="145">
        <v>18.58032</v>
      </c>
      <c r="I13" s="97"/>
      <c r="J13" s="97" t="s">
        <v>27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s="71" customFormat="1" ht="19.05" customHeight="1" x14ac:dyDescent="0.3">
      <c r="B14" s="97"/>
      <c r="C14" s="141"/>
      <c r="D14" s="142"/>
      <c r="E14" s="143"/>
      <c r="F14" s="97"/>
      <c r="G14" s="144"/>
      <c r="H14" s="145"/>
      <c r="I14" s="97"/>
      <c r="J14" s="97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s="71" customFormat="1" ht="19.05" customHeight="1" x14ac:dyDescent="0.3"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s="71" customFormat="1" ht="21" x14ac:dyDescent="0.3">
      <c r="B16" s="146" t="s">
        <v>132</v>
      </c>
      <c r="C16" s="147"/>
      <c r="D16" s="148"/>
      <c r="E16" s="149"/>
      <c r="F16" s="150"/>
      <c r="G16" s="150"/>
      <c r="H16" s="151"/>
      <c r="I16" s="150"/>
      <c r="J16" s="152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2:26" s="71" customFormat="1" ht="19.05" customHeight="1" x14ac:dyDescent="0.3">
      <c r="B17" s="76" t="s">
        <v>2</v>
      </c>
      <c r="C17" s="77" t="s">
        <v>133</v>
      </c>
      <c r="D17" s="78" t="s">
        <v>116</v>
      </c>
      <c r="E17" s="79" t="s">
        <v>117</v>
      </c>
      <c r="F17" s="80" t="s">
        <v>7</v>
      </c>
      <c r="G17" s="81" t="s">
        <v>65</v>
      </c>
      <c r="H17" s="140" t="s">
        <v>118</v>
      </c>
      <c r="I17" s="80" t="s">
        <v>119</v>
      </c>
      <c r="J17" s="83" t="s">
        <v>120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2:26" s="71" customFormat="1" ht="19.05" customHeight="1" x14ac:dyDescent="0.3">
      <c r="B18" s="97" t="s">
        <v>166</v>
      </c>
      <c r="C18" s="141">
        <v>35</v>
      </c>
      <c r="D18" s="142">
        <v>5600000</v>
      </c>
      <c r="E18" s="143">
        <v>1.4583333333333333</v>
      </c>
      <c r="F18" s="97" t="s">
        <v>175</v>
      </c>
      <c r="G18" s="97" t="s">
        <v>129</v>
      </c>
      <c r="H18" s="145">
        <v>6.44</v>
      </c>
      <c r="I18" s="90"/>
      <c r="J18" s="97" t="s">
        <v>176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2:26" s="71" customFormat="1" ht="24" customHeight="1" x14ac:dyDescent="0.3">
      <c r="B19" s="97" t="s">
        <v>177</v>
      </c>
      <c r="C19" s="141">
        <v>5</v>
      </c>
      <c r="D19" s="142">
        <v>800000</v>
      </c>
      <c r="E19" s="143">
        <v>0.20833333333333334</v>
      </c>
      <c r="F19" s="97" t="s">
        <v>178</v>
      </c>
      <c r="G19" s="97" t="s">
        <v>129</v>
      </c>
      <c r="H19" s="145">
        <v>0.92</v>
      </c>
      <c r="I19" s="90"/>
      <c r="J19" s="97" t="s">
        <v>176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2:26" s="71" customFormat="1" x14ac:dyDescent="0.3">
      <c r="B20" s="97" t="s">
        <v>179</v>
      </c>
      <c r="C20" s="141">
        <v>13</v>
      </c>
      <c r="D20" s="142">
        <v>2080000</v>
      </c>
      <c r="E20" s="143">
        <v>0.54166666666666663</v>
      </c>
      <c r="F20" s="97" t="s">
        <v>180</v>
      </c>
      <c r="G20" s="97" t="s">
        <v>129</v>
      </c>
      <c r="H20" s="145">
        <v>2.8079999999999998</v>
      </c>
      <c r="I20" s="97"/>
      <c r="J20" s="97" t="s">
        <v>181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2:26" s="71" customFormat="1" ht="22.05" customHeight="1" x14ac:dyDescent="0.3">
      <c r="B21" s="97" t="s">
        <v>182</v>
      </c>
      <c r="C21" s="141">
        <v>24</v>
      </c>
      <c r="D21" s="142">
        <v>3840000</v>
      </c>
      <c r="E21" s="143">
        <v>1</v>
      </c>
      <c r="F21" s="97" t="s">
        <v>183</v>
      </c>
      <c r="G21" s="97" t="s">
        <v>129</v>
      </c>
      <c r="H21" s="145">
        <v>4.8000000000000007</v>
      </c>
      <c r="I21" s="90"/>
      <c r="J21" s="97" t="s">
        <v>181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2:26" s="71" customFormat="1" ht="22.05" customHeight="1" x14ac:dyDescent="0.3">
      <c r="B22" s="97" t="s">
        <v>169</v>
      </c>
      <c r="C22" s="141">
        <v>24</v>
      </c>
      <c r="D22" s="142">
        <v>3840000</v>
      </c>
      <c r="E22" s="143">
        <v>1</v>
      </c>
      <c r="F22" s="97" t="s">
        <v>184</v>
      </c>
      <c r="G22" s="97" t="s">
        <v>129</v>
      </c>
      <c r="H22" s="145">
        <v>4.8000000000000007</v>
      </c>
      <c r="I22" s="97"/>
      <c r="J22" s="97" t="s">
        <v>185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2:26" s="71" customFormat="1" ht="14.4" x14ac:dyDescent="0.3"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2:26" s="71" customFormat="1" ht="19.05" customHeight="1" x14ac:dyDescent="0.3">
      <c r="B24" s="153" t="s">
        <v>135</v>
      </c>
      <c r="C24" s="154"/>
      <c r="D24" s="155"/>
      <c r="E24" s="156"/>
      <c r="F24" s="157"/>
      <c r="G24" s="157"/>
      <c r="H24" s="158"/>
      <c r="I24" s="157"/>
      <c r="J24" s="159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2:26" s="71" customFormat="1" ht="19.05" customHeight="1" x14ac:dyDescent="0.3">
      <c r="B25" s="76" t="s">
        <v>2</v>
      </c>
      <c r="C25" s="77" t="s">
        <v>115</v>
      </c>
      <c r="D25" s="78" t="s">
        <v>116</v>
      </c>
      <c r="E25" s="79" t="s">
        <v>117</v>
      </c>
      <c r="F25" s="80" t="s">
        <v>7</v>
      </c>
      <c r="G25" s="81" t="s">
        <v>65</v>
      </c>
      <c r="H25" s="140" t="s">
        <v>118</v>
      </c>
      <c r="I25" s="80" t="s">
        <v>119</v>
      </c>
      <c r="J25" s="83" t="s">
        <v>120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2:26" s="71" customFormat="1" ht="19.05" customHeight="1" x14ac:dyDescent="0.3">
      <c r="B26" s="97" t="s">
        <v>134</v>
      </c>
      <c r="C26" s="141"/>
      <c r="D26" s="142">
        <v>0</v>
      </c>
      <c r="E26" s="143">
        <v>0</v>
      </c>
      <c r="F26" s="97" t="s">
        <v>134</v>
      </c>
      <c r="G26" s="97">
        <v>0</v>
      </c>
      <c r="H26" s="145">
        <v>0</v>
      </c>
      <c r="I26" s="90"/>
      <c r="J26" s="97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2:26" s="71" customFormat="1" ht="19.05" customHeight="1" x14ac:dyDescent="0.3"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2:26" s="71" customFormat="1" ht="34.200000000000003" customHeight="1" x14ac:dyDescent="0.3"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2:26" s="71" customFormat="1" ht="22.05" customHeight="1" x14ac:dyDescent="0.3"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2:26" s="71" customFormat="1" ht="22.05" customHeight="1" x14ac:dyDescent="0.3"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2:26" s="71" customFormat="1" ht="22.05" customHeight="1" x14ac:dyDescent="0.3"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2:26" s="71" customFormat="1" ht="22.05" customHeight="1" x14ac:dyDescent="0.3"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s="71" customFormat="1" ht="20.399999999999999" customHeight="1" x14ac:dyDescent="0.3"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s="71" customFormat="1" ht="19.95" customHeight="1" x14ac:dyDescent="0.3"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s="71" customFormat="1" ht="14.4" x14ac:dyDescent="0.3"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s="71" customFormat="1" ht="22.05" customHeight="1" x14ac:dyDescent="0.3"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s="71" customFormat="1" ht="22.05" customHeight="1" x14ac:dyDescent="0.3"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s="71" customFormat="1" ht="22.05" customHeight="1" x14ac:dyDescent="0.3"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s="71" customFormat="1" ht="22.05" customHeight="1" x14ac:dyDescent="0.3"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s="71" customFormat="1" ht="22.05" customHeight="1" x14ac:dyDescent="0.3"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s="71" customFormat="1" ht="14.4" x14ac:dyDescent="0.3"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s="71" customFormat="1" ht="14.4" x14ac:dyDescent="0.3"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s="71" customFormat="1" ht="14.4" x14ac:dyDescent="0.3"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s="71" customFormat="1" ht="25.2" customHeight="1" x14ac:dyDescent="0.3">
      <c r="A44" s="65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s="71" customFormat="1" ht="14.4" x14ac:dyDescent="0.3">
      <c r="A45" s="6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s="71" customFormat="1" ht="14.4" x14ac:dyDescent="0.3">
      <c r="A46" s="65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s="71" customFormat="1" ht="14.4" x14ac:dyDescent="0.3">
      <c r="A47" s="65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s="71" customFormat="1" ht="14.4" x14ac:dyDescent="0.3">
      <c r="A48" s="65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s="71" customFormat="1" ht="14.4" x14ac:dyDescent="0.3">
      <c r="A49" s="65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71" customFormat="1" ht="14.4" x14ac:dyDescent="0.3">
      <c r="A50" s="65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71" customFormat="1" ht="14.4" x14ac:dyDescent="0.3">
      <c r="A51" s="65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71" customFormat="1" ht="14.4" x14ac:dyDescent="0.3">
      <c r="A52" s="65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71" customFormat="1" ht="14.4" x14ac:dyDescent="0.3">
      <c r="A53" s="65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71" customFormat="1" ht="14.4" x14ac:dyDescent="0.3">
      <c r="A54" s="65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71" customFormat="1" ht="14.4" x14ac:dyDescent="0.3">
      <c r="A55" s="6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71" customFormat="1" ht="14.4" x14ac:dyDescent="0.3">
      <c r="A56" s="65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71" customFormat="1" ht="14.4" x14ac:dyDescent="0.3">
      <c r="A57" s="65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71" customFormat="1" x14ac:dyDescent="0.3">
      <c r="A58" s="65"/>
      <c r="B58" s="65"/>
      <c r="C58" s="160"/>
      <c r="D58" s="160"/>
      <c r="E58" s="161"/>
      <c r="F58" s="65"/>
      <c r="G58" s="162"/>
      <c r="H58" s="163"/>
      <c r="I58" s="65"/>
      <c r="J58" s="163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s="71" customFormat="1" x14ac:dyDescent="0.3">
      <c r="A59" s="65"/>
      <c r="B59" s="65"/>
      <c r="C59" s="160"/>
      <c r="D59" s="160"/>
      <c r="E59" s="161"/>
      <c r="F59" s="65"/>
      <c r="G59" s="162"/>
      <c r="H59" s="163"/>
      <c r="I59" s="65"/>
      <c r="J59" s="163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s="71" customFormat="1" x14ac:dyDescent="0.3">
      <c r="A60" s="65"/>
      <c r="B60" s="65"/>
      <c r="C60" s="160"/>
      <c r="D60" s="160"/>
      <c r="E60" s="161"/>
      <c r="F60" s="65"/>
      <c r="G60" s="162"/>
      <c r="H60" s="163"/>
      <c r="I60" s="65"/>
      <c r="J60" s="163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s="71" customFormat="1" x14ac:dyDescent="0.3">
      <c r="A61" s="65"/>
      <c r="B61" s="65"/>
      <c r="C61" s="160"/>
      <c r="D61" s="160"/>
      <c r="E61" s="161"/>
      <c r="F61" s="65"/>
      <c r="G61" s="162"/>
      <c r="H61" s="163"/>
      <c r="I61" s="65"/>
      <c r="J61" s="163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s="71" customFormat="1" x14ac:dyDescent="0.3">
      <c r="A62" s="65"/>
      <c r="B62" s="65"/>
      <c r="C62" s="160"/>
      <c r="D62" s="160"/>
      <c r="E62" s="161"/>
      <c r="F62" s="65"/>
      <c r="G62" s="162"/>
      <c r="H62" s="163"/>
      <c r="I62" s="65"/>
      <c r="J62" s="163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s="71" customFormat="1" x14ac:dyDescent="0.3">
      <c r="A63" s="65"/>
      <c r="B63" s="65"/>
      <c r="C63" s="160"/>
      <c r="D63" s="160"/>
      <c r="E63" s="161"/>
      <c r="F63" s="65"/>
      <c r="G63" s="162"/>
      <c r="H63" s="163"/>
      <c r="I63" s="65"/>
      <c r="J63" s="1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6" spans="1:10" s="71" customFormat="1" x14ac:dyDescent="0.25">
      <c r="A66" s="65"/>
      <c r="B66" s="65"/>
      <c r="C66" s="160"/>
      <c r="D66" s="160"/>
      <c r="E66" s="161"/>
      <c r="F66" s="65"/>
      <c r="G66" s="162"/>
      <c r="H66" s="163"/>
      <c r="I66" s="65"/>
      <c r="J66" s="163"/>
    </row>
    <row r="67" spans="1:10" s="71" customFormat="1" x14ac:dyDescent="0.25">
      <c r="A67" s="65"/>
      <c r="B67" s="65"/>
      <c r="C67" s="160"/>
      <c r="D67" s="160"/>
      <c r="E67" s="161"/>
      <c r="F67" s="65"/>
      <c r="G67" s="162"/>
      <c r="H67" s="163"/>
      <c r="I67" s="65"/>
      <c r="J67" s="163"/>
    </row>
    <row r="68" spans="1:10" s="71" customFormat="1" x14ac:dyDescent="0.25">
      <c r="A68" s="65"/>
      <c r="B68" s="65"/>
      <c r="C68" s="160"/>
      <c r="D68" s="160"/>
      <c r="E68" s="161"/>
      <c r="F68" s="65"/>
      <c r="G68" s="162"/>
      <c r="H68" s="163"/>
      <c r="I68" s="65"/>
      <c r="J68" s="163"/>
    </row>
    <row r="69" spans="1:10" s="71" customFormat="1" x14ac:dyDescent="0.25">
      <c r="A69" s="65"/>
      <c r="B69" s="65"/>
      <c r="C69" s="160"/>
      <c r="D69" s="160"/>
      <c r="E69" s="161"/>
      <c r="F69" s="65"/>
      <c r="G69" s="162"/>
      <c r="H69" s="163"/>
      <c r="I69" s="65"/>
      <c r="J69" s="163"/>
    </row>
    <row r="70" spans="1:10" s="71" customFormat="1" x14ac:dyDescent="0.25">
      <c r="A70" s="65"/>
      <c r="B70" s="65"/>
      <c r="C70" s="160"/>
      <c r="D70" s="160"/>
      <c r="E70" s="161"/>
      <c r="F70" s="65"/>
      <c r="G70" s="162"/>
      <c r="H70" s="163"/>
      <c r="I70" s="65"/>
      <c r="J70" s="163"/>
    </row>
    <row r="71" spans="1:10" s="71" customFormat="1" x14ac:dyDescent="0.25">
      <c r="A71" s="65"/>
      <c r="B71" s="65"/>
      <c r="C71" s="160"/>
      <c r="D71" s="160"/>
      <c r="E71" s="161"/>
      <c r="F71" s="65"/>
      <c r="G71" s="162"/>
      <c r="H71" s="163"/>
      <c r="I71" s="65"/>
      <c r="J71" s="163"/>
    </row>
    <row r="72" spans="1:10" s="71" customFormat="1" x14ac:dyDescent="0.25">
      <c r="A72" s="65"/>
      <c r="B72" s="65"/>
      <c r="C72" s="160"/>
      <c r="D72" s="160"/>
      <c r="E72" s="161"/>
      <c r="F72" s="65"/>
      <c r="G72" s="162"/>
      <c r="H72" s="163"/>
      <c r="I72" s="65"/>
      <c r="J72" s="163"/>
    </row>
    <row r="73" spans="1:10" s="71" customFormat="1" x14ac:dyDescent="0.25">
      <c r="A73" s="65"/>
      <c r="B73" s="65"/>
      <c r="C73" s="160"/>
      <c r="D73" s="160"/>
      <c r="E73" s="161"/>
      <c r="F73" s="65"/>
      <c r="G73" s="162"/>
      <c r="H73" s="163"/>
      <c r="I73" s="65"/>
      <c r="J73" s="163"/>
    </row>
    <row r="74" spans="1:10" s="71" customFormat="1" x14ac:dyDescent="0.25">
      <c r="A74" s="65"/>
      <c r="B74" s="65"/>
      <c r="C74" s="160"/>
      <c r="D74" s="160"/>
      <c r="E74" s="161"/>
      <c r="F74" s="65"/>
      <c r="G74" s="162"/>
      <c r="H74" s="163"/>
      <c r="I74" s="65"/>
      <c r="J74" s="163"/>
    </row>
    <row r="75" spans="1:10" s="71" customFormat="1" x14ac:dyDescent="0.25">
      <c r="A75" s="65"/>
      <c r="B75" s="65"/>
      <c r="C75" s="160"/>
      <c r="D75" s="160"/>
      <c r="E75" s="161"/>
      <c r="F75" s="65"/>
      <c r="G75" s="162"/>
      <c r="H75" s="163"/>
      <c r="I75" s="65"/>
      <c r="J75" s="163"/>
    </row>
  </sheetData>
  <autoFilter ref="B2:J41" xr:uid="{B5E48E29-20BD-4296-81C6-B36B1CC0143F}"/>
  <conditionalFormatting sqref="P3:P12">
    <cfRule type="cellIs" dxfId="0" priority="1" operator="lessThan">
      <formula>-0.1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0465-39C7-42A3-8EDA-C0F00874D708}">
  <dimension ref="B1:N21"/>
  <sheetViews>
    <sheetView zoomScale="85" zoomScaleNormal="85" workbookViewId="0">
      <selection activeCell="B5" sqref="B5:F5"/>
    </sheetView>
  </sheetViews>
  <sheetFormatPr defaultRowHeight="18" customHeight="1" x14ac:dyDescent="0.3"/>
  <cols>
    <col min="1" max="1" width="4" style="65" customWidth="1"/>
    <col min="2" max="2" width="10.44140625" style="65" customWidth="1"/>
    <col min="3" max="3" width="21.77734375" style="65" bestFit="1" customWidth="1"/>
    <col min="4" max="4" width="22.21875" style="65" bestFit="1" customWidth="1"/>
    <col min="5" max="5" width="13.5546875" style="65" customWidth="1"/>
    <col min="6" max="6" width="46.77734375" style="164" bestFit="1" customWidth="1"/>
    <col min="7" max="7" width="8.88671875" style="65"/>
    <col min="8" max="8" width="13.44140625" style="164" bestFit="1" customWidth="1"/>
    <col min="9" max="10" width="9.44140625" style="65" bestFit="1" customWidth="1"/>
    <col min="11" max="16384" width="8.88671875" style="65"/>
  </cols>
  <sheetData>
    <row r="1" spans="2:14" ht="25.95" customHeight="1" x14ac:dyDescent="0.3">
      <c r="E1" s="69">
        <f>Balance!I1</f>
        <v>46301.291666666664</v>
      </c>
      <c r="F1" s="69" t="str">
        <f>Balance!J1</f>
        <v>Tuesday</v>
      </c>
    </row>
    <row r="2" spans="2:14" ht="18" customHeight="1" x14ac:dyDescent="0.3">
      <c r="B2" s="165" t="s">
        <v>120</v>
      </c>
      <c r="C2" s="165" t="s">
        <v>136</v>
      </c>
      <c r="D2" s="165" t="s">
        <v>7</v>
      </c>
      <c r="E2" s="165" t="s">
        <v>119</v>
      </c>
      <c r="F2" s="166" t="s">
        <v>10</v>
      </c>
    </row>
    <row r="3" spans="2:14" ht="18" customHeight="1" x14ac:dyDescent="0.45">
      <c r="B3" s="167" t="s">
        <v>137</v>
      </c>
      <c r="C3" s="90" t="s">
        <v>102</v>
      </c>
      <c r="D3" s="168" t="s">
        <v>172</v>
      </c>
      <c r="E3" s="172" t="s">
        <v>144</v>
      </c>
      <c r="F3" s="169" t="s">
        <v>145</v>
      </c>
      <c r="H3" s="164" t="s">
        <v>19</v>
      </c>
    </row>
    <row r="4" spans="2:14" ht="18" customHeight="1" x14ac:dyDescent="0.3">
      <c r="B4" s="167" t="s">
        <v>138</v>
      </c>
      <c r="C4" s="90" t="s">
        <v>28</v>
      </c>
      <c r="D4" s="94" t="s">
        <v>17</v>
      </c>
      <c r="E4" s="172" t="s">
        <v>144</v>
      </c>
      <c r="F4" s="169" t="s">
        <v>145</v>
      </c>
      <c r="H4" s="164" t="s">
        <v>19</v>
      </c>
    </row>
    <row r="5" spans="2:14" ht="18" customHeight="1" x14ac:dyDescent="0.45">
      <c r="B5" s="181" t="s">
        <v>141</v>
      </c>
      <c r="C5" s="181" t="s">
        <v>28</v>
      </c>
      <c r="D5" s="182" t="s">
        <v>17</v>
      </c>
      <c r="E5" s="181" t="s">
        <v>188</v>
      </c>
      <c r="F5" s="183" t="s">
        <v>188</v>
      </c>
      <c r="G5" s="171"/>
      <c r="H5" s="164" t="s">
        <v>19</v>
      </c>
    </row>
    <row r="6" spans="2:14" ht="18" customHeight="1" x14ac:dyDescent="0.3">
      <c r="B6" s="167" t="s">
        <v>142</v>
      </c>
      <c r="C6" s="167" t="s">
        <v>42</v>
      </c>
      <c r="D6" s="167" t="s">
        <v>127</v>
      </c>
      <c r="E6" s="170" t="s">
        <v>139</v>
      </c>
      <c r="F6" s="169" t="s">
        <v>140</v>
      </c>
      <c r="G6" s="171"/>
      <c r="H6" s="164" t="s">
        <v>46</v>
      </c>
    </row>
    <row r="7" spans="2:14" ht="18" customHeight="1" x14ac:dyDescent="0.45">
      <c r="B7" s="167" t="s">
        <v>146</v>
      </c>
      <c r="C7" s="167" t="s">
        <v>96</v>
      </c>
      <c r="D7" s="173" t="s">
        <v>173</v>
      </c>
      <c r="E7" s="172" t="s">
        <v>144</v>
      </c>
      <c r="F7" s="175" t="s">
        <v>189</v>
      </c>
      <c r="G7" s="171"/>
      <c r="H7" s="164" t="s">
        <v>46</v>
      </c>
    </row>
    <row r="8" spans="2:14" ht="18" customHeight="1" x14ac:dyDescent="0.45">
      <c r="B8" s="167" t="s">
        <v>147</v>
      </c>
      <c r="C8" s="167" t="s">
        <v>49</v>
      </c>
      <c r="D8" s="173" t="s">
        <v>17</v>
      </c>
      <c r="E8" s="170" t="s">
        <v>139</v>
      </c>
      <c r="F8" s="169" t="s">
        <v>140</v>
      </c>
      <c r="G8" s="171"/>
      <c r="H8" s="164" t="s">
        <v>19</v>
      </c>
      <c r="K8"/>
      <c r="L8"/>
      <c r="M8"/>
      <c r="N8"/>
    </row>
    <row r="9" spans="2:14" ht="18" customHeight="1" x14ac:dyDescent="0.3">
      <c r="B9" s="167"/>
      <c r="C9" s="167"/>
      <c r="D9" s="167"/>
      <c r="E9" s="167"/>
      <c r="F9" s="169"/>
      <c r="K9"/>
      <c r="L9"/>
      <c r="M9"/>
      <c r="N9"/>
    </row>
    <row r="10" spans="2:14" ht="18" customHeight="1" x14ac:dyDescent="0.3">
      <c r="B10" s="167" t="s">
        <v>148</v>
      </c>
      <c r="C10" s="167" t="s">
        <v>149</v>
      </c>
      <c r="D10" s="167" t="s">
        <v>125</v>
      </c>
      <c r="E10" s="174" t="s">
        <v>144</v>
      </c>
      <c r="F10" s="169" t="s">
        <v>145</v>
      </c>
      <c r="H10" s="164" t="s">
        <v>46</v>
      </c>
      <c r="K10"/>
      <c r="L10"/>
      <c r="M10"/>
      <c r="N10"/>
    </row>
    <row r="11" spans="2:14" ht="18" customHeight="1" x14ac:dyDescent="0.3">
      <c r="B11" s="167" t="s">
        <v>150</v>
      </c>
      <c r="C11" s="167" t="s">
        <v>149</v>
      </c>
      <c r="D11" s="167" t="s">
        <v>125</v>
      </c>
      <c r="E11" s="174" t="s">
        <v>144</v>
      </c>
      <c r="F11" s="169" t="s">
        <v>145</v>
      </c>
      <c r="H11" s="164" t="s">
        <v>46</v>
      </c>
      <c r="K11"/>
      <c r="L11"/>
      <c r="M11"/>
      <c r="N11"/>
    </row>
    <row r="12" spans="2:14" ht="18" customHeight="1" x14ac:dyDescent="0.3">
      <c r="B12" s="167" t="s">
        <v>151</v>
      </c>
      <c r="C12" s="167" t="s">
        <v>152</v>
      </c>
      <c r="D12" s="94" t="s">
        <v>153</v>
      </c>
      <c r="E12" s="170" t="s">
        <v>139</v>
      </c>
      <c r="F12" s="169" t="s">
        <v>140</v>
      </c>
      <c r="H12" s="164" t="s">
        <v>46</v>
      </c>
      <c r="K12"/>
      <c r="L12"/>
      <c r="M12"/>
      <c r="N12"/>
    </row>
    <row r="13" spans="2:14" ht="18" customHeight="1" x14ac:dyDescent="0.3">
      <c r="B13" s="167" t="s">
        <v>154</v>
      </c>
      <c r="C13" s="167" t="s">
        <v>155</v>
      </c>
      <c r="D13" s="167" t="s">
        <v>156</v>
      </c>
      <c r="E13" s="170" t="s">
        <v>139</v>
      </c>
      <c r="F13" s="169" t="s">
        <v>140</v>
      </c>
      <c r="H13" s="164" t="s">
        <v>46</v>
      </c>
      <c r="K13"/>
      <c r="L13"/>
      <c r="M13"/>
      <c r="N13"/>
    </row>
    <row r="14" spans="2:14" ht="18" customHeight="1" x14ac:dyDescent="0.3">
      <c r="B14" s="167" t="s">
        <v>157</v>
      </c>
      <c r="C14" s="167" t="s">
        <v>158</v>
      </c>
      <c r="D14" s="167" t="s">
        <v>159</v>
      </c>
      <c r="E14" s="170" t="s">
        <v>139</v>
      </c>
      <c r="F14" s="169" t="s">
        <v>140</v>
      </c>
      <c r="G14" s="171"/>
      <c r="H14" s="164" t="s">
        <v>46</v>
      </c>
      <c r="K14"/>
      <c r="L14"/>
      <c r="M14"/>
      <c r="N14"/>
    </row>
    <row r="15" spans="2:14" ht="18" customHeight="1" x14ac:dyDescent="0.3">
      <c r="B15" s="167" t="s">
        <v>160</v>
      </c>
      <c r="C15" s="167" t="s">
        <v>105</v>
      </c>
      <c r="D15" s="90" t="s">
        <v>186</v>
      </c>
      <c r="E15" s="174" t="s">
        <v>144</v>
      </c>
      <c r="F15" s="169" t="s">
        <v>145</v>
      </c>
      <c r="G15" s="171"/>
      <c r="H15" s="164" t="s">
        <v>187</v>
      </c>
      <c r="K15"/>
      <c r="L15"/>
      <c r="M15"/>
      <c r="N15"/>
    </row>
    <row r="16" spans="2:14" ht="18" customHeight="1" x14ac:dyDescent="0.3">
      <c r="B16" s="167" t="s">
        <v>162</v>
      </c>
      <c r="C16" s="167" t="s">
        <v>163</v>
      </c>
      <c r="D16" s="90" t="s">
        <v>161</v>
      </c>
      <c r="E16" s="170" t="s">
        <v>139</v>
      </c>
      <c r="F16" s="169" t="s">
        <v>140</v>
      </c>
      <c r="G16" s="171"/>
      <c r="H16" s="164" t="s">
        <v>19</v>
      </c>
      <c r="K16"/>
      <c r="L16"/>
      <c r="M16"/>
      <c r="N16"/>
    </row>
    <row r="17" spans="2:14" ht="18" customHeight="1" x14ac:dyDescent="0.3">
      <c r="F17" s="169"/>
      <c r="K17"/>
      <c r="L17"/>
      <c r="M17"/>
      <c r="N17"/>
    </row>
    <row r="18" spans="2:14" ht="18" customHeight="1" x14ac:dyDescent="0.3">
      <c r="B18" s="167" t="s">
        <v>164</v>
      </c>
      <c r="C18" s="167"/>
      <c r="D18" s="167"/>
      <c r="E18" s="170" t="s">
        <v>139</v>
      </c>
      <c r="F18" s="169" t="s">
        <v>139</v>
      </c>
      <c r="K18"/>
      <c r="L18"/>
      <c r="M18"/>
      <c r="N18"/>
    </row>
    <row r="19" spans="2:14" ht="18" customHeight="1" x14ac:dyDescent="0.3">
      <c r="B19" s="167" t="s">
        <v>165</v>
      </c>
      <c r="C19" s="167" t="s">
        <v>166</v>
      </c>
      <c r="D19" s="167" t="s">
        <v>143</v>
      </c>
      <c r="E19" s="174" t="s">
        <v>144</v>
      </c>
      <c r="F19" s="169" t="s">
        <v>145</v>
      </c>
      <c r="K19"/>
      <c r="L19"/>
      <c r="M19"/>
      <c r="N19"/>
    </row>
    <row r="20" spans="2:14" ht="18" customHeight="1" x14ac:dyDescent="0.3">
      <c r="B20" s="167" t="s">
        <v>167</v>
      </c>
      <c r="C20" s="167" t="s">
        <v>179</v>
      </c>
      <c r="D20" s="167" t="s">
        <v>156</v>
      </c>
      <c r="E20" s="174" t="s">
        <v>144</v>
      </c>
      <c r="F20" s="169" t="s">
        <v>193</v>
      </c>
    </row>
    <row r="21" spans="2:14" ht="18" customHeight="1" x14ac:dyDescent="0.3">
      <c r="B21" s="167" t="s">
        <v>168</v>
      </c>
      <c r="C21" s="167" t="s">
        <v>169</v>
      </c>
      <c r="D21" s="167" t="s">
        <v>170</v>
      </c>
      <c r="E21" s="180" t="s">
        <v>194</v>
      </c>
      <c r="F21" s="16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9B93-A9F4-4F9A-8C16-46AD7B833261}">
  <dimension ref="A2:C12"/>
  <sheetViews>
    <sheetView workbookViewId="0">
      <selection activeCell="A2" sqref="A2"/>
    </sheetView>
  </sheetViews>
  <sheetFormatPr defaultRowHeight="14.4" x14ac:dyDescent="0.3"/>
  <cols>
    <col min="1" max="1" width="11.33203125" customWidth="1"/>
    <col min="2" max="2" width="9.21875" customWidth="1"/>
    <col min="3" max="3" width="10.33203125" style="24" customWidth="1"/>
  </cols>
  <sheetData>
    <row r="2" spans="1:3" ht="18" thickBot="1" x14ac:dyDescent="0.4">
      <c r="A2" s="25" t="s">
        <v>86</v>
      </c>
      <c r="B2" s="25" t="s">
        <v>65</v>
      </c>
      <c r="C2" s="26" t="s">
        <v>66</v>
      </c>
    </row>
    <row r="3" spans="1:3" ht="15" thickTop="1" x14ac:dyDescent="0.3">
      <c r="A3" t="s">
        <v>19</v>
      </c>
      <c r="B3" t="s">
        <v>19</v>
      </c>
      <c r="C3" s="24">
        <v>29.951999999999998</v>
      </c>
    </row>
    <row r="4" spans="1:3" x14ac:dyDescent="0.3">
      <c r="A4" t="s">
        <v>19</v>
      </c>
      <c r="B4" t="s">
        <v>83</v>
      </c>
      <c r="C4" s="24">
        <v>73.994198400000002</v>
      </c>
    </row>
    <row r="5" spans="1:3" ht="15" thickBot="1" x14ac:dyDescent="0.35">
      <c r="A5" s="27" t="s">
        <v>19</v>
      </c>
      <c r="B5" s="27" t="s">
        <v>84</v>
      </c>
      <c r="C5" s="28">
        <f>SUM(C3:C4)</f>
        <v>103.9461984</v>
      </c>
    </row>
    <row r="6" spans="1:3" ht="15" thickTop="1" x14ac:dyDescent="0.3"/>
    <row r="7" spans="1:3" x14ac:dyDescent="0.3">
      <c r="A7" t="s">
        <v>46</v>
      </c>
      <c r="B7" t="s">
        <v>57</v>
      </c>
      <c r="C7" s="24">
        <v>233.80055999999999</v>
      </c>
    </row>
    <row r="8" spans="1:3" x14ac:dyDescent="0.3">
      <c r="A8" t="s">
        <v>46</v>
      </c>
      <c r="B8" t="s">
        <v>46</v>
      </c>
      <c r="C8" s="24">
        <v>12.870144</v>
      </c>
    </row>
    <row r="9" spans="1:3" ht="15" thickBot="1" x14ac:dyDescent="0.35">
      <c r="A9" s="27" t="s">
        <v>46</v>
      </c>
      <c r="B9" s="27" t="s">
        <v>84</v>
      </c>
      <c r="C9" s="28">
        <f>SUM(C7:C8)</f>
        <v>246.670704</v>
      </c>
    </row>
    <row r="10" spans="1:3" ht="15" thickTop="1" x14ac:dyDescent="0.3"/>
    <row r="11" spans="1:3" ht="15" thickBot="1" x14ac:dyDescent="0.35">
      <c r="A11" s="27" t="s">
        <v>85</v>
      </c>
      <c r="B11" s="27" t="s">
        <v>84</v>
      </c>
      <c r="C11" s="28">
        <f>C5+C9</f>
        <v>350.61690240000001</v>
      </c>
    </row>
    <row r="12" spans="1:3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Thursday</vt:lpstr>
      <vt:lpstr>InjPlan</vt:lpstr>
      <vt:lpstr>Balance</vt:lpstr>
      <vt:lpstr>Status</vt:lpstr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Godwin Rodrigues</dc:creator>
  <cp:lastModifiedBy>Godwin Rodrigues</cp:lastModifiedBy>
  <dcterms:created xsi:type="dcterms:W3CDTF">2026-10-01T06:27:53Z</dcterms:created>
  <dcterms:modified xsi:type="dcterms:W3CDTF">2026-10-06T15:07:29Z</dcterms:modified>
</cp:coreProperties>
</file>