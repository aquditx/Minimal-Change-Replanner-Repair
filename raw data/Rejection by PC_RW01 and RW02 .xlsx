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akco-my.sharepoint.com/personal/grod_takweenai_com/Documents/Desktop/Dust2Dust/"/>
    </mc:Choice>
  </mc:AlternateContent>
  <xr:revisionPtr revIDLastSave="113" documentId="11_F8901D605A49C9556F6FF7E19B922CF867FAA3F6" xr6:coauthVersionLast="47" xr6:coauthVersionMax="47" xr10:uidLastSave="{5B350290-8140-4E24-B650-6E5AE1BD0615}"/>
  <bookViews>
    <workbookView xWindow="-108" yWindow="-108" windowWidth="23256" windowHeight="12456" tabRatio="312" firstSheet="1" activeTab="2" xr2:uid="{00000000-000D-0000-FFFF-FFFF00000000}"/>
  </bookViews>
  <sheets>
    <sheet name="Data" sheetId="1" r:id="rId1"/>
    <sheet name="ZZZ_Part_Id_" sheetId="3" r:id="rId2"/>
    <sheet name="Summary" sheetId="4" r:id="rId3"/>
    <sheet name="Rejection_PC" sheetId="2" r:id="rId4"/>
  </sheets>
  <definedNames>
    <definedName name="_xlnm._FilterDatabase" localSheetId="0" hidden="1">Data!$A$1:$N$3430</definedName>
    <definedName name="_xlnm._FilterDatabase" localSheetId="3" hidden="1">Rejection_PC!$A$1:$J$1793</definedName>
    <definedName name="ExternalData_1" localSheetId="1" hidden="1">ZZZ_Part_Id_!$A$1:$F$1786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6" i="2" l="1"/>
  <c r="H1636" i="2" s="1"/>
  <c r="G1425" i="2"/>
  <c r="G1111" i="2"/>
  <c r="G42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2" i="2"/>
  <c r="N89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  <c r="N2" i="1"/>
  <c r="N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05EACE-4307-4BE4-AEE4-73B3032557EB}" keepAlive="1" name="Query - ZZZ_Part_Id_" description="Connection to the 'ZZZ_Part_Id_' query in the workbook." type="5" refreshedVersion="8" background="1" saveData="1">
    <dbPr connection="Provider=Microsoft.Mashup.OleDb.1;Data Source=$Workbook$;Location=ZZZ_Part_Id_;Extended Properties=&quot;&quot;" command="SELECT * FROM [ZZZ_Part_Id_]"/>
  </connection>
</connections>
</file>

<file path=xl/sharedStrings.xml><?xml version="1.0" encoding="utf-8"?>
<sst xmlns="http://schemas.openxmlformats.org/spreadsheetml/2006/main" count="52894" uniqueCount="18459">
  <si>
    <t>Order</t>
  </si>
  <si>
    <t>Material</t>
  </si>
  <si>
    <t>Material Description</t>
  </si>
  <si>
    <t>Requirement Quantity (EINHEIT)</t>
  </si>
  <si>
    <t>Quantity withdrawn (EINHEIT)</t>
  </si>
  <si>
    <t>Base Unit of Measure (=EINHEIT)</t>
  </si>
  <si>
    <t>System status</t>
  </si>
  <si>
    <t>Open Quantity (EINHEIT)</t>
  </si>
  <si>
    <t>Work Center</t>
  </si>
  <si>
    <t>Operation description</t>
  </si>
  <si>
    <t>Unit of Entry (=ERFME)</t>
  </si>
  <si>
    <t>Work center descr.</t>
  </si>
  <si>
    <t>Value Withdrawn (WAERS)</t>
  </si>
  <si>
    <t>3100007434</t>
  </si>
  <si>
    <t>20602085</t>
  </si>
  <si>
    <t>Plain Self Adhes W105XH165mm–BOPP 1000/R</t>
  </si>
  <si>
    <t>PC</t>
  </si>
  <si>
    <t>PRT  REL</t>
  </si>
  <si>
    <t>RW01</t>
  </si>
  <si>
    <t>IMP19 CYCT 18.5  96 CAV 18682 PER HR</t>
  </si>
  <si>
    <t>IMD VISTA Sorting Machine</t>
  </si>
  <si>
    <t>FRG161</t>
  </si>
  <si>
    <t>PET Green Preform For Grinding</t>
  </si>
  <si>
    <t>KG</t>
  </si>
  <si>
    <t>PRT  REL</t>
  </si>
  <si>
    <t>IMP19 CYCT 18.5  96 CAV 18682 PER HR</t>
  </si>
  <si>
    <t>IMD VISTA Sorting Machine</t>
  </si>
  <si>
    <t>45.0PC2RD-IG-B</t>
  </si>
  <si>
    <t>45.0 PCO 1881 ICI Green J/C(P Plt </t>
  </si>
  <si>
    <t>PRT  REL</t>
  </si>
  <si>
    <t>IMP19 CYCT 18.5  96 CAV 18682 PER HR</t>
  </si>
  <si>
    <t>IMD VISTA Sorting Machine</t>
  </si>
  <si>
    <t>3100007499</t>
  </si>
  <si>
    <t>Plain Self Adhes W105XH165mm–BOPP 1000/R</t>
  </si>
  <si>
    <t>PRT  REL</t>
  </si>
  <si>
    <t/>
  </si>
  <si>
    <t>IMD VISTA Sorting Machine</t>
  </si>
  <si>
    <t>202008</t>
  </si>
  <si>
    <t>Wooden Pallets Good cond.L120xW100xH15cm</t>
  </si>
  <si>
    <t>PRT  REL</t>
  </si>
  <si>
    <t>IMD VISTA Sorting Machine</t>
  </si>
  <si>
    <t>600319</t>
  </si>
  <si>
    <t>PE Caps Scrap</t>
  </si>
  <si>
    <t>PRT  REL</t>
  </si>
  <si>
    <t>IMD VISTA Sorting Machine</t>
  </si>
  <si>
    <t>204100005</t>
  </si>
  <si>
    <t>St. Film [1.2K.g] 17micx500mmx1500 (Bio)</t>
  </si>
  <si>
    <t>EA</t>
  </si>
  <si>
    <t>PRT  REL</t>
  </si>
  <si>
    <t>IMD VISTA Sorting Machine</t>
  </si>
  <si>
    <t>29-1.27-2TP-CL-B</t>
  </si>
  <si>
    <t>29/25 1.27g CAP T PROOF Clear -PP</t>
  </si>
  <si>
    <t>PRT  REL</t>
  </si>
  <si>
    <t>IMD VISTA Sorting Machine</t>
  </si>
  <si>
    <t>3100007565</t>
  </si>
  <si>
    <t>Plain Self Adhes W105XH165mm–BOPP 1000/R</t>
  </si>
  <si>
    <t>PRT  REL</t>
  </si>
  <si>
    <t>IMPS01 CYT 6.8 180 CAV 95294 PC PER HR</t>
  </si>
  <si>
    <t>IMD VISTA Sorting Machine</t>
  </si>
  <si>
    <t>9.70TO2RD-CLS-B</t>
  </si>
  <si>
    <t>9.70 29/25 Rnd Clear J/C(P Plt)-SIPA</t>
  </si>
  <si>
    <t>PRT  REL</t>
  </si>
  <si>
    <t>IMPS01 CYT 6.8 180 CAV 95294 PC PER HR</t>
  </si>
  <si>
    <t>IMD VISTA Sorting Machine</t>
  </si>
  <si>
    <t>3100007566</t>
  </si>
  <si>
    <t>FRG119</t>
  </si>
  <si>
    <t>PET Clear Preform For Grinding</t>
  </si>
  <si>
    <t>PRT  REL</t>
  </si>
  <si>
    <t>IMP12 CYT 16.7 96 CAV 20694 PC PER HR</t>
  </si>
  <si>
    <t>IMD VISTA Sorting Machine</t>
  </si>
  <si>
    <t>36.0BC1RD-CL-G</t>
  </si>
  <si>
    <t>36.0 BC38mm 3 Rnd Clear OJ/C(W plt</t>
  </si>
  <si>
    <t>PRT  REL</t>
  </si>
  <si>
    <t>IMP12 CYT 16.7 96 CAV 20694 PC PER HR</t>
  </si>
  <si>
    <t>IMD VISTA Sorting Machine</t>
  </si>
  <si>
    <t>3100007567</t>
  </si>
  <si>
    <t>9.4TO2RD-B1-B</t>
  </si>
  <si>
    <t>9.4 TO29/25 Rnd Nova Blue J/C(Ppl-SABIC</t>
  </si>
  <si>
    <t>PRT  REL</t>
  </si>
  <si>
    <t>IMPS01 CYT 6.8 180 CAV 95294 PC PER HR</t>
  </si>
  <si>
    <t>IMD VISTA Sorting Machine</t>
  </si>
  <si>
    <t>3100007568</t>
  </si>
  <si>
    <t>Plain Self Adhes W105XH165mm–BOPP 1000/R</t>
  </si>
  <si>
    <t>PRT  REL</t>
  </si>
  <si>
    <t>IMPS04 CYT 6.50 180 CAV 99694 pcs</t>
  </si>
  <si>
    <t>IMD VISTA Sorting Machine</t>
  </si>
  <si>
    <t>FRG160</t>
  </si>
  <si>
    <t>PET Blue Preform For Grinding</t>
  </si>
  <si>
    <t>PRT  REL</t>
  </si>
  <si>
    <t>IMPS04 CYT 6.50 180 CAV 99694 pcs</t>
  </si>
  <si>
    <t>IMD VISTA Sorting Machine</t>
  </si>
  <si>
    <t>8.3TO2RD-LBS-A</t>
  </si>
  <si>
    <t>8.30TO LW 29/25Rd L.Blue J/C(W plt)-SIPA</t>
  </si>
  <si>
    <t>PRT  REL</t>
  </si>
  <si>
    <t>IMPS04 CYT 6.50 180 CAV 99694 pcs</t>
  </si>
  <si>
    <t>IMD VISTA Sorting Machine</t>
  </si>
  <si>
    <t>3100007569</t>
  </si>
  <si>
    <t>52.0BC1RD-CL-B</t>
  </si>
  <si>
    <t>52.0 BC38mm 3 Rnd Clear J/C(P Plt</t>
  </si>
  <si>
    <t>PRT  REL</t>
  </si>
  <si>
    <t>IMP01 CYCT 18.5 96CAVITY 18682 PC PER HR</t>
  </si>
  <si>
    <t>IMD VISTA Sorting Machine</t>
  </si>
  <si>
    <t>3100007570</t>
  </si>
  <si>
    <t>30.5PC2RD-CLS-A</t>
  </si>
  <si>
    <t>30.5 PCO 1881 Rnd Clear J/C(W plt-SIPA</t>
  </si>
  <si>
    <t>PRT  REL</t>
  </si>
  <si>
    <t>IMPS06 CYCT 15 CAV 180  PCS PER HR 43200</t>
  </si>
  <si>
    <t>IMD VISTA Sorting Machine</t>
  </si>
  <si>
    <t>3100007571</t>
  </si>
  <si>
    <t>8.8TO2RD-LBS-A</t>
  </si>
  <si>
    <t>8.80 TO LW 29/25Rd L.Blue J/C(W plt-SIPA</t>
  </si>
  <si>
    <t>PRT  REL</t>
  </si>
  <si>
    <t>IMPS04 CYT 6.50 180 CAV 99694 pcs</t>
  </si>
  <si>
    <t>IMD VISTA Sorting Machine</t>
  </si>
  <si>
    <t>3100007572</t>
  </si>
  <si>
    <t>21.0PC2RD-CL-VS</t>
  </si>
  <si>
    <t>21.0 PCO 1881 Rnd CLR MenaBev Spec SIPA</t>
  </si>
  <si>
    <t>PRT  REL</t>
  </si>
  <si>
    <t>IMPS06 CYT 11.5 180 CAV 56347 PC PER HR</t>
  </si>
  <si>
    <t>IMD VISTA Sorting Machine</t>
  </si>
  <si>
    <t>3100007573</t>
  </si>
  <si>
    <t>45.0PC2RD-IG-VH</t>
  </si>
  <si>
    <t>45.0 PCO 1881 Rd ICI Green MenaBevPP HDG</t>
  </si>
  <si>
    <t>PRT  REL</t>
  </si>
  <si>
    <t>IMP19 CYCT 18.5  96 CAV 18682 PER HR</t>
  </si>
  <si>
    <t>IMD VISTA Sorting Machine</t>
  </si>
  <si>
    <t>Plain Self Adhes W105XH165mm–BOPP 1000/R</t>
  </si>
  <si>
    <t>PRT  REL</t>
  </si>
  <si>
    <t>IMP19 CYCT 18.5  96 CAV 18682 PER HR</t>
  </si>
  <si>
    <t>IMD VISTA Sorting Machine</t>
  </si>
  <si>
    <t>45.0 PCO 1881 ICI Green J/C(P Plt </t>
  </si>
  <si>
    <t>REL</t>
  </si>
  <si>
    <t>IMP19 CYCT 18.5  96 CAV 18682 PER HR</t>
  </si>
  <si>
    <t>IMD VISTA Sorting Machine</t>
  </si>
  <si>
    <t>3100007574</t>
  </si>
  <si>
    <t>Plain Self Adhes W105XH165mm–BOPP 1000/R</t>
  </si>
  <si>
    <t>PRT  REL</t>
  </si>
  <si>
    <t>IMP19</t>
  </si>
  <si>
    <t>IMP19 CYCT 18.5  96 CAV 18682 PER HR</t>
  </si>
  <si>
    <t>HUSKY HYPET 400</t>
  </si>
  <si>
    <t>20702008</t>
  </si>
  <si>
    <t>Transparent Tape roll 2'' wide 45mic</t>
  </si>
  <si>
    <t>PRT  REL</t>
  </si>
  <si>
    <t>IMP19 CYCT 18.5  96 CAV 18682 PER HR</t>
  </si>
  <si>
    <t>HUSKY HYPET 400</t>
  </si>
  <si>
    <t>202463</t>
  </si>
  <si>
    <t>PET Green strapping ROL 2500m-12.5x0.6mm</t>
  </si>
  <si>
    <t>ROL</t>
  </si>
  <si>
    <t>PRT  REL</t>
  </si>
  <si>
    <t>IMP19 CYCT 18.5  96 CAV 18682 PER HR</t>
  </si>
  <si>
    <t>HUSKY HYPET 400</t>
  </si>
  <si>
    <t>202019</t>
  </si>
  <si>
    <t>J/C Tubes (ID-50 X T-7 X L-975) mm</t>
  </si>
  <si>
    <t>PRT  REL</t>
  </si>
  <si>
    <t>IMP19 CYCT 18.5  96 CAV 18682 PER HR</t>
  </si>
  <si>
    <t>HUSKY HYPET 400</t>
  </si>
  <si>
    <t>600321</t>
  </si>
  <si>
    <t>PET PREFORM COLOURED</t>
  </si>
  <si>
    <t>PRT  REL</t>
  </si>
  <si>
    <t>IMP19 CYCT 18.5  96 CAV 18682 PER HR</t>
  </si>
  <si>
    <t>HUSKY HYPET 400</t>
  </si>
  <si>
    <t>21201007</t>
  </si>
  <si>
    <t>METAL CLIP SIZE:- 5 / 8" ,  700gm/BOX</t>
  </si>
  <si>
    <t>BOX</t>
  </si>
  <si>
    <t>PRT  REL</t>
  </si>
  <si>
    <t>IMP19 CYCT 18.5  96 CAV 18682 PER HR</t>
  </si>
  <si>
    <t>HUSKY HYPET 400</t>
  </si>
  <si>
    <t>202665</t>
  </si>
  <si>
    <t>P.E.BAG CLEAR-L265XW130+50cm -335g/30mic</t>
  </si>
  <si>
    <t>PRT  REL</t>
  </si>
  <si>
    <t>IMP19 CYCT 18.5  96 CAV 18682 PER HR</t>
  </si>
  <si>
    <t>HUSKY HYPET 400</t>
  </si>
  <si>
    <t>205010045</t>
  </si>
  <si>
    <t>P.E Bags (160x130)x50cm Th 40mic- Jomih</t>
  </si>
  <si>
    <t>PRT  REL</t>
  </si>
  <si>
    <t>IMP19 CYCT 18.5  96 CAV 18682 PER HR</t>
  </si>
  <si>
    <t>HUSKY HYPET 400</t>
  </si>
  <si>
    <t>203041</t>
  </si>
  <si>
    <t>J/C 7Ply(L1200xW1000xH1000)mm-1300gsm-AA</t>
  </si>
  <si>
    <t>PRT  REL</t>
  </si>
  <si>
    <t>IMP19 CYCT 18.5  96 CAV 18682 PER HR</t>
  </si>
  <si>
    <t>HUSKY HYPET 400</t>
  </si>
  <si>
    <t>202012</t>
  </si>
  <si>
    <t>J/C Bottom Sheet(L1170XW970)mm - 347 gsm</t>
  </si>
  <si>
    <t>PRT  REL</t>
  </si>
  <si>
    <t>IMP19 CYCT 18.5  96 CAV 18682 PER HR</t>
  </si>
  <si>
    <t>HUSKY HYPET 400</t>
  </si>
  <si>
    <t>202001</t>
  </si>
  <si>
    <t>J/C Top Cover (L121XW102XH15)mm- 735gsm</t>
  </si>
  <si>
    <t>PRT  REL</t>
  </si>
  <si>
    <t>IMP19 CYCT 18.5  96 CAV 18682 PER HR</t>
  </si>
  <si>
    <t>HUSKY HYPET 400</t>
  </si>
  <si>
    <t>202462</t>
  </si>
  <si>
    <t>Nylon Cable Tie – CV-200B-Black(100 pcs)</t>
  </si>
  <si>
    <t>PAC</t>
  </si>
  <si>
    <t>PRT  REL</t>
  </si>
  <si>
    <t>IMP19 CYCT 18.5  96 CAV 18682 PER HR</t>
  </si>
  <si>
    <t>HUSKY HYPET 400</t>
  </si>
  <si>
    <t>600016</t>
  </si>
  <si>
    <t>EMPTY CARTONS</t>
  </si>
  <si>
    <t>PRT  REL</t>
  </si>
  <si>
    <t>IMP19 CYCT 18.5  96 CAV 18682 PER HR</t>
  </si>
  <si>
    <t>HUSKY HYPET 400</t>
  </si>
  <si>
    <t>600415</t>
  </si>
  <si>
    <t>Polyethylene Liners Scrap</t>
  </si>
  <si>
    <t>PRT  REL</t>
  </si>
  <si>
    <t>IMP19 CYCT 18.5  96 CAV 18682 PER HR</t>
  </si>
  <si>
    <t>HUSKY HYPET 400</t>
  </si>
  <si>
    <t>600009</t>
  </si>
  <si>
    <t>EMPTY JUMBO BAGS</t>
  </si>
  <si>
    <t>PRT  REL</t>
  </si>
  <si>
    <t>IMP19 CYCT 18.5  96 CAV 18682 PER HR</t>
  </si>
  <si>
    <t>HUSKY HYPET 400</t>
  </si>
  <si>
    <t>203207</t>
  </si>
  <si>
    <t>Returned from Customer JUMBO CTN</t>
  </si>
  <si>
    <t>PRT  REL</t>
  </si>
  <si>
    <t>IMP19 CYCT 18.5  96 CAV 18682 PER HR</t>
  </si>
  <si>
    <t>HUSKY HYPET 400</t>
  </si>
  <si>
    <t>203208</t>
  </si>
  <si>
    <t>Returned from Customer Tubes for Boxes</t>
  </si>
  <si>
    <t>PRT  REL</t>
  </si>
  <si>
    <t>IMP19 CYCT 18.5  96 CAV 18682 PER HR</t>
  </si>
  <si>
    <t>HUSKY HYPET 400</t>
  </si>
  <si>
    <t>600318</t>
  </si>
  <si>
    <t>PET LUMPS</t>
  </si>
  <si>
    <t>PRT  REL</t>
  </si>
  <si>
    <t>IMP19 CYCT 18.5  96 CAV 18682 PER HR</t>
  </si>
  <si>
    <t>HUSKY HYPET 400</t>
  </si>
  <si>
    <t>PET Green Preform For Grinding</t>
  </si>
  <si>
    <t>PRT  REL</t>
  </si>
  <si>
    <t>IMP19 CYCT 18.5  96 CAV 18682 PER HR</t>
  </si>
  <si>
    <t>HUSKY HYPET 400</t>
  </si>
  <si>
    <t>600608</t>
  </si>
  <si>
    <t>Oil Contaminated PET Preform</t>
  </si>
  <si>
    <t>PRT  REL</t>
  </si>
  <si>
    <t>IMP19 CYCT 18.5  96 CAV 18682 PER HR</t>
  </si>
  <si>
    <t>HUSKY HYPET 400</t>
  </si>
  <si>
    <t>202010045</t>
  </si>
  <si>
    <t>Retainable J/C Bottom Sheet</t>
  </si>
  <si>
    <t>PRT  REL</t>
  </si>
  <si>
    <t>IMP19 CYCT 18.5  96 CAV 18682 PER HR</t>
  </si>
  <si>
    <t>HUSKY HYPET 400</t>
  </si>
  <si>
    <t>201020225</t>
  </si>
  <si>
    <t>Returnable top jumbo cover carton</t>
  </si>
  <si>
    <t>PRT  REL</t>
  </si>
  <si>
    <t>IMP19 CYCT 18.5  96 CAV 18682 PER HR</t>
  </si>
  <si>
    <t>HUSKY HYPET 400</t>
  </si>
  <si>
    <t>EMPTY CARTONS</t>
  </si>
  <si>
    <t>PRT  REL</t>
  </si>
  <si>
    <t>IMP19 CYCT 18.5  96 CAV 18682 PER HR</t>
  </si>
  <si>
    <t>HUSKY HYPET 400</t>
  </si>
  <si>
    <t>Polyethylene Liners Scrap</t>
  </si>
  <si>
    <t>PRT  REL</t>
  </si>
  <si>
    <t>IMP19 CYCT 18.5  96 CAV 18682 PER HR</t>
  </si>
  <si>
    <t>HUSKY HYPET 400</t>
  </si>
  <si>
    <t>600023</t>
  </si>
  <si>
    <t>BROKEN WOODEN PALLETS</t>
  </si>
  <si>
    <t>PRT  REL</t>
  </si>
  <si>
    <t>IMP19 CYCT 18.5  96 CAV 18682 PER HR</t>
  </si>
  <si>
    <t>HUSKY HYPET 400</t>
  </si>
  <si>
    <t>EMPTY JUMBO BAGS</t>
  </si>
  <si>
    <t>PRT  REL</t>
  </si>
  <si>
    <t>IMP19 CYCT 18.5  96 CAV 18682 PER HR</t>
  </si>
  <si>
    <t>HUSKY HYPET 400</t>
  </si>
  <si>
    <t>206020873</t>
  </si>
  <si>
    <t>Honeywell Intermec Ribbon 110*450</t>
  </si>
  <si>
    <t>PRT  REL</t>
  </si>
  <si>
    <t>IMP19 CYCT 18.5  96 CAV 18682 PER HR</t>
  </si>
  <si>
    <t>HUSKY HYPET 400</t>
  </si>
  <si>
    <t>202007</t>
  </si>
  <si>
    <t>METAL CLIPS</t>
  </si>
  <si>
    <t>PRT  REL</t>
  </si>
  <si>
    <t>IMP19 CYCT 18.5  96 CAV 18682 PER HR</t>
  </si>
  <si>
    <t>HUSKY HYPET 400</t>
  </si>
  <si>
    <t>100472</t>
  </si>
  <si>
    <t>Polyethylene Terephthalate PET BC212</t>
  </si>
  <si>
    <t>PRT  REL</t>
  </si>
  <si>
    <t>IMP19 CYCT 18.5  96 CAV 18682 PER HR</t>
  </si>
  <si>
    <t>HUSKY HYPET 400</t>
  </si>
  <si>
    <t>10110659</t>
  </si>
  <si>
    <t>JADE PET CSD Grade 328</t>
  </si>
  <si>
    <t>PRT  REL</t>
  </si>
  <si>
    <t>IMP19 CYCT 18.5  96 CAV 18682 PER HR</t>
  </si>
  <si>
    <t>HUSKY HYPET 400</t>
  </si>
  <si>
    <t>102005</t>
  </si>
  <si>
    <t>Color Matrix ICI Green</t>
  </si>
  <si>
    <t>PRT  REL</t>
  </si>
  <si>
    <t>IMP19 CYCT 18.5  96 CAV 18682 PER HR</t>
  </si>
  <si>
    <t>HUSKY HYPET 400</t>
  </si>
  <si>
    <t>15.5BC1RD-CL-S</t>
  </si>
  <si>
    <t>15.5 BC38mm 3 Start Rnd Clear W Steel c.</t>
  </si>
  <si>
    <t>IMP19 CYCT 18.5  96 CAV 18682 PER HR</t>
  </si>
  <si>
    <t>HUSKY HYPET 400</t>
  </si>
  <si>
    <t>12.7BC1EC-W1-S</t>
  </si>
  <si>
    <t>12.7 BC38mm 3 ECO White Steel c.</t>
  </si>
  <si>
    <t>IMP19 CYCT 18.5  96 CAV 18682 PER HR</t>
  </si>
  <si>
    <t>HUSKY HYPET 400</t>
  </si>
  <si>
    <t>3100007575</t>
  </si>
  <si>
    <t>45.0 PCO 1881 ICI Green J/C(P Plt </t>
  </si>
  <si>
    <t>PRT  REL</t>
  </si>
  <si>
    <t>IMP19 CYCT 18.5  96 CAV 18682 PER HR</t>
  </si>
  <si>
    <t>IMD VISTA Sorting Machine</t>
  </si>
  <si>
    <t>3100007576</t>
  </si>
  <si>
    <t>9.70 29/25 Rnd Clear J/C(P Plt)-SIPA</t>
  </si>
  <si>
    <t>PRT  REL</t>
  </si>
  <si>
    <t>IMPS01 CYT 6.8 180 CAV 95294 PC PER HR</t>
  </si>
  <si>
    <t>IMD VISTA Sorting Machine</t>
  </si>
  <si>
    <t>3100007577</t>
  </si>
  <si>
    <t>8.3TO2RD-LBS1-A</t>
  </si>
  <si>
    <t>8.30TOLW29/25 L.Blue(≤2ppm)J/C(W pt-SIPA</t>
  </si>
  <si>
    <t>PRT  REL</t>
  </si>
  <si>
    <t>IMPS04 CYT 6.50 180 CAV 99694 pcs</t>
  </si>
  <si>
    <t>IMD VISTA Sorting Machine</t>
  </si>
  <si>
    <t>3100007578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</si>
  <si>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</si>
  <si>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</si>
  <si>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</si>
  <si>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</si>
  <si>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</si>
  <si>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</si>
  <si>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</si>
  <si>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</si>
  <si>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9.4TO2RD-BS9-B</t>
  </si>
  <si>
    <t>9.4 TO 29/25Rnd Nova Blue(JADE–SPPS)</t>
  </si>
  <si>
    <t>PRT  REL</t>
  </si>
  <si>
    <t>IMPS01 CYT 6.8 180 CAV 95294 PC PER HR</t>
  </si>
  <si>
    <t>IMD VISTA Sorting Machine</t>
  </si>
  <si>
    <t>3100007579</t>
  </si>
  <si>
    <t>45.0 PCO 1881 ICI Green J/C(P Plt </t>
  </si>
  <si>
    <t>PRT  REL</t>
  </si>
  <si>
    <t>IMP19 CYCT 18.5  96 CAV 18682 PER HR</t>
  </si>
  <si>
    <t>IMD VISTA Sorting Machine</t>
  </si>
  <si>
    <t>3100007580</t>
  </si>
  <si>
    <t>45.0 PCO 1881 Rd ICI Green MenaBevPP HDG</t>
  </si>
  <si>
    <t>DLT  PRT  REL</t>
  </si>
  <si>
    <t>IMP19 CYCT 18.5  96 CAV 18682 PER HR</t>
  </si>
  <si>
    <t>IMD VISTA Sorting Machine</t>
  </si>
  <si>
    <t>45.0 PCO 1881 ICI Green J/C(P Plt </t>
  </si>
  <si>
    <t>IMP19 CYCT 18.5  96 CAV 18682 PER HR</t>
  </si>
  <si>
    <t>IMD VISTA Sorting Machine</t>
  </si>
  <si>
    <t>3100007581</t>
  </si>
  <si>
    <t>29.3TO2RD-B1-B</t>
  </si>
  <si>
    <t>29.3 TO 29/25 Rnd Nova Blue J/C(PPYISHN</t>
  </si>
  <si>
    <t>PRT  REL</t>
  </si>
  <si>
    <t>IMD VISTA Sorting Machine</t>
  </si>
  <si>
    <t>Plain Self Adhes W105XH165mm–BOPP 1000/R</t>
  </si>
  <si>
    <t>PRT  REL</t>
  </si>
  <si>
    <t>IMD VISTA Sorting Machine</t>
  </si>
  <si>
    <t>Transparent Tape roll 2'' wide 45mic</t>
  </si>
  <si>
    <t>PRT  REL</t>
  </si>
  <si>
    <t>IMD VISTA Sorting Machine</t>
  </si>
  <si>
    <t>Nylon Cable Tie – CV-200B-Black(100 pcs)</t>
  </si>
  <si>
    <t>PRT  REL</t>
  </si>
  <si>
    <t>IMD VISTA Sorting Machine</t>
  </si>
  <si>
    <t>PET Blue Preform For Grinding</t>
  </si>
  <si>
    <t>PRT  REL</t>
  </si>
  <si>
    <t>IMD VISTA Sorting Machine</t>
  </si>
  <si>
    <t>Wooden Pallets Good cond.L120xW100xH15cm</t>
  </si>
  <si>
    <t>PRT  REL</t>
  </si>
  <si>
    <t>IMD VISTA Sorting Machine</t>
  </si>
  <si>
    <t>3100007582</t>
  </si>
  <si>
    <t>Plain Self Adhes W105XH165mm–BOPP 1000/R</t>
  </si>
  <si>
    <t>PRT  REL</t>
  </si>
  <si>
    <t>IMPS01 CYT 6.8 180 CAV 95294 PC PER HR</t>
  </si>
  <si>
    <t>IMD VISTA Sorting Machine</t>
  </si>
  <si>
    <t>9.70 29/25 Rnd Clear J/C(P Plt)-SIPA</t>
  </si>
  <si>
    <t>PRT  REL</t>
  </si>
  <si>
    <t>IMPS01 CYT 6.8 180 CAV 95294 PC PER HR</t>
  </si>
  <si>
    <t>IMD VISTA Sorting Machine</t>
  </si>
  <si>
    <t>3100007583</t>
  </si>
  <si>
    <t>52.0 BC38mm 3 Rnd Clear J/C(P Plt</t>
  </si>
  <si>
    <t>PRT  REL</t>
  </si>
  <si>
    <t>IMP01 CYCT 18.5 96CAVITY 18682 PC PER HR</t>
  </si>
  <si>
    <t>IMD VISTA Sorting Machine</t>
  </si>
  <si>
    <t>3100007584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</si>
  <si>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</si>
  <si>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</si>
  <si>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</si>
  <si>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</si>
  <si>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</si>
  <si>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</si>
  <si>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</si>
  <si>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</si>
  <si>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</si>
  <si>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</si>
  <si>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</si>
  <si>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</si>
  <si>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3100007585</t>
  </si>
  <si>
    <t>Plain Self Adhes W105XH165mm–BOPP 1000/R</t>
  </si>
  <si>
    <t>PRT  REL</t>
  </si>
  <si>
    <t>IMPS04 CYT 6.50 180 CAV 99694 pcs</t>
  </si>
  <si>
    <t>IMD VISTA Sorting Machine</t>
  </si>
  <si>
    <t>PET Clear Preform For Grinding</t>
  </si>
  <si>
    <t>PRT  REL</t>
  </si>
  <si>
    <t>IMPS04 CYT 6.50 180 CAV 99694 pcs</t>
  </si>
  <si>
    <t>IMD VISTA Sorting Machine</t>
  </si>
  <si>
    <t>8.3TO2RD-CLS-A</t>
  </si>
  <si>
    <t>8.30TO LW 29/25 Clear J/C(WP)-SIPA</t>
  </si>
  <si>
    <t>PRT  REL</t>
  </si>
  <si>
    <t>IMPS04 CYT 6.50 180 CAV 99694 pcs</t>
  </si>
  <si>
    <t>IMD VISTA Sorting Machine</t>
  </si>
  <si>
    <t>3100007586</t>
  </si>
  <si>
    <t>8.30TO LW 29/25Rd L.Blue J/C(W plt)-SIPA</t>
  </si>
  <si>
    <t>PRT  REL</t>
  </si>
  <si>
    <t>IMPS04 CYT 6.50 180 CAV 99694 pcs</t>
  </si>
  <si>
    <t>IMD VISTA Sorting Machine</t>
  </si>
  <si>
    <t>3100007587</t>
  </si>
  <si>
    <t>Plain Self Adhes W105XH165mm–BOPP 1000/R</t>
  </si>
  <si>
    <t>PRT  REL</t>
  </si>
  <si>
    <t>RW02</t>
  </si>
  <si>
    <t>IMP02 CYCT 19 72 CAVITY 13642 PC PER HR</t>
  </si>
  <si>
    <t>INTRA VIS Preform Sorting Machine</t>
  </si>
  <si>
    <t>PET Blue Preform For Grinding</t>
  </si>
  <si>
    <t>PRT  REL</t>
  </si>
  <si>
    <t>IMP02 CYCT 19 72 CAVITY 13642 PC PER HR</t>
  </si>
  <si>
    <t>INTRA VIS Preform Sorting Machine</t>
  </si>
  <si>
    <t>51.0BC1RD-LB-A</t>
  </si>
  <si>
    <t>51.0 BC 38mm 3 Rnd Light Blue J/C(W plt</t>
  </si>
  <si>
    <t>PRT  REL</t>
  </si>
  <si>
    <t>IMP02 CYCT 19 72 CAVITY 13642 PC PER HR</t>
  </si>
  <si>
    <t>INTRA VIS Preform Sorting Machine</t>
  </si>
  <si>
    <t>3100007588</t>
  </si>
  <si>
    <t>Plain Self Adhes W105XH165mm–BOPP 1000/R</t>
  </si>
  <si>
    <t>PRT  REL</t>
  </si>
  <si>
    <t>IMP01 CYCT 18.5 96 CAV 18681 PC PER HR</t>
  </si>
  <si>
    <t>INTRA VIS Preform Sorting Machine</t>
  </si>
  <si>
    <t>45.0PC2RD-CL-B</t>
  </si>
  <si>
    <t>45.0 PCO 1881Rd Clear J/C(P Plt</t>
  </si>
  <si>
    <t>PRT  REL</t>
  </si>
  <si>
    <t>IMP01 CYCT 18.5 96 CAV 18681 PC PER HR</t>
  </si>
  <si>
    <t>INTRA VIS Preform Sorting Machine</t>
  </si>
  <si>
    <t>3100007589</t>
  </si>
  <si>
    <t>45.0 PCO 1881 Rd ICI Green MenaBevPP HDG</t>
  </si>
  <si>
    <t>PRT  REL</t>
  </si>
  <si>
    <t>IMP01 CYCT 18.5 96 CAV 18681 PC PER HR</t>
  </si>
  <si>
    <t>INTRA VIS Preform Sorting Machine</t>
  </si>
  <si>
    <t>3100007590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</si>
  <si>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</si>
  <si>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</si>
  <si>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</si>
  <si>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</si>
  <si>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</si>
  <si>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</si>
  <si>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</si>
  <si>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</si>
  <si>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9.4TO2RD-LBS1-A</t>
  </si>
  <si>
    <t>9.4TO 29/25Rnd L.Blue J/CWplt(≤2ppm)SIPA</t>
  </si>
  <si>
    <t>PRT  REL</t>
  </si>
  <si>
    <t>RW01 IMD VISTA Sorting Machine</t>
  </si>
  <si>
    <t>IMD VISTA Sorting Machine</t>
  </si>
  <si>
    <t>3100007591</t>
  </si>
  <si>
    <t>Plain Self Adhes W105XH165mm–BOPP 1000/R</t>
  </si>
  <si>
    <t>PRT  REL</t>
  </si>
  <si>
    <t>IMPS01 CYT 6.8 180 CAV 95294 PC PER HR</t>
  </si>
  <si>
    <t>INTRA VIS Preform Sorting Machine</t>
  </si>
  <si>
    <t>P.E Bags (160x130)x50cm Th 40mic- Jomih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</si>
  <si>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</si>
  <si>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</si>
  <si>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</si>
  <si>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</si>
  <si>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</si>
  <si>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</si>
  <si>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</si>
  <si>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3100007592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</si>
  <si>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</si>
  <si>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</si>
  <si>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</si>
  <si>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</si>
  <si>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</si>
  <si>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</si>
  <si>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</si>
  <si>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</si>
  <si>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</si>
  <si>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</si>
  <si>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</si>
  <si>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</si>
  <si>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3100007593</t>
  </si>
  <si>
    <t>Plain Self Adhes W105XH165mm–BOPP 1000/R</t>
  </si>
  <si>
    <t>PRT  REL</t>
  </si>
  <si>
    <t>IM07 CYCT 11 96 CAVITY 31418 PC PER HR</t>
  </si>
  <si>
    <t>INTRA VIS Preform Sorting Machine</t>
  </si>
  <si>
    <t>PET Blue Preform For Grinding</t>
  </si>
  <si>
    <t>PRT  REL</t>
  </si>
  <si>
    <t>IM07 CYCT 11 96 CAVITY 31418 PC PER HR</t>
  </si>
  <si>
    <t>INTRA VIS Preform Sorting Machine</t>
  </si>
  <si>
    <t>14.0TO2RD-B4-A</t>
  </si>
  <si>
    <t>14.0 TO 29/25 Rnd Arwa Blue J/C(W plt)</t>
  </si>
  <si>
    <t>PRT  REL</t>
  </si>
  <si>
    <t>IM07 CYCT 11 96 CAVITY 31418 PC PER HR</t>
  </si>
  <si>
    <t>INTRA VIS Preform Sorting Machine</t>
  </si>
  <si>
    <t>3100007594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</si>
  <si>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</si>
  <si>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</si>
  <si>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</si>
  <si>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</si>
  <si>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</si>
  <si>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</si>
  <si>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</si>
  <si>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</si>
  <si>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</si>
  <si>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</si>
  <si>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</si>
  <si>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</si>
  <si>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3100007595</t>
  </si>
  <si>
    <t>45.0 PCO 1881Rd Clear J/C(P Plt</t>
  </si>
  <si>
    <t>PRT  REL</t>
  </si>
  <si>
    <t>IMP01 CYCT 18.5 96 CAV 18681 PC PER HR</t>
  </si>
  <si>
    <t>IMD VISTA Sorting Machine</t>
  </si>
  <si>
    <t>3100007596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</si>
  <si>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</si>
  <si>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</si>
  <si>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</si>
  <si>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</si>
  <si>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</si>
  <si>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</si>
  <si>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</si>
  <si>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</si>
  <si>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26.6TO2RD-CL-B</t>
  </si>
  <si>
    <t>26.6 TO 29/25 Rnd Clear J/C(P Plt</t>
  </si>
  <si>
    <t>PRT  REL</t>
  </si>
  <si>
    <t>RW01 IMD VISTA Sorting Machine</t>
  </si>
  <si>
    <t>IMD VISTA Sorting Machine</t>
  </si>
  <si>
    <t>3100007597</t>
  </si>
  <si>
    <t>Plain Self Adhes W105XH165mm–BOPP 1000/R</t>
  </si>
  <si>
    <t>PRT  REL</t>
  </si>
  <si>
    <t>IMP01 CYCT 18.5 96 CAV 18681 PC PER HR</t>
  </si>
  <si>
    <t>INTRA VIS Preform Sorting Machine</t>
  </si>
  <si>
    <t>P.E Bags (160x130)x50cm Th 40mic- Jomih</t>
  </si>
  <si>
    <t>PRT  REL</t>
  </si>
  <si>
    <t>IMP01 CYCT 18.5 96 CAV 18681 PC PER HR</t>
  </si>
  <si>
    <t>INTRA VIS Preform Sorting Machine</t>
  </si>
  <si>
    <t>45.0 PCO 1881Rd Clear J/C(P Plt</t>
  </si>
  <si>
    <t>PRT  REL</t>
  </si>
  <si>
    <t>IMP01 CYCT 18.5 96 CAV 18681 PC PER HR</t>
  </si>
  <si>
    <t>INTRA VIS Preform Sorting Machine</t>
  </si>
  <si>
    <t>3100007598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</si>
  <si>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</si>
  <si>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</si>
  <si>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</si>
  <si>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</si>
  <si>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</si>
  <si>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</si>
  <si>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</si>
  <si>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</si>
  <si>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3100007599</t>
  </si>
  <si>
    <t>Plain Self Adhes W105XH165mm–BOPP 1000/R</t>
  </si>
  <si>
    <t>PRT  REL</t>
  </si>
  <si>
    <t>IM07 CYCT 11 96 CAVITY 31418 PC PER HR</t>
  </si>
  <si>
    <t>INTRA VIS Preform Sorting Machine</t>
  </si>
  <si>
    <t>PET Blue Preform For Grinding</t>
  </si>
  <si>
    <t>PRT  REL</t>
  </si>
  <si>
    <t>IM07 CYCT 11 96 CAVITY 31418 PC PER HR</t>
  </si>
  <si>
    <t>INTRA VIS Preform Sorting Machine</t>
  </si>
  <si>
    <t>14.0 TO 29/25 Rnd Arwa Blue J/C(W plt)</t>
  </si>
  <si>
    <t>PRT  REL</t>
  </si>
  <si>
    <t>IM07 CYCT 11 96 CAVITY 31418 PC PER HR</t>
  </si>
  <si>
    <t>INTRA VIS Preform Sorting Machine</t>
  </si>
  <si>
    <t>3100007600</t>
  </si>
  <si>
    <t>52.0 BC38mm 3 Rnd Clear J/C(P Plt</t>
  </si>
  <si>
    <t>PRT  REL</t>
  </si>
  <si>
    <t>IMP01 CYCT 18.5 96CAVITY 18682 PC PER HR</t>
  </si>
  <si>
    <t>IMD VISTA Sorting Machine</t>
  </si>
  <si>
    <t>3100007601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</si>
  <si>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</si>
  <si>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</si>
  <si>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</si>
  <si>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</si>
  <si>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</si>
  <si>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</si>
  <si>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</si>
  <si>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</si>
  <si>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</si>
  <si>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</si>
  <si>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</si>
  <si>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</si>
  <si>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3100007602</t>
  </si>
  <si>
    <t>Plain Self Adhes W105XH165mm–BOPP 1000/R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</si>
  <si>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</si>
  <si>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</si>
  <si>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</si>
  <si>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</si>
  <si>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</si>
  <si>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</si>
  <si>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</si>
  <si>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</si>
  <si>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</si>
  <si>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</si>
  <si>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</si>
  <si>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3100007603</t>
  </si>
  <si>
    <t>52.0 BC38mm 3 Rnd Clear J/C(P Plt</t>
  </si>
  <si>
    <t>PRT  REL</t>
  </si>
  <si>
    <t>IMP01 CYCT 18.5 96CAVITY 18682 PC PER HR</t>
  </si>
  <si>
    <t>IMD VISTA Sorting Machine</t>
  </si>
  <si>
    <t>3100007604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</si>
  <si>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</si>
  <si>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</si>
  <si>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</si>
  <si>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</si>
  <si>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</si>
  <si>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</si>
  <si>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</si>
  <si>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</si>
  <si>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</si>
  <si>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</si>
  <si>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</si>
  <si>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</si>
  <si>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3100007605</t>
  </si>
  <si>
    <t>PET Blue Preform For Grinding</t>
  </si>
  <si>
    <t>PRT  REL</t>
  </si>
  <si>
    <t>IM07 CYCT 11 96 CAVITY 31418 PC PER HR</t>
  </si>
  <si>
    <t>IMD VISTA Sorting Machine</t>
  </si>
  <si>
    <t>14.0 TO 29/25 Rnd Arwa Blue J/C(W plt)</t>
  </si>
  <si>
    <t>PRT  REL</t>
  </si>
  <si>
    <t>IM07 CYCT 11 96 CAVITY 31418 PC PER HR</t>
  </si>
  <si>
    <t>IMD VISTA Sorting Machine</t>
  </si>
  <si>
    <t>3100007606</t>
  </si>
  <si>
    <t>Plain Self Adhes W105XH165mm–BOPP 1000/R</t>
  </si>
  <si>
    <t>PRT  REL</t>
  </si>
  <si>
    <t>IM24 CYCT 11 96 CAVITY 31418 PC PER HR</t>
  </si>
  <si>
    <t>IMD VISTA Sorting Machine</t>
  </si>
  <si>
    <t>PET Blue Preform For Grinding</t>
  </si>
  <si>
    <t>PRT  REL</t>
  </si>
  <si>
    <t>IM24 CYCT 11 96 CAVITY 31418 PC PER HR</t>
  </si>
  <si>
    <t>IMD VISTA Sorting Machine</t>
  </si>
  <si>
    <t>14.0TO2RD-B3-B</t>
  </si>
  <si>
    <t>14.0 TO29/25Rd Nova Blue-PET"ST-YISHENG"</t>
  </si>
  <si>
    <t>PRT  REL</t>
  </si>
  <si>
    <t>IM24 CYCT 11 96 CAVITY 31418 PC PER HR</t>
  </si>
  <si>
    <t>IMD VISTA Sorting Machine</t>
  </si>
  <si>
    <t>3100007607</t>
  </si>
  <si>
    <t>Plain Self Adhes W105XH165mm–BOPP 1000/R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</si>
  <si>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</si>
  <si>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</si>
  <si>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</si>
  <si>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</si>
  <si>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</si>
  <si>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</si>
  <si>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</si>
  <si>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</si>
  <si>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</si>
  <si>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</si>
  <si>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</si>
  <si>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3100007608</t>
  </si>
  <si>
    <t>PET Green Preform For Grinding</t>
  </si>
  <si>
    <t>PRT  REL</t>
  </si>
  <si>
    <t>IMPS06 CYT 11.5 180 CAV 56347 PC PER HR</t>
  </si>
  <si>
    <t>INTRA VIS Preform Sorting Machine</t>
  </si>
  <si>
    <t>21.0PC1RD-IGS-A</t>
  </si>
  <si>
    <t>21.0PCO1881Rnd ICI Green J/C(W/p-SIPA</t>
  </si>
  <si>
    <t>PRT  REL</t>
  </si>
  <si>
    <t>IMPS06 CYT 11.5 180 CAV 56347 PC PER HR</t>
  </si>
  <si>
    <t>INTRA VIS Preform Sorting Machine</t>
  </si>
  <si>
    <t>3100007609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</si>
  <si>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</si>
  <si>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</si>
  <si>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</si>
  <si>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</si>
  <si>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</si>
  <si>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</si>
  <si>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</si>
  <si>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</si>
  <si>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</si>
  <si>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</si>
  <si>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</si>
  <si>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</si>
  <si>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3100007610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</si>
  <si>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</si>
  <si>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</si>
  <si>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</si>
  <si>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</si>
  <si>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</si>
  <si>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</si>
  <si>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</si>
  <si>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</si>
  <si>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3100007611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</si>
  <si>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</si>
  <si>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</si>
  <si>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</si>
  <si>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</si>
  <si>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</si>
  <si>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</si>
  <si>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</si>
  <si>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</si>
  <si>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3100007612</t>
  </si>
  <si>
    <t>PET Clear Preform For Grinding</t>
  </si>
  <si>
    <t>PRT  REL</t>
  </si>
  <si>
    <t>IMPS06 CYT 11.5 180 CAV 56347 PC PER HR</t>
  </si>
  <si>
    <t>INTRA VIS Preform Sorting Machine</t>
  </si>
  <si>
    <t>21.0 PCO 1881 Rnd CLR MenaBev Spec SIPA</t>
  </si>
  <si>
    <t>PRT  REL</t>
  </si>
  <si>
    <t>IMPS06 CYT 11.5 180 CAV 56347 PC PER HR</t>
  </si>
  <si>
    <t>INTRA VIS Preform Sorting Machine</t>
  </si>
  <si>
    <t>3100007613</t>
  </si>
  <si>
    <t>21.0PC2RD-CLS-A</t>
  </si>
  <si>
    <t>21.0PCO1881Rnd Clear J/C(W/p-SIPA</t>
  </si>
  <si>
    <t>PRT  REL</t>
  </si>
  <si>
    <t>IMPS06 CYT 11.5 180 CAV 56347 PC PER HR</t>
  </si>
  <si>
    <t>INTRA VIS Preform Sorting Machine</t>
  </si>
  <si>
    <t>3100007614</t>
  </si>
  <si>
    <t>45.0PC2RD-CL-VH</t>
  </si>
  <si>
    <t>45.0 PCO 1881 Rnd Clear MenaBev PP HDG</t>
  </si>
  <si>
    <t>PRT  REL</t>
  </si>
  <si>
    <t>IMP01 CYCT 18.5 96 CAV 18681 PC PER HR</t>
  </si>
  <si>
    <t>IMD VISTA Sorting Machine</t>
  </si>
  <si>
    <t>3100007615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</si>
  <si>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</si>
  <si>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</si>
  <si>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</si>
  <si>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</si>
  <si>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</si>
  <si>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</si>
  <si>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</si>
  <si>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</si>
  <si>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</si>
  <si>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</si>
  <si>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</si>
  <si>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</si>
  <si>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3100007616</t>
  </si>
  <si>
    <t>21.0PCO1881Rnd ICI Green J/C(W/p-SIPA</t>
  </si>
  <si>
    <t>PRT  REL</t>
  </si>
  <si>
    <t>IMPS06 CYT 11.5 180 CAV 56347 PC PER HR</t>
  </si>
  <si>
    <t>INTRA VIS Preform Sorting Machine</t>
  </si>
  <si>
    <t>3100007617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</si>
  <si>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</si>
  <si>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</si>
  <si>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</si>
  <si>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</si>
  <si>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</si>
  <si>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</si>
  <si>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</si>
  <si>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</si>
  <si>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</si>
  <si>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</si>
  <si>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</si>
  <si>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</si>
  <si>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3100007618</t>
  </si>
  <si>
    <t>P.E Bags (160x130)x50cm Th 40mic- Jomih</t>
  </si>
  <si>
    <t>PRT  REL</t>
  </si>
  <si>
    <t>IMPS06 CYCT 15 CAV 180  PCS PER HR 43200</t>
  </si>
  <si>
    <t>IMD VISTA Sorting Machine</t>
  </si>
  <si>
    <t>30.5PC2RD-CLS-BH2</t>
  </si>
  <si>
    <t>30.5 PCO 1881Rnd CLR J/C(PP JOM HDG-SIPA</t>
  </si>
  <si>
    <t>PRT  REL</t>
  </si>
  <si>
    <t>IMPS06 CYCT 15 CAV 180  PCS PER HR 43200</t>
  </si>
  <si>
    <t>IMD VISTA Sorting Machine</t>
  </si>
  <si>
    <t>3100007619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</si>
  <si>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</si>
  <si>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</si>
  <si>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</si>
  <si>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</si>
  <si>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</si>
  <si>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</si>
  <si>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</si>
  <si>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</si>
  <si>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</si>
  <si>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</si>
  <si>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</si>
  <si>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</si>
  <si>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3100007620</t>
  </si>
  <si>
    <t>20101057</t>
  </si>
  <si>
    <t>CARTON EXPT L593 X W393 X H456 mm-BC799</t>
  </si>
  <si>
    <t>PRT  REL</t>
  </si>
  <si>
    <t>IMPS03 CYT 6.5 180 CAV 99692 PC PER HR</t>
  </si>
  <si>
    <t>INTRA VIS Preform Sorting Machine</t>
  </si>
  <si>
    <t>202658</t>
  </si>
  <si>
    <t>P.E.BAGS CLEAR 120 X 61 CM</t>
  </si>
  <si>
    <t>PRT  REL</t>
  </si>
  <si>
    <t>IMPS03 CYT 6.5 180 CAV 99692 PC PER HR</t>
  </si>
  <si>
    <t>INTRA VIS Preform Sorting Machine</t>
  </si>
  <si>
    <t>7.8TO2RD-CLS-A</t>
  </si>
  <si>
    <t>7.80 TO 29/25 Rnd Clear J/C(W Plt-SIPA</t>
  </si>
  <si>
    <t>PRT  REL</t>
  </si>
  <si>
    <t>IMPS03 CYT 6.5 180 CAV 99692 PC PER HR</t>
  </si>
  <si>
    <t>INTRA VIS Preform Sorting Machine</t>
  </si>
  <si>
    <t>3100007621</t>
  </si>
  <si>
    <t>CARTON EXPT L593 X W393 X H456 mm-BC799</t>
  </si>
  <si>
    <t>PRT  REL</t>
  </si>
  <si>
    <t>IMP03 CYCT 8.1 96 CAVITY 42666 PC PER HR</t>
  </si>
  <si>
    <t>INTRA VIS Preform Sorting Machine</t>
  </si>
  <si>
    <t>P.E.BAGS CLEAR 120 X 61 CM</t>
  </si>
  <si>
    <t>PRT  REL</t>
  </si>
  <si>
    <t>IMP03 CYCT 8.1 96 CAVITY 42666 PC PER HR</t>
  </si>
  <si>
    <t>INTRA VIS Preform Sorting Machine</t>
  </si>
  <si>
    <t>10.4TO2RD-LB-A</t>
  </si>
  <si>
    <t>10.4 TO 29/25 Rnd Light BLUE J/C(W Plt</t>
  </si>
  <si>
    <t>PRT  REL</t>
  </si>
  <si>
    <t>IMP03 CYCT 8.1 96 CAVITY 42666 PC PER HR</t>
  </si>
  <si>
    <t>INTRA VIS Preform Sorting Machine</t>
  </si>
  <si>
    <t>3100007622</t>
  </si>
  <si>
    <t>CARTON EXPT L593 X W393 X H456 mm-BC799</t>
  </si>
  <si>
    <t>PRT  REL</t>
  </si>
  <si>
    <t>IMPS03 CYT 6.5 180 CAV 99692 PC PER HR</t>
  </si>
  <si>
    <t>INTRA VIS Preform Sorting Machine</t>
  </si>
  <si>
    <t>P.E.BAGS CLEAR 120 X 61 CM</t>
  </si>
  <si>
    <t>PRT  REL</t>
  </si>
  <si>
    <t>IMPS03 CYT 6.5 180 CAV 99692 PC PER HR</t>
  </si>
  <si>
    <t>INTRA VIS Preform Sorting Machine</t>
  </si>
  <si>
    <t>7.45TO2RD-LBS-A</t>
  </si>
  <si>
    <t>7.45TO LW 29/25 L.Blue J/C(WP-SIPA</t>
  </si>
  <si>
    <t>PRT  REL</t>
  </si>
  <si>
    <t>IMPS03 CYT 6.5 180 CAV 99692 PC PER HR</t>
  </si>
  <si>
    <t>INTRA VIS Preform Sorting Machine</t>
  </si>
  <si>
    <t>3100007623</t>
  </si>
  <si>
    <t>J/C Top Cover (L121XW102XH15)mm- 735gsm</t>
  </si>
  <si>
    <t>DLT  PRT  REL</t>
  </si>
  <si>
    <t>RW01 IMD VISTA Sorting Machine</t>
  </si>
  <si>
    <t>IMD VISTA Sorting Machine</t>
  </si>
  <si>
    <t>J/C 7Ply(L1200xW1000xH1000)mm-1300gsm-AA</t>
  </si>
  <si>
    <t>DLT  PRT  REL</t>
  </si>
  <si>
    <t>RW01 IMD VISTA Sorting Machine</t>
  </si>
  <si>
    <t>IMD VISTA Sorting Machine</t>
  </si>
  <si>
    <t>Transparent Tape roll 2'' wide 45mic</t>
  </si>
  <si>
    <t>DLT  PRT  REL</t>
  </si>
  <si>
    <t>RW01 IMD VISTA Sorting Machine</t>
  </si>
  <si>
    <t>IMD VISTA Sorting Machine</t>
  </si>
  <si>
    <t>J/C Bottom Sheet(L1170XW970)mm - 347 gsm</t>
  </si>
  <si>
    <t>DLT  PRT  REL</t>
  </si>
  <si>
    <t>RW01 IMD VISTA Sorting Machine</t>
  </si>
  <si>
    <t>IMD VISTA Sorting Machine</t>
  </si>
  <si>
    <t>PET Green strapping ROL 2500m-12.5x0.6mm</t>
  </si>
  <si>
    <t>DLT  PRT  REL</t>
  </si>
  <si>
    <t>RW01 IMD VISTA Sorting Machine</t>
  </si>
  <si>
    <t>IMD VISTA Sorting Machine</t>
  </si>
  <si>
    <t>J/C Tubes (ID-50 X T-7 X L-975) mm</t>
  </si>
  <si>
    <t>DLT  PRT  REL</t>
  </si>
  <si>
    <t>RW01 IMD VISTA Sorting Machine</t>
  </si>
  <si>
    <t>IMD VISTA Sorting Machine</t>
  </si>
  <si>
    <t>P.E.BAG CLEAR-L265XW130+50cm -335g/30mic</t>
  </si>
  <si>
    <t>DLT  PRT  REL</t>
  </si>
  <si>
    <t>RW01 IMD VISTA Sorting Machine</t>
  </si>
  <si>
    <t>IMD VISTA Sorting Machine</t>
  </si>
  <si>
    <t>P.E Bags (160x130)x50cm Th 40mic- Jomih</t>
  </si>
  <si>
    <t>DLT  PRT  REL</t>
  </si>
  <si>
    <t>RW01 IMD VISTA Sorting Machine</t>
  </si>
  <si>
    <t>IMD VISTA Sorting Machine</t>
  </si>
  <si>
    <t>600408</t>
  </si>
  <si>
    <t>PREFORM SCRAP</t>
  </si>
  <si>
    <t>DLT  PRT  REL</t>
  </si>
  <si>
    <t>RW01 IMD VISTA Sorting Machine</t>
  </si>
  <si>
    <t>IMD VISTA Sorting Machine</t>
  </si>
  <si>
    <t>Nylon Cable Tie – CV-200B-Black(100 pcs)</t>
  </si>
  <si>
    <t>DLT  PRT  REL</t>
  </si>
  <si>
    <t>RW01 IMD VISTA Sorting Machine</t>
  </si>
  <si>
    <t>IMD VISTA Sorting Machine</t>
  </si>
  <si>
    <t>Plain Self Adhes W105XH165mm–BOPP 1000/R</t>
  </si>
  <si>
    <t>PRT  REL</t>
  </si>
  <si>
    <t>RW01 IMD VISTA Sorting Machine</t>
  </si>
  <si>
    <t>IMD VISTA Sorting Machine</t>
  </si>
  <si>
    <t>Returned from Customer JUMBO CTN</t>
  </si>
  <si>
    <t>DLT  PRT  REL</t>
  </si>
  <si>
    <t>RW01 IMD VISTA Sorting Machine</t>
  </si>
  <si>
    <t>IMD VISTA Sorting Machine</t>
  </si>
  <si>
    <t>Returned from Customer Tubes for Boxes</t>
  </si>
  <si>
    <t>DLT  PRT  REL</t>
  </si>
  <si>
    <t>RW01 IMD VISTA Sorting Machine</t>
  </si>
  <si>
    <t>IMD VISTA Sorting Machine</t>
  </si>
  <si>
    <t>PET LUMPS</t>
  </si>
  <si>
    <t>DLT  PRT  REL</t>
  </si>
  <si>
    <t>RW01 IMD VISTA Sorting Machine</t>
  </si>
  <si>
    <t>IMD VISTA Sorting Machine</t>
  </si>
  <si>
    <t>PET Clear Preform For Grinding</t>
  </si>
  <si>
    <t>DLT  PRT  REL</t>
  </si>
  <si>
    <t>RW01 IMD VISTA Sorting Machine</t>
  </si>
  <si>
    <t>IMD VISTA Sorting Machine</t>
  </si>
  <si>
    <t>Oil Contaminated PET Preform</t>
  </si>
  <si>
    <t>DLT  PRT  REL</t>
  </si>
  <si>
    <t>RW01 IMD VISTA Sorting Machine</t>
  </si>
  <si>
    <t>IMD VISTA Sorting Machine</t>
  </si>
  <si>
    <t>METAL CLIP SIZE:- 5 / 8" ,  700gm/BOX</t>
  </si>
  <si>
    <t>DLT  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</si>
  <si>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</si>
  <si>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</si>
  <si>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</si>
  <si>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</si>
  <si>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</si>
  <si>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</si>
  <si>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Retainable J/C Bottom Sheet</t>
  </si>
  <si>
    <t>DLT  PRT  REL</t>
  </si>
  <si>
    <t>RW01 IMD VISTA Sorting Machine</t>
  </si>
  <si>
    <t>IMD VISTA Sorting Machine</t>
  </si>
  <si>
    <t>Returnable top jumbo cover carton</t>
  </si>
  <si>
    <t>DLT  PRT  REL</t>
  </si>
  <si>
    <t>RW01 IMD VISTA Sorting Machine</t>
  </si>
  <si>
    <t>IMD VISTA Sorting Machine</t>
  </si>
  <si>
    <t>Polyethylene Terephthalate PET BC212</t>
  </si>
  <si>
    <t>DLT  PRT  REL</t>
  </si>
  <si>
    <t>RW01 IMD VISTA Sorting Machine</t>
  </si>
  <si>
    <t>IMD VISTA Sorting Machine</t>
  </si>
  <si>
    <t>JADE PET CSD Grade 328</t>
  </si>
  <si>
    <t>DLT  PRT  REL</t>
  </si>
  <si>
    <t>RW01 IMD VISTA Sorting Machine</t>
  </si>
  <si>
    <t>IMD VISTA Sorting Machine</t>
  </si>
  <si>
    <t>102664</t>
  </si>
  <si>
    <t>RELIANCE PET RESIN CSD - G5841</t>
  </si>
  <si>
    <t>DLT  PRT  REL</t>
  </si>
  <si>
    <t>RW01 IMD VISTA Sorting Machine</t>
  </si>
  <si>
    <t>IMD VISTA Sorting Machine</t>
  </si>
  <si>
    <t>101100724</t>
  </si>
  <si>
    <t>INDORAMA PET CSD Grade - RAMAPET S1</t>
  </si>
  <si>
    <t>DLT  PRT  REL</t>
  </si>
  <si>
    <t>RW01 IMD VISTA Sorting Machine</t>
  </si>
  <si>
    <t>IMD VISTA Sorting Machine</t>
  </si>
  <si>
    <t>102690</t>
  </si>
  <si>
    <t>Octal PET CSD Grade-GP02</t>
  </si>
  <si>
    <t>DLT  PRT  REL</t>
  </si>
  <si>
    <t>RW01 IMD VISTA Sorting Machine</t>
  </si>
  <si>
    <t>IMD VISTA Sorting Machine</t>
  </si>
  <si>
    <t>EMPTY JUMBO BAGS</t>
  </si>
  <si>
    <t>DLT  PRT  REL</t>
  </si>
  <si>
    <t>RW01 IMD VISTA Sorting Machine</t>
  </si>
  <si>
    <t>IMD VISTA Sorting Machine</t>
  </si>
  <si>
    <t>Polyethylene Liners Scrap</t>
  </si>
  <si>
    <t>DLT  PRT  REL</t>
  </si>
  <si>
    <t>RW01 IMD VISTA Sorting Machine</t>
  </si>
  <si>
    <t>IMD VISTA Sorting Machine</t>
  </si>
  <si>
    <t>EMPTY CARTONS</t>
  </si>
  <si>
    <t>DLT  PRT  REL</t>
  </si>
  <si>
    <t>RW01 IMD VISTA Sorting Machine</t>
  </si>
  <si>
    <t>IMD VISTA Sorting Machine</t>
  </si>
  <si>
    <t>101100784</t>
  </si>
  <si>
    <t>Local SABIC PET BC212</t>
  </si>
  <si>
    <t>DLT  PRT  REL</t>
  </si>
  <si>
    <t>RW01 IMD VISTA Sorting Machine</t>
  </si>
  <si>
    <t>IMD VISTA Sorting Machine</t>
  </si>
  <si>
    <t>101100774</t>
  </si>
  <si>
    <t>China Resource PET CSD CR8828 (IV 0.85)</t>
  </si>
  <si>
    <t>DLT  PRT  REL</t>
  </si>
  <si>
    <t>RW01 IMD VISTA Sorting Machine</t>
  </si>
  <si>
    <t>IMD VISTA Sorting Machine</t>
  </si>
  <si>
    <t>101100743</t>
  </si>
  <si>
    <t>Hainan PET CSD Grade -YS-CO1</t>
  </si>
  <si>
    <t>DLT  PRT  REL</t>
  </si>
  <si>
    <t>RW01 IMD VISTA Sorting Machine</t>
  </si>
  <si>
    <t>IMD VISTA Sorting Machine</t>
  </si>
  <si>
    <t>30.5 PCO 1881Rnd CLR J/C(PP JOM HDG-SIPA</t>
  </si>
  <si>
    <t>PRT  REL</t>
  </si>
  <si>
    <t>RW01 IMD VISTA Sorting Machine</t>
  </si>
  <si>
    <t>IMD VISTA Sorting Machine</t>
  </si>
  <si>
    <t>3100007624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</si>
  <si>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</si>
  <si>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</si>
  <si>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</si>
  <si>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</si>
  <si>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</si>
  <si>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</si>
  <si>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</si>
  <si>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</si>
  <si>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14.0PC2RD-CL-A</t>
  </si>
  <si>
    <t>14.0 PCO 1881 Rnd Clear J/C(W Plt</t>
  </si>
  <si>
    <t>PRT  REL</t>
  </si>
  <si>
    <t>RW01 IMD VISTA Sorting Machine</t>
  </si>
  <si>
    <t>IMD VISTA Sorting Machine</t>
  </si>
  <si>
    <t>PET Clear Preform For Grinding</t>
  </si>
  <si>
    <t>PRT  REL</t>
  </si>
  <si>
    <t>RW01 IMD VISTA Sorting Machine</t>
  </si>
  <si>
    <t>IMD VISTA Sorting Machine</t>
  </si>
  <si>
    <t>3100007625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</si>
  <si>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</si>
  <si>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</si>
  <si>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</si>
  <si>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</si>
  <si>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</si>
  <si>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</si>
  <si>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</si>
  <si>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</si>
  <si>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</si>
  <si>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</si>
  <si>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</si>
  <si>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</si>
  <si>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3100007626</t>
  </si>
  <si>
    <t>52.0 BC38mm 3 Rnd Clear J/C(P Plt</t>
  </si>
  <si>
    <t>PRT  REL</t>
  </si>
  <si>
    <t>IMP01 CYCT 18.5 96CAVITY 18682 PC PER HR</t>
  </si>
  <si>
    <t>IMD VISTA Sorting Machine</t>
  </si>
  <si>
    <t>3100007627</t>
  </si>
  <si>
    <t>26.6 TO 29/25 Rnd Clear J/C(P Plt</t>
  </si>
  <si>
    <t>PRT  REL</t>
  </si>
  <si>
    <t>IMP12 CYCT 15.6 96 CAVITY 22153 PC</t>
  </si>
  <si>
    <t>IMD VISTA Sorting Machine</t>
  </si>
  <si>
    <t>3100007628</t>
  </si>
  <si>
    <t>Plain Self Adhes W105XH165mm–BOPP 1000/R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</si>
  <si>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</si>
  <si>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</si>
  <si>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</si>
  <si>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</si>
  <si>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</si>
  <si>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</si>
  <si>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</si>
  <si>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PET Clear Preform For Grinding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</si>
  <si>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</si>
  <si>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</si>
  <si>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</si>
  <si>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</si>
  <si>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</si>
  <si>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</si>
  <si>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</si>
  <si>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3100007629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</si>
  <si>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</si>
  <si>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</si>
  <si>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</si>
  <si>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</si>
  <si>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</si>
  <si>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</si>
  <si>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</si>
  <si>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</si>
  <si>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3100007630</t>
  </si>
  <si>
    <t>8.30TO LW 29/25Rd L.Blue J/C(W plt)-SIPA</t>
  </si>
  <si>
    <t>PRT  REL</t>
  </si>
  <si>
    <t>IMPS04 CYT 6.50 180 CAV 99694 pcs</t>
  </si>
  <si>
    <t>IMD VISTA Sorting Machine</t>
  </si>
  <si>
    <t>3100007631</t>
  </si>
  <si>
    <t>Plain Self Adhes W105XH165mm–BOPP 1000/R</t>
  </si>
  <si>
    <t>IMPS06 CYT 12.3 180 CAV 52682 PC PER HR</t>
  </si>
  <si>
    <t>IMD VISTA Sorting Machine</t>
  </si>
  <si>
    <t>PET Clear Preform For Grinding</t>
  </si>
  <si>
    <t>IMPS06 CYT 12.3 180 CAV 52682 PC PER HR</t>
  </si>
  <si>
    <t>IMD VISTA Sorting Machine</t>
  </si>
  <si>
    <t>22.3PC2RD-CLS-A</t>
  </si>
  <si>
    <t>22.3PCO 1881 Rnd Clear(SIPA)</t>
  </si>
  <si>
    <t>IMPS06 CYT 12.3 180 CAV 52682 PC PER HR</t>
  </si>
  <si>
    <t>IMD VISTA Sorting Machine</t>
  </si>
  <si>
    <t>3100007632</t>
  </si>
  <si>
    <t>45.0 PCO 1881 ICI Green J/C(P Plt </t>
  </si>
  <si>
    <t>PRT  REL</t>
  </si>
  <si>
    <t>IMP19 CYCT 18.5 96 CAV 18681 PC PER HR</t>
  </si>
  <si>
    <t>INTRA VIS Preform Sorting Machine</t>
  </si>
  <si>
    <t>3100007633</t>
  </si>
  <si>
    <t>30.5PC2RD-IGS-BH2</t>
  </si>
  <si>
    <t>30.5PCO1881 ICI GreenJ/C(PP JOM HDG-SIPA</t>
  </si>
  <si>
    <t>PRT  REL</t>
  </si>
  <si>
    <t>IMPS06 CYCT 15 CAV 180  PCS PER HR 43200</t>
  </si>
  <si>
    <t>IMD VISTA Sorting Machine</t>
  </si>
  <si>
    <t>3100007634</t>
  </si>
  <si>
    <t>PET Clear Preform For Grinding</t>
  </si>
  <si>
    <t>IMPS06 CYT 12.3 180 CAV 52682 PC PER HR</t>
  </si>
  <si>
    <t>IMD VISTA Sorting Machine</t>
  </si>
  <si>
    <t>22.3PCO 1881 Rnd Clear(SIPA)</t>
  </si>
  <si>
    <t>IMPS06 CYT 12.3 180 CAV 52682 PC PER HR</t>
  </si>
  <si>
    <t>IMD VISTA Sorting Machine</t>
  </si>
  <si>
    <t>3100007635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</si>
  <si>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</si>
  <si>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</si>
  <si>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</si>
  <si>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</si>
  <si>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</si>
  <si>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</si>
  <si>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</si>
  <si>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</si>
  <si>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 PCO 1881 ICI Green J/C(P Plt </t>
  </si>
  <si>
    <t>PRT  REL</t>
  </si>
  <si>
    <t>RW01 IMD VISTA Sorting Machine</t>
  </si>
  <si>
    <t>IMD VISTA Sorting Machine</t>
  </si>
  <si>
    <t>3100007636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</si>
  <si>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</si>
  <si>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</si>
  <si>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</si>
  <si>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</si>
  <si>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</si>
  <si>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</si>
  <si>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</si>
  <si>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</si>
  <si>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</si>
  <si>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</si>
  <si>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</si>
  <si>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</si>
  <si>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3100007637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</si>
  <si>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</si>
  <si>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</si>
  <si>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</si>
  <si>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</si>
  <si>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</si>
  <si>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</si>
  <si>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</si>
  <si>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</si>
  <si>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3100007638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</si>
  <si>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</si>
  <si>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</si>
  <si>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</si>
  <si>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</si>
  <si>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</si>
  <si>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</si>
  <si>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</si>
  <si>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</si>
  <si>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3100007639</t>
  </si>
  <si>
    <t>Honeywell Intermec Ribbon 110*450</t>
  </si>
  <si>
    <t>PRT  REL</t>
  </si>
  <si>
    <t>IMPS05</t>
  </si>
  <si>
    <t>IMPS05 CYT 7.5 180 CAV 86400 PC PER HR</t>
  </si>
  <si>
    <t>Injection Molding 05 SIPA XFORM500EVO</t>
  </si>
  <si>
    <t>Plain Self Adhes W105XH165mm–BOPP 1000/R</t>
  </si>
  <si>
    <t>PRT  REL</t>
  </si>
  <si>
    <t>IMPS05 CYT 7.5 180 CAV 86400 PC PER HR</t>
  </si>
  <si>
    <t>Injection Molding 05 SIPA XFORM500EVO</t>
  </si>
  <si>
    <t>12.5TO2RD-CLS-B</t>
  </si>
  <si>
    <t>12.5 29/25 Rnd Clear J/C(PP</t>
  </si>
  <si>
    <t>PRT  REL</t>
  </si>
  <si>
    <t>IMPS05 CYT 7.5 180 CAV 86400 PC PER HR</t>
  </si>
  <si>
    <t>Injection Molding 05 SIPA XFORM500EVO</t>
  </si>
  <si>
    <t>3100007640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</si>
  <si>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</si>
  <si>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</si>
  <si>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</si>
  <si>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</si>
  <si>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</si>
  <si>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</si>
  <si>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</si>
  <si>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</si>
  <si>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13.5TO2RD-B4-B</t>
  </si>
  <si>
    <t>13.5 TO29/25Rnd Nova Blue-PET"ST-FENC"</t>
  </si>
  <si>
    <t>PRT  REL</t>
  </si>
  <si>
    <t>RW01 IMD VISTA Sorting Machine</t>
  </si>
  <si>
    <t>IMD VISTA Sorting Machine</t>
  </si>
  <si>
    <t>3100007641</t>
  </si>
  <si>
    <t>45.0PC2RD-IG-A</t>
  </si>
  <si>
    <t>45.0 PCO 1881 Rnd ICI Green J/C(W plt</t>
  </si>
  <si>
    <t>PRT  REL</t>
  </si>
  <si>
    <t>IMP19 CYCT 18.5  96 CAV 18682 PER HR</t>
  </si>
  <si>
    <t>IMD VISTA Sorting Machine</t>
  </si>
  <si>
    <t>3100007642</t>
  </si>
  <si>
    <t>9.4TO2RD-LBS2-A</t>
  </si>
  <si>
    <t>9.4TO 29/25Rnd L.Blue J/CWplt(≤1ppm)SIPA</t>
  </si>
  <si>
    <t>PRT  REL</t>
  </si>
  <si>
    <t>IMPS01 CYT 6.8 180 CAV 95294 PC PER HR</t>
  </si>
  <si>
    <t>IMD VISTA Sorting Machine</t>
  </si>
  <si>
    <t>3100007643</t>
  </si>
  <si>
    <t>30.5PCO1881 ICI GreenJ/C(PP JOM HDG-SIPA</t>
  </si>
  <si>
    <t>PRT  REL</t>
  </si>
  <si>
    <t>IMPS06 CYCT 15 CAV 180  PCS PER HR 43200</t>
  </si>
  <si>
    <t>IMD VISTA Sorting Machine</t>
  </si>
  <si>
    <t>3100007644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</si>
  <si>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</si>
  <si>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</si>
  <si>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</si>
  <si>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</si>
  <si>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</si>
  <si>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</si>
  <si>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</si>
  <si>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</si>
  <si>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3100007645</t>
  </si>
  <si>
    <t>Plain Self Adhes W105XH165mm–BOPP 1000/R</t>
  </si>
  <si>
    <t>PRT  REL</t>
  </si>
  <si>
    <t>IMP01 CYCT 18.5 96 CAV 18681 PC PER HR</t>
  </si>
  <si>
    <t>INTRA VIS Preform Sorting Machine</t>
  </si>
  <si>
    <t>PET Green Preform For Grinding</t>
  </si>
  <si>
    <t>PRT  REL</t>
  </si>
  <si>
    <t>IMP01 CYCT 18.5 96 CAV 18681 PC PER HR</t>
  </si>
  <si>
    <t>INTRA VIS Preform Sorting Machine</t>
  </si>
  <si>
    <t>45.0 PCO 1881 Rd ICI Green MenaBevPP HDG</t>
  </si>
  <si>
    <t>PRT  REL</t>
  </si>
  <si>
    <t>IMP01 CYCT 18.5 96 CAV 18681 PC PER HR</t>
  </si>
  <si>
    <t>INTRA VIS Preform Sorting Machine</t>
  </si>
  <si>
    <t>3100007646</t>
  </si>
  <si>
    <t>52.0 BC38mm 3 Rnd Clear J/C(P Plt</t>
  </si>
  <si>
    <t>PRT  REL</t>
  </si>
  <si>
    <t>IMP01 CYCT 18.5 96CAVITY 18682 PC PER HR</t>
  </si>
  <si>
    <t>IMD VISTA Sorting Machine</t>
  </si>
  <si>
    <t>3100007647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</si>
  <si>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</si>
  <si>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</si>
  <si>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</si>
  <si>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</si>
  <si>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</si>
  <si>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</si>
  <si>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</si>
  <si>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</si>
  <si>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</si>
  <si>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</si>
  <si>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</si>
  <si>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</si>
  <si>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3100007648</t>
  </si>
  <si>
    <t>52.0BC1RD-CL-G</t>
  </si>
  <si>
    <t>52.0 BC 38mm 3 Rnd Clear OJ/C(W plt</t>
  </si>
  <si>
    <t>PRT  REL</t>
  </si>
  <si>
    <t>IMP01 CYCT 18.5 96CAVITY 18682 PC PER HR</t>
  </si>
  <si>
    <t>IMD VISTA Sorting Machine</t>
  </si>
  <si>
    <t>3100007649</t>
  </si>
  <si>
    <t>PET Blue Preform For Grinding</t>
  </si>
  <si>
    <t>PRT  REL</t>
  </si>
  <si>
    <t>IMP07 CYCT 18.2 96 CAV 18989 PC PER HR</t>
  </si>
  <si>
    <t>IMD VISTA Sorting Machine</t>
  </si>
  <si>
    <t>52.0BC1RD-DB-A</t>
  </si>
  <si>
    <t>52.0 BC38mm 3Rnd Dark Blue J/C(W plt</t>
  </si>
  <si>
    <t>PRT  REL</t>
  </si>
  <si>
    <t>IMP07 CYCT 18.2 96 CAV 18989 PC PER HR</t>
  </si>
  <si>
    <t>IMD VISTA Sorting Machine</t>
  </si>
  <si>
    <t>3100007650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</si>
  <si>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</si>
  <si>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</si>
  <si>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</si>
  <si>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</si>
  <si>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</si>
  <si>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</si>
  <si>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</si>
  <si>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</si>
  <si>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3100007651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</si>
  <si>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</si>
  <si>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</si>
  <si>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</si>
  <si>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</si>
  <si>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</si>
  <si>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</si>
  <si>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</si>
  <si>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</si>
  <si>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3100007652</t>
  </si>
  <si>
    <t>PET Blue Preform For Grinding</t>
  </si>
  <si>
    <t>PRT  REL</t>
  </si>
  <si>
    <t>IMP07 CYCT 18.2 96 CAV 18989 PC PER HR</t>
  </si>
  <si>
    <t>IMD VISTA Sorting Machine</t>
  </si>
  <si>
    <t>52.0 BC38mm 3Rnd Dark Blue J/C(W plt</t>
  </si>
  <si>
    <t>PRT  REL</t>
  </si>
  <si>
    <t>IMP07 CYCT 18.2 96 CAV 18989 PC PER HR</t>
  </si>
  <si>
    <t>IMD VISTA Sorting Machine</t>
  </si>
  <si>
    <t>3100007653</t>
  </si>
  <si>
    <t>30.5PCO1881 ICI GreenJ/C(PP JOM HDG-SIPA</t>
  </si>
  <si>
    <t>PRT  REL</t>
  </si>
  <si>
    <t>IMPS06 CYCT 15 CAV 180  PCS PER HR 43200</t>
  </si>
  <si>
    <t>IMD VISTA Sorting Machine</t>
  </si>
  <si>
    <t>3100007654</t>
  </si>
  <si>
    <t>52.0 BC38mm 3 Rnd Clear J/C(P Plt</t>
  </si>
  <si>
    <t>PRT  REL</t>
  </si>
  <si>
    <t>IMP01 CYCT 18.5 96CAVITY 18682 PC PER HR</t>
  </si>
  <si>
    <t>IMD VISTA Sorting Machine</t>
  </si>
  <si>
    <t>3100007655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</si>
  <si>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</si>
  <si>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</si>
  <si>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</si>
  <si>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</si>
  <si>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</si>
  <si>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</si>
  <si>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</si>
  <si>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</si>
  <si>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3100007656</t>
  </si>
  <si>
    <t>52.0 BC38mm 3 Rnd Clear J/C(P Plt</t>
  </si>
  <si>
    <t>PRT  REL</t>
  </si>
  <si>
    <t>IMP01 CYCT 18.5 96CAVITY 18682 PC PER HR</t>
  </si>
  <si>
    <t>IMD VISTA Sorting Machine</t>
  </si>
  <si>
    <t>3100007657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</si>
  <si>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</si>
  <si>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</si>
  <si>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</si>
  <si>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</si>
  <si>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</si>
  <si>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</si>
  <si>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</si>
  <si>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</si>
  <si>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29.3TO2RD-CL-A</t>
  </si>
  <si>
    <t>29.3 TO 29/25 Rnd Clear J/C(W Plt</t>
  </si>
  <si>
    <t>PRT  REL</t>
  </si>
  <si>
    <t>IMP12 CYCT 15.6 96 CAVITY 22153 PC</t>
  </si>
  <si>
    <t>IMD VISTA Sorting Machine</t>
  </si>
  <si>
    <t>3100007658</t>
  </si>
  <si>
    <t>45.0 PCO 1881Rd Clear J/C(P Plt</t>
  </si>
  <si>
    <t>PRT  REL</t>
  </si>
  <si>
    <t>IMP01 CYCT 18.5 96 CAV 18681 PC PER HR</t>
  </si>
  <si>
    <t>IMD VISTA Sorting Machine</t>
  </si>
  <si>
    <t>3100007659</t>
  </si>
  <si>
    <t>52.0 BC38mm 3 Rnd Clear J/C(P Plt</t>
  </si>
  <si>
    <t>PRT  REL</t>
  </si>
  <si>
    <t>IMP01 CYCT 18.5 96CAVITY 18682 PC PER HR</t>
  </si>
  <si>
    <t>IMD VISTA Sorting Machine</t>
  </si>
  <si>
    <t>3100007660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</si>
  <si>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</si>
  <si>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</si>
  <si>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</si>
  <si>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</si>
  <si>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</si>
  <si>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</si>
  <si>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</si>
  <si>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</si>
  <si>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3100007661</t>
  </si>
  <si>
    <t>Plain Self Adhes W105XH165mm–BOPP 1000/R</t>
  </si>
  <si>
    <t>PRT  REL</t>
  </si>
  <si>
    <t>IM24 CYCT 11 96 CAVITY 31418 PC PER HR</t>
  </si>
  <si>
    <t>IMD VISTA Sorting Machine</t>
  </si>
  <si>
    <t>PET Clear Preform For Grinding</t>
  </si>
  <si>
    <t>PRT  REL</t>
  </si>
  <si>
    <t>IM24 CYCT 11 96 CAVITY 31418 PC PER HR</t>
  </si>
  <si>
    <t>IMD VISTA Sorting Machine</t>
  </si>
  <si>
    <t>14.0 PCO 1881 Rnd Clear J/C(W Plt</t>
  </si>
  <si>
    <t>PRT  REL</t>
  </si>
  <si>
    <t>IM24 CYCT 11 96 CAVITY 31418 PC PER HR</t>
  </si>
  <si>
    <t>IMD VISTA Sorting Machine</t>
  </si>
  <si>
    <t>3100007662</t>
  </si>
  <si>
    <t>45.0 PCO 1881Rd Clear J/C(P Plt</t>
  </si>
  <si>
    <t>PRT  REL</t>
  </si>
  <si>
    <t>IMP01 CYCT 18.5 96 CAV 18681 PC PER HR</t>
  </si>
  <si>
    <t>INTRA VIS Preform Sorting Machine</t>
  </si>
  <si>
    <t>3100007663</t>
  </si>
  <si>
    <t>Plain Self Adhes W105XH165mm–BOPP 1000/R</t>
  </si>
  <si>
    <t>PRT  REL</t>
  </si>
  <si>
    <t>IMPS01 CYT 6.8 180 CAV 95294 PC PER HR</t>
  </si>
  <si>
    <t>INTRA VIS Preform Sorting Machine</t>
  </si>
  <si>
    <t>9.4TO 29/25Rnd L.Blue J/CWplt(≤1ppm)SIPA</t>
  </si>
  <si>
    <t>PRT  REL</t>
  </si>
  <si>
    <t>IMPS01 CYT 6.8 180 CAV 95294 PC PER HR</t>
  </si>
  <si>
    <t>INTRA VIS Preform Sorting Machine</t>
  </si>
  <si>
    <t>3100007664</t>
  </si>
  <si>
    <t>Plain Self Adhes W105XH165mm–BOPP 1000/R</t>
  </si>
  <si>
    <t>PRT  REL</t>
  </si>
  <si>
    <t>IMP01 CYCT 18.5 96 CAV 18681 PC PER HR</t>
  </si>
  <si>
    <t>INTRA VIS Preform Sorting Machine</t>
  </si>
  <si>
    <t>P.E Bags (160x130)x50cm Th 40mic- Jomih</t>
  </si>
  <si>
    <t>PRT  REL</t>
  </si>
  <si>
    <t>IMP01 CYCT 18.5 96 CAV 18681 PC PER HR</t>
  </si>
  <si>
    <t>INTRA VIS Preform Sorting Machine</t>
  </si>
  <si>
    <t>45.0 PCO 1881Rd Clear J/C(P Plt</t>
  </si>
  <si>
    <t>PRT  REL</t>
  </si>
  <si>
    <t>IMP01 CYCT 18.5 96 CAV 18681 PC PER HR</t>
  </si>
  <si>
    <t>INTRA VIS Preform Sorting Machine</t>
  </si>
  <si>
    <t>3100007665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</si>
  <si>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</si>
  <si>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</si>
  <si>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</si>
  <si>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</si>
  <si>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</si>
  <si>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</si>
  <si>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</si>
  <si>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</si>
  <si>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3100007666</t>
  </si>
  <si>
    <t>CARTON EXPT L593 X W393 X H456 mm-BC799</t>
  </si>
  <si>
    <t>PRT  REL</t>
  </si>
  <si>
    <t>IMPS05 CYT 7.5 180 CAV 86400 PC PER HR</t>
  </si>
  <si>
    <t>IMD VISTA Sorting Machine</t>
  </si>
  <si>
    <t>P.E.BAGS CLEAR 120 X 61 CM</t>
  </si>
  <si>
    <t>PRT  REL</t>
  </si>
  <si>
    <t>IMPS05 CYT 7.5 180 CAV 86400 PC PER HR</t>
  </si>
  <si>
    <t>IMD VISTA Sorting Machine</t>
  </si>
  <si>
    <t>12.5TO2RD-LBS1-A</t>
  </si>
  <si>
    <t>12.5 TO29/25Rd L.Blue(≤ 2ppm)J/C(WP-SIPA</t>
  </si>
  <si>
    <t>PRT  REL</t>
  </si>
  <si>
    <t>IMPS05 CYT 7.5 180 CAV 86400 PC PER HR</t>
  </si>
  <si>
    <t>IMD VISTA Sorting Machine</t>
  </si>
  <si>
    <t>3100007667</t>
  </si>
  <si>
    <t>CARTON EXPT L593 X W393 X H456 mm-BC799</t>
  </si>
  <si>
    <t>PRT  REL</t>
  </si>
  <si>
    <t>IMPS04 CYT 6.50 180 CAV 99694 pcs</t>
  </si>
  <si>
    <t>IMD VISTA Sorting Machine</t>
  </si>
  <si>
    <t>P.E.BAGS CLEAR 120 X 61 CM</t>
  </si>
  <si>
    <t>PRT  REL</t>
  </si>
  <si>
    <t>IMPS04 CYT 6.50 180 CAV 99694 pcs</t>
  </si>
  <si>
    <t>IMD VISTA Sorting Machine</t>
  </si>
  <si>
    <t>8.30TO LW 29/25 Clear J/C(WP)-SIPA</t>
  </si>
  <si>
    <t>PRT  REL</t>
  </si>
  <si>
    <t>IMPS04 CYT 6.50 180 CAV 99694 pcs</t>
  </si>
  <si>
    <t>IMD VISTA Sorting Machine</t>
  </si>
  <si>
    <t>3100007668</t>
  </si>
  <si>
    <t>9.4TO 29/25Rnd L.Blue J/CWplt(≤1ppm)SIPA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</si>
  <si>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</si>
  <si>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</si>
  <si>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</si>
  <si>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</si>
  <si>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</si>
  <si>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</si>
  <si>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</si>
  <si>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</si>
  <si>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</si>
  <si>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</si>
  <si>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</si>
  <si>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</si>
  <si>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</si>
  <si>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</si>
  <si>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</si>
  <si>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3100007669</t>
  </si>
  <si>
    <t>30.5PCO1881 ICI GreenJ/C(PP JOM HDG-SIPA</t>
  </si>
  <si>
    <t>PRT  REL</t>
  </si>
  <si>
    <t>IMPS06 CYCT 15 CAV 180  PCS PER HR 43200</t>
  </si>
  <si>
    <t>IMD VISTA Sorting Machine</t>
  </si>
  <si>
    <t>3100007670</t>
  </si>
  <si>
    <t>45.0 PCO 1881 ICI Green J/C(P Plt </t>
  </si>
  <si>
    <t>PRT  REL</t>
  </si>
  <si>
    <t>IMP19 CYCT 18.5  96 CAV 18682 PER HR</t>
  </si>
  <si>
    <t>IMD VISTA Sorting Machine</t>
  </si>
  <si>
    <t>3100007671</t>
  </si>
  <si>
    <t>9.4TO 29/25Rnd L.Blue J/CWplt(≤1ppm)SIPA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</si>
  <si>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</si>
  <si>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</si>
  <si>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</si>
  <si>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</si>
  <si>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</si>
  <si>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</si>
  <si>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</si>
  <si>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</si>
  <si>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</si>
  <si>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</si>
  <si>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</si>
  <si>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</si>
  <si>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</si>
  <si>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</si>
  <si>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</si>
  <si>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</si>
  <si>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</si>
  <si>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</si>
  <si>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</si>
  <si>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3100007672</t>
  </si>
  <si>
    <t>9.4 TO 29/25Rnd Nova Blue(JADE–SPPS)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</si>
  <si>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</si>
  <si>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</si>
  <si>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</si>
  <si>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</si>
  <si>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</si>
  <si>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</si>
  <si>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</si>
  <si>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</si>
  <si>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</si>
  <si>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</si>
  <si>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</si>
  <si>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</si>
  <si>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</si>
  <si>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</si>
  <si>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</si>
  <si>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</si>
  <si>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</si>
  <si>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</si>
  <si>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</si>
  <si>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3100007673</t>
  </si>
  <si>
    <t>9.4 TO29/25 Rnd Nova Blue J/C(Ppl-SABIC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</si>
  <si>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</si>
  <si>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</si>
  <si>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</si>
  <si>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</si>
  <si>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</si>
  <si>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</si>
  <si>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</si>
  <si>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</si>
  <si>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</si>
  <si>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</si>
  <si>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</si>
  <si>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</si>
  <si>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</si>
  <si>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</si>
  <si>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</si>
  <si>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</si>
  <si>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</si>
  <si>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</si>
  <si>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</si>
  <si>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3100007674</t>
  </si>
  <si>
    <t>45.0 PCO 1881Rd Clear J/C(P Plt</t>
  </si>
  <si>
    <t>PRT  REL</t>
  </si>
  <si>
    <t>IMP01 CYCT 18.5 96 CAV 18681 PC PER HR</t>
  </si>
  <si>
    <t>IMD VISTA Sorting Machine</t>
  </si>
  <si>
    <t>3100007675</t>
  </si>
  <si>
    <t>Plain Self Adhes W105XH165mm–BOPP 1000/R</t>
  </si>
  <si>
    <t>PRT  REL</t>
  </si>
  <si>
    <t>IMPS03 CYT 6.5 180 CAV 99692 PC PER HR</t>
  </si>
  <si>
    <t>INTRA VIS Preform Sorting Machine</t>
  </si>
  <si>
    <t>7.80TO2RD-AJBS-B</t>
  </si>
  <si>
    <t>7.80TO29/25Rnd'ALM'BLUE J/C(PP-SIPA-HDG</t>
  </si>
  <si>
    <t>PRT  REL</t>
  </si>
  <si>
    <t>IMPS03 CYT 6.5 180 CAV 99692 PC PER HR</t>
  </si>
  <si>
    <t>INTRA VIS Preform Sorting Machine</t>
  </si>
  <si>
    <t>3100007676</t>
  </si>
  <si>
    <t>45.0 PCO 1881 ICI Green J/C(P Plt </t>
  </si>
  <si>
    <t>PRT  REL</t>
  </si>
  <si>
    <t>IMP19 CYCT 18.5  96 CAV 18682 PER HR</t>
  </si>
  <si>
    <t>IMD VISTA Sorting Machine</t>
  </si>
  <si>
    <t>3100007677</t>
  </si>
  <si>
    <t>Plain Self Adhes W105XH165mm–BOPP 1000/R</t>
  </si>
  <si>
    <t>PRT  REL</t>
  </si>
  <si>
    <t>IMP01 CYCT 18.5 96 CAV 18681 PC PER HR</t>
  </si>
  <si>
    <t>IMD VISTA Sorting Machine</t>
  </si>
  <si>
    <t>PET Clear Preform For Grinding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</si>
  <si>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</si>
  <si>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</si>
  <si>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</si>
  <si>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</si>
  <si>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</si>
  <si>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</si>
  <si>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</si>
  <si>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3100007678</t>
  </si>
  <si>
    <t>45.0 PCO 1881Rd Clear J/C(P Plt</t>
  </si>
  <si>
    <t>PRT  REL</t>
  </si>
  <si>
    <t>IMP01 CYCT 18.5 96 CAV 18681 PC PER HR</t>
  </si>
  <si>
    <t>IMD VISTA Sorting Machine</t>
  </si>
  <si>
    <t>3100007679</t>
  </si>
  <si>
    <t>12.5 29/25 Rnd Clear J/C(PP</t>
  </si>
  <si>
    <t>PRT  REL</t>
  </si>
  <si>
    <t>IMPS05 CYT 7.5 180 CAV 86400 PC PER HR</t>
  </si>
  <si>
    <t>INTRA VIS Preform Sorting Machine</t>
  </si>
  <si>
    <t>3100007680</t>
  </si>
  <si>
    <t>45.0 PCO 1881 ICI Green J/C(P Plt </t>
  </si>
  <si>
    <t>PRT  REL</t>
  </si>
  <si>
    <t>IMP19 CYCT 18.5  96 CAV 18682 PER HR</t>
  </si>
  <si>
    <t>INTRA VIS Preform Sorting Machine</t>
  </si>
  <si>
    <t>PET Green Preform For Grinding</t>
  </si>
  <si>
    <t>PRT  REL</t>
  </si>
  <si>
    <t>IMP19 CYCT 18.5  96 CAV 18682 PER HR</t>
  </si>
  <si>
    <t>INTRA VIS Preform Sorting Machine</t>
  </si>
  <si>
    <t>Plain Self Adhes W105XH165mm–BOPP 1000/R</t>
  </si>
  <si>
    <t>PRT  REL</t>
  </si>
  <si>
    <t>IMP19 CYCT 18.5  96 CAV 18682 PER HR</t>
  </si>
  <si>
    <t>INTRA VIS Preform Sorting Machine</t>
  </si>
  <si>
    <t>Transparent Tape roll 2'' wide 45mic</t>
  </si>
  <si>
    <t>PRT  REL</t>
  </si>
  <si>
    <t>IMP19 CYCT 18.5  96 CAV 18682 PER HR</t>
  </si>
  <si>
    <t>INTRA VIS Preform Sorting Machine</t>
  </si>
  <si>
    <t>Nylon Cable Tie – CV-200B-Black(100 pcs)</t>
  </si>
  <si>
    <t>PRT  REL</t>
  </si>
  <si>
    <t>IMP19 CYCT 18.5  96 CAV 18682 PER HR</t>
  </si>
  <si>
    <t>INTRA VIS Preform Sorting Machine</t>
  </si>
  <si>
    <t>PET Green strapping ROL 2500m-12.5x0.6mm</t>
  </si>
  <si>
    <t>PRT  REL</t>
  </si>
  <si>
    <t>IMP19 CYCT 18.5  96 CAV 18682 PER HR</t>
  </si>
  <si>
    <t>INTRA VIS Preform Sorting Machine</t>
  </si>
  <si>
    <t>3100007681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</si>
  <si>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</si>
  <si>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</si>
  <si>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</si>
  <si>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</si>
  <si>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</si>
  <si>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</si>
  <si>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</si>
  <si>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</si>
  <si>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30.5PC2RD-IGS-V</t>
  </si>
  <si>
    <t>30.5PCO1881RndICI GreenMenaBev Spec-SIPA</t>
  </si>
  <si>
    <t>PRT  REL</t>
  </si>
  <si>
    <t>RW01 IMD VISTA Sorting Machine</t>
  </si>
  <si>
    <t>IMD VISTA Sorting Machine</t>
  </si>
  <si>
    <t>3100007682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</si>
  <si>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</si>
  <si>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</si>
  <si>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</si>
  <si>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</si>
  <si>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</si>
  <si>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</si>
  <si>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</si>
  <si>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</si>
  <si>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</si>
  <si>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</si>
  <si>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</si>
  <si>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</si>
  <si>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</si>
  <si>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</si>
  <si>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</si>
  <si>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</si>
  <si>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3100007683</t>
  </si>
  <si>
    <t>11.5TO2RD-CLS-A</t>
  </si>
  <si>
    <t>11.5 TO29/25Rd Clear J/C(WP-SIPA</t>
  </si>
  <si>
    <t>PRT  REL</t>
  </si>
  <si>
    <t>IMPS05 CYT 7.1 180 CAV 91267 PC PER HR</t>
  </si>
  <si>
    <t>IMD VISTA Sorting Machine</t>
  </si>
  <si>
    <t>3100007684</t>
  </si>
  <si>
    <t>30.5PCO1881 ICI GreenJ/C(PP JOM HDG-SIPA</t>
  </si>
  <si>
    <t>PRT  REL</t>
  </si>
  <si>
    <t>IMPS06 CYCT 15 CAV 180  PCS PER HR 43200</t>
  </si>
  <si>
    <t>IMD VISTA Sorting Machine</t>
  </si>
  <si>
    <t>3100007685</t>
  </si>
  <si>
    <t>45.0 PCO 1881 ICI Green J/C(P Plt </t>
  </si>
  <si>
    <t>PRT  REL</t>
  </si>
  <si>
    <t>IMP19 CYCT 18.5  96 CAV 18682 PER HR</t>
  </si>
  <si>
    <t>IMD VISTA Sorting Machine</t>
  </si>
  <si>
    <t>3100007686</t>
  </si>
  <si>
    <t>52.0 BC38mm 3 Rnd Clear J/C(P Plt</t>
  </si>
  <si>
    <t>PRT  REL</t>
  </si>
  <si>
    <t>IMP01 CYCT 18.5 96CAVITY 18682 PC PER HR</t>
  </si>
  <si>
    <t>IMD VISTA Sorting Machine</t>
  </si>
  <si>
    <t>3100007687</t>
  </si>
  <si>
    <t>12.5 29/25 Rnd Clear J/C(PP</t>
  </si>
  <si>
    <t>PRT  REL</t>
  </si>
  <si>
    <t>IMPS05 CYT 7.5 180 CAV 86400 PC PER HR</t>
  </si>
  <si>
    <t>IMD VISTA Sorting Machine</t>
  </si>
  <si>
    <t>3100007688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</si>
  <si>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</si>
  <si>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</si>
  <si>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</si>
  <si>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</si>
  <si>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</si>
  <si>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</si>
  <si>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</si>
  <si>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</si>
  <si>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3100007689</t>
  </si>
  <si>
    <t>45.0 PCO 1881 ICI Green J/C(P Plt </t>
  </si>
  <si>
    <t>PRT  REL</t>
  </si>
  <si>
    <t>IMP19 CYCT 18.5  96 CAV 18682 PER HR</t>
  </si>
  <si>
    <t>IMD VISTA Sorting Machine</t>
  </si>
  <si>
    <t>3100007690</t>
  </si>
  <si>
    <t>45.0 PCO 1881 ICI Green J/C(P Plt </t>
  </si>
  <si>
    <t>PRT  REL</t>
  </si>
  <si>
    <t>IMP19 CYCT 18.5  96 CAV 18682 PER HR</t>
  </si>
  <si>
    <t>IMD VISTA Sorting Machine</t>
  </si>
  <si>
    <t>3100007691</t>
  </si>
  <si>
    <t>52.0 BC38mm 3 Rnd Clear J/C(P Plt</t>
  </si>
  <si>
    <t>PRT  REL</t>
  </si>
  <si>
    <t>IMP01 CYCT 18.5 96CAVITY 18682 PC PER HR</t>
  </si>
  <si>
    <t>INTRA VIS Preform Sorting Machine</t>
  </si>
  <si>
    <t>3100007692</t>
  </si>
  <si>
    <t>30.5 PCO 1881Rnd CLR J/C(PP JOM HDG-SIPA</t>
  </si>
  <si>
    <t>PRT  REL</t>
  </si>
  <si>
    <t>IMPS06 CYCT 15 CAV 180  PCS PER HR 43200</t>
  </si>
  <si>
    <t>IMD VISTA Sorting Machine</t>
  </si>
  <si>
    <t>3100007693</t>
  </si>
  <si>
    <t>7.8TO2RD-LB1S-A</t>
  </si>
  <si>
    <t>7.80TO 29/25 Rd L BlueAA(≤ 2)J/C(WP-SIPA</t>
  </si>
  <si>
    <t>PRT  REL</t>
  </si>
  <si>
    <t>IMPS03 CYT 6.5 180 CAV 99692 PC PER HR</t>
  </si>
  <si>
    <t>IMD VISTA Sorting Machine</t>
  </si>
  <si>
    <t>Plain Self Adhes W105XH165mm–BOPP 1000/R</t>
  </si>
  <si>
    <t>PRT  REL</t>
  </si>
  <si>
    <t>IMPS03 CYT 6.5 180 CAV 99692 PC PER HR</t>
  </si>
  <si>
    <t>IMD VISTA Sorting Machine</t>
  </si>
  <si>
    <t>Transparent Tape roll 2'' wide 45mic</t>
  </si>
  <si>
    <t>PRT  REL</t>
  </si>
  <si>
    <t>IMPS03 CYT 6.5 180 CAV 99692 PC PER HR</t>
  </si>
  <si>
    <t>IMD VISTA Sorting Machine</t>
  </si>
  <si>
    <t>Nylon Cable Tie – CV-200B-Black(100 pcs)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</si>
  <si>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</si>
  <si>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</si>
  <si>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</si>
  <si>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</si>
  <si>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</si>
  <si>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</si>
  <si>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</si>
  <si>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3100007694</t>
  </si>
  <si>
    <t>7.80TO29/25Rnd'ALM'BLUE J/C(PP-SIPA-HDG</t>
  </si>
  <si>
    <t>PRT  REL</t>
  </si>
  <si>
    <t>IMPS03 CYT 6.5 180 CAV 99692 PC PER HR</t>
  </si>
  <si>
    <t>INTRA VIS Preform Sorting Machine</t>
  </si>
  <si>
    <t>3100007695</t>
  </si>
  <si>
    <t>7.80TO29/25Rnd'ALM'BLUE J/C(PP-SIPA-HDG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</si>
  <si>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</si>
  <si>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</si>
  <si>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</si>
  <si>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</si>
  <si>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</si>
  <si>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</si>
  <si>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</si>
  <si>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Plain Self Adhes W105XH165mm–BOPP 1000/R</t>
  </si>
  <si>
    <t>PRT  REL</t>
  </si>
  <si>
    <t>IMPS03 CYT 6.5 180 CAV 99692 PC PER HR</t>
  </si>
  <si>
    <t>IMD VISTA Sorting Machine</t>
  </si>
  <si>
    <t>Transparent Tape roll 2'' wide 45mic</t>
  </si>
  <si>
    <t>PRT  REL</t>
  </si>
  <si>
    <t>IMPS03 CYT 6.5 180 CAV 99692 PC PER HR</t>
  </si>
  <si>
    <t>IMD VISTA Sorting Machine</t>
  </si>
  <si>
    <t>Nylon Cable Tie – CV-200B-Black(100 pcs)</t>
  </si>
  <si>
    <t>PRT  REL</t>
  </si>
  <si>
    <t>IMPS03 CYT 6.5 180 CAV 99692 PC PER HR</t>
  </si>
  <si>
    <t>IMD VISTA Sorting Machine</t>
  </si>
  <si>
    <t>PET Green strapping ROL 2500m-12.5x0.6mm</t>
  </si>
  <si>
    <t>PRT  REL</t>
  </si>
  <si>
    <t>IMPS03 CYT 6.5 180 CAV 99692 PC PER HR</t>
  </si>
  <si>
    <t>IMD VISTA Sorting Machine</t>
  </si>
  <si>
    <t>3100007696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</si>
  <si>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</si>
  <si>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</si>
  <si>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</si>
  <si>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</si>
  <si>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</si>
  <si>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</si>
  <si>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</si>
  <si>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</si>
  <si>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</si>
  <si>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</si>
  <si>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</si>
  <si>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</si>
  <si>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</si>
  <si>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</si>
  <si>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</si>
  <si>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</si>
  <si>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</si>
  <si>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</si>
  <si>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</si>
  <si>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</si>
  <si>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</si>
  <si>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</si>
  <si>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</si>
  <si>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</si>
  <si>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3100007697</t>
  </si>
  <si>
    <t>11.5TO2RD-AJBS-B</t>
  </si>
  <si>
    <t>11.5TO29/25Rnd'ALM'BLUE J/C(PP-SIPA-HDG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</si>
  <si>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</si>
  <si>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</si>
  <si>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</si>
  <si>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</si>
  <si>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</si>
  <si>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</si>
  <si>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</si>
  <si>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Plain Self Adhes W105XH165mm–BOPP 1000/R</t>
  </si>
  <si>
    <t>PRT  REL</t>
  </si>
  <si>
    <t>IMPS05 CYT 7.1 180 CAV 91267 PC PER HR</t>
  </si>
  <si>
    <t>INTRA VIS Preform Sorting Machine</t>
  </si>
  <si>
    <t>Transparent Tape roll 2'' wide 45mic</t>
  </si>
  <si>
    <t>PRT  REL</t>
  </si>
  <si>
    <t>IMPS05 CYT 7.1 180 CAV 91267 PC PER HR</t>
  </si>
  <si>
    <t>INTRA VIS Preform Sorting Machine</t>
  </si>
  <si>
    <t>Nylon Cable Tie – CV-200B-Black(100 pcs)</t>
  </si>
  <si>
    <t>PRT  REL</t>
  </si>
  <si>
    <t>IMPS05 CYT 7.1 180 CAV 91267 PC PER HR</t>
  </si>
  <si>
    <t>INTRA VIS Preform Sorting Machine</t>
  </si>
  <si>
    <t>PET Green strapping ROL 2500m-12.5x0.6mm</t>
  </si>
  <si>
    <t>PRT  REL</t>
  </si>
  <si>
    <t>IMPS05 CYT 7.1 180 CAV 91267 PC PER HR</t>
  </si>
  <si>
    <t>INTRA VIS Preform Sorting Machine</t>
  </si>
  <si>
    <t>3100007698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</si>
  <si>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</si>
  <si>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</si>
  <si>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</si>
  <si>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</si>
  <si>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</si>
  <si>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</si>
  <si>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</si>
  <si>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</si>
  <si>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</si>
  <si>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</si>
  <si>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</si>
  <si>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</si>
  <si>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</si>
  <si>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</si>
  <si>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</si>
  <si>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</si>
  <si>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</si>
  <si>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</si>
  <si>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</si>
  <si>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</si>
  <si>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3100007699</t>
  </si>
  <si>
    <t>45.0 PCO 1881 ICI Green J/C(P Plt </t>
  </si>
  <si>
    <t>PRT  REL</t>
  </si>
  <si>
    <t>IMP19 CYCT 18.5  96 CAV 18682 PER HR</t>
  </si>
  <si>
    <t>IMD VISTA Sorting Machine</t>
  </si>
  <si>
    <t>3100007700</t>
  </si>
  <si>
    <t>52.0 BC 38mm 3 Rnd Clear OJ/C(W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</si>
  <si>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</si>
  <si>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</si>
  <si>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</si>
  <si>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</si>
  <si>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</si>
  <si>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</si>
  <si>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</si>
  <si>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</si>
  <si>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</si>
  <si>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</si>
  <si>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</si>
  <si>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</si>
  <si>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</si>
  <si>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</si>
  <si>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</si>
  <si>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3100007701</t>
  </si>
  <si>
    <t>52.0 BC38mm 3 Rnd Clear J/C(P Plt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</si>
  <si>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</si>
  <si>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</si>
  <si>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</si>
  <si>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</si>
  <si>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</si>
  <si>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</si>
  <si>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</si>
  <si>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</si>
  <si>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</si>
  <si>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</si>
  <si>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</si>
  <si>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</si>
  <si>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</si>
  <si>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</si>
  <si>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</si>
  <si>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</si>
  <si>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</si>
  <si>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</si>
  <si>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</si>
  <si>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</si>
  <si>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</si>
  <si>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</si>
  <si>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</si>
  <si>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3100007702</t>
  </si>
  <si>
    <t>45.0 PCO 1881 ICI Green J/C(P Plt </t>
  </si>
  <si>
    <t>PRT  REL</t>
  </si>
  <si>
    <t>IMP19 CYCT 18.5  96 CAV 18682 PER HR</t>
  </si>
  <si>
    <t>INTRA VIS Preform Sorting Machine</t>
  </si>
  <si>
    <t>3100007703</t>
  </si>
  <si>
    <t>45.0 PCO 1881 Rnd Clear MenaBev PP HDG</t>
  </si>
  <si>
    <t>PRT  REL</t>
  </si>
  <si>
    <t>IMP19 CYCT 18.5 96 CAV 18681 PC PER HR</t>
  </si>
  <si>
    <t>IMD VISTA Sorting Machine</t>
  </si>
  <si>
    <t>Plain Self Adhes W105XH165mm–BOPP 1000/R</t>
  </si>
  <si>
    <t>PRT  REL</t>
  </si>
  <si>
    <t>IMP19 CYCT 18.5 96 CAV 18681 PC PER HR</t>
  </si>
  <si>
    <t>IMD VISTA Sorting Machine</t>
  </si>
  <si>
    <t>Transparent Tape roll 2'' wide 45mic</t>
  </si>
  <si>
    <t>PRT  REL</t>
  </si>
  <si>
    <t>IMP19 CYCT 18.5 96 CAV 18681 PC PER HR</t>
  </si>
  <si>
    <t>IMD VISTA Sorting Machine</t>
  </si>
  <si>
    <t>Nylon Cable Tie – CV-200B-Black(100 pcs)</t>
  </si>
  <si>
    <t>PRT  REL</t>
  </si>
  <si>
    <t>IMP19 CYCT 18.5 96 CAV 18681 PC PER HR</t>
  </si>
  <si>
    <t>IMD VISTA Sorting Machine</t>
  </si>
  <si>
    <t>PET Green strapping ROL 2500m-12.5x0.6mm</t>
  </si>
  <si>
    <t>PRT  REL</t>
  </si>
  <si>
    <t>IMP19 CYCT 18.5 96 CAV 18681 PC PER HR</t>
  </si>
  <si>
    <t>IMD VISTA Sorting Machine</t>
  </si>
  <si>
    <t>3100007704</t>
  </si>
  <si>
    <t>15.5 BC38mm 3 Start Rnd Clear W Steel c.</t>
  </si>
  <si>
    <t>PRT  REL</t>
  </si>
  <si>
    <t>IM02 CYCT 12.6  72 CAVITY 20571PERHR</t>
  </si>
  <si>
    <t>INTRA VIS Preform Sorting Machine</t>
  </si>
  <si>
    <t>PET Clear Preform For Grinding</t>
  </si>
  <si>
    <t>PRT  REL</t>
  </si>
  <si>
    <t>IM02 CYCT 12.6  72 CAVITY 20571PERHR</t>
  </si>
  <si>
    <t>INTRA VIS Preform Sorting Machine</t>
  </si>
  <si>
    <t>Plain Self Adhes W105XH165mm–BOPP 1000/R</t>
  </si>
  <si>
    <t>PRT  REL</t>
  </si>
  <si>
    <t>IM02 CYCT 12.6  72 CAVITY 20571PERHR</t>
  </si>
  <si>
    <t>INTRA VIS Preform Sorting Machine</t>
  </si>
  <si>
    <t>Transparent Tape roll 2'' wide 45mic</t>
  </si>
  <si>
    <t>PRT  REL</t>
  </si>
  <si>
    <t>IM02 CYCT 12.6  72 CAVITY 20571PERHR</t>
  </si>
  <si>
    <t>INTRA VIS Preform Sorting Machine</t>
  </si>
  <si>
    <t>Nylon Cable Tie – CV-200B-Black(100 pcs)</t>
  </si>
  <si>
    <t>PRT  REL</t>
  </si>
  <si>
    <t>IM02 CYCT 12.6  72 CAVITY 20571PERHR</t>
  </si>
  <si>
    <t>INTRA VIS Preform Sorting Machine</t>
  </si>
  <si>
    <t>PET Green strapping ROL 2500m-12.5x0.6mm</t>
  </si>
  <si>
    <t>PRT  REL</t>
  </si>
  <si>
    <t>IM02 CYCT 12.6  72 CAVITY 20571PERHR</t>
  </si>
  <si>
    <t>INTRA VIS Preform Sorting Machine</t>
  </si>
  <si>
    <t>3100007705</t>
  </si>
  <si>
    <t>30.5 PCO 1881Rnd CLR 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</si>
  <si>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</si>
  <si>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</si>
  <si>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</si>
  <si>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</si>
  <si>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</si>
  <si>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</si>
  <si>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</si>
  <si>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</si>
  <si>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</si>
  <si>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</si>
  <si>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</si>
  <si>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</si>
  <si>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</si>
  <si>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</si>
  <si>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</si>
  <si>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PET Green strapping ROL 2500m-12.5x0.6mm</t>
  </si>
  <si>
    <t>PRT  REL</t>
  </si>
  <si>
    <t>IMPS06 CYCT 15 CAV 180  PCS PER HR 43200</t>
  </si>
  <si>
    <t>INTRA VIS Preform Sorting Machine</t>
  </si>
  <si>
    <t>3100007706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</si>
  <si>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</si>
  <si>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</si>
  <si>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</si>
  <si>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</si>
  <si>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</si>
  <si>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</si>
  <si>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</si>
  <si>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</si>
  <si>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</si>
  <si>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</si>
  <si>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</si>
  <si>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</si>
  <si>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</si>
  <si>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</si>
  <si>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</si>
  <si>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</si>
  <si>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</si>
  <si>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</si>
  <si>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</si>
  <si>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</si>
  <si>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3100007707</t>
  </si>
  <si>
    <t>7.80TO 29/25 Rd L BlueAA(≤ 2)J/C(WP-SIPA</t>
  </si>
  <si>
    <t>PRT  REL</t>
  </si>
  <si>
    <t>IMPS03 CYT 6.5 180 CAV 99692 PC PER HR</t>
  </si>
  <si>
    <t>IMD VISTA Sorting Machine</t>
  </si>
  <si>
    <t>Plain Self Adhes W105XH165mm–BOPP 1000/R</t>
  </si>
  <si>
    <t>PRT  REL</t>
  </si>
  <si>
    <t>IMPS03 CYT 6.5 180 CAV 99692 PC PER HR</t>
  </si>
  <si>
    <t>IMD VISTA Sorting Machine</t>
  </si>
  <si>
    <t>Transparent Tape roll 2'' wide 45mic</t>
  </si>
  <si>
    <t>PRT  REL</t>
  </si>
  <si>
    <t>IMPS03 CYT 6.5 180 CAV 99692 PC PER HR</t>
  </si>
  <si>
    <t>IMD VISTA Sorting Machine</t>
  </si>
  <si>
    <t>Nylon Cable Tie – CV-200B-Black(100 pcs)</t>
  </si>
  <si>
    <t>PRT  REL</t>
  </si>
  <si>
    <t>IMPS03 CYT 6.5 180 CAV 99692 PC PER HR</t>
  </si>
  <si>
    <t>IMD VISTA Sorting Machine</t>
  </si>
  <si>
    <t>P.E.BAG CLEAR-L265XW130+50cm -335g/30mic</t>
  </si>
  <si>
    <t>PRT  REL</t>
  </si>
  <si>
    <t>IMPS03 CYT 6.5 180 CAV 99692 PC PER HR</t>
  </si>
  <si>
    <t>IMD VISTA Sorting Machine</t>
  </si>
  <si>
    <t>J/C Top Cover (L121XW102XH15)mm- 735gsm</t>
  </si>
  <si>
    <t>PRT  REL</t>
  </si>
  <si>
    <t>IMPS03 CYT 6.5 180 CAV 99692 PC PER HR</t>
  </si>
  <si>
    <t>IMD VISTA Sorting Machine</t>
  </si>
  <si>
    <t>J/C 7Ply(L1200xW1000xH1000)mm-1300gsm-AA</t>
  </si>
  <si>
    <t>PRT  REL</t>
  </si>
  <si>
    <t>IMPS03 CYT 6.5 180 CAV 99692 PC PER HR</t>
  </si>
  <si>
    <t>IMD VISTA Sorting Machine</t>
  </si>
  <si>
    <t>3100007708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</si>
  <si>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</si>
  <si>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</si>
  <si>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</si>
  <si>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</si>
  <si>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</si>
  <si>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</si>
  <si>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</si>
  <si>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</si>
  <si>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</si>
  <si>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</si>
  <si>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</si>
  <si>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</si>
  <si>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3100007709</t>
  </si>
  <si>
    <t>45.0 PCO 1881 ICI Green J/C(P Plt </t>
  </si>
  <si>
    <t>PRT  REL</t>
  </si>
  <si>
    <t>IMP19 CYCT 18.5  96 CAV 18682 PER HR</t>
  </si>
  <si>
    <t>IMD VISTA Sorting Machine</t>
  </si>
  <si>
    <t>3100007710</t>
  </si>
  <si>
    <t>52.0 BC 38mm 3 Rnd Clear OJ/C(W plt</t>
  </si>
  <si>
    <t>PRT  REL</t>
  </si>
  <si>
    <t>IMP01 CYCT 18.5 96CAVITY 18682 PC PER HR</t>
  </si>
  <si>
    <t>IMD VISTA Sorting Machine</t>
  </si>
  <si>
    <t>3100007711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</si>
  <si>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</si>
  <si>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</si>
  <si>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</si>
  <si>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</si>
  <si>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</si>
  <si>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</si>
  <si>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</si>
  <si>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</si>
  <si>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3100007712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</si>
  <si>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</si>
  <si>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</si>
  <si>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</si>
  <si>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</si>
  <si>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</si>
  <si>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</si>
  <si>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</si>
  <si>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</si>
  <si>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3100007713</t>
  </si>
  <si>
    <t>50.1PC2RD-CLR-B</t>
  </si>
  <si>
    <t>50.1 PCO 1881Rd Clear rPET J/C(P Pt</t>
  </si>
  <si>
    <t>PRT  REL</t>
  </si>
  <si>
    <t>IMP19 CYCT 18.5 96 CAV 18681 PC PER HR</t>
  </si>
  <si>
    <t>INTRA VIS Preform Sorting Machine</t>
  </si>
  <si>
    <t>Plain Self Adhes W105XH165mm–BOPP 1000/R</t>
  </si>
  <si>
    <t>PRT  REL</t>
  </si>
  <si>
    <t>IMP19 CYCT 18.5 96 CAV 18681 PC PER HR</t>
  </si>
  <si>
    <t>INTRA VIS Preform Sorting Machine</t>
  </si>
  <si>
    <t>Transparent Tape roll 2'' wide 45mic</t>
  </si>
  <si>
    <t>PRT  REL</t>
  </si>
  <si>
    <t>IMP19 CYCT 18.5 96 CAV 18681 PC PER HR</t>
  </si>
  <si>
    <t>INTRA VIS Preform Sorting Machine</t>
  </si>
  <si>
    <t>Nylon Cable Tie – CV-200B-Black(100 pcs)</t>
  </si>
  <si>
    <t>PRT  REL</t>
  </si>
  <si>
    <t>IMP19 CYCT 18.5 96 CAV 18681 PC PER HR</t>
  </si>
  <si>
    <t>INTRA VIS Preform Sorting Machine</t>
  </si>
  <si>
    <t>PET Green strapping ROL 2500m-12.5x0.6mm</t>
  </si>
  <si>
    <t>PRT  REL</t>
  </si>
  <si>
    <t>IMP19 CYCT 18.5 96 CAV 18681 PC PER HR</t>
  </si>
  <si>
    <t>INTRA VIS Preform Sorting Machine</t>
  </si>
  <si>
    <t>J/C Top Cover (L121XW102XH15)mm- 735gsm</t>
  </si>
  <si>
    <t>PRT  REL</t>
  </si>
  <si>
    <t>IMP19 CYCT 18.5 96 CAV 18681 PC PER HR</t>
  </si>
  <si>
    <t>INTRA VIS Preform Sorting Machine</t>
  </si>
  <si>
    <t>3100007714</t>
  </si>
  <si>
    <t>Plain Self Adhes W105XH165mm–BOPP 1000/R</t>
  </si>
  <si>
    <t>PRT  REL</t>
  </si>
  <si>
    <t>IMP19 CYCT 18.5  96 CAV 18682 PER HR</t>
  </si>
  <si>
    <t>IMD VISTA Sorting Machine</t>
  </si>
  <si>
    <t>PET Green Preform For Grinding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</si>
  <si>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</si>
  <si>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</si>
  <si>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</si>
  <si>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</si>
  <si>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</si>
  <si>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</si>
  <si>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</si>
  <si>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3100007715</t>
  </si>
  <si>
    <t>Plain Self Adhes W105XH165mm–BOPP 1000/R</t>
  </si>
  <si>
    <t>PRT  REL</t>
  </si>
  <si>
    <t>IMP01 CYCT 18.5 96 CAV 18681 PC PER HR</t>
  </si>
  <si>
    <t>IMD VISTA Sorting Machine</t>
  </si>
  <si>
    <t>PET Green Preform For Grinding</t>
  </si>
  <si>
    <t>PRT  REL</t>
  </si>
  <si>
    <t>IMP01 CYCT 18.5 96 CAV 18681 PC PER HR</t>
  </si>
  <si>
    <t>IMD VISTA Sorting Machine</t>
  </si>
  <si>
    <t>45.0 PCO 1881 Rd ICI Green MenaBevPP HDG</t>
  </si>
  <si>
    <t>PRT  REL</t>
  </si>
  <si>
    <t>IMP01 CYCT 18.5 96 CAV 18681 PC PER HR</t>
  </si>
  <si>
    <t>IMD VISTA Sorting Machine</t>
  </si>
  <si>
    <t>3100007716</t>
  </si>
  <si>
    <t>45.0 PCO 1881 ICI Green J/C(P Plt </t>
  </si>
  <si>
    <t>PRT  REL</t>
  </si>
  <si>
    <t>IMP01 CYCT 18.5 96 CAV 18681 PC PER HR</t>
  </si>
  <si>
    <t>IMD VISTA Sorting Machine</t>
  </si>
  <si>
    <t>3100007717</t>
  </si>
  <si>
    <t>Plain Self Adhes W105XH165mm–BOPP 1000/R</t>
  </si>
  <si>
    <t>PRT  REL</t>
  </si>
  <si>
    <t>IMP02 CYCT 11 96 CAVITY 31418 PC PER HR</t>
  </si>
  <si>
    <t>INTRA VIS Preform Sorting Machine</t>
  </si>
  <si>
    <t>PET Clear Preform For Grinding</t>
  </si>
  <si>
    <t>PRT  REL</t>
  </si>
  <si>
    <t>IMP02 CYCT 11 96 CAVITY 31418 PC PER HR</t>
  </si>
  <si>
    <t>INTRA VIS Preform Sorting Machine</t>
  </si>
  <si>
    <t>13.5BC1RD-CL-G</t>
  </si>
  <si>
    <t>13.5 BC38mm 3 Rnd Clear OJ/C(p plt</t>
  </si>
  <si>
    <t>PRT  REL</t>
  </si>
  <si>
    <t>IMP02 CYCT 11 96 CAVITY 31418 PC PER HR</t>
  </si>
  <si>
    <t>INTRA VIS Preform Sorting Machine</t>
  </si>
  <si>
    <t>3100007718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</si>
  <si>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</si>
  <si>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</si>
  <si>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</si>
  <si>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</si>
  <si>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</si>
  <si>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</si>
  <si>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</si>
  <si>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</si>
  <si>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</si>
  <si>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</si>
  <si>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</si>
  <si>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</si>
  <si>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3100007719</t>
  </si>
  <si>
    <t>26.6TO2RD-CL-A</t>
  </si>
  <si>
    <t>26.6 29/25 Rnd Clear J/C(W Plt</t>
  </si>
  <si>
    <t>PRT  REL</t>
  </si>
  <si>
    <t>IMP12 CYCT 15.6 96 CAVITY 22153 PC</t>
  </si>
  <si>
    <t>IMD VISTA Sorting Machine</t>
  </si>
  <si>
    <t>3100007720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</si>
  <si>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</si>
  <si>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</si>
  <si>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</si>
  <si>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</si>
  <si>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</si>
  <si>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</si>
  <si>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</si>
  <si>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</si>
  <si>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3100007721</t>
  </si>
  <si>
    <t>14.0PC2RD-IG-A</t>
  </si>
  <si>
    <t>14.0 PCO 1881 Rnd ICI Green J/C(W Plt)</t>
  </si>
  <si>
    <t>PRT  REL</t>
  </si>
  <si>
    <t>IM24 CYCT 11 96 CAVITY 31418 PC PER HR</t>
  </si>
  <si>
    <t>INTRA VIS Preform Sorting Machine</t>
  </si>
  <si>
    <t>3100007722</t>
  </si>
  <si>
    <t>Plain Self Adhes W105XH165mm–BOPP 1000/R</t>
  </si>
  <si>
    <t>PRT  REL</t>
  </si>
  <si>
    <t>IM24 CYCT 11 96 CAVITY 31418 PC PER HR</t>
  </si>
  <si>
    <t>INTRA VIS Preform Sorting Machine</t>
  </si>
  <si>
    <t>PET Green Preform For Grinding</t>
  </si>
  <si>
    <t>PRT  REL</t>
  </si>
  <si>
    <t>IM24 CYCT 11 96 CAVITY 31418 PC PER HR</t>
  </si>
  <si>
    <t>INTRA VIS Preform Sorting Machine</t>
  </si>
  <si>
    <t>14.0 PCO 1881 Rnd ICI Green J/C(W Plt)</t>
  </si>
  <si>
    <t>PRT  REL</t>
  </si>
  <si>
    <t>IM24 CYCT 11 96 CAVITY 31418 PC PER HR</t>
  </si>
  <si>
    <t>INTRA VIS Preform Sorting Machine</t>
  </si>
  <si>
    <t>3100007723</t>
  </si>
  <si>
    <t>PET Clear Preform For Grinding</t>
  </si>
  <si>
    <t>PRT  REL</t>
  </si>
  <si>
    <t>IMP12 CYT 16.7 96 CAV 20694 PC PER HR</t>
  </si>
  <si>
    <t>IMD VISTA Sorting Machine</t>
  </si>
  <si>
    <t>36.0 BC38mm 3 Rnd Clear OJ/C(W plt</t>
  </si>
  <si>
    <t>PRT  REL</t>
  </si>
  <si>
    <t>IMP12 CYT 16.7 96 CAV 20694 PC PER HR</t>
  </si>
  <si>
    <t>IMD VISTA Sorting Machine</t>
  </si>
  <si>
    <t>3100007724</t>
  </si>
  <si>
    <t>Plain Self Adhes W105XH165mm–BOPP 1000/R</t>
  </si>
  <si>
    <t>PRT  REL</t>
  </si>
  <si>
    <t>IMP02 CYCT 11 96 CAVITY 31418 PC PER HR</t>
  </si>
  <si>
    <t>IMD VISTA Sorting Machine</t>
  </si>
  <si>
    <t>PET Clear Preform For Grinding</t>
  </si>
  <si>
    <t>PRT  REL</t>
  </si>
  <si>
    <t>IMP02 CYCT 11 96 CAVITY 31418 PC PER HR</t>
  </si>
  <si>
    <t>IMD VISTA Sorting Machine</t>
  </si>
  <si>
    <t>13.5 BC38mm 3 Rnd Clear OJ/C(p plt</t>
  </si>
  <si>
    <t>PRT  REL</t>
  </si>
  <si>
    <t>IMP02 CYCT 11 96 CAVITY 31418 PC PER HR</t>
  </si>
  <si>
    <t>IMD VISTA Sorting Machine</t>
  </si>
  <si>
    <t>3100007725</t>
  </si>
  <si>
    <t>30.5PCO1881 ICI GreenJ/C(PP JOM HDG-SIPA</t>
  </si>
  <si>
    <t>PRT  REL</t>
  </si>
  <si>
    <t>IMPS06 CYCT 15 CAV 180  PCS PER HR 43200</t>
  </si>
  <si>
    <t>IMD VISTA Sorting Machine</t>
  </si>
  <si>
    <t>3100007726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</si>
  <si>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</si>
  <si>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</si>
  <si>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</si>
  <si>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</si>
  <si>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</si>
  <si>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</si>
  <si>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</si>
  <si>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</si>
  <si>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3100007727</t>
  </si>
  <si>
    <t>Plain Self Adhes W105XH165mm–BOPP 1000/R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</si>
  <si>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</si>
  <si>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</si>
  <si>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</si>
  <si>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</si>
  <si>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</si>
  <si>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</si>
  <si>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</si>
  <si>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36.0BC1RD-CJ-S</t>
  </si>
  <si>
    <t>36.0 BC 38mm 3 Rnd Clear Steel C-(Aujan)</t>
  </si>
  <si>
    <t>PRT  REL</t>
  </si>
  <si>
    <t>IMP12 CYT 16.5 96 CAV 20945 PC PER HR</t>
  </si>
  <si>
    <t>IMD VISTA Sorting Machine</t>
  </si>
  <si>
    <t>3100007728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</si>
  <si>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</si>
  <si>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</si>
  <si>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</si>
  <si>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</si>
  <si>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</si>
  <si>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</si>
  <si>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</si>
  <si>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</si>
  <si>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30.5PC2RD-CLS-V</t>
  </si>
  <si>
    <t>30.5 PCO 1881 Rnd CLR Mena Bev Spec-SIPA</t>
  </si>
  <si>
    <t>PRT  REL</t>
  </si>
  <si>
    <t>IMPS06 CYCT 15 CAV 180  PCS PER HR 43200</t>
  </si>
  <si>
    <t>IMD VISTA Sorting Machine</t>
  </si>
  <si>
    <t>3100007729</t>
  </si>
  <si>
    <t>30.5 PCO 1881Rnd CLR J/C(PP JOM HDG-SIPA</t>
  </si>
  <si>
    <t>PRT  REL</t>
  </si>
  <si>
    <t>IMPS06 CYCT 15 CAV 180  PCS PER HR 43200</t>
  </si>
  <si>
    <t>IMD VISTA Sorting Machine</t>
  </si>
  <si>
    <t>3100007730</t>
  </si>
  <si>
    <t>Plain Self Adhes W105XH165mm–BOPP 1000/R</t>
  </si>
  <si>
    <t>PRT  REL</t>
  </si>
  <si>
    <t>IMP01 CYCT 19 72 CAVITY 13642 PC PER HR</t>
  </si>
  <si>
    <t>INTRA VIS Preform Sorting Machine</t>
  </si>
  <si>
    <t>51.0BC1RD-CL-S</t>
  </si>
  <si>
    <t>51.0 BC 38mm 3 Rnd Clear steel c</t>
  </si>
  <si>
    <t>PRT  REL</t>
  </si>
  <si>
    <t>IMP01 CYCT 19 72 CAVITY 13642 PC PER HR</t>
  </si>
  <si>
    <t>INTRA VIS Preform Sorting Machine</t>
  </si>
  <si>
    <t>3100007731</t>
  </si>
  <si>
    <t>34.0BC1EC-W2-S</t>
  </si>
  <si>
    <t>34.0 BC38mm 3 ECO Huayan White Steel C</t>
  </si>
  <si>
    <t>PRT  REL</t>
  </si>
  <si>
    <t>IMP19 CYT 14.5 72 CAV 17875 PC PER HR</t>
  </si>
  <si>
    <t>IMD VISTA Sorting Machine</t>
  </si>
  <si>
    <t>3100007732</t>
  </si>
  <si>
    <t>34.0BC1EC-CL2-S</t>
  </si>
  <si>
    <t>34.0 BC38mm 3 ECO Huayan Clear steel C</t>
  </si>
  <si>
    <t>PRT  REL</t>
  </si>
  <si>
    <t>IMP19 CYT 14.5 72 CAV 17875 PC PER HR</t>
  </si>
  <si>
    <t>IMD VISTA Sorting Machine</t>
  </si>
  <si>
    <t>3100007733</t>
  </si>
  <si>
    <t>30.5 PCO 1881Rnd CLR J/C(PP JOM HDG-SIPA</t>
  </si>
  <si>
    <t>PRT  REL</t>
  </si>
  <si>
    <t>IMPS06 CYCT 15 CAV 180  PCS PER HR 43200</t>
  </si>
  <si>
    <t>IMD VISTA Sorting Machine</t>
  </si>
  <si>
    <t>3100007734</t>
  </si>
  <si>
    <t>45.0 PCO 1881Rd Clear J/C(P Plt</t>
  </si>
  <si>
    <t>PRT  REL</t>
  </si>
  <si>
    <t>IMP01 CYCT 18.5 96 CAV 18681 PC PER HR</t>
  </si>
  <si>
    <t>IMD VISTA Sorting Machine</t>
  </si>
  <si>
    <t>3100007735</t>
  </si>
  <si>
    <t>PET Blue Preform For Grinding</t>
  </si>
  <si>
    <t>PRT  REL</t>
  </si>
  <si>
    <t>IMP03 CYCT 8.1 96 CAVITY 42666 PC PER HR</t>
  </si>
  <si>
    <t>INTRA VIS Preform Sorting Machine</t>
  </si>
  <si>
    <t>10.4 TO 29/25 Rnd Light BLUE J/C(W Plt</t>
  </si>
  <si>
    <t>PRT  REL</t>
  </si>
  <si>
    <t>IMP03 CYCT 8.1 96 CAVITY 42666 PC PER HR</t>
  </si>
  <si>
    <t>INTRA VIS Preform Sorting Machine</t>
  </si>
  <si>
    <t>3100007736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</si>
  <si>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</si>
  <si>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</si>
  <si>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</si>
  <si>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</si>
  <si>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</si>
  <si>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DLT  PRT  REL</t>
  </si>
  <si>
    <t>IMPS06 CYCT 15 CAV 180  PCS PER HR 43200</t>
  </si>
  <si>
    <t>IMD VISTA Sorting Machine</t>
  </si>
  <si>
    <t>30.5PCO1881RndICI GreenMenaBev Spec-SIPA</t>
  </si>
  <si>
    <t>IMPS06 CYCT 15 CAV 180  PCS PER HR 43200</t>
  </si>
  <si>
    <t>IMD VISTA Sorting Machine</t>
  </si>
  <si>
    <t>3100007737</t>
  </si>
  <si>
    <t>30.5PCO1881 ICI GreenJ/C(PP JOM HDG-SIPA</t>
  </si>
  <si>
    <t>DLT  PRT  REL</t>
  </si>
  <si>
    <t>IMPS06 CYCT 15 CAV 180  PCS PER HR 43200</t>
  </si>
  <si>
    <t>IMD VISTA Sorting Machine</t>
  </si>
  <si>
    <t>30.5PC2RD-IGS-A</t>
  </si>
  <si>
    <t>30.5 PCO 1881 Rnd ICI Green J/C(WP-SIPA</t>
  </si>
  <si>
    <t>IMPS06 CYCT 15 CAV 180  PCS PER HR 43200</t>
  </si>
  <si>
    <t>IMD VISTA Sorting Machine</t>
  </si>
  <si>
    <t>3100007738</t>
  </si>
  <si>
    <t>30.5 PCO 1881 Rnd ICI Green J/C(WP-SIPA</t>
  </si>
  <si>
    <t>DLT  PRT  REL</t>
  </si>
  <si>
    <t>IMPS06 CYCT 15 CAV 180  PCS PER HR 43200</t>
  </si>
  <si>
    <t>IMD VISTA Sorting Machine</t>
  </si>
  <si>
    <t>30.5PCO1881 ICI GreenJ/C(PP JOM HDG-SIPA</t>
  </si>
  <si>
    <t>IMPS06 CYCT 15 CAV 180  PCS PER HR 43200</t>
  </si>
  <si>
    <t>IMD VISTA Sorting Machine</t>
  </si>
  <si>
    <t>3100007739</t>
  </si>
  <si>
    <t>30.5 PCO 1881 Rnd ICI Green J/C(WP-SIPA</t>
  </si>
  <si>
    <t>PRT  REL</t>
  </si>
  <si>
    <t>IMPS06 CYCT 15 CAV 180  PCS PER HR 43200</t>
  </si>
  <si>
    <t>IMD VISTA Sorting Machine</t>
  </si>
  <si>
    <t>3100007740</t>
  </si>
  <si>
    <t>30.5 PCO 1881Rnd CLR J/C(PP JOM HDG-SIPA</t>
  </si>
  <si>
    <t>PRT  REL</t>
  </si>
  <si>
    <t>IMPS06 CYCT 15 CAV 180  PCS PER HR 43200</t>
  </si>
  <si>
    <t>IMD VISTA Sorting Machine</t>
  </si>
  <si>
    <t>3100007741</t>
  </si>
  <si>
    <t>202895</t>
  </si>
  <si>
    <t>Carton Tray 110X100X27 CM- 554 gsm</t>
  </si>
  <si>
    <t>PRT  REL</t>
  </si>
  <si>
    <t>SBM02 10CAV 5000 PC PER HR</t>
  </si>
  <si>
    <t>IMD VISTA Sorting Machine</t>
  </si>
  <si>
    <t>202779</t>
  </si>
  <si>
    <t>PE Bag Roll Width-1239MM,40MIC</t>
  </si>
  <si>
    <t>PRT  REL</t>
  </si>
  <si>
    <t>SBM02 10CAV 5000 PC PER HR</t>
  </si>
  <si>
    <t>IMD VISTA Sorting Machine</t>
  </si>
  <si>
    <t>Plain Self Adhes W105XH165mm–BOPP 1000/R</t>
  </si>
  <si>
    <t>PRT  REL</t>
  </si>
  <si>
    <t>SBM02 10CAV 5000 PC PER HR</t>
  </si>
  <si>
    <t>IMD VISTA Sorting Machine</t>
  </si>
  <si>
    <t>Transparent Tape roll 2'' wide 45mic</t>
  </si>
  <si>
    <t>PRT  REL</t>
  </si>
  <si>
    <t>SBM02 10CAV 5000 PC PER HR</t>
  </si>
  <si>
    <t>IMD VISTA Sorting Machine</t>
  </si>
  <si>
    <t>200040</t>
  </si>
  <si>
    <t>C'Tray EE1(1140X1042X70)mm-3P,347g-Plain</t>
  </si>
  <si>
    <t>PRT  REL</t>
  </si>
  <si>
    <t>SBM02 10CAV 5000 PC PER HR</t>
  </si>
  <si>
    <t>IMD VISTA Sorting Machine</t>
  </si>
  <si>
    <t>St. Film [1.2K.g] 17micx500mmx1500 (Bio)</t>
  </si>
  <si>
    <t>PRT  REL</t>
  </si>
  <si>
    <t>SBM02 10CAV 5000 PC PER HR</t>
  </si>
  <si>
    <t>IMD VISTA Sorting Machine</t>
  </si>
  <si>
    <t>1300C51-SFI-1MMFJ</t>
  </si>
  <si>
    <t>Safi 1.3L PET ClearBTL-MangoMixFruit-25D</t>
  </si>
  <si>
    <t>PRT  REL</t>
  </si>
  <si>
    <t>SBM02 10CAV 5000 PC PER HR</t>
  </si>
  <si>
    <t>IMD VISTA Sorting Machine</t>
  </si>
  <si>
    <t>3100007742</t>
  </si>
  <si>
    <t>30.5 PCO 1881 Rnd ICI Green J/C(WP-SIPA</t>
  </si>
  <si>
    <t>PRT  REL</t>
  </si>
  <si>
    <t>IMPS06 CYCT 15 CAV 180  PCS PER HR 43200</t>
  </si>
  <si>
    <t>IMD VISTA Sorting Machine</t>
  </si>
  <si>
    <t>3100007743</t>
  </si>
  <si>
    <t>Plain Self Adhes W105XH165mm–BOPP 1000/R</t>
  </si>
  <si>
    <t>PRT  REL</t>
  </si>
  <si>
    <t>IMP24</t>
  </si>
  <si>
    <t>IM24 CYCT 11 96 CAVITY 31418 PC PER HR</t>
  </si>
  <si>
    <t>HUSKY # 24 – HYPET HPP 4.0</t>
  </si>
  <si>
    <t>Wooden Pallets Good cond.L120xW100xH15cm</t>
  </si>
  <si>
    <t>PRT  REL</t>
  </si>
  <si>
    <t>IM24 CYCT 11 96 CAVITY 31418 PC PER HR</t>
  </si>
  <si>
    <t>HUSKY # 24 – HYPET HPP 4.0</t>
  </si>
  <si>
    <t>13.5TO2RD-B3-B</t>
  </si>
  <si>
    <t>13.5 TO29/25Rnd Nova Blue J/C(P pltYISHN</t>
  </si>
  <si>
    <t>PRT  REL</t>
  </si>
  <si>
    <t>IM24 CYCT 11 96 CAVITY 31418 PC PER HR</t>
  </si>
  <si>
    <t>HUSKY # 24 – HYPET HPP 4.0</t>
  </si>
  <si>
    <t>3100007744</t>
  </si>
  <si>
    <t>30.5 PCO 1881Rnd CLR J/C(PP JOM HDG-SIPA</t>
  </si>
  <si>
    <t>PRT  REL</t>
  </si>
  <si>
    <t>IMPS06 CYCT 15 CAV 180  PCS PER HR 43200</t>
  </si>
  <si>
    <t>IMD VISTA Sorting Machine</t>
  </si>
  <si>
    <t>3100007745</t>
  </si>
  <si>
    <t>30.5PCO1881 ICI GreenJ/C(PP JOM HDG-SIPA</t>
  </si>
  <si>
    <t>PRT  REL</t>
  </si>
  <si>
    <t>IMPS06 CYCT 15 CAV 180  PCS PER HR 43200</t>
  </si>
  <si>
    <t>IMD VISTA Sorting Machine</t>
  </si>
  <si>
    <t>3100007746</t>
  </si>
  <si>
    <t>30.5PCO1881 ICI GreenJ/C(PP JOM HDG-SIPA</t>
  </si>
  <si>
    <t>PRT  REL</t>
  </si>
  <si>
    <t>IMPS06 CYCT 15 CAV 180  PCS PER HR 43200</t>
  </si>
  <si>
    <t>IMD VISTA Sorting Machine</t>
  </si>
  <si>
    <t>3100007747</t>
  </si>
  <si>
    <t>30.5 PCO 1881 Rnd Clear J/C(W plt-SIPA</t>
  </si>
  <si>
    <t>PRT  REL</t>
  </si>
  <si>
    <t>IMPS06 CYCT 15 CAV 180  PCS PER HR 43200</t>
  </si>
  <si>
    <t>IMD VISTA Sorting Machine</t>
  </si>
  <si>
    <t>3100007748</t>
  </si>
  <si>
    <t>30.5 PCO 1881 Rnd Clear J/C(W plt-SIPA</t>
  </si>
  <si>
    <t>PRT  REL</t>
  </si>
  <si>
    <t>IMPS06 CYCT 15 CAV 180  PCS PER HR 43200</t>
  </si>
  <si>
    <t>IMD VISTA Sorting Machine</t>
  </si>
  <si>
    <t>3100007749</t>
  </si>
  <si>
    <t>30.5 PCO 1881 Rnd Clear J/C(W plt-SIPA</t>
  </si>
  <si>
    <t>PRT  REL</t>
  </si>
  <si>
    <t>IMPS06 CYCT 15 CAV 180  PCS PER HR 43200</t>
  </si>
  <si>
    <t>IMD VISTA Sorting Machine</t>
  </si>
  <si>
    <t>3100007750</t>
  </si>
  <si>
    <t>30.5 PCO 1881 Rnd ICI Green J/C(WP-SIPA</t>
  </si>
  <si>
    <t>PRT  REL</t>
  </si>
  <si>
    <t>IMPS06 CYCT 15 CAV 180  PCS PER HR 43200</t>
  </si>
  <si>
    <t>IMD VISTA Sorting Machine</t>
  </si>
  <si>
    <t>3100007751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</si>
  <si>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</si>
  <si>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</si>
  <si>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</si>
  <si>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</si>
  <si>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</si>
  <si>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</si>
  <si>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</si>
  <si>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</si>
  <si>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3100007752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</si>
  <si>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</si>
  <si>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</si>
  <si>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</si>
  <si>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</si>
  <si>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</si>
  <si>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</si>
  <si>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</si>
  <si>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</si>
  <si>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</si>
  <si>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</si>
  <si>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</si>
  <si>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</si>
  <si>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3100007753</t>
  </si>
  <si>
    <t>Plain Self Adhes W105XH165mm–BOPP 1000/R</t>
  </si>
  <si>
    <t>PRT  REL</t>
  </si>
  <si>
    <t>IMP02 CYT 7.9 128 CAV 58329 PC PER HR</t>
  </si>
  <si>
    <t>INTRA VIS Preform Sorting Machine</t>
  </si>
  <si>
    <t>10.4TO2RD-CL-A</t>
  </si>
  <si>
    <t>10.4 TO 29/25 Rnd Clear J/C(W plt</t>
  </si>
  <si>
    <t>PRT  REL</t>
  </si>
  <si>
    <t>IMP02 CYT 7.9 128 CAV 58329 PC PER HR</t>
  </si>
  <si>
    <t>INTRA VIS Preform Sorting Machine</t>
  </si>
  <si>
    <t>3100007754</t>
  </si>
  <si>
    <t>Plain Self Adhes W105XH165mm–BOPP 1000/R</t>
  </si>
  <si>
    <t>PRT  REL</t>
  </si>
  <si>
    <t>IMP02 CYT 7.9 128 CAV 58329 PC PER HR</t>
  </si>
  <si>
    <t>INTRA VIS Preform Sorting Machine</t>
  </si>
  <si>
    <t>Wooden Pallets Good cond.L120xW100xH15cm</t>
  </si>
  <si>
    <t>PRT  REL</t>
  </si>
  <si>
    <t>IMP02 CYT 7.9 128 CAV 58329 PC PER HR</t>
  </si>
  <si>
    <t>INTRA VIS Preform Sorting Machine</t>
  </si>
  <si>
    <t>10.4TO2RD-CL-B</t>
  </si>
  <si>
    <t>10.4 TO 29/25 Rnd Clear J/C(P Plt</t>
  </si>
  <si>
    <t>PRT  REL</t>
  </si>
  <si>
    <t>IMP02 CYT 7.9 128 CAV 58329 PC PER HR</t>
  </si>
  <si>
    <t>INTRA VIS Preform Sorting Machine</t>
  </si>
  <si>
    <t>3100007755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</si>
  <si>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</si>
  <si>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</si>
  <si>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</si>
  <si>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</si>
  <si>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</si>
  <si>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</si>
  <si>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</si>
  <si>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</si>
  <si>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30.5PCO1881RndICI GreenMenaBev Spec-SIPA</t>
  </si>
  <si>
    <t>PRT  REL</t>
  </si>
  <si>
    <t>RW01 IMD VISTA Sorting Machine</t>
  </si>
  <si>
    <t>IMD VISTA Sorting Machine</t>
  </si>
  <si>
    <t>3100007756</t>
  </si>
  <si>
    <t>Plain Self Adhes W105XH165mm–BOPP 1000/R</t>
  </si>
  <si>
    <t>PRT  REL</t>
  </si>
  <si>
    <t>IMP19 CYCT 18.5  96 CAV 18682 PER HR</t>
  </si>
  <si>
    <t>INTRA VIS Preform Sorting Machine</t>
  </si>
  <si>
    <t>45.0 PCO 1881 ICI Green J/C(P Plt </t>
  </si>
  <si>
    <t>PRT  REL</t>
  </si>
  <si>
    <t>IMP19 CYCT 18.5  96 CAV 18682 PER HR</t>
  </si>
  <si>
    <t>INTRA VIS Preform Sorting Machine</t>
  </si>
  <si>
    <t>3100007757</t>
  </si>
  <si>
    <t>Plain Self Adhes W105XH165mm–BOPP 1000/R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</si>
  <si>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</si>
  <si>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</si>
  <si>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</si>
  <si>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</si>
  <si>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</si>
  <si>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</si>
  <si>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</si>
  <si>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3100007758</t>
  </si>
  <si>
    <t>Plain Self Adhes W105XH165mm–BOPP 1000/R</t>
  </si>
  <si>
    <t>PRT  REL</t>
  </si>
  <si>
    <t>IMPS01 CYT 6.8 180 CAV 95294 PC PER HR</t>
  </si>
  <si>
    <t>INTRA VIS Preform Sorting Machine</t>
  </si>
  <si>
    <t>PET Clear Preform For Grinding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</si>
  <si>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</si>
  <si>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</si>
  <si>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</si>
  <si>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</si>
  <si>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</si>
  <si>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</si>
  <si>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</si>
  <si>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3100007759</t>
  </si>
  <si>
    <t>15.5 BC38mm 3 Start Rnd Clear W Steel c.</t>
  </si>
  <si>
    <t>PRT  REL</t>
  </si>
  <si>
    <t>IM02 CYCT 12.6  72 CAVITY 20571PERHR</t>
  </si>
  <si>
    <t>INTRA VIS Preform Sorting Machine</t>
  </si>
  <si>
    <t>3100007760</t>
  </si>
  <si>
    <t>PET Clear Preform For Grinding</t>
  </si>
  <si>
    <t>PRT  REL</t>
  </si>
  <si>
    <t>IM02 CYCT 12.6  72 CAVITY 20571PERHR</t>
  </si>
  <si>
    <t>INTRA VIS Preform Sorting Machine</t>
  </si>
  <si>
    <t>15.5BC1RD-CL-A</t>
  </si>
  <si>
    <t>15.5 BC38mm 3 Start Rnd Clear J/C(W plt</t>
  </si>
  <si>
    <t>PRT  REL</t>
  </si>
  <si>
    <t>IM02 CYCT 12.6  72 CAVITY 20571PERHR</t>
  </si>
  <si>
    <t>INTRA VIS Preform Sorting Machine</t>
  </si>
  <si>
    <t>3100007761</t>
  </si>
  <si>
    <t>Plain Self Adhes W105XH165mm–BOPP 1000/R</t>
  </si>
  <si>
    <t>PRT  REL</t>
  </si>
  <si>
    <t>IMPS05 CYT 7.5 180 CAV 86400 PC PER HR</t>
  </si>
  <si>
    <t>INTRA VIS Preform Sorting Machine</t>
  </si>
  <si>
    <t>12.5 29/25 Rnd Clear J/C(PP</t>
  </si>
  <si>
    <t>PRT  REL</t>
  </si>
  <si>
    <t>IMPS05 CYT 7.5 180 CAV 86400 PC PER HR</t>
  </si>
  <si>
    <t>INTRA VIS Preform Sorting Machine</t>
  </si>
  <si>
    <t>3100007762</t>
  </si>
  <si>
    <t>52.0 BC38mm 3 Rnd Clear J/C(P Plt</t>
  </si>
  <si>
    <t>PRT  REL</t>
  </si>
  <si>
    <t>IMP01 CYCT 18.5 96CAVITY 18682 PC PER HR</t>
  </si>
  <si>
    <t>INTRA VIS Preform Sorting Machine</t>
  </si>
  <si>
    <t>3100007763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</si>
  <si>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</si>
  <si>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</si>
  <si>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</si>
  <si>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</si>
  <si>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</si>
  <si>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</si>
  <si>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</si>
  <si>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</si>
  <si>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7.80TO29/25Rnd'ALM'BLUE J/C(PP-SIPA-HDG</t>
  </si>
  <si>
    <t>PRT  REL</t>
  </si>
  <si>
    <t>IMPS03 CYT 6.5 180 CAV 99692 PC PER HR</t>
  </si>
  <si>
    <t>INTRA VIS Preform Sorting Machine</t>
  </si>
  <si>
    <t>3100007764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</si>
  <si>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</si>
  <si>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</si>
  <si>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</si>
  <si>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</si>
  <si>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</si>
  <si>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</si>
  <si>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</si>
  <si>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</si>
  <si>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3100007765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</si>
  <si>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</si>
  <si>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</si>
  <si>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</si>
  <si>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</si>
  <si>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</si>
  <si>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</si>
  <si>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</si>
  <si>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</si>
  <si>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3100007766</t>
  </si>
  <si>
    <t>Plain Self Adhes W105XH165mm–BOPP 1000/R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</si>
  <si>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</si>
  <si>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</si>
  <si>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</si>
  <si>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</si>
  <si>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</si>
  <si>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</si>
  <si>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</si>
  <si>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3100007767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</si>
  <si>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</si>
  <si>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</si>
  <si>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</si>
  <si>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</si>
  <si>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</si>
  <si>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</si>
  <si>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</si>
  <si>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</si>
  <si>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3100007768</t>
  </si>
  <si>
    <t>Plain Self Adhes W105XH165mm–BOPP 1000/R</t>
  </si>
  <si>
    <t>PRT  REL</t>
  </si>
  <si>
    <t>IM24 CYCT 11 96 CAVITY 31418 PC PER HR</t>
  </si>
  <si>
    <t>INTRA VIS Preform Sorting Machine</t>
  </si>
  <si>
    <t>13.5 TO29/25Rnd Nova Blue J/C(P pltYISHN</t>
  </si>
  <si>
    <t>PRT  REL</t>
  </si>
  <si>
    <t>IM24 CYCT 11 96 CAVITY 31418 PC PER HR</t>
  </si>
  <si>
    <t>INTRA VIS Preform Sorting Machine</t>
  </si>
  <si>
    <t>3100007769</t>
  </si>
  <si>
    <t>30.5 PCO 1881Rnd CLR J/C(PP JOM HDG-SIPA</t>
  </si>
  <si>
    <t>PRT  REL</t>
  </si>
  <si>
    <t>IMPS06 CYCT 15 CAV 180  PCS PER HR 43200</t>
  </si>
  <si>
    <t>IMD VISTA Sorting Machine</t>
  </si>
  <si>
    <t>3100007770</t>
  </si>
  <si>
    <t>12.5 29/25 Rnd Clear J/C(PP</t>
  </si>
  <si>
    <t>PRT  REL</t>
  </si>
  <si>
    <t>IMD VISTA Sorting Machine</t>
  </si>
  <si>
    <t>50.1 PCO 1881Rd Clear rPET J/C(P Pt</t>
  </si>
  <si>
    <t>PRT  REL</t>
  </si>
  <si>
    <t>IMD VISTA Sorting Machine</t>
  </si>
  <si>
    <t>3100007771</t>
  </si>
  <si>
    <t>47.5PC2RD-IG-B</t>
  </si>
  <si>
    <t>47.5 PCO 1881 Rnd ICI Green J/C(P Plt</t>
  </si>
  <si>
    <t>PRT  REL</t>
  </si>
  <si>
    <t>IMD VISTA Sorting Machine</t>
  </si>
  <si>
    <t>30.5PCO1881 ICI GreenJ/C(PP JOM HDG-SIPA</t>
  </si>
  <si>
    <t>PRT  REL</t>
  </si>
  <si>
    <t>IMD VISTA Sorting Machine</t>
  </si>
  <si>
    <t>50.1PC2RD-IGR-B</t>
  </si>
  <si>
    <t>50.1PCO 1881 ICI Green rPET J/C(P Pt</t>
  </si>
  <si>
    <t>PRT  REL</t>
  </si>
  <si>
    <t>IMD VISTA Sorting Machine</t>
  </si>
  <si>
    <t>3100007772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</si>
  <si>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</si>
  <si>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</si>
  <si>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</si>
  <si>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</si>
  <si>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</si>
  <si>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</si>
  <si>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</si>
  <si>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</si>
  <si>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 PCO 1881Rd Clear J/C(P Plt</t>
  </si>
  <si>
    <t>PRT  REL</t>
  </si>
  <si>
    <t>RW01 IMD VISTA Sorting Machine</t>
  </si>
  <si>
    <t>IMD VISTA Sorting Machine</t>
  </si>
  <si>
    <t>3100007773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</si>
  <si>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</si>
  <si>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</si>
  <si>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</si>
  <si>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</si>
  <si>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</si>
  <si>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</si>
  <si>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</si>
  <si>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</si>
  <si>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 PCO 1881 ICI Green J/C(P Plt </t>
  </si>
  <si>
    <t>PRT  REL</t>
  </si>
  <si>
    <t>RW01 IMD VISTA Sorting Machine</t>
  </si>
  <si>
    <t>IMD VISTA Sorting Machine</t>
  </si>
  <si>
    <t>3100007774</t>
  </si>
  <si>
    <t>45.0 PCO 1881 ICI Green J/C(P Plt </t>
  </si>
  <si>
    <t>PRT  REL</t>
  </si>
  <si>
    <t>IMP19 CYCT 18.5  96 CAV 18682 PER HR</t>
  </si>
  <si>
    <t>IMD VISTA Sorting Machine</t>
  </si>
  <si>
    <t>3100007775</t>
  </si>
  <si>
    <t>30.5PCO1881 ICI GreenJ/C(PP JOM HDG-SIPA</t>
  </si>
  <si>
    <t>PRT  REL</t>
  </si>
  <si>
    <t>IMPS06 CYCT 15 CAV 180  PCS PER HR 43200</t>
  </si>
  <si>
    <t>IMD VISTA Sorting Machine</t>
  </si>
  <si>
    <t>3100007776</t>
  </si>
  <si>
    <t>45.0 PCO 1881Rd Clear J/C(P Plt</t>
  </si>
  <si>
    <t>PRT  REL</t>
  </si>
  <si>
    <t>IMP01 CYCT 18.5 96 CAV 18681 PC PER HR</t>
  </si>
  <si>
    <t>IMD VISTA Sorting Machine</t>
  </si>
  <si>
    <t>3100007777</t>
  </si>
  <si>
    <t>52.0 BC38mm 3 Rnd Clear J/C(P Plt</t>
  </si>
  <si>
    <t>PRT  REL</t>
  </si>
  <si>
    <t>IMP01 CYCT 18.5 96CAVITY 18682 PC PER HR</t>
  </si>
  <si>
    <t>INTRA VIS Preform Sorting Machine</t>
  </si>
  <si>
    <t>3100007778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</si>
  <si>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</si>
  <si>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</si>
  <si>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</si>
  <si>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</si>
  <si>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</si>
  <si>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</si>
  <si>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</si>
  <si>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</si>
  <si>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</si>
  <si>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</si>
  <si>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</si>
  <si>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</si>
  <si>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3100007779</t>
  </si>
  <si>
    <t>12.5TO2RD-LBS-A</t>
  </si>
  <si>
    <t>12.5 TO29/25Rd L.Blue J/C(WP-SIPA</t>
  </si>
  <si>
    <t>PRT  REL</t>
  </si>
  <si>
    <t>IMPS05 CYT 7.5 180 CAV 86400 PC PER HR</t>
  </si>
  <si>
    <t>IMD VISTA Sorting Machine</t>
  </si>
  <si>
    <t>3100007780</t>
  </si>
  <si>
    <t>PET Blue Preform For Grinding</t>
  </si>
  <si>
    <t>PRT  REL</t>
  </si>
  <si>
    <t>IMPS05 CYT 7.5 180 CAV 86400 PC PER HR</t>
  </si>
  <si>
    <t>IMD VISTA Sorting Machine</t>
  </si>
  <si>
    <t>12.5 TO29/25Rd L.Blue(≤ 2ppm)J/C(WP-SIPA</t>
  </si>
  <si>
    <t>PRT  REL</t>
  </si>
  <si>
    <t>IMPS05 CYT 7.5 180 CAV 86400 PC PER HR</t>
  </si>
  <si>
    <t>IMD VISTA Sorting Machine</t>
  </si>
  <si>
    <t>3100007781</t>
  </si>
  <si>
    <t>Plain Self Adhes W105XH165mm–BOPP 1000/R</t>
  </si>
  <si>
    <t>PRT  REL</t>
  </si>
  <si>
    <t>IMP01 CYCT 18.5 96 CAV 18681 PC PER HR</t>
  </si>
  <si>
    <t>INTRA VIS Preform Sorting Machine</t>
  </si>
  <si>
    <t>45.0 PCO 1881Rd Clear J/C(P Plt</t>
  </si>
  <si>
    <t>PRT  REL</t>
  </si>
  <si>
    <t>IMP01 CYCT 18.5 96 CAV 18681 PC PER HR</t>
  </si>
  <si>
    <t>INTRA VIS Preform Sorting Machine</t>
  </si>
  <si>
    <t>3100007782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</si>
  <si>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</si>
  <si>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</si>
  <si>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</si>
  <si>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</si>
  <si>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</si>
  <si>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</si>
  <si>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</si>
  <si>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</si>
  <si>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3100007783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</si>
  <si>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</si>
  <si>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</si>
  <si>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</si>
  <si>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</si>
  <si>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</si>
  <si>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</si>
  <si>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</si>
  <si>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</si>
  <si>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3100007784</t>
  </si>
  <si>
    <t>Plain Self Adhes W105XH165mm–BOPP 1000/R</t>
  </si>
  <si>
    <t>PRT  REL</t>
  </si>
  <si>
    <t>IMP19 CYCT 18.5  96 CAV 18682 PER HR</t>
  </si>
  <si>
    <t>INTRA VIS Preform Sorting Machine</t>
  </si>
  <si>
    <t>45.0 PCO 1881 ICI Green J/C(P Plt </t>
  </si>
  <si>
    <t>PRT  REL</t>
  </si>
  <si>
    <t>IMP19 CYCT 18.5  96 CAV 18682 PER HR</t>
  </si>
  <si>
    <t>INTRA VIS Preform Sorting Machine</t>
  </si>
  <si>
    <t>3100007785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</si>
  <si>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</si>
  <si>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</si>
  <si>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</si>
  <si>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</si>
  <si>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</si>
  <si>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</si>
  <si>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</si>
  <si>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</si>
  <si>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</si>
  <si>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</si>
  <si>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</si>
  <si>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</si>
  <si>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3100007786</t>
  </si>
  <si>
    <t>Plain Self Adhes W105XH165mm–BOPP 1000/R</t>
  </si>
  <si>
    <t>PRT  REL</t>
  </si>
  <si>
    <t>IMP07 CYCT 10.2 72 CAV 25412 PC PER HR</t>
  </si>
  <si>
    <t>IMD VISTA Sorting Machine</t>
  </si>
  <si>
    <t>PET Clear Preform For Grinding</t>
  </si>
  <si>
    <t>PRT  REL</t>
  </si>
  <si>
    <t>IMP07 CYCT 10.2 72 CAV 25412 PC PER HR</t>
  </si>
  <si>
    <t>IMD VISTA Sorting Machine</t>
  </si>
  <si>
    <t>12.7BC1EC-CL-S</t>
  </si>
  <si>
    <t>12.7 BC38mm 3 ECO Clear Steel c.</t>
  </si>
  <si>
    <t>PRT  REL</t>
  </si>
  <si>
    <t>IMP07 CYCT 10.2 72 CAV 25412 PC PER HR</t>
  </si>
  <si>
    <t>IMD VISTA Sorting Machine</t>
  </si>
  <si>
    <t>3100007787</t>
  </si>
  <si>
    <t>Carton Tray 110X100X27 CM- 554 gsm</t>
  </si>
  <si>
    <t>PRT  REL</t>
  </si>
  <si>
    <t>SBM02</t>
  </si>
  <si>
    <t>SBM02 10CAV 5000 PC PER HR</t>
  </si>
  <si>
    <t>BM02 Sidel – SBO 10 PET Blowing machine</t>
  </si>
  <si>
    <t>C'Tray EE1(1140X1042X70)mm-3P,347g-Plain</t>
  </si>
  <si>
    <t>PRT  REL</t>
  </si>
  <si>
    <t>SBM02 10CAV 5000 PC PER HR</t>
  </si>
  <si>
    <t>BM02 Sidel – SBO 10 PET Blowing machine</t>
  </si>
  <si>
    <t>Transparent Tape roll 2'' wide 45mic</t>
  </si>
  <si>
    <t>PRT  REL</t>
  </si>
  <si>
    <t>SBM02 10CAV 5000 PC PER HR</t>
  </si>
  <si>
    <t>BM02 Sidel – SBO 10 PET Blowing machine</t>
  </si>
  <si>
    <t>Plain Self Adhes W105XH165mm–BOPP 1000/R</t>
  </si>
  <si>
    <t>PRT  REL</t>
  </si>
  <si>
    <t>SBM02 10CAV 5000 PC PER HR</t>
  </si>
  <si>
    <t>BM02 Sidel – SBO 10 PET Blowing machine</t>
  </si>
  <si>
    <t>St. Film [1.2K.g] 17micx500mmx1500 (Bio)</t>
  </si>
  <si>
    <t>PRT  REL</t>
  </si>
  <si>
    <t>SBM02 10CAV 5000 PC PER HR</t>
  </si>
  <si>
    <t>BM02 Sidel – SBO 10 PET Blowing machine</t>
  </si>
  <si>
    <t>Safi 1.3L PET ClearBTL-MangoMixFruit-25D</t>
  </si>
  <si>
    <t>PRT  REL</t>
  </si>
  <si>
    <t>SBM02 10CAV 5000 PC PER HR</t>
  </si>
  <si>
    <t>BM02 Sidel – SBO 10 PET Blowing machine</t>
  </si>
  <si>
    <t>3100007788</t>
  </si>
  <si>
    <t>Carton Tray 110X100X27 CM- 554 gsm</t>
  </si>
  <si>
    <t>PRT  REL</t>
  </si>
  <si>
    <t>SBM02 10CAV 5000 PC PER HR</t>
  </si>
  <si>
    <t>BM02 Sidel – SBO 10 PET Blowing machine</t>
  </si>
  <si>
    <t>C'Tray EE1(1140X1042X70)mm-3P,347g-Plain</t>
  </si>
  <si>
    <t>PRT  REL</t>
  </si>
  <si>
    <t>SBM02 10CAV 5000 PC PER HR</t>
  </si>
  <si>
    <t>BM02 Sidel – SBO 10 PET Blowing machine</t>
  </si>
  <si>
    <t>Transparent Tape roll 2'' wide 45mic</t>
  </si>
  <si>
    <t>PRT  REL</t>
  </si>
  <si>
    <t>SBM02 10CAV 5000 PC PER HR</t>
  </si>
  <si>
    <t>BM02 Sidel – SBO 10 PET Blowing machine</t>
  </si>
  <si>
    <t>Plain Self Adhes W105XH165mm–BOPP 1000/R</t>
  </si>
  <si>
    <t>PRT  REL</t>
  </si>
  <si>
    <t>SBM02 10CAV 5000 PC PER HR</t>
  </si>
  <si>
    <t>BM02 Sidel – SBO 10 PET Blowing machine</t>
  </si>
  <si>
    <t>St. Film [1.2K.g] 17micx500mmx1500 (Bio)</t>
  </si>
  <si>
    <t>PRT  REL</t>
  </si>
  <si>
    <t>SBM02 10CAV 5000 PC PER HR</t>
  </si>
  <si>
    <t>BM02 Sidel – SBO 10 PET Blowing machine</t>
  </si>
  <si>
    <t>1400C51-SFI-1ORJ</t>
  </si>
  <si>
    <t>Safi 1.4L PET Clear BTL-Orange -25D</t>
  </si>
  <si>
    <t>PRT  REL</t>
  </si>
  <si>
    <t>SBM02 10CAV 5000 PC PER HR</t>
  </si>
  <si>
    <t>BM02 Sidel – SBO 10 PET Blowing machine</t>
  </si>
  <si>
    <t>3100007789</t>
  </si>
  <si>
    <t>Carton Tray 110X100X27 CM- 554 gsm</t>
  </si>
  <si>
    <t>PRT  REL</t>
  </si>
  <si>
    <t>SBM02 10CAV 5000 PC PER HR</t>
  </si>
  <si>
    <t>BM02 Sidel – SBO 10 PET Blowing machine</t>
  </si>
  <si>
    <t>1400C51-SFI-1MFJ</t>
  </si>
  <si>
    <t>Safi 1.4L PET Clear BTL-Multi Fruit -25D</t>
  </si>
  <si>
    <t>PRT  REL</t>
  </si>
  <si>
    <t>SBM02 10CAV 5000 PC PER HR</t>
  </si>
  <si>
    <t>BM02 Sidel – SBO 10 PET Blowing machine</t>
  </si>
  <si>
    <t>3100007790</t>
  </si>
  <si>
    <t>Carton Tray 110X100X27 CM- 554 gsm</t>
  </si>
  <si>
    <t>PRT  REL</t>
  </si>
  <si>
    <t>SBM02 10CAV 5000 PC PER HR</t>
  </si>
  <si>
    <t>BM02 Sidel – SBO 10 PET Blowing machine</t>
  </si>
  <si>
    <t>1400C51-SFI-1SBJ</t>
  </si>
  <si>
    <t>Safi 1.4L PET ClearBTL-StrawberryNas-25D</t>
  </si>
  <si>
    <t>PRT  REL</t>
  </si>
  <si>
    <t>SBM02 10CAV 5000 PC PER HR</t>
  </si>
  <si>
    <t>BM02 Sidel – SBO 10 PET Blowing machine</t>
  </si>
  <si>
    <t>3100007791</t>
  </si>
  <si>
    <t>1300C51-SFI-1APJ</t>
  </si>
  <si>
    <t>Safi 1.3L PET Clear BTL-Apple -25D</t>
  </si>
  <si>
    <t>PRT  REL</t>
  </si>
  <si>
    <t>SBM02 10CAV 5000 PC PER HR</t>
  </si>
  <si>
    <t>BM02 Sidel – SBO 10 PET Blowing machine</t>
  </si>
  <si>
    <t>3100007792</t>
  </si>
  <si>
    <t>9.4TO 29/25Rnd L.Blue J/CWplt(≤1ppm)SIPA</t>
  </si>
  <si>
    <t>PRT  REL</t>
  </si>
  <si>
    <t>IMPS01 CYT 6.8 180 CAV 95294 PC PER HR</t>
  </si>
  <si>
    <t>IMD VISTA Sorting Machine</t>
  </si>
  <si>
    <t>Plain Self Adhes W105XH165mm–BOPP 1000/R</t>
  </si>
  <si>
    <t>PRT  REL</t>
  </si>
  <si>
    <t>IMPS01 CYT 6.8 180 CAV 95294 PC PER HR</t>
  </si>
  <si>
    <t>IMD VISTA Sorting Machine</t>
  </si>
  <si>
    <t>3100007793</t>
  </si>
  <si>
    <t>7.80TO29/25Rnd'ALM'BLUE J/C(PP-SIPA-HDG</t>
  </si>
  <si>
    <t>PRT  REL</t>
  </si>
  <si>
    <t>IMPS03 CYT 6.5 180 CAV 99692 PC PER HR</t>
  </si>
  <si>
    <t>INTRA VIS Preform Sorting Machine</t>
  </si>
  <si>
    <t>Plain Self Adhes W105XH165mm–BOPP 1000/R</t>
  </si>
  <si>
    <t>PRT  REL</t>
  </si>
  <si>
    <t>IMPS03 CYT 6.5 180 CAV 99692 PC PER HR</t>
  </si>
  <si>
    <t>INTRA VIS Preform Sorting Machine</t>
  </si>
  <si>
    <t>P.E Bags (160x130)x50cm Th 40mic- Jomih</t>
  </si>
  <si>
    <t>IMPS03 CYT 6.5 180 CAV 99692 PC PER HR</t>
  </si>
  <si>
    <t>INTRA VIS Preform Sorting Machine</t>
  </si>
  <si>
    <t>Wooden Pallets Good cond.L120xW100xH15cm</t>
  </si>
  <si>
    <t>IMPS03 CYT 6.5 180 CAV 99692 PC PER HR</t>
  </si>
  <si>
    <t>INTRA VIS Preform Sorting Machine</t>
  </si>
  <si>
    <t>3100007794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</si>
  <si>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</si>
  <si>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</si>
  <si>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</si>
  <si>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</si>
  <si>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</si>
  <si>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</si>
  <si>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</si>
  <si>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</si>
  <si>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9.4TO2RD-CL-B</t>
  </si>
  <si>
    <t>9.4 TO 29/25 Rnd Clear J/C(P Plt</t>
  </si>
  <si>
    <t>PRT  REL</t>
  </si>
  <si>
    <t>RW01 IMD VISTA Sorting Machine</t>
  </si>
  <si>
    <t>IMD VISTA Sorting Machine</t>
  </si>
  <si>
    <t>3100007795</t>
  </si>
  <si>
    <t>Wooden Pallets Good cond.L120xW100xH15cm</t>
  </si>
  <si>
    <t>PRT  REL</t>
  </si>
  <si>
    <t>IMPS03 CYT 6.5 180 CAV 99692 PC PER HR</t>
  </si>
  <si>
    <t>INTRA VIS Preform Sorting Machine</t>
  </si>
  <si>
    <t>7.80TO29/25Rnd'ALM'BLUE J/C(PP-SIPA-HDG</t>
  </si>
  <si>
    <t>PRT  REL</t>
  </si>
  <si>
    <t>IMPS03 CYT 6.5 180 CAV 99692 PC PER HR</t>
  </si>
  <si>
    <t>INTRA VIS Preform Sorting Machine</t>
  </si>
  <si>
    <t>3100007796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</si>
  <si>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</si>
  <si>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</si>
  <si>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</si>
  <si>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</si>
  <si>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</si>
  <si>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</si>
  <si>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</si>
  <si>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</si>
  <si>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7.80TO 29/25 Rd L BlueAA(≤ 2)J/C(WP-SIPA</t>
  </si>
  <si>
    <t>PRT  REL</t>
  </si>
  <si>
    <t>RW01 IMD VISTA Sorting Machine</t>
  </si>
  <si>
    <t>IMD VISTA Sorting Machine</t>
  </si>
  <si>
    <t>3100007797</t>
  </si>
  <si>
    <t>Plain Self Adhes W105XH165mm–BOPP 1000/R</t>
  </si>
  <si>
    <t>PRT  REL</t>
  </si>
  <si>
    <t>IMP01 CYCT 18.5 96 CAV 18681 PC PER HR</t>
  </si>
  <si>
    <t>INTRA VIS Preform Sorting Machine</t>
  </si>
  <si>
    <t>PET Clear Preform For Grinding</t>
  </si>
  <si>
    <t>PRT  REL</t>
  </si>
  <si>
    <t>IMP01 CYCT 18.5 96 CAV 18681 PC PER HR</t>
  </si>
  <si>
    <t>INTRA VIS Preform Sorting Machine</t>
  </si>
  <si>
    <t>45.0 PCO 1881Rd Clear J/C(P Plt</t>
  </si>
  <si>
    <t>PRT  REL</t>
  </si>
  <si>
    <t>IMP01 CYCT 18.5 96 CAV 18681 PC PER HR</t>
  </si>
  <si>
    <t>INTRA VIS Preform Sorting Machine</t>
  </si>
  <si>
    <t>3100007798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</si>
  <si>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</si>
  <si>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</si>
  <si>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</si>
  <si>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</si>
  <si>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</si>
  <si>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</si>
  <si>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</si>
  <si>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</si>
  <si>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3100007799</t>
  </si>
  <si>
    <t>Plain Self Adhes W105XH165mm–BOPP 1000/R</t>
  </si>
  <si>
    <t>PRT  REL</t>
  </si>
  <si>
    <t>IMP19 CYCT 18.5  96 CAV 18682 PER HR</t>
  </si>
  <si>
    <t>INTRA VIS Preform Sorting Machine</t>
  </si>
  <si>
    <t>45.0 PCO 1881 ICI Green J/C(P Plt </t>
  </si>
  <si>
    <t>PRT  REL</t>
  </si>
  <si>
    <t>IMP19 CYCT 18.5  96 CAV 18682 PER HR</t>
  </si>
  <si>
    <t>INTRA VIS Preform Sorting Machine</t>
  </si>
  <si>
    <t>3100007800</t>
  </si>
  <si>
    <t>PET Blue Preform For Grinding</t>
  </si>
  <si>
    <t>PRT  REL</t>
  </si>
  <si>
    <t>IMP12 CYCT 15.6 96 CAVITY 22153 PC</t>
  </si>
  <si>
    <t>IMD VISTA Sorting Machine</t>
  </si>
  <si>
    <t>29.3 TO 29/25 Rnd Nova Blue J/C(PPYISHN</t>
  </si>
  <si>
    <t>PRT  REL</t>
  </si>
  <si>
    <t>IMP12 CYCT 15.6 96 CAVITY 22153 PC</t>
  </si>
  <si>
    <t>IMD VISTA Sorting Machine</t>
  </si>
  <si>
    <t>3100007801</t>
  </si>
  <si>
    <t>Plain Self Adhes W105XH165mm–BOPP 1000/R</t>
  </si>
  <si>
    <t>PRT  REL</t>
  </si>
  <si>
    <t>IMP12 CYCT 13.3 96 CAVITY 25984 PC</t>
  </si>
  <si>
    <t>IMD VISTA Sorting Machine</t>
  </si>
  <si>
    <t>PET Blue Preform For Grinding</t>
  </si>
  <si>
    <t>DLT  PRT  REL</t>
  </si>
  <si>
    <t>IMP12 CYCT 13.3 96 CAVITY 25984 PC</t>
  </si>
  <si>
    <t>IMD VISTA Sorting Machine</t>
  </si>
  <si>
    <t>26.6TO2RD-LB-A</t>
  </si>
  <si>
    <t>26.6 29/25 Rnd Light Blue J/C(W Plt</t>
  </si>
  <si>
    <t>PRT  REL</t>
  </si>
  <si>
    <t>IMP12 CYCT 13.3 96 CAVITY 25984 PC</t>
  </si>
  <si>
    <t>IMD VISTA Sorting Machine</t>
  </si>
  <si>
    <t>3100007802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</si>
  <si>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</si>
  <si>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</si>
  <si>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</si>
  <si>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</si>
  <si>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</si>
  <si>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</si>
  <si>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</si>
  <si>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</si>
  <si>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29.3 TO 29/25 Rnd Nova Blue J/C(PPYISHN</t>
  </si>
  <si>
    <t>PRT  REL</t>
  </si>
  <si>
    <t>IMP12 CYCT 15.6 96 CAVITY 22153 PC</t>
  </si>
  <si>
    <t>IMD VISTA Sorting Machine</t>
  </si>
  <si>
    <t>3100007803</t>
  </si>
  <si>
    <t>Plain Self Adhes W105XH165mm–BOPP 1000/R</t>
  </si>
  <si>
    <t>PRT  REL</t>
  </si>
  <si>
    <t>IMP19 CYCT 18.5  96 CAV 18682 PER HR</t>
  </si>
  <si>
    <t>INTRA VIS Preform Sorting Machine</t>
  </si>
  <si>
    <t>PET Green Preform For Grinding</t>
  </si>
  <si>
    <t>PRT  REL</t>
  </si>
  <si>
    <t>IMP19 CYCT 18.5  96 CAV 18682 PER HR</t>
  </si>
  <si>
    <t>INTRA VIS Preform Sorting Machine</t>
  </si>
  <si>
    <t>45.0 PCO 1881 ICI Green J/C(P Plt </t>
  </si>
  <si>
    <t>PRT  REL</t>
  </si>
  <si>
    <t>IMP19 CYCT 18.5  96 CAV 18682 PER HR</t>
  </si>
  <si>
    <t>INTRA VIS Preform Sorting Machine</t>
  </si>
  <si>
    <t>3100007804</t>
  </si>
  <si>
    <t>45.0 PCO 1881 Rd ICI Green MenaBevPP HDG</t>
  </si>
  <si>
    <t>PRT  REL</t>
  </si>
  <si>
    <t>IMP19 CYCT 18.5  96 CAV 18682 PER HR</t>
  </si>
  <si>
    <t>INTRA VIS Preform Sorting Machine</t>
  </si>
  <si>
    <t>3100007805</t>
  </si>
  <si>
    <t>26.6TO2RD-AJB-BH</t>
  </si>
  <si>
    <t>26.6TO29/25Rnd'ALM'BLUE J/C(PP-HDG)</t>
  </si>
  <si>
    <t>PRT  REL</t>
  </si>
  <si>
    <t>IMP12 CYCT 13.3 96 CAVITY 25984 PC</t>
  </si>
  <si>
    <t>IMD VISTA Sorting Machine</t>
  </si>
  <si>
    <t>3100007806</t>
  </si>
  <si>
    <t>Plain Self Adhes W105XH165mm–BOPP 1000/R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</si>
  <si>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</si>
  <si>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</si>
  <si>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</si>
  <si>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</si>
  <si>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</si>
  <si>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</si>
  <si>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</si>
  <si>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</si>
  <si>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</si>
  <si>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</si>
  <si>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</si>
  <si>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3100007807</t>
  </si>
  <si>
    <t>Plain Self Adhes W105XH165mm–BOPP 1000/R</t>
  </si>
  <si>
    <t>PRT  REL</t>
  </si>
  <si>
    <t>IMPS06 CYCT 15 CAV 180  PCS PER HR 43200</t>
  </si>
  <si>
    <t>IMD VISTA Sorting Machine</t>
  </si>
  <si>
    <t>30.5PCO1881RndICI GreenMenaBev Spec-SIPA</t>
  </si>
  <si>
    <t>PRT  REL</t>
  </si>
  <si>
    <t>IMPS06 CYCT 15 CAV 180  PCS PER HR 43200</t>
  </si>
  <si>
    <t>IMD VISTA Sorting Machine</t>
  </si>
  <si>
    <t>3100007808</t>
  </si>
  <si>
    <t>30.5 PCO 1881 Rnd ICI Green J/C(WP-SIPA</t>
  </si>
  <si>
    <t>PRT  REL</t>
  </si>
  <si>
    <t>IMPS06 CYCT 15 CAV 180  PCS PER HR 43200</t>
  </si>
  <si>
    <t>IMD VISTA Sorting Machine</t>
  </si>
  <si>
    <t>3100007809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</si>
  <si>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</si>
  <si>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</si>
  <si>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</si>
  <si>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</si>
  <si>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</si>
  <si>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</si>
  <si>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</si>
  <si>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</si>
  <si>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</si>
  <si>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</si>
  <si>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</si>
  <si>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</si>
  <si>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3100007810</t>
  </si>
  <si>
    <t>9.4 TO 29/25 Rnd Clear J/C(P Plt</t>
  </si>
  <si>
    <t>PRT  REL</t>
  </si>
  <si>
    <t>IMPS02 CYT 6.8 180 CAV 95294 PC PER HR</t>
  </si>
  <si>
    <t>IMD VISTA Sorting Machine</t>
  </si>
  <si>
    <t>Plain Self Adhes W105XH165mm–BOPP 1000/R</t>
  </si>
  <si>
    <t>PRT  REL</t>
  </si>
  <si>
    <t>IMPS02 CYT 6.8 180 CAV 95294 PC PER HR</t>
  </si>
  <si>
    <t>IMD VISTA Sorting Machine</t>
  </si>
  <si>
    <t>3100007811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</si>
  <si>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</si>
  <si>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</si>
  <si>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</si>
  <si>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</si>
  <si>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</si>
  <si>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</si>
  <si>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</si>
  <si>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</si>
  <si>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9.4 TO 29/25 Rnd Clear J/C(P Plt</t>
  </si>
  <si>
    <t>PRT  REL</t>
  </si>
  <si>
    <t>RW01 IMD VISTA Sorting Machine</t>
  </si>
  <si>
    <t>IMD VISTA Sorting Machine</t>
  </si>
  <si>
    <t>3100007812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</si>
  <si>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</si>
  <si>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</si>
  <si>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</si>
  <si>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</si>
  <si>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</si>
  <si>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</si>
  <si>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</si>
  <si>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</si>
  <si>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3100007813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</si>
  <si>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</si>
  <si>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</si>
  <si>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</si>
  <si>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</si>
  <si>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</si>
  <si>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</si>
  <si>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</si>
  <si>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</si>
  <si>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3100007814</t>
  </si>
  <si>
    <t>Plain Self Adhes W105XH165mm–BOPP 1000/R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</si>
  <si>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</si>
  <si>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</si>
  <si>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</si>
  <si>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</si>
  <si>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</si>
  <si>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</si>
  <si>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</si>
  <si>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18.0BC1RD-CL-S</t>
  </si>
  <si>
    <t>18.0 BC38mm 3 Rnd Clear Steel C</t>
  </si>
  <si>
    <t>PRT  REL</t>
  </si>
  <si>
    <t>IMP07 CYCT 12 72CAVITY 21600 PC PER HR</t>
  </si>
  <si>
    <t>INTRA VIS Preform Sorting Machine</t>
  </si>
  <si>
    <t>3100007815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</si>
  <si>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</si>
  <si>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</si>
  <si>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</si>
  <si>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</si>
  <si>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</si>
  <si>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</si>
  <si>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</si>
  <si>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</si>
  <si>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29.3 TO 29/25 Rnd Nova Blue J/C(PPYISHN</t>
  </si>
  <si>
    <t>PRT  REL</t>
  </si>
  <si>
    <t>IMP12 CYCT 15.6 96 CAVITY 22153 PC</t>
  </si>
  <si>
    <t>IMD VISTA Sorting Machine</t>
  </si>
  <si>
    <t>3100007816</t>
  </si>
  <si>
    <t>Plain Self Adhes W105XH165mm–BOPP 1000/R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</si>
  <si>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</si>
  <si>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</si>
  <si>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</si>
  <si>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</si>
  <si>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</si>
  <si>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</si>
  <si>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</si>
  <si>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13.5 TO29/25Rnd Nova Blue J/C(P pltYISHN</t>
  </si>
  <si>
    <t>PRT  REL</t>
  </si>
  <si>
    <t>IM24 CYCT 11 96 CAVITY 31418 PC PER HR</t>
  </si>
  <si>
    <t>INTRA VIS Preform Sorting Machine</t>
  </si>
  <si>
    <t>3100007817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</si>
  <si>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</si>
  <si>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</si>
  <si>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</si>
  <si>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</si>
  <si>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</si>
  <si>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</si>
  <si>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</si>
  <si>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</si>
  <si>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</si>
  <si>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</si>
  <si>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</si>
  <si>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</si>
  <si>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3100007818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</si>
  <si>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</si>
  <si>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</si>
  <si>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</si>
  <si>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</si>
  <si>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</si>
  <si>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</si>
  <si>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</si>
  <si>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</si>
  <si>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3100007819</t>
  </si>
  <si>
    <t>30.5 PCO 1881Rnd CLR J/C(PP JOM HDG-SIPA</t>
  </si>
  <si>
    <t>PRT  REL</t>
  </si>
  <si>
    <t>IMPS06 CYCT 15 CAV 180  PCS PER HR 43200</t>
  </si>
  <si>
    <t>IMD VISTA Sorting Machine</t>
  </si>
  <si>
    <t>3100007820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</si>
  <si>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</si>
  <si>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</si>
  <si>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</si>
  <si>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</si>
  <si>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</si>
  <si>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</si>
  <si>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</si>
  <si>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</si>
  <si>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3100007821</t>
  </si>
  <si>
    <t>PET Blue Preform For Grinding</t>
  </si>
  <si>
    <t>PRT  REL</t>
  </si>
  <si>
    <t>IM24 CYCT 11 96 CAVITY 31418 PC PER HR</t>
  </si>
  <si>
    <t>INTRA VIS Preform Sorting Machine</t>
  </si>
  <si>
    <t>13.5 TO29/25Rnd Nova Blue J/C(P pltYISHN</t>
  </si>
  <si>
    <t>PRT  REL</t>
  </si>
  <si>
    <t>IM24 CYCT 11 96 CAVITY 31418 PC PER HR</t>
  </si>
  <si>
    <t>INTRA VIS Preform Sorting Machine</t>
  </si>
  <si>
    <t>3100007822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</si>
  <si>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</si>
  <si>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</si>
  <si>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</si>
  <si>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</si>
  <si>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</si>
  <si>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</si>
  <si>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</si>
  <si>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</si>
  <si>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</si>
  <si>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</si>
  <si>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</si>
  <si>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</si>
  <si>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</si>
  <si>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</si>
  <si>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</si>
  <si>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</si>
  <si>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3100007823</t>
  </si>
  <si>
    <t>9.4TO2RD-LBS-A</t>
  </si>
  <si>
    <t>9.4 TO 29/25 Rnd L.Blue J/C (W plt- SIPA</t>
  </si>
  <si>
    <t>PRT  REL</t>
  </si>
  <si>
    <t>IMPS01 CYT 6.8 180 CAV 95294 PC PER HR</t>
  </si>
  <si>
    <t>IMD VISTA Sorting Machine</t>
  </si>
  <si>
    <t>3100007824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</si>
  <si>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</si>
  <si>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</si>
  <si>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</si>
  <si>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</si>
  <si>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</si>
  <si>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</si>
  <si>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</si>
  <si>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</si>
  <si>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3100007825</t>
  </si>
  <si>
    <t>Plain Self Adhes W105XH165mm–BOPP 1000/R</t>
  </si>
  <si>
    <t>PRT  REL</t>
  </si>
  <si>
    <t>IMP01 CYCT 18.5 96 CAV 18681 PC PER HR</t>
  </si>
  <si>
    <t>INTRA VIS Preform Sorting Machine</t>
  </si>
  <si>
    <t>45.0 PCO 1881Rd Clear J/C(P Plt</t>
  </si>
  <si>
    <t>PRT  REL</t>
  </si>
  <si>
    <t>IMP01 CYCT 18.5 96 CAV 18681 PC PER HR</t>
  </si>
  <si>
    <t>INTRA VIS Preform Sorting Machine</t>
  </si>
  <si>
    <t>3100007826</t>
  </si>
  <si>
    <t>9.4 TO 29/25 Rnd Clear J/C(P Plt</t>
  </si>
  <si>
    <t>PRT  REL</t>
  </si>
  <si>
    <t>IMPS02 CYT 6.8 180 CAV 95294 PC PER HR</t>
  </si>
  <si>
    <t>IMD VISTA Sorting Machine</t>
  </si>
  <si>
    <t>Plain Self Adhes W105XH165mm–BOPP 1000/R</t>
  </si>
  <si>
    <t>PRT  REL</t>
  </si>
  <si>
    <t>IMPS02 CYT 6.8 180 CAV 95294 PC PER HR</t>
  </si>
  <si>
    <t>IMD VISTA Sorting Machine</t>
  </si>
  <si>
    <t>3100007827</t>
  </si>
  <si>
    <t>PET Blue Preform For Grinding</t>
  </si>
  <si>
    <t>PRT  REL</t>
  </si>
  <si>
    <t>IMP12 CYCT 15.6 96 CAVITY 22153 PC</t>
  </si>
  <si>
    <t>IMD VISTA Sorting Machine</t>
  </si>
  <si>
    <t>29.3 TO 29/25 Rnd Nova Blue J/C(PPYISHN</t>
  </si>
  <si>
    <t>PRT  REL</t>
  </si>
  <si>
    <t>IMP12 CYCT 15.6 96 CAVITY 22153 PC</t>
  </si>
  <si>
    <t>IMD VISTA Sorting Machine</t>
  </si>
  <si>
    <t>3100007828</t>
  </si>
  <si>
    <t>Plain Self Adhes W105XH165mm–BOPP 1000/R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</si>
  <si>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</si>
  <si>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</si>
  <si>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</si>
  <si>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</si>
  <si>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</si>
  <si>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</si>
  <si>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</si>
  <si>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3100007829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</si>
  <si>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</si>
  <si>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</si>
  <si>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</si>
  <si>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</si>
  <si>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</si>
  <si>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</si>
  <si>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</si>
  <si>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</si>
  <si>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3100007830</t>
  </si>
  <si>
    <t>Plain Self Adhes W105XH165mm–BOPP 1000/R</t>
  </si>
  <si>
    <t>PRT  REL</t>
  </si>
  <si>
    <t>IMP19 CYT 14.5 72 CAV 17875 PC PER HR</t>
  </si>
  <si>
    <t>IMD VISTA Sorting Machine</t>
  </si>
  <si>
    <t>PET Clear Preform For Grinding</t>
  </si>
  <si>
    <t>PRT  REL</t>
  </si>
  <si>
    <t>IMP19 CYT 14.5 72 CAV 17875 PC PER HR</t>
  </si>
  <si>
    <t>IMD VISTA Sorting Machine</t>
  </si>
  <si>
    <t>34.0 BC38mm 3 ECO Huayan Clear steel C</t>
  </si>
  <si>
    <t>PRT  REL</t>
  </si>
  <si>
    <t>IMP19 CYT 14.5 72 CAV 17875 PC PER HR</t>
  </si>
  <si>
    <t>IMD VISTA Sorting Machine</t>
  </si>
  <si>
    <t>3100007831</t>
  </si>
  <si>
    <t>Plain Self Adhes W105XH165mm–BOPP 1000/R</t>
  </si>
  <si>
    <t>PRT  REL</t>
  </si>
  <si>
    <t>IMPS05 CYT 7.1 180 CAV 91267 PC PER HR</t>
  </si>
  <si>
    <t>INTRA VIS Preform Sorting Machine</t>
  </si>
  <si>
    <t>PET Clear Preform For Grinding</t>
  </si>
  <si>
    <t>PRT  REL</t>
  </si>
  <si>
    <t>IMPS05 CYT 7.1 180 CAV 91267 PC PER HR</t>
  </si>
  <si>
    <t>INTRA VIS Preform Sorting Machine</t>
  </si>
  <si>
    <t>11.5 TO29/25Rd Clear J/C(WP-SIPA</t>
  </si>
  <si>
    <t>PRT  REL</t>
  </si>
  <si>
    <t>IMPS05 CYT 7.1 180 CAV 91267 PC PER HR</t>
  </si>
  <si>
    <t>INTRA VIS Preform Sorting Machine</t>
  </si>
  <si>
    <t>11.5TO2RD-CLS-V</t>
  </si>
  <si>
    <t>11.5 TO29/25 Rnd Clear MenaBev (PP)</t>
  </si>
  <si>
    <t>PRT  REL</t>
  </si>
  <si>
    <t>IMPS05 CYT 7.1 180 CAV 91267 PC PER HR</t>
  </si>
  <si>
    <t>INTRA VIS Preform Sorting Machine</t>
  </si>
  <si>
    <t>3100007832</t>
  </si>
  <si>
    <t>9.4TO 29/25Rnd L.Blue J/CWplt(≤1ppm)SIPA</t>
  </si>
  <si>
    <t>PRT  REL</t>
  </si>
  <si>
    <t>IMPS01 CYT 6.8 180 CAV 95294 PC PER HR</t>
  </si>
  <si>
    <t>IMD VISTA Sorting Machine</t>
  </si>
  <si>
    <t>3100007833</t>
  </si>
  <si>
    <t>Plain Self Adhes W105XH165mm–BOPP 1000/R</t>
  </si>
  <si>
    <t>PRT  REL</t>
  </si>
  <si>
    <t>IMPS03 CYT 6.5 180 CAV 99692 PC PER HR</t>
  </si>
  <si>
    <t>INTRA VIS Preform Sorting Machine</t>
  </si>
  <si>
    <t>7.80TO 29/25 Rd L BlueAA(≤ 2)J/C(WP-SIPA</t>
  </si>
  <si>
    <t>PRT  REL</t>
  </si>
  <si>
    <t>IMPS03 CYT 6.5 180 CAV 99692 PC PER HR</t>
  </si>
  <si>
    <t>INTRA VIS Preform Sorting Machine</t>
  </si>
  <si>
    <t>3100007834</t>
  </si>
  <si>
    <t>Plain Self Adhes W105XH165mm–BOPP 1000/R</t>
  </si>
  <si>
    <t>PRT  REL</t>
  </si>
  <si>
    <t>IMPS03 CYT 6.5 180 CAV 99692 PC PER HR</t>
  </si>
  <si>
    <t>INTRA VIS Preform Sorting Machine</t>
  </si>
  <si>
    <t>7.80TO29/25Rnd'ALM'BLUE J/C(PP-SIPA-HDG</t>
  </si>
  <si>
    <t>PRT  REL</t>
  </si>
  <si>
    <t>IMPS03 CYT 6.5 180 CAV 99692 PC PER HR</t>
  </si>
  <si>
    <t>INTRA VIS Preform Sorting Machine</t>
  </si>
  <si>
    <t>3100007835</t>
  </si>
  <si>
    <t>50.1PC2RD-CL-B</t>
  </si>
  <si>
    <t>50.1 PCO 1881 Rnd Clear J/C(P plt</t>
  </si>
  <si>
    <t>PRT  REL</t>
  </si>
  <si>
    <t>IMP06 CYCT 18.5 96 CAV 18681 PC PER HR</t>
  </si>
  <si>
    <t>INTRA VIS Preform Sorting Machine</t>
  </si>
  <si>
    <t>3100007836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</si>
  <si>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</si>
  <si>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</si>
  <si>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</si>
  <si>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</si>
  <si>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</si>
  <si>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</si>
  <si>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</si>
  <si>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</si>
  <si>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26.6TO2RD-CL-BH</t>
  </si>
  <si>
    <t>26.6 TO 29/25 Rnd CLR MenaBev PP HDG</t>
  </si>
  <si>
    <t>PRT  REL</t>
  </si>
  <si>
    <t>RW01 IMD VISTA Sorting Machine</t>
  </si>
  <si>
    <t>IMD VISTA Sorting Machine</t>
  </si>
  <si>
    <t>3100007837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</si>
  <si>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</si>
  <si>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</si>
  <si>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</si>
  <si>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</si>
  <si>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</si>
  <si>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</si>
  <si>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</si>
  <si>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</si>
  <si>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3100007838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</si>
  <si>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</si>
  <si>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</si>
  <si>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</si>
  <si>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</si>
  <si>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</si>
  <si>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</si>
  <si>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</si>
  <si>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</si>
  <si>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</si>
  <si>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</si>
  <si>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</si>
  <si>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</si>
  <si>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3100007839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</si>
  <si>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</si>
  <si>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</si>
  <si>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</si>
  <si>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</si>
  <si>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</si>
  <si>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</si>
  <si>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</si>
  <si>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</si>
  <si>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3100007840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</si>
  <si>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</si>
  <si>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</si>
  <si>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</si>
  <si>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</si>
  <si>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</si>
  <si>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</si>
  <si>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</si>
  <si>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</si>
  <si>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</si>
  <si>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</si>
  <si>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</si>
  <si>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</si>
  <si>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3100007841</t>
  </si>
  <si>
    <t>Plain Self Adhes W105XH165mm–BOPP 1000/R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</si>
  <si>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</si>
  <si>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</si>
  <si>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</si>
  <si>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</si>
  <si>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</si>
  <si>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</si>
  <si>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</si>
  <si>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45.0 PCO 1881Rd Clear J/C(P Plt</t>
  </si>
  <si>
    <t>PRT  REL</t>
  </si>
  <si>
    <t>IMP01 CYCT 18.5 96 CAV 18681 PC PER HR</t>
  </si>
  <si>
    <t>IMD VISTA Sorting Machine</t>
  </si>
  <si>
    <t>3100007842</t>
  </si>
  <si>
    <t>Plain Self Adhes W105XH165mm–BOPP 1000/R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</si>
  <si>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</si>
  <si>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</si>
  <si>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</si>
  <si>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</si>
  <si>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</si>
  <si>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</si>
  <si>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</si>
  <si>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45.0 PCO 1881 Rnd Clear MenaBev PP HDG</t>
  </si>
  <si>
    <t>PRT  REL</t>
  </si>
  <si>
    <t>IMP01 CYCT 18.5 96 CAV 18681 PC PER HR</t>
  </si>
  <si>
    <t>IMD VISTA Sorting Machine</t>
  </si>
  <si>
    <t>3100007843</t>
  </si>
  <si>
    <t>Plain Self Adhes W105XH165mm–BOPP 1000/R</t>
  </si>
  <si>
    <t>PRT  REL</t>
  </si>
  <si>
    <t>IMPS06 CYCT 15 CAV 180  PCS PER HR 43200</t>
  </si>
  <si>
    <t>IMD VISTA Sorting Machine</t>
  </si>
  <si>
    <t>Wooden Pallets Good cond.L120xW100xH15cm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</si>
  <si>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</si>
  <si>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</si>
  <si>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</si>
  <si>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</si>
  <si>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</si>
  <si>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</si>
  <si>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</si>
  <si>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</si>
  <si>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</si>
  <si>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</si>
  <si>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</si>
  <si>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3100007844</t>
  </si>
  <si>
    <t>Plain Self Adhes W105XH165mm–BOPP 1000/R</t>
  </si>
  <si>
    <t>PRT  REL</t>
  </si>
  <si>
    <t>IMP19 CYT 14.5 72 CAV 17875 PC PER HR</t>
  </si>
  <si>
    <t>IMD VISTA Sorting Machine</t>
  </si>
  <si>
    <t>20501009</t>
  </si>
  <si>
    <t>P.E.BAG CLEAR- L210XW124+51CM 375g-40mic</t>
  </si>
  <si>
    <t>PRT  REL</t>
  </si>
  <si>
    <t>IMP19 CYT 14.5 72 CAV 17875 PC PER HR</t>
  </si>
  <si>
    <t>IMD VISTA Sorting Machine</t>
  </si>
  <si>
    <t>34.0 BC38mm 3 ECO Huayan White Steel C</t>
  </si>
  <si>
    <t>PRT  REL</t>
  </si>
  <si>
    <t>IMP19 CYT 14.5 72 CAV 17875 PC PER HR</t>
  </si>
  <si>
    <t>IMD VISTA Sorting Machine</t>
  </si>
  <si>
    <t>3100007845</t>
  </si>
  <si>
    <t>9.4 TO 29/25 Rnd Clear J/C(P Plt</t>
  </si>
  <si>
    <t>PRT  REL</t>
  </si>
  <si>
    <t>IMPS02 CYT 6.8 180 CAV 95294 PC PER HR</t>
  </si>
  <si>
    <t>INTRA VIS Preform Sorting Machine</t>
  </si>
  <si>
    <t>Plain Self Adhes W105XH165mm–BOPP 1000/R</t>
  </si>
  <si>
    <t>PRT  REL</t>
  </si>
  <si>
    <t>IMPS02 CYT 6.8 180 CAV 95294 PC PER HR</t>
  </si>
  <si>
    <t>INTRA VIS Preform Sorting Machine</t>
  </si>
  <si>
    <t>3100007846</t>
  </si>
  <si>
    <t>50.1 PCO 1881 Rnd Clear J/C(P plt</t>
  </si>
  <si>
    <t>PRT  REL</t>
  </si>
  <si>
    <t>IMP06 CYCT 18.5 96 CAV 18681 PC PER HR</t>
  </si>
  <si>
    <t>IMD VISTA Sorting Machine</t>
  </si>
  <si>
    <t>PET Clear Preform For Grinding</t>
  </si>
  <si>
    <t>PRT  REL</t>
  </si>
  <si>
    <t>IMP06 CYCT 18.5 96 CAV 18681 PC PER HR</t>
  </si>
  <si>
    <t>IMD VISTA Sorting Machine</t>
  </si>
  <si>
    <t>Plain Self Adhes W105XH165mm–BOPP 1000/R</t>
  </si>
  <si>
    <t>PRT  REL</t>
  </si>
  <si>
    <t>IMP06 CYCT 18.5 96 CAV 18681 PC PER HR</t>
  </si>
  <si>
    <t>IMD VISTA Sorting Machine</t>
  </si>
  <si>
    <t>Transparent Tape roll 2'' wide 45mic</t>
  </si>
  <si>
    <t>PRT  REL</t>
  </si>
  <si>
    <t>IMP06 CYCT 18.5 96 CAV 18681 PC PER HR</t>
  </si>
  <si>
    <t>IMD VISTA Sorting Machine</t>
  </si>
  <si>
    <t>Nylon Cable Tie – CV-200B-Black(100 pcs)</t>
  </si>
  <si>
    <t>PRT  REL</t>
  </si>
  <si>
    <t>IMP06 CYCT 18.5 96 CAV 18681 PC PER HR</t>
  </si>
  <si>
    <t>IMD VISTA Sorting Machine</t>
  </si>
  <si>
    <t>PET Green strapping ROL 2500m-12.5x0.6mm</t>
  </si>
  <si>
    <t>PRT  REL</t>
  </si>
  <si>
    <t>IMP06 CYCT 18.5 96 CAV 18681 PC PER HR</t>
  </si>
  <si>
    <t>IMD VISTA Sorting Machine</t>
  </si>
  <si>
    <t>3100007847</t>
  </si>
  <si>
    <t>Plain Self Adhes W105XH165mm–BOPP 1000/R</t>
  </si>
  <si>
    <t>PRT  REL</t>
  </si>
  <si>
    <t>IMP06 CYCT 18.5 96 CAV 18681 PC PER HR</t>
  </si>
  <si>
    <t>INTRA VIS Preform Sorting Machine</t>
  </si>
  <si>
    <t>P.E Bags (160x130)x50cm Th 40mic- Jomih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</si>
  <si>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</si>
  <si>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</si>
  <si>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</si>
  <si>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</si>
  <si>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</si>
  <si>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</si>
  <si>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</si>
  <si>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3100007848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</si>
  <si>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</si>
  <si>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</si>
  <si>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</si>
  <si>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</si>
  <si>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</si>
  <si>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</si>
  <si>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</si>
  <si>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</si>
  <si>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3100007849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</si>
  <si>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</si>
  <si>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</si>
  <si>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</si>
  <si>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</si>
  <si>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</si>
  <si>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</si>
  <si>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</si>
  <si>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</si>
  <si>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</si>
  <si>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</si>
  <si>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</si>
  <si>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</si>
  <si>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3100007850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</si>
  <si>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</si>
  <si>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</si>
  <si>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</si>
  <si>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</si>
  <si>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</si>
  <si>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</si>
  <si>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</si>
  <si>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</si>
  <si>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3100007851</t>
  </si>
  <si>
    <t>Plain Self Adhes W105XH165mm–BOPP 1000/R</t>
  </si>
  <si>
    <t>PRT  REL</t>
  </si>
  <si>
    <t>IMPS02 CYT 6.8 180 CAV 95294 PC PER HR</t>
  </si>
  <si>
    <t>INTRA VIS Preform Sorting Machine</t>
  </si>
  <si>
    <t>PET Clear Preform For Grinding</t>
  </si>
  <si>
    <t>PRT  REL</t>
  </si>
  <si>
    <t>IMPS02 CYT 6.8 180 CAV 95294 PC PER HR</t>
  </si>
  <si>
    <t>INTRA VIS Preform Sorting Machine</t>
  </si>
  <si>
    <t>10.4TO2RD-CLS-A</t>
  </si>
  <si>
    <t>10.4 TO 29/25 Rnd Clear J/C(W plt</t>
  </si>
  <si>
    <t>PRT  REL</t>
  </si>
  <si>
    <t>IMPS02 CYT 6.8 180 CAV 95294 PC PER HR</t>
  </si>
  <si>
    <t>INTRA VIS Preform Sorting Machine</t>
  </si>
  <si>
    <t>3100007852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</si>
  <si>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</si>
  <si>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</si>
  <si>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</si>
  <si>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</si>
  <si>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</si>
  <si>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</si>
  <si>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</si>
  <si>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</si>
  <si>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CLR MenaBev PP HDG</t>
  </si>
  <si>
    <t>PRT  REL</t>
  </si>
  <si>
    <t>IMP12 CYCT 15.6 96 CAVITY 22153 PC</t>
  </si>
  <si>
    <t>IMD VISTA Sorting Machine</t>
  </si>
  <si>
    <t>3100007853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</si>
  <si>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</si>
  <si>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</si>
  <si>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</si>
  <si>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</si>
  <si>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</si>
  <si>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</si>
  <si>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</si>
  <si>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</si>
  <si>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</si>
  <si>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</si>
  <si>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</si>
  <si>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</si>
  <si>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3100007854</t>
  </si>
  <si>
    <t>P.E Bags (160x130)x50cm Th 40mic- Jomih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</si>
  <si>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</si>
  <si>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</si>
  <si>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</si>
  <si>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</si>
  <si>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</si>
  <si>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</si>
  <si>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</si>
  <si>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3100007855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</si>
  <si>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</si>
  <si>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</si>
  <si>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</si>
  <si>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</si>
  <si>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</si>
  <si>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</si>
  <si>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</si>
  <si>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</si>
  <si>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7.80TO 29/25 Rd L BlueAA(≤ 2)J/C(WP-SIPA</t>
  </si>
  <si>
    <t>PRT  REL</t>
  </si>
  <si>
    <t>IMPS03 CYT 6.5 180 CAV 99692 PC PER HR</t>
  </si>
  <si>
    <t>INTRA VIS Preform Sorting Machine</t>
  </si>
  <si>
    <t>3100007856</t>
  </si>
  <si>
    <t>Plain Self Adhes W105XH165mm–BOPP 1000/R</t>
  </si>
  <si>
    <t>PRT  REL</t>
  </si>
  <si>
    <t>IMP06 CYCT 18.5 96 CAV 18681 PC PER HR</t>
  </si>
  <si>
    <t>INTRA VIS Preform Sorting Machine</t>
  </si>
  <si>
    <t>P.E Bags (160x130)x50cm Th 40mic- Jomih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</si>
  <si>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</si>
  <si>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</si>
  <si>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</si>
  <si>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</si>
  <si>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</si>
  <si>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</si>
  <si>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</si>
  <si>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3100007857</t>
  </si>
  <si>
    <t>P.E Bags (160x130)x50cm Th 40mic- Jomih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</si>
  <si>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</si>
  <si>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</si>
  <si>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</si>
  <si>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</si>
  <si>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</si>
  <si>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</si>
  <si>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</si>
  <si>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3100007858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</si>
  <si>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</si>
  <si>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</si>
  <si>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</si>
  <si>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</si>
  <si>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</si>
  <si>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</si>
  <si>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</si>
  <si>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</si>
  <si>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</si>
  <si>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</si>
  <si>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</si>
  <si>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</si>
  <si>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3100007859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</si>
  <si>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</si>
  <si>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</si>
  <si>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</si>
  <si>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</si>
  <si>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</si>
  <si>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</si>
  <si>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</si>
  <si>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</si>
  <si>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</si>
  <si>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</si>
  <si>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</si>
  <si>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</si>
  <si>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3100007860</t>
  </si>
  <si>
    <t>Plain Self Adhes W105XH165mm–BOPP 1000/R</t>
  </si>
  <si>
    <t>PRT  REL</t>
  </si>
  <si>
    <t>IMPS04 CYT 6.50 180 CAV 99694 pcs</t>
  </si>
  <si>
    <t>IMD VISTA Sorting Machine</t>
  </si>
  <si>
    <t>PET Clear Preform For Grinding</t>
  </si>
  <si>
    <t>PRT  REL</t>
  </si>
  <si>
    <t>IMPS04 CYT 6.50 180 CAV 99694 pcs</t>
  </si>
  <si>
    <t>IMD VISTA Sorting Machine</t>
  </si>
  <si>
    <t>8.30TO LW 29/25 Clear J/C(WP)-SIPA</t>
  </si>
  <si>
    <t>PRT  REL</t>
  </si>
  <si>
    <t>IMPS04 CYT 6.50 180 CAV 99694 pcs</t>
  </si>
  <si>
    <t>IMD VISTA Sorting Machine</t>
  </si>
  <si>
    <t>3100007861</t>
  </si>
  <si>
    <t>Plain Self Adhes W105XH165mm–BOPP 1000/R</t>
  </si>
  <si>
    <t>PRT  REL</t>
  </si>
  <si>
    <t>IMP02 CYCT 11 96 CAVITY 31418 PC PER HR</t>
  </si>
  <si>
    <t>INTRA VIS Preform Sorting Machine</t>
  </si>
  <si>
    <t>13.5 BC38mm 3 Rnd Clear OJ/C(p plt</t>
  </si>
  <si>
    <t>PRT  REL</t>
  </si>
  <si>
    <t>IMP02 CYCT 11 96 CAVITY 31418 PC PER HR</t>
  </si>
  <si>
    <t>INTRA VIS Preform Sorting Machine</t>
  </si>
  <si>
    <t>3100007862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</si>
  <si>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</si>
  <si>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</si>
  <si>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</si>
  <si>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</si>
  <si>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</si>
  <si>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DLT  PRT  REL</t>
  </si>
  <si>
    <t>IMPS05 CYT 7.5 180 CAV 86400 PC PER HR</t>
  </si>
  <si>
    <t>IMD VISTA Sorting Machine</t>
  </si>
  <si>
    <t>12.5TO2RD-CLS1-A</t>
  </si>
  <si>
    <t>12.5 29/25 Rnd Clear (≤ 2ppm)J/C(WP-SIPA</t>
  </si>
  <si>
    <t>IMPS05 CYT 7.5 180 CAV 86400 PC PER HR</t>
  </si>
  <si>
    <t>IMD VISTA Sorting Machine</t>
  </si>
  <si>
    <t>3100007863</t>
  </si>
  <si>
    <t>Plain Self Adhes W105XH165mm–BOPP 1000/R</t>
  </si>
  <si>
    <t>PRT  REL</t>
  </si>
  <si>
    <t>IMPS04 CYT 6.50 180 CAV 99694 pcs</t>
  </si>
  <si>
    <t>IMD VISTA Sorting Machine</t>
  </si>
  <si>
    <t>PET Clear Preform For Grinding</t>
  </si>
  <si>
    <t>PRT  REL</t>
  </si>
  <si>
    <t>IMPS04 CYT 6.50 180 CAV 99694 pcs</t>
  </si>
  <si>
    <t>IMD VISTA Sorting Machine</t>
  </si>
  <si>
    <t>8.30TO LW 29/25 Clear J/C(WP)-SIPA</t>
  </si>
  <si>
    <t>PRT  REL</t>
  </si>
  <si>
    <t>IMPS04 CYT 6.50 180 CAV 99694 pcs</t>
  </si>
  <si>
    <t>IMD VISTA Sorting Machine</t>
  </si>
  <si>
    <t>3100007864</t>
  </si>
  <si>
    <t>Plain Self Adhes W105XH165mm–BOPP 1000/R</t>
  </si>
  <si>
    <t>PRT  REL</t>
  </si>
  <si>
    <t>IMP02 CYCT 11 96 CAVITY 31418 PC PER HR</t>
  </si>
  <si>
    <t>INTRA VIS Preform Sorting Machine</t>
  </si>
  <si>
    <t>PET Clear Preform For Grinding</t>
  </si>
  <si>
    <t>PRT  REL</t>
  </si>
  <si>
    <t>IMP02 CYCT 11 96 CAVITY 31418 PC PER HR</t>
  </si>
  <si>
    <t>INTRA VIS Preform Sorting Machine</t>
  </si>
  <si>
    <t>13.5 BC38mm 3 Rnd Clear OJ/C(p plt</t>
  </si>
  <si>
    <t>PRT  REL</t>
  </si>
  <si>
    <t>IMP02 CYCT 11 96 CAVITY 31418 PC PER HR</t>
  </si>
  <si>
    <t>INTRA VIS Preform Sorting Machine</t>
  </si>
  <si>
    <t>3100007865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</si>
  <si>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</si>
  <si>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</si>
  <si>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</si>
  <si>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</si>
  <si>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</si>
  <si>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</si>
  <si>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</si>
  <si>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</si>
  <si>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</si>
  <si>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</si>
  <si>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</si>
  <si>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</si>
  <si>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3100007866</t>
  </si>
  <si>
    <t>Plain Self Adhes W105XH165mm–BOPP 1000/R</t>
  </si>
  <si>
    <t>PRT  REL</t>
  </si>
  <si>
    <t>IMP06 CYCT 18.5 96 CAV 18681 PC PER HR</t>
  </si>
  <si>
    <t>INTRA VIS Preform Sorting Machine</t>
  </si>
  <si>
    <t>P.E Bags (160x130)x50cm Th 40mic- Jomih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</si>
  <si>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</si>
  <si>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</si>
  <si>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</si>
  <si>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</si>
  <si>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</si>
  <si>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</si>
  <si>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</si>
  <si>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3100007867</t>
  </si>
  <si>
    <t>Plain Self Adhes W105XH165mm–BOPP 1000/R</t>
  </si>
  <si>
    <t>PRT  REL</t>
  </si>
  <si>
    <t>IMP12 CYCT 13.3 96 CAVITY 25984 PC</t>
  </si>
  <si>
    <t>IMD VISTA Sorting Machine</t>
  </si>
  <si>
    <t>PET Blue Preform For Grinding</t>
  </si>
  <si>
    <t>PRT  REL</t>
  </si>
  <si>
    <t>IMP12 CYCT 13.3 96 CAVITY 25984 PC</t>
  </si>
  <si>
    <t>IMD VISTA Sorting Machine</t>
  </si>
  <si>
    <t>26.6TO29/25Rnd'ALM'BLUE J/C(PP-HDG)</t>
  </si>
  <si>
    <t>PRT  REL</t>
  </si>
  <si>
    <t>IMP12 CYCT 13.3 96 CAVITY 25984 PC</t>
  </si>
  <si>
    <t>IMD VISTA Sorting Machine</t>
  </si>
  <si>
    <t>3100007868</t>
  </si>
  <si>
    <t>Plain Self Adhes W105XH165mm–BOPP 1000/R</t>
  </si>
  <si>
    <t>DLT  PRT  REL</t>
  </si>
  <si>
    <t>IMPS06 CYCT 15 CAV 180  PCS PER HR 43200</t>
  </si>
  <si>
    <t>IMD VISTA Sorting Machine</t>
  </si>
  <si>
    <t>PET Green Preform For Grinding</t>
  </si>
  <si>
    <t>DLT  PRT  REL</t>
  </si>
  <si>
    <t>IMPS06 CYCT 15 CAV 180  PCS PER HR 43200</t>
  </si>
  <si>
    <t>IMD VISTA Sorting Machine</t>
  </si>
  <si>
    <t>30.5PCO1881RndICI GreenMenaBev Spec-SIPA</t>
  </si>
  <si>
    <t>PRT  REL</t>
  </si>
  <si>
    <t>IMPS06 CYCT 15 CAV 180  PCS PER HR 43200</t>
  </si>
  <si>
    <t>IMD VISTA Sorting Machine</t>
  </si>
  <si>
    <t>30.5PCO1881 ICI GreenJ/C(PP JOM HDG-SIPA</t>
  </si>
  <si>
    <t>DLT  PRT  REL</t>
  </si>
  <si>
    <t>IMPS06 CYCT 15 CAV 180  PCS PER HR 43200</t>
  </si>
  <si>
    <t>IMD VISTA Sorting Machine</t>
  </si>
  <si>
    <t>3100007869</t>
  </si>
  <si>
    <t>30.5PCO1881RndICI GreenMenaBev Spec-SIPA</t>
  </si>
  <si>
    <t>PRT  REL</t>
  </si>
  <si>
    <t>IMPS06 CYCT 15 CAV 180  PCS PER HR 43200</t>
  </si>
  <si>
    <t>IMD VISTA Sorting Machine</t>
  </si>
  <si>
    <t>3100007870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</si>
  <si>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</si>
  <si>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</si>
  <si>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</si>
  <si>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</si>
  <si>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</si>
  <si>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</si>
  <si>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</si>
  <si>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</si>
  <si>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3100007871</t>
  </si>
  <si>
    <t>Plain Self Adhes W105XH165mm–BOPP 1000/R</t>
  </si>
  <si>
    <t>PRT  REL</t>
  </si>
  <si>
    <t>IMPS06 CYCT 15 CAV 180  PCS PER HR 43200</t>
  </si>
  <si>
    <t>IMD VISTA Sorting Machine</t>
  </si>
  <si>
    <t>Wooden Pallets Good cond.L120xW100xH15cm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</si>
  <si>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</si>
  <si>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</si>
  <si>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</si>
  <si>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</si>
  <si>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</si>
  <si>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</si>
  <si>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</si>
  <si>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</si>
  <si>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</si>
  <si>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</si>
  <si>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</si>
  <si>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3100007872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</si>
  <si>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</si>
  <si>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</si>
  <si>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</si>
  <si>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</si>
  <si>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</si>
  <si>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</si>
  <si>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</si>
  <si>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</si>
  <si>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3100007873</t>
  </si>
  <si>
    <t>50.1PC2RD-IG-A</t>
  </si>
  <si>
    <t>50.1 PCO 1881 Rnd ICI Green J/C(W plt</t>
  </si>
  <si>
    <t>PRT  REL</t>
  </si>
  <si>
    <t>IMP06 CYCT 18.5 96 CAV 18681 PC PER HR</t>
  </si>
  <si>
    <t>IMD VISTA Sorting Machine</t>
  </si>
  <si>
    <t>Plain Self Adhes W105XH165mm–BOPP 1000/R</t>
  </si>
  <si>
    <t>PRT  REL</t>
  </si>
  <si>
    <t>IMP06 CYCT 18.5 96 CAV 18681 PC PER HR</t>
  </si>
  <si>
    <t>IMD VISTA Sorting Machine</t>
  </si>
  <si>
    <t>Transparent Tape roll 2'' wide 45mic</t>
  </si>
  <si>
    <t>PRT  REL</t>
  </si>
  <si>
    <t>IMP06 CYCT 18.5 96 CAV 18681 PC PER HR</t>
  </si>
  <si>
    <t>IMD VISTA Sorting Machine</t>
  </si>
  <si>
    <t>Nylon Cable Tie – CV-200B-Black(100 pcs)</t>
  </si>
  <si>
    <t>PRT  REL</t>
  </si>
  <si>
    <t>IMP06 CYCT 18.5 96 CAV 18681 PC PER HR</t>
  </si>
  <si>
    <t>IMD VISTA Sorting Machine</t>
  </si>
  <si>
    <t>PET Green Preform For Grinding</t>
  </si>
  <si>
    <t>PRT  REL</t>
  </si>
  <si>
    <t>IMP06 CYCT 18.5 96 CAV 18681 PC PER HR</t>
  </si>
  <si>
    <t>IMD VISTA Sorting Machine</t>
  </si>
  <si>
    <t>3100007874</t>
  </si>
  <si>
    <t>7.45TO LW 29/25 L.Blue J/C(WP-SIPA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</si>
  <si>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</si>
  <si>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</si>
  <si>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</si>
  <si>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</si>
  <si>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</si>
  <si>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</si>
  <si>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</si>
  <si>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Plain Self Adhes W105XH165mm–BOPP 1000/R</t>
  </si>
  <si>
    <t>PRT  REL</t>
  </si>
  <si>
    <t>IMPS03 CYT 6.5 180 CAV 99692 PC PER HR</t>
  </si>
  <si>
    <t>IMD VISTA Sorting Machine</t>
  </si>
  <si>
    <t>Transparent Tape roll 2'' wide 45mic</t>
  </si>
  <si>
    <t>PRT  REL</t>
  </si>
  <si>
    <t>IMPS03 CYT 6.5 180 CAV 99692 PC PER HR</t>
  </si>
  <si>
    <t>IMD VISTA Sorting Machine</t>
  </si>
  <si>
    <t>Nylon Cable Tie – CV-200B-Black(100 pcs)</t>
  </si>
  <si>
    <t>PRT  REL</t>
  </si>
  <si>
    <t>IMPS03 CYT 6.5 180 CAV 99692 PC PER HR</t>
  </si>
  <si>
    <t>IMD VISTA Sorting Machine</t>
  </si>
  <si>
    <t>PET Green strapping ROL 2500m-12.5x0.6mm</t>
  </si>
  <si>
    <t>PRT  REL</t>
  </si>
  <si>
    <t>IMPS03 CYT 6.5 180 CAV 99692 PC PER HR</t>
  </si>
  <si>
    <t>IMD VISTA Sorting Machine</t>
  </si>
  <si>
    <t>3100007875</t>
  </si>
  <si>
    <t>50.1 PCO 1881Rd Clear rPET J/C(P Pt</t>
  </si>
  <si>
    <t>PRT  REL</t>
  </si>
  <si>
    <t>IMP19 CYCT 18.5 96 CAV 18681 PC PER HR</t>
  </si>
  <si>
    <t>HUSKY HYPET 400</t>
  </si>
  <si>
    <t>PET Clear Preform For Grinding</t>
  </si>
  <si>
    <t>PRT  REL</t>
  </si>
  <si>
    <t>IMP19 CYCT 18.5 96 CAV 18681 PC PER HR</t>
  </si>
  <si>
    <t>HUSKY HYPET 400</t>
  </si>
  <si>
    <t>Plain Self Adhes W105XH165mm–BOPP 1000/R</t>
  </si>
  <si>
    <t>PRT  REL</t>
  </si>
  <si>
    <t>IMP19 CYCT 18.5 96 CAV 18681 PC PER HR</t>
  </si>
  <si>
    <t>HUSKY HYPET 400</t>
  </si>
  <si>
    <t>Transparent Tape roll 2'' wide 45mic</t>
  </si>
  <si>
    <t>PRT  REL</t>
  </si>
  <si>
    <t>IMP19 CYCT 18.5 96 CAV 18681 PC PER HR</t>
  </si>
  <si>
    <t>HUSKY HYPET 400</t>
  </si>
  <si>
    <t>Nylon Cable Tie – CV-200B-Black(100 pcs)</t>
  </si>
  <si>
    <t>PRT  REL</t>
  </si>
  <si>
    <t>IMP19 CYCT 18.5 96 CAV 18681 PC PER HR</t>
  </si>
  <si>
    <t>HUSKY HYPET 400</t>
  </si>
  <si>
    <t>PET Green strapping ROL 2500m-12.5x0.6mm</t>
  </si>
  <si>
    <t>PRT  REL</t>
  </si>
  <si>
    <t>IMP19 CYCT 18.5 96 CAV 18681 PC PER HR</t>
  </si>
  <si>
    <t>HUSKY HYPET 400</t>
  </si>
  <si>
    <t>3100007876</t>
  </si>
  <si>
    <t>50.1 PCO 1881 Rnd Clear J/C(P plt</t>
  </si>
  <si>
    <t>PRT  REL</t>
  </si>
  <si>
    <t>IMP06 CYCT 18.5 96 CAV 18681 PC PER HR</t>
  </si>
  <si>
    <t>INTRA VIS Preform Sorting Machine</t>
  </si>
  <si>
    <t>PET Clear Preform For Grinding</t>
  </si>
  <si>
    <t>PRT  REL</t>
  </si>
  <si>
    <t>IMP06 CYCT 18.5 96 CAV 18681 PC PER HR</t>
  </si>
  <si>
    <t>INTRA VIS Preform Sorting Machine</t>
  </si>
  <si>
    <t>Plain Self Adhes W105XH165mm–BOPP 1000/R</t>
  </si>
  <si>
    <t>PRT  REL</t>
  </si>
  <si>
    <t>IMP06 CYCT 18.5 96 CAV 18681 PC PER HR</t>
  </si>
  <si>
    <t>INTRA VIS Preform Sorting Machine</t>
  </si>
  <si>
    <t>Transparent Tape roll 2'' wide 45mic</t>
  </si>
  <si>
    <t>PRT  REL</t>
  </si>
  <si>
    <t>IMP06 CYCT 18.5 96 CAV 18681 PC PER HR</t>
  </si>
  <si>
    <t>INTRA VIS Preform Sorting Machine</t>
  </si>
  <si>
    <t>Nylon Cable Tie – CV-200B-Black(100 pcs)</t>
  </si>
  <si>
    <t>PRT  REL</t>
  </si>
  <si>
    <t>IMP06 CYCT 18.5 96 CAV 18681 PC PER HR</t>
  </si>
  <si>
    <t>INTRA VIS Preform Sorting Machine</t>
  </si>
  <si>
    <t>PET Green strapping ROL 2500m-12.5x0.6mm</t>
  </si>
  <si>
    <t>PRT  REL</t>
  </si>
  <si>
    <t>IMP06 CYCT 18.5 96 CAV 18681 PC PER HR</t>
  </si>
  <si>
    <t>INTRA VIS Preform Sorting Machine</t>
  </si>
  <si>
    <t>3100007877</t>
  </si>
  <si>
    <t>51.0 BC 38mm 3 Rnd Clear steel c</t>
  </si>
  <si>
    <t>PRT  REL</t>
  </si>
  <si>
    <t>IMP01 CYCT 19 72 CAVITY 13642 PC PER HR</t>
  </si>
  <si>
    <t>IMD VISTA Sorting Machine</t>
  </si>
  <si>
    <t>PET Clear Preform For Grinding</t>
  </si>
  <si>
    <t>PRT  REL</t>
  </si>
  <si>
    <t>IMP01 CYCT 19 72 CAVITY 13642 PC PER HR</t>
  </si>
  <si>
    <t>IMD VISTA Sorting Machine</t>
  </si>
  <si>
    <t>Plain Self Adhes W105XH165mm–BOPP 1000/R</t>
  </si>
  <si>
    <t>PRT  REL</t>
  </si>
  <si>
    <t>IMP01 CYCT 19 72 CAVITY 13642 PC PER HR</t>
  </si>
  <si>
    <t>IMD VISTA Sorting Machine</t>
  </si>
  <si>
    <t>Transparent Tape roll 2'' wide 45mic</t>
  </si>
  <si>
    <t>PRT  REL</t>
  </si>
  <si>
    <t>IMP01 CYCT 19 72 CAVITY 13642 PC PER HR</t>
  </si>
  <si>
    <t>IMD VISTA Sorting Machine</t>
  </si>
  <si>
    <t>Nylon Cable Tie – CV-200B-Black(100 pcs)</t>
  </si>
  <si>
    <t>PRT  REL</t>
  </si>
  <si>
    <t>IMP01 CYCT 19 72 CAVITY 13642 PC PER HR</t>
  </si>
  <si>
    <t>IMD VISTA Sorting Machine</t>
  </si>
  <si>
    <t>PET Green strapping ROL 2500m-12.5x0.6mm</t>
  </si>
  <si>
    <t>PRT  REL</t>
  </si>
  <si>
    <t>IMP01 CYCT 19 72 CAVITY 13642 PC PER HR</t>
  </si>
  <si>
    <t>IMD VISTA Sorting Machine</t>
  </si>
  <si>
    <t>3100007878</t>
  </si>
  <si>
    <t>30.5 PCO 1881 Rnd Clear J/C(W plt-SIPA</t>
  </si>
  <si>
    <t>PRT  REL</t>
  </si>
  <si>
    <t>IMPS06 CYCT 15 CAV 180  PCS PER HR 43200</t>
  </si>
  <si>
    <t>IMD VISTA Sorting Machine</t>
  </si>
  <si>
    <t>3100007879</t>
  </si>
  <si>
    <t>45.0 PCO 1881 Rd ICI Green MenaBevPP HDG</t>
  </si>
  <si>
    <t>PRT  REL</t>
  </si>
  <si>
    <t>IMP01 CYCT 18.5 96 CAV 18681 PC PER HR</t>
  </si>
  <si>
    <t>IMD VISTA Sorting Machine</t>
  </si>
  <si>
    <t>PET Green Preform For Grinding</t>
  </si>
  <si>
    <t>PRT  REL</t>
  </si>
  <si>
    <t>IMP01 CYCT 18.5 96 CAV 18681 PC PER HR</t>
  </si>
  <si>
    <t>IMD VISTA Sorting Machine</t>
  </si>
  <si>
    <t>3100007880</t>
  </si>
  <si>
    <t>12.5TO2RD-CAS-V</t>
  </si>
  <si>
    <t>12.5 29/25 CLR AA Reducer MenaBev</t>
  </si>
  <si>
    <t>PRT  REL</t>
  </si>
  <si>
    <t>IMPS05 CYT 7.5 180 CAV 86400 PC PER HR</t>
  </si>
  <si>
    <t>INTRA VIS Preform Sorting Machine</t>
  </si>
  <si>
    <t>12.5TO2RD-CLS-A</t>
  </si>
  <si>
    <t>12.5 29/25 Rnd Clear J/C(W plt-SIPA</t>
  </si>
  <si>
    <t>IMPS05 CYT 7.5 180 CAV 86400 PC PER HR</t>
  </si>
  <si>
    <t>INTRA VIS Preform Sorting Machine</t>
  </si>
  <si>
    <t>3100007881</t>
  </si>
  <si>
    <t>8.30TO LW 29/25Rd L.Blue J/C(W plt)-SIPA</t>
  </si>
  <si>
    <t>PRT  REL</t>
  </si>
  <si>
    <t>IMPS04 CYT 6.50 180 CAV 99694 pcs</t>
  </si>
  <si>
    <t>IMD VISTA Sorting Machine</t>
  </si>
  <si>
    <t>3100007882</t>
  </si>
  <si>
    <t>7.45TO2RD-LBS1-A</t>
  </si>
  <si>
    <t>7.45TO LW 29/25 L.Blue(≤2ppm)J/C(WP-SIPA</t>
  </si>
  <si>
    <t>PRT  REL</t>
  </si>
  <si>
    <t>IMPS03 CYT 6.5 180 CAV 99692 PC PER HR</t>
  </si>
  <si>
    <t>INTRA VIS Preform Sorting Machine</t>
  </si>
  <si>
    <t>3100007883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</si>
  <si>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</si>
  <si>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</si>
  <si>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</si>
  <si>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</si>
  <si>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</si>
  <si>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</si>
  <si>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</si>
  <si>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</si>
  <si>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3100007884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</si>
  <si>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</si>
  <si>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</si>
  <si>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</si>
  <si>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</si>
  <si>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</si>
  <si>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</si>
  <si>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</si>
  <si>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</si>
  <si>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3100007885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</si>
  <si>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</si>
  <si>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</si>
  <si>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</si>
  <si>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</si>
  <si>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</si>
  <si>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</si>
  <si>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</si>
  <si>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</si>
  <si>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</si>
  <si>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</si>
  <si>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</si>
  <si>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</si>
  <si>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3100007886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</si>
  <si>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</si>
  <si>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</si>
  <si>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</si>
  <si>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</si>
  <si>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</si>
  <si>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</si>
  <si>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</si>
  <si>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</si>
  <si>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3100007887</t>
  </si>
  <si>
    <t>Plain Self Adhes W105XH165mm–BOPP 1000/R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</si>
  <si>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</si>
  <si>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</si>
  <si>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</si>
  <si>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</si>
  <si>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</si>
  <si>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</si>
  <si>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</si>
  <si>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3100007888</t>
  </si>
  <si>
    <t>Plain Self Adhes W105XH165mm–BOPP 1000/R</t>
  </si>
  <si>
    <t>PRT  REL</t>
  </si>
  <si>
    <t>IM24 CYCT 11 96 CAVITY 31418 PC PER HR</t>
  </si>
  <si>
    <t>IMD VISTA Sorting Machine</t>
  </si>
  <si>
    <t>PET Blue Preform For Grinding</t>
  </si>
  <si>
    <t>PRT  REL</t>
  </si>
  <si>
    <t>IM24 CYCT 11 96 CAVITY 31418 PC PER HR</t>
  </si>
  <si>
    <t>IMD VISTA Sorting Machine</t>
  </si>
  <si>
    <t>13.5 TO29/25Rnd Nova Blue J/C(P pltYISHN</t>
  </si>
  <si>
    <t>PRT  REL</t>
  </si>
  <si>
    <t>IM24 CYCT 11 96 CAVITY 31418 PC PER HR</t>
  </si>
  <si>
    <t>IMD VISTA Sorting Machine</t>
  </si>
  <si>
    <t>3100007889</t>
  </si>
  <si>
    <t>Plain Self Adhes W105XH165mm–BOPP 1000/R</t>
  </si>
  <si>
    <t>PRT  REL</t>
  </si>
  <si>
    <t>IMP01 CYCT 18.5 96 CAV 18681 PC PER HR</t>
  </si>
  <si>
    <t>IMD VISTA Sorting Machine</t>
  </si>
  <si>
    <t>45.0 PCO 1881 Rnd Clear MenaBev PP HDG</t>
  </si>
  <si>
    <t>PRT  REL</t>
  </si>
  <si>
    <t>IMP01 CYCT 18.5 96 CAV 18681 PC PER HR</t>
  </si>
  <si>
    <t>IMD VISTA Sorting Machine</t>
  </si>
  <si>
    <t>3100007890</t>
  </si>
  <si>
    <t>Plain Self Adhes W105XH165mm–BOPP 1000/R</t>
  </si>
  <si>
    <t>PRT  REL</t>
  </si>
  <si>
    <t>IMP06 CYCT 18.5 96 CAV 18681 PC PER HR</t>
  </si>
  <si>
    <t>INTRA VIS Preform Sorting Machine</t>
  </si>
  <si>
    <t>P.E Bags (160x130)x50cm Th 40mic- Jomih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</si>
  <si>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</si>
  <si>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</si>
  <si>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</si>
  <si>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</si>
  <si>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</si>
  <si>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</si>
  <si>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</si>
  <si>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3100007891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</si>
  <si>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</si>
  <si>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</si>
  <si>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</si>
  <si>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</si>
  <si>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</si>
  <si>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</si>
  <si>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</si>
  <si>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</si>
  <si>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</si>
  <si>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</si>
  <si>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</si>
  <si>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</si>
  <si>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3100007892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</si>
  <si>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</si>
  <si>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</si>
  <si>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</si>
  <si>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</si>
  <si>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</si>
  <si>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</si>
  <si>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</si>
  <si>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</si>
  <si>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</si>
  <si>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</si>
  <si>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</si>
  <si>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</si>
  <si>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3100007893</t>
  </si>
  <si>
    <t>Plain Self Adhes W105XH165mm–BOPP 1000/R</t>
  </si>
  <si>
    <t>PRT  REL</t>
  </si>
  <si>
    <t>IMP01 CYCT 18.5 96 CAV 18681 PC PER HR</t>
  </si>
  <si>
    <t>IMD VISTA Sorting Machine</t>
  </si>
  <si>
    <t>45.0 PCO 1881 Rd ICI Green MenaBevPP HDG</t>
  </si>
  <si>
    <t>PRT  REL</t>
  </si>
  <si>
    <t>IMP01 CYCT 18.5 96 CAV 18681 PC PER HR</t>
  </si>
  <si>
    <t>IMD VISTA Sorting Machine</t>
  </si>
  <si>
    <t>3100007894</t>
  </si>
  <si>
    <t>52.0 BC38mm 3 Rnd Clear J/C(P Plt</t>
  </si>
  <si>
    <t>PRT  REL</t>
  </si>
  <si>
    <t>IMP01 CYCT 18.5 96CAVITY 18682 PC PER HR</t>
  </si>
  <si>
    <t>IMD VISTA Sorting Machine</t>
  </si>
  <si>
    <t>3100007895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</si>
  <si>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</si>
  <si>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</si>
  <si>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</si>
  <si>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</si>
  <si>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</si>
  <si>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</si>
  <si>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</si>
  <si>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</si>
  <si>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3100007896</t>
  </si>
  <si>
    <t>12.7 BC38mm 3 ECO Clear Steel c.</t>
  </si>
  <si>
    <t>PRT  REL</t>
  </si>
  <si>
    <t>IMP07 CYCT 10.2 72 CAV 25412 PC PER HR</t>
  </si>
  <si>
    <t>INTRA VIS Preform Sorting Machine</t>
  </si>
  <si>
    <t>3100007897</t>
  </si>
  <si>
    <t>12.7 BC38mm 3 ECO Clear Steel c.</t>
  </si>
  <si>
    <t>PRT  REL</t>
  </si>
  <si>
    <t>IMP07 CYCT 10.2 72 CAV 25412 PC PER HR</t>
  </si>
  <si>
    <t>INTRA VIS Preform Sorting Machine</t>
  </si>
  <si>
    <t>3100007898</t>
  </si>
  <si>
    <t>Plain Self Adhes W105XH165mm–BOPP 1000/R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</si>
  <si>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</si>
  <si>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</si>
  <si>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</si>
  <si>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</si>
  <si>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</si>
  <si>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</si>
  <si>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</si>
  <si>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14.0 PCO 1881 Rnd Clear J/C(W Plt</t>
  </si>
  <si>
    <t>PRT  REL</t>
  </si>
  <si>
    <t>IM24 CYCT 11 96 CAVITY 31418 PC PER HR</t>
  </si>
  <si>
    <t>INTRA VIS Preform Sorting Machine</t>
  </si>
  <si>
    <t>3100007899</t>
  </si>
  <si>
    <t>Plain Self Adhes W105XH165mm–BOPP 1000/R</t>
  </si>
  <si>
    <t>PRT  REL</t>
  </si>
  <si>
    <t>IMPS01 CYT 6.8 180 CAV 95294 PC PER HR</t>
  </si>
  <si>
    <t>IMD VISTA Sorting Machine</t>
  </si>
  <si>
    <t>9.4 TO 29/25 Rnd L.Blue J/C (W plt- SIPA</t>
  </si>
  <si>
    <t>PRT  REL</t>
  </si>
  <si>
    <t>IMPS01 CYT 6.8 180 CAV 95294 PC PER HR</t>
  </si>
  <si>
    <t>IMD VISTA Sorting Machine</t>
  </si>
  <si>
    <t>3100007900</t>
  </si>
  <si>
    <t>Plain Self Adhes W105XH165mm–BOPP 1000/R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</si>
  <si>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</si>
  <si>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</si>
  <si>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</si>
  <si>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</si>
  <si>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</si>
  <si>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</si>
  <si>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</si>
  <si>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3100007901</t>
  </si>
  <si>
    <t>Plain Self Adhes W105XH165mm–BOPP 1000/R</t>
  </si>
  <si>
    <t>PRT  REL</t>
  </si>
  <si>
    <t>IMPS02 CYT 6.8 180 CAV 95294 PC PER HR</t>
  </si>
  <si>
    <t>IMD VISTA Sorting Machine</t>
  </si>
  <si>
    <t>9.4TO 29/25Rnd L.Blue J/CWplt(≤2ppm)SIPA</t>
  </si>
  <si>
    <t>PRT  REL</t>
  </si>
  <si>
    <t>IMPS02 CYT 6.8 180 CAV 95294 PC PER HR</t>
  </si>
  <si>
    <t>IMD VISTA Sorting Machine</t>
  </si>
  <si>
    <t>3100007902</t>
  </si>
  <si>
    <t>Plain Self Adhes W105XH165mm–BOPP 1000/R</t>
  </si>
  <si>
    <t>PRT  REL</t>
  </si>
  <si>
    <t>IMP12</t>
  </si>
  <si>
    <t>IMP12 CYCT 15.6 96 CAVITY 22153 PC</t>
  </si>
  <si>
    <t>Injection Molding IMP12-HUSKY- 18 HYPET</t>
  </si>
  <si>
    <t>J/C 7Ply(L1200xW1000xH1000)mm-1300gsm-AA</t>
  </si>
  <si>
    <t>PRT  REL</t>
  </si>
  <si>
    <t>IMP12 CYCT 15.6 96 CAVITY 22153 PC</t>
  </si>
  <si>
    <t>Injection Molding IMP12-HUSKY- 18 HYPET</t>
  </si>
  <si>
    <t>J/C Tubes (ID-50 X T-7 X L-975) mm</t>
  </si>
  <si>
    <t>PRT  REL</t>
  </si>
  <si>
    <t>IMP12 CYCT 15.6 96 CAVITY 22153 PC</t>
  </si>
  <si>
    <t>Injection Molding IMP12-HUSKY- 18 HYPET</t>
  </si>
  <si>
    <t>J/C Bottom Sheet(L1170XW970)mm - 347 gsm</t>
  </si>
  <si>
    <t>PRT  REL</t>
  </si>
  <si>
    <t>IMP12 CYCT 15.6 96 CAVITY 22153 PC</t>
  </si>
  <si>
    <t>Injection Molding IMP12-HUSKY- 18 HYPET</t>
  </si>
  <si>
    <t>J/C Top Cover (L121XW102XH15)mm- 735gsm</t>
  </si>
  <si>
    <t>PRT  REL</t>
  </si>
  <si>
    <t>IMP12 CYCT 15.6 96 CAVITY 22153 PC</t>
  </si>
  <si>
    <t>Injection Molding IMP12-HUSKY- 18 HYPET</t>
  </si>
  <si>
    <t>Transparent Tape roll 2'' wide 45mic</t>
  </si>
  <si>
    <t>PRT  REL</t>
  </si>
  <si>
    <t>IMP12 CYCT 15.6 96 CAVITY 22153 PC</t>
  </si>
  <si>
    <t>Injection Molding IMP12-HUSKY- 18 HYPET</t>
  </si>
  <si>
    <t>P.E.BAG CLEAR-L265XW130+50cm -335g/30mic</t>
  </si>
  <si>
    <t>PRT  REL</t>
  </si>
  <si>
    <t>IMP12 CYCT 15.6 96 CAVITY 22153 PC</t>
  </si>
  <si>
    <t>Injection Molding IMP12-HUSKY- 18 HYPET</t>
  </si>
  <si>
    <t>METAL CLIP SIZE:- 5 / 8" ,  700gm/BOX</t>
  </si>
  <si>
    <t>PRT  REL</t>
  </si>
  <si>
    <t>IMP12 CYCT 15.6 96 CAVITY 22153 PC</t>
  </si>
  <si>
    <t>Injection Molding IMP12-HUSKY- 18 HYPET</t>
  </si>
  <si>
    <t>PET Green strapping ROL 2500m-12.5x0.6mm</t>
  </si>
  <si>
    <t>PRT  REL</t>
  </si>
  <si>
    <t>IMP12 CYCT 15.6 96 CAVITY 22153 PC</t>
  </si>
  <si>
    <t>Injection Molding IMP12-HUSKY- 18 HYPET</t>
  </si>
  <si>
    <t>10210315</t>
  </si>
  <si>
    <t>MB CC10264879Z0 TRIPLE A PILOT BLUE–1</t>
  </si>
  <si>
    <t>G</t>
  </si>
  <si>
    <t>PRT  REL</t>
  </si>
  <si>
    <t>IMP12 CYCT 15.6 96 CAVITY 22153 PC</t>
  </si>
  <si>
    <t>Injection Molding IMP12-HUSKY- 18 HYPET</t>
  </si>
  <si>
    <t>Nylon Cable Tie – CV-200B-Black(100 pcs)</t>
  </si>
  <si>
    <t>PRT  REL</t>
  </si>
  <si>
    <t>IMP12 CYCT 15.6 96 CAVITY 22153 PC</t>
  </si>
  <si>
    <t>Injection Molding IMP12-HUSKY- 18 HYPET</t>
  </si>
  <si>
    <t>Returned from Customer JUMBO CTN</t>
  </si>
  <si>
    <t>PRT  REL</t>
  </si>
  <si>
    <t>IMP12 CYCT 15.6 96 CAVITY 22153 PC</t>
  </si>
  <si>
    <t>Injection Molding IMP12-HUSKY- 18 HYPET</t>
  </si>
  <si>
    <t>Returned from Customer Tubes for Boxes</t>
  </si>
  <si>
    <t>PRT  REL</t>
  </si>
  <si>
    <t>IMP12 CYCT 15.6 96 CAVITY 22153 PC</t>
  </si>
  <si>
    <t>Injection Molding IMP12-HUSKY- 18 HYPET</t>
  </si>
  <si>
    <t>Retainable J/C Bottom Sheet</t>
  </si>
  <si>
    <t>PRT  REL</t>
  </si>
  <si>
    <t>IMP12 CYCT 15.6 96 CAVITY 22153 PC</t>
  </si>
  <si>
    <t>Injection Molding IMP12-HUSKY- 18 HYPET</t>
  </si>
  <si>
    <t>Returnable top jumbo cover carton</t>
  </si>
  <si>
    <t>PRT  REL</t>
  </si>
  <si>
    <t>IMP12 CYCT 15.6 96 CAVITY 22153 PC</t>
  </si>
  <si>
    <t>Injection Molding IMP12-HUSKY- 18 HYPET</t>
  </si>
  <si>
    <t>Honeywell Intermec Ribbon 110*450</t>
  </si>
  <si>
    <t>PRT  REL</t>
  </si>
  <si>
    <t>IMP12 CYCT 15.6 96 CAVITY 22153 PC</t>
  </si>
  <si>
    <t>Injection Molding IMP12-HUSKY- 18 HYPET</t>
  </si>
  <si>
    <t>St. Film [1.2K.g] 17micx500mmx1500 (Bio)</t>
  </si>
  <si>
    <t>PRT  REL</t>
  </si>
  <si>
    <t>IMP12 CYCT 15.6 96 CAVITY 22153 PC</t>
  </si>
  <si>
    <t>Injection Molding IMP12-HUSKY- 18 HYPET</t>
  </si>
  <si>
    <t>102581</t>
  </si>
  <si>
    <t>JADE PET Water Grade 302L</t>
  </si>
  <si>
    <t>PRT  REL</t>
  </si>
  <si>
    <t>IMP12 CYCT 15.6 96 CAVITY 22153 PC</t>
  </si>
  <si>
    <t>Injection Molding IMP12-HUSKY- 18 HYPET</t>
  </si>
  <si>
    <t>FRG176</t>
  </si>
  <si>
    <t>Nova PET Blue Preform For Grinding</t>
  </si>
  <si>
    <t>PRT  REL</t>
  </si>
  <si>
    <t>IMP12 CYCT 15.6 96 CAVITY 22153 PC</t>
  </si>
  <si>
    <t>Injection Molding IMP12-HUSKY- 18 HYPET</t>
  </si>
  <si>
    <t>600897</t>
  </si>
  <si>
    <t>NOVA PET SCRAP</t>
  </si>
  <si>
    <t>PRT  REL</t>
  </si>
  <si>
    <t>IMP12 CYCT 15.6 96 CAVITY 22153 PC</t>
  </si>
  <si>
    <t>Injection Molding IMP12-HUSKY- 18 HYPET</t>
  </si>
  <si>
    <t>3100007903</t>
  </si>
  <si>
    <t>9.4TO 29/25Rnd L.Blue J/CWplt(≤2ppm)SIPA</t>
  </si>
  <si>
    <t>PRT  REL</t>
  </si>
  <si>
    <t>IMPS02 CYT 6.8 180 CAV 95294 PC PER HR</t>
  </si>
  <si>
    <t>IMD VISTA Sorting Machine</t>
  </si>
  <si>
    <t>Plain Self Adhes W105XH165mm–BOPP 1000/R</t>
  </si>
  <si>
    <t>PRT  REL</t>
  </si>
  <si>
    <t>IMPS02 CYT 6.8 180 CAV 95294 PC PER HR</t>
  </si>
  <si>
    <t>IMD VISTA Sorting Machine</t>
  </si>
  <si>
    <t>Transparent Tape roll 2'' wide 45mic</t>
  </si>
  <si>
    <t>PRT  REL</t>
  </si>
  <si>
    <t>IMPS02 CYT 6.8 180 CAV 95294 PC PER HR</t>
  </si>
  <si>
    <t>IMD VISTA Sorting Machine</t>
  </si>
  <si>
    <t>Nylon Cable Tie – CV-200B-Black(100 pcs)</t>
  </si>
  <si>
    <t>PRT  REL</t>
  </si>
  <si>
    <t>IMPS02 CYT 6.8 180 CAV 95294 PC PER HR</t>
  </si>
  <si>
    <t>IMD VISTA Sorting Machine</t>
  </si>
  <si>
    <t>PET Green strapping ROL 2500m-12.5x0.6mm</t>
  </si>
  <si>
    <t>PRT  REL</t>
  </si>
  <si>
    <t>IMPS02 CYT 6.8 180 CAV 95294 PC PER HR</t>
  </si>
  <si>
    <t>IMD VISTA Sorting Machine</t>
  </si>
  <si>
    <t>PET Clear Preform For Grinding</t>
  </si>
  <si>
    <t>IMPS02 CYT 6.8 180 CAV 95294 PC PER HR</t>
  </si>
  <si>
    <t>IMD VISTA Sorting Machine</t>
  </si>
  <si>
    <t>3100007904</t>
  </si>
  <si>
    <t>50.1 PCO 1881 Rnd ICI Green J/C(W plt</t>
  </si>
  <si>
    <t>PRT  REL</t>
  </si>
  <si>
    <t>IMP06 CYCT 18.5 96 CAV 18681 PC PER HR</t>
  </si>
  <si>
    <t>IMD VISTA Sorting Machine</t>
  </si>
  <si>
    <t>Plain Self Adhes W105XH165mm–BOPP 1000/R</t>
  </si>
  <si>
    <t>PRT  REL</t>
  </si>
  <si>
    <t>IMP06 CYCT 18.5 96 CAV 18681 PC PER HR</t>
  </si>
  <si>
    <t>IMD VISTA Sorting Machine</t>
  </si>
  <si>
    <t>Transparent Tape roll 2'' wide 45mic</t>
  </si>
  <si>
    <t>PRT  REL</t>
  </si>
  <si>
    <t>IMP06 CYCT 18.5 96 CAV 18681 PC PER HR</t>
  </si>
  <si>
    <t>IMD VISTA Sorting Machine</t>
  </si>
  <si>
    <t>Nylon Cable Tie – CV-200B-Black(100 pcs)</t>
  </si>
  <si>
    <t>PRT  REL</t>
  </si>
  <si>
    <t>IMP06 CYCT 18.5 96 CAV 18681 PC PER HR</t>
  </si>
  <si>
    <t>IMD VISTA Sorting Machine</t>
  </si>
  <si>
    <t>PET Green strapping ROL 2500m-12.5x0.6mm</t>
  </si>
  <si>
    <t>PRT  REL</t>
  </si>
  <si>
    <t>IMP06 CYCT 18.5 96 CAV 18681 PC PER HR</t>
  </si>
  <si>
    <t>IMD VISTA Sorting Machine</t>
  </si>
  <si>
    <t>PET Green Preform For Grinding</t>
  </si>
  <si>
    <t>PRT  REL</t>
  </si>
  <si>
    <t>IMP06 CYCT 18.5 96 CAV 18681 PC PER HR</t>
  </si>
  <si>
    <t>IMD VISTA Sorting Machine</t>
  </si>
  <si>
    <t>3100007905</t>
  </si>
  <si>
    <t>30.5 PCO 1881Rnd CLR J/C(PP JOM HDG-SIPA</t>
  </si>
  <si>
    <t>PRT  REL</t>
  </si>
  <si>
    <t>IMPS06 CYCT 15 CAV 180  PCS PER HR 43200</t>
  </si>
  <si>
    <t>IMD VISTA Sorting Machine</t>
  </si>
  <si>
    <t>3100007906</t>
  </si>
  <si>
    <t>26.6 TO 29/25 Rnd Clear J/C(P Plt</t>
  </si>
  <si>
    <t>PRT  REL</t>
  </si>
  <si>
    <t>IMP12 CYCT 15.6 96 CAVITY 22153 PC</t>
  </si>
  <si>
    <t>IMD VISTA Sorting Machine</t>
  </si>
  <si>
    <t>3100007907</t>
  </si>
  <si>
    <t>26.6 29/25 Rnd Clear J/C(W Plt</t>
  </si>
  <si>
    <t>PRT  REL</t>
  </si>
  <si>
    <t>IMP12 CYCT 15.6 96 CAVITY 22153 PC</t>
  </si>
  <si>
    <t>IMD VISTA Sorting Machine</t>
  </si>
  <si>
    <t>Plain Self Adhes W105XH165mm–BOPP 1000/R</t>
  </si>
  <si>
    <t>PRT  REL</t>
  </si>
  <si>
    <t>IMP12 CYCT 15.6 96 CAVITY 22153 PC</t>
  </si>
  <si>
    <t>IMD VISTA Sorting Machine</t>
  </si>
  <si>
    <t>Transparent Tape roll 2'' wide 45mic</t>
  </si>
  <si>
    <t>PRT  REL</t>
  </si>
  <si>
    <t>IMP12 CYCT 15.6 96 CAVITY 22153 PC</t>
  </si>
  <si>
    <t>IMD VISTA Sorting Machine</t>
  </si>
  <si>
    <t>Nylon Cable Tie – CV-200B-Black(100 pcs)</t>
  </si>
  <si>
    <t>PRT  REL</t>
  </si>
  <si>
    <t>IMP12 CYCT 15.6 96 CAVITY 22153 PC</t>
  </si>
  <si>
    <t>IMD VISTA Sorting Machine</t>
  </si>
  <si>
    <t>PET Green strapping ROL 2500m-12.5x0.6mm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</si>
  <si>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</si>
  <si>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</si>
  <si>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</si>
  <si>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</si>
  <si>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</si>
  <si>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</si>
  <si>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</si>
  <si>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3100007908</t>
  </si>
  <si>
    <t>14.0 TO 29/25 Rnd Arwa Blue J/C(W plt)</t>
  </si>
  <si>
    <t>PRT  REL</t>
  </si>
  <si>
    <t>IM07 CYCT 11 96 CAVITY 31418 PC PER HR</t>
  </si>
  <si>
    <t>IMD VISTA Sorting Machine</t>
  </si>
  <si>
    <t>PET Blue Preform For Grinding</t>
  </si>
  <si>
    <t>PRT  REL</t>
  </si>
  <si>
    <t>IM07 CYCT 11 96 CAVITY 31418 PC PER HR</t>
  </si>
  <si>
    <t>IMD VISTA Sorting Machine</t>
  </si>
  <si>
    <t>Plain Self Adhes W105XH165mm–BOPP 1000/R</t>
  </si>
  <si>
    <t>PRT  REL</t>
  </si>
  <si>
    <t>IM07 CYCT 11 96 CAVITY 31418 PC PER HR</t>
  </si>
  <si>
    <t>IMD VISTA Sorting Machine</t>
  </si>
  <si>
    <t>Transparent Tape roll 2'' wide 45mic</t>
  </si>
  <si>
    <t>PRT  REL</t>
  </si>
  <si>
    <t>IM07 CYCT 11 96 CAVITY 31418 PC PER HR</t>
  </si>
  <si>
    <t>IMD VISTA Sorting Machine</t>
  </si>
  <si>
    <t>Nylon Cable Tie – CV-200B-Black(100 pcs)</t>
  </si>
  <si>
    <t>PRT  REL</t>
  </si>
  <si>
    <t>IM07 CYCT 11 96 CAVITY 31418 PC PER HR</t>
  </si>
  <si>
    <t>IMD VISTA Sorting Machine</t>
  </si>
  <si>
    <t>PET Green strapping ROL 2500m-12.5x0.6mm</t>
  </si>
  <si>
    <t>PRT  REL</t>
  </si>
  <si>
    <t>IM07 CYCT 11 96 CAVITY 31418 PC PER HR</t>
  </si>
  <si>
    <t>IMD VISTA Sorting Machine</t>
  </si>
  <si>
    <t>3100007909</t>
  </si>
  <si>
    <t>30.5PCO1881 ICI GreenJ/C(PP JOM HDG-SIPA</t>
  </si>
  <si>
    <t>PRT  REL</t>
  </si>
  <si>
    <t>IMPS06 CYCT 15 CAV 180  PCS PER HR 43200</t>
  </si>
  <si>
    <t>IMD VISTA Sorting Machine</t>
  </si>
  <si>
    <t>3100007910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</si>
  <si>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</si>
  <si>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</si>
  <si>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</si>
  <si>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</si>
  <si>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</si>
  <si>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</si>
  <si>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</si>
  <si>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</si>
  <si>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3100007911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</si>
  <si>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</si>
  <si>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</si>
  <si>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</si>
  <si>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</si>
  <si>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</si>
  <si>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</si>
  <si>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</si>
  <si>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</si>
  <si>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3100007912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</si>
  <si>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</si>
  <si>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</si>
  <si>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</si>
  <si>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</si>
  <si>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</si>
  <si>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</si>
  <si>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</si>
  <si>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</si>
  <si>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</si>
  <si>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</si>
  <si>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</si>
  <si>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</si>
  <si>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3100007913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</si>
  <si>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</si>
  <si>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</si>
  <si>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</si>
  <si>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</si>
  <si>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</si>
  <si>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</si>
  <si>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</si>
  <si>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</si>
  <si>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</si>
  <si>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</si>
  <si>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</si>
  <si>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</si>
  <si>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3100007914</t>
  </si>
  <si>
    <t>Plain Self Adhes W105XH165mm–BOPP 1000/R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</si>
  <si>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</si>
  <si>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</si>
  <si>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</si>
  <si>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</si>
  <si>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</si>
  <si>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</si>
  <si>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</si>
  <si>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</si>
  <si>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</si>
  <si>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</si>
  <si>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</si>
  <si>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3100007915</t>
  </si>
  <si>
    <t>Plain Self Adhes W105XH165mm–BOPP 1000/R</t>
  </si>
  <si>
    <t>PRT  REL</t>
  </si>
  <si>
    <t>IMPS06 CYCT 15 CAV 180  PCS PER HR 43200</t>
  </si>
  <si>
    <t>IMD VISTA Sorting Machine</t>
  </si>
  <si>
    <t>30.5 PCO 1881 Rnd ICI Green J/C(WP-SIPA</t>
  </si>
  <si>
    <t>PRT  REL</t>
  </si>
  <si>
    <t>IMPS06 CYCT 15 CAV 180  PCS PER HR 43200</t>
  </si>
  <si>
    <t>IMD VISTA Sorting Machine</t>
  </si>
  <si>
    <t>3100007916</t>
  </si>
  <si>
    <t>Plain Self Adhes W105XH165mm–BOPP 1000/R</t>
  </si>
  <si>
    <t>PRT  REL</t>
  </si>
  <si>
    <t>IMPS06 CYCT 15 CAV 180  PCS PER HR 43200</t>
  </si>
  <si>
    <t>IMD VISTA Sorting Machine</t>
  </si>
  <si>
    <t>30.5 PCO 1881 Rnd ICI Green J/C(WP-SIPA</t>
  </si>
  <si>
    <t>PRT  REL</t>
  </si>
  <si>
    <t>IMPS06 CYCT 15 CAV 180  PCS PER HR 43200</t>
  </si>
  <si>
    <t>IMD VISTA Sorting Machine</t>
  </si>
  <si>
    <t>3100007917</t>
  </si>
  <si>
    <t>P.E Bags (160x130)x50cm Th 40mic- Jomih</t>
  </si>
  <si>
    <t>PRT  REL</t>
  </si>
  <si>
    <t>IMPS06 CYCT 15 CAV 180  PCS PER HR 43200</t>
  </si>
  <si>
    <t>IMD VISTA Sorting Machine</t>
  </si>
  <si>
    <t>30.5PCO1881RndICI GreenMenaBev Spec-SIPA</t>
  </si>
  <si>
    <t>PRT  REL</t>
  </si>
  <si>
    <t>IMPS06 CYCT 15 CAV 180  PCS PER HR 43200</t>
  </si>
  <si>
    <t>IMD VISTA Sorting Machine</t>
  </si>
  <si>
    <t>3100007918</t>
  </si>
  <si>
    <t>Plain Self Adhes W105XH165mm–BOPP 1000/R</t>
  </si>
  <si>
    <t>PRT  REL</t>
  </si>
  <si>
    <t>IMP12 CYT 16.7 96 CAV 20694 PC PER HR</t>
  </si>
  <si>
    <t>IMD VISTA Sorting Machine</t>
  </si>
  <si>
    <t>36.0BC1RD-CL-A</t>
  </si>
  <si>
    <t>36.0 BC38mm 3 Rnd Clear J/C(W Plt</t>
  </si>
  <si>
    <t>PRT  REL</t>
  </si>
  <si>
    <t>IMP12 CYT 16.7 96 CAV 20694 PC PER HR</t>
  </si>
  <si>
    <t>IMD VISTA Sorting Machine</t>
  </si>
  <si>
    <t>3100007919</t>
  </si>
  <si>
    <t>Plain Self Adhes W105XH165mm–BOPP 1000/R</t>
  </si>
  <si>
    <t>PRT  REL</t>
  </si>
  <si>
    <t>IMP06 CYCT 18.5 96 CAV 18681 PC PER HR</t>
  </si>
  <si>
    <t>INTRA VIS Preform Sorting Machine</t>
  </si>
  <si>
    <t>PET Clear Preform For Grinding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</si>
  <si>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</si>
  <si>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</si>
  <si>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</si>
  <si>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</si>
  <si>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</si>
  <si>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</si>
  <si>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</si>
  <si>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3100007920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</si>
  <si>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</si>
  <si>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</si>
  <si>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</si>
  <si>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</si>
  <si>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</si>
  <si>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</si>
  <si>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</si>
  <si>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</si>
  <si>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 PCO 1881Rnd CLR J/C(PP JOM HDG-SIPA</t>
  </si>
  <si>
    <t>PRT  REL</t>
  </si>
  <si>
    <t>RW01 IMD VISTA Sorting Machine</t>
  </si>
  <si>
    <t>IMD VISTA Sorting Machine</t>
  </si>
  <si>
    <t>P.E Bags (160x130)x50cm Th 40mic- Jomih</t>
  </si>
  <si>
    <t>RW01 IMD VISTA Sorting Machine</t>
  </si>
  <si>
    <t>IMD VISTA Sorting Machine</t>
  </si>
  <si>
    <t>3100007921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</si>
  <si>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</si>
  <si>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</si>
  <si>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</si>
  <si>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</si>
  <si>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</si>
  <si>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</si>
  <si>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</si>
  <si>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</si>
  <si>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</si>
  <si>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</si>
  <si>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</si>
  <si>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</si>
  <si>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3100007922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</si>
  <si>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</si>
  <si>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</si>
  <si>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</si>
  <si>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</si>
  <si>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</si>
  <si>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</si>
  <si>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</si>
  <si>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</si>
  <si>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3100007923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</si>
  <si>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</si>
  <si>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</si>
  <si>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</si>
  <si>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</si>
  <si>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</si>
  <si>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</si>
  <si>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</si>
  <si>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</si>
  <si>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3100007924</t>
  </si>
  <si>
    <t>PET Clear Preform For Grinding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</si>
  <si>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</si>
  <si>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</si>
  <si>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</si>
  <si>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</si>
  <si>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</si>
  <si>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</si>
  <si>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</si>
  <si>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3100007925</t>
  </si>
  <si>
    <t>Plain Self Adhes W105XH165mm–BOPP 1000/R</t>
  </si>
  <si>
    <t>PRT  REL</t>
  </si>
  <si>
    <t>IMPS06 CYCT 15 CAV 180  PCS PER HR 43200</t>
  </si>
  <si>
    <t>IMD VISTA Sorting Machine</t>
  </si>
  <si>
    <t>30.5 PCO 1881 Rnd CLR Mena Bev Spec-SIPA</t>
  </si>
  <si>
    <t>PRT  REL</t>
  </si>
  <si>
    <t>IMPS06 CYCT 15 CAV 180  PCS PER HR 43200</t>
  </si>
  <si>
    <t>IMD VISTA Sorting Machine</t>
  </si>
  <si>
    <t>3100007926</t>
  </si>
  <si>
    <t>7.80 TO 29/25 Rnd Clear J/C(W Plt-SIPA</t>
  </si>
  <si>
    <t>PRT  REL</t>
  </si>
  <si>
    <t>IMPS03 CYT 6.5 180 CAV 99692 PC PER HR</t>
  </si>
  <si>
    <t>INTRA VIS Preform Sorting Machine</t>
  </si>
  <si>
    <t>3100007927</t>
  </si>
  <si>
    <t>Carton Tray 110X100X27 CM- 554 gsm</t>
  </si>
  <si>
    <t>PRT  REL</t>
  </si>
  <si>
    <t>SBM02 10CAV 5000 PC PER HR</t>
  </si>
  <si>
    <t>IMD VISTA Sorting Machine</t>
  </si>
  <si>
    <t>Plain Self Adhes W105XH165mm–BOPP 1000/R</t>
  </si>
  <si>
    <t>PRT  REL</t>
  </si>
  <si>
    <t>SBM02 10CAV 5000 PC PER HR</t>
  </si>
  <si>
    <t>IMD VISTA Sorting Machine</t>
  </si>
  <si>
    <t>Transparent Tape roll 2'' wide 45mic</t>
  </si>
  <si>
    <t>PRT  REL</t>
  </si>
  <si>
    <t>SBM02 10CAV 5000 PC PER HR</t>
  </si>
  <si>
    <t>IMD VISTA Sorting Machine</t>
  </si>
  <si>
    <t>1300C51-SFI-1ORMNJ</t>
  </si>
  <si>
    <t>Safi 1.3L PET ClearBTL-OrangeM'Fruit NEC</t>
  </si>
  <si>
    <t>PRT  REL</t>
  </si>
  <si>
    <t>SBM02 10CAV 5000 PC PER HR</t>
  </si>
  <si>
    <t>IMD VISTA Sorting Machine</t>
  </si>
  <si>
    <t>3100007928</t>
  </si>
  <si>
    <t>Carton Tray 110X100X27 CM- 554 gsm</t>
  </si>
  <si>
    <t>PRT  REL</t>
  </si>
  <si>
    <t>SBM02 10CAV 5000 PC PER HR</t>
  </si>
  <si>
    <t>INTRA VIS Preform Sorting Machine</t>
  </si>
  <si>
    <t>Plain Self Adhes W105XH165mm–BOPP 1000/R</t>
  </si>
  <si>
    <t>PRT  REL</t>
  </si>
  <si>
    <t>SBM02 10CAV 5000 PC PER HR</t>
  </si>
  <si>
    <t>INTRA VIS Preform Sorting Machine</t>
  </si>
  <si>
    <t>C'Tray EE1(1140X1042X70)mm-3P,347g-Plain</t>
  </si>
  <si>
    <t>PRT  REL</t>
  </si>
  <si>
    <t>SBM02 10CAV 5000 PC PER HR</t>
  </si>
  <si>
    <t>INTRA VIS Preform Sorting Machine</t>
  </si>
  <si>
    <t>Safi 1.4L PET Clear BTL-Multi Fruit -25D</t>
  </si>
  <si>
    <t>PRT  REL</t>
  </si>
  <si>
    <t>SBM02 10CAV 5000 PC PER HR</t>
  </si>
  <si>
    <t>INTRA VIS Preform Sorting Machine</t>
  </si>
  <si>
    <t>3100007929</t>
  </si>
  <si>
    <t>C'Tray EE1(1140X1042X70)mm-3P,347g-Plain</t>
  </si>
  <si>
    <t>PRT  REL</t>
  </si>
  <si>
    <t>SBM04 8 Cav 6000 PCS Hr</t>
  </si>
  <si>
    <t>INTRA VIS Preform Sorting Machine</t>
  </si>
  <si>
    <t>850W34-SFI-1FFL10</t>
  </si>
  <si>
    <t>Safi 850ml PET WHT BT-F.F Laban-25D V2</t>
  </si>
  <si>
    <t>PRT  REL</t>
  </si>
  <si>
    <t>SBM04 8 Cav 6000 PCS Hr</t>
  </si>
  <si>
    <t>INTRA VIS Preform Sorting Machine</t>
  </si>
  <si>
    <t>3100007930</t>
  </si>
  <si>
    <t>45.0 PCO 1881 ICI Green J/C(P Plt </t>
  </si>
  <si>
    <t>PRT  REL</t>
  </si>
  <si>
    <t>IMP19 CYCT 18.5  96 CAV 18682 PER HR</t>
  </si>
  <si>
    <t>IMD VISTA Sorting Machine</t>
  </si>
  <si>
    <t>Plain Self Adhes W105XH165mm–BOPP 1000/R</t>
  </si>
  <si>
    <t>PRT  REL</t>
  </si>
  <si>
    <t>IMP19 CYCT 18.5  96 CAV 18682 PER HR</t>
  </si>
  <si>
    <t>IMD VISTA Sorting Machine</t>
  </si>
  <si>
    <t>Transparent Tape roll 2'' wide 45mic</t>
  </si>
  <si>
    <t>PRT  REL</t>
  </si>
  <si>
    <t>IMP19 CYCT 18.5  96 CAV 18682 PER HR</t>
  </si>
  <si>
    <t>IMD VISTA Sorting Machine</t>
  </si>
  <si>
    <t>Nylon Cable Tie – CV-200B-Black(100 pcs)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</si>
  <si>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</si>
  <si>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</si>
  <si>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</si>
  <si>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</si>
  <si>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</si>
  <si>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</si>
  <si>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</si>
  <si>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PET Green Preform For Grinding</t>
  </si>
  <si>
    <t>IMP19 CYCT 18.5  96 CAV 18682 PER HR</t>
  </si>
  <si>
    <t>IMD VISTA Sorting Machine</t>
  </si>
  <si>
    <t>3100007931</t>
  </si>
  <si>
    <t>45.0 PCO 1881 Rnd Clear MenaBev PP HDG</t>
  </si>
  <si>
    <t>PRT  REL</t>
  </si>
  <si>
    <t>IMP01 CYCT 18.5 96 CAV 18681 PC PER HR</t>
  </si>
  <si>
    <t>IMD VISTA Sorting Machine</t>
  </si>
  <si>
    <t>Plain Self Adhes W105XH165mm–BOPP 1000/R</t>
  </si>
  <si>
    <t>PRT  REL</t>
  </si>
  <si>
    <t>IMP01 CYCT 18.5 96 CAV 18681 PC PER HR</t>
  </si>
  <si>
    <t>IMD VISTA Sorting Machine</t>
  </si>
  <si>
    <t>Transparent Tape roll 2'' wide 45mic</t>
  </si>
  <si>
    <t>PRT  REL</t>
  </si>
  <si>
    <t>IMP01 CYCT 18.5 96 CAV 18681 PC PER HR</t>
  </si>
  <si>
    <t>IMD VISTA Sorting Machine</t>
  </si>
  <si>
    <t>Nylon Cable Tie – CV-200B-Black(100 pcs)</t>
  </si>
  <si>
    <t>PRT  REL</t>
  </si>
  <si>
    <t>IMP01 CYCT 18.5 96 CAV 18681 PC PER HR</t>
  </si>
  <si>
    <t>IMD VISTA Sorting Machine</t>
  </si>
  <si>
    <t>P.E Bags (160x130)x50cm Th 40mic- Jomih</t>
  </si>
  <si>
    <t>PRT  REL</t>
  </si>
  <si>
    <t>IMP01 CYCT 18.5 96 CAV 18681 PC PER HR</t>
  </si>
  <si>
    <t>IMD VISTA Sorting Machine</t>
  </si>
  <si>
    <t>3100007932</t>
  </si>
  <si>
    <t>Plain Self Adhes W105XH165mm–BOPP 1000/R</t>
  </si>
  <si>
    <t>PRT  REL</t>
  </si>
  <si>
    <t>IMPS02 CYT 6.8 180 CAV 95294 PC PER HR</t>
  </si>
  <si>
    <t>IMD VISTA Sorting Machine</t>
  </si>
  <si>
    <t>PET Clear Preform For Grinding</t>
  </si>
  <si>
    <t>PRT  REL</t>
  </si>
  <si>
    <t>IMPS02 CYT 6.8 180 CAV 95294 PC PER HR</t>
  </si>
  <si>
    <t>IMD VISTA Sorting Machine</t>
  </si>
  <si>
    <t>9.4TO2RD-CLS-V</t>
  </si>
  <si>
    <t>9.4 29/25RndCLR AA Rdcer MenaB PP</t>
  </si>
  <si>
    <t>PRT  REL</t>
  </si>
  <si>
    <t>IMPS02 CYT 6.8 180 CAV 95294 PC PER HR</t>
  </si>
  <si>
    <t>IMD VISTA Sorting Machine</t>
  </si>
  <si>
    <t>3100007933</t>
  </si>
  <si>
    <t>PET Clear Preform For Grinding</t>
  </si>
  <si>
    <t>PRT  REL</t>
  </si>
  <si>
    <t>IMP12 CYT 16.7 96 CAV 20694 PC PER HR</t>
  </si>
  <si>
    <t>IMD VISTA Sorting Machine</t>
  </si>
  <si>
    <t>36.0 BC38mm 3 Rnd Clear OJ/C(W plt</t>
  </si>
  <si>
    <t>PRT  REL</t>
  </si>
  <si>
    <t>IMP12 CYT 16.7 96 CAV 20694 PC PER HR</t>
  </si>
  <si>
    <t>IMD VISTA Sorting Machine</t>
  </si>
  <si>
    <t>3100007934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</si>
  <si>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</si>
  <si>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</si>
  <si>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</si>
  <si>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</si>
  <si>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</si>
  <si>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</si>
  <si>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</si>
  <si>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</si>
  <si>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</si>
  <si>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</si>
  <si>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</si>
  <si>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</si>
  <si>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</si>
  <si>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</si>
  <si>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</si>
  <si>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</si>
  <si>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3100007935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</si>
  <si>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</si>
  <si>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</si>
  <si>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</si>
  <si>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</si>
  <si>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</si>
  <si>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</si>
  <si>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</si>
  <si>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</si>
  <si>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3100007936</t>
  </si>
  <si>
    <t>P.E Bags (160x130)x50cm Th 40mic- Jomih</t>
  </si>
  <si>
    <t>PRT  REL</t>
  </si>
  <si>
    <t>IMPS05 CYT 7.5 180 CAV 86400 PC PER HR</t>
  </si>
  <si>
    <t>INTRA VIS Preform Sorting Machine</t>
  </si>
  <si>
    <t>12.5 29/25 Rnd Clear J/C(PP</t>
  </si>
  <si>
    <t>PRT  REL</t>
  </si>
  <si>
    <t>IMPS05 CYT 7.5 180 CAV 86400 PC PER HR</t>
  </si>
  <si>
    <t>INTRA VIS Preform Sorting Machine</t>
  </si>
  <si>
    <t>3100007937</t>
  </si>
  <si>
    <t>Plain Self Adhes W105XH165mm–BOPP 1000/R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</si>
  <si>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</si>
  <si>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</si>
  <si>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</si>
  <si>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</si>
  <si>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</si>
  <si>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</si>
  <si>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</si>
  <si>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14.0 PCO 1881 Rnd Clear J/C(W Plt</t>
  </si>
  <si>
    <t>PRT  REL</t>
  </si>
  <si>
    <t>IM24 CYCT 11 96 CAVITY 31418 PC PER HR</t>
  </si>
  <si>
    <t>INTRA VIS Preform Sorting Machine</t>
  </si>
  <si>
    <t>3100007938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</si>
  <si>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</si>
  <si>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</si>
  <si>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</si>
  <si>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</si>
  <si>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</si>
  <si>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</si>
  <si>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</si>
  <si>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</si>
  <si>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47.5PC2RD-CLٍS-A</t>
  </si>
  <si>
    <t>47.5 PCO 1881 Rnd Clear J/C(W Plt)SIPA</t>
  </si>
  <si>
    <t>PRT  REL</t>
  </si>
  <si>
    <t>RW01 IMD VISTA Sorting Machine</t>
  </si>
  <si>
    <t>IMD VISTA Sorting Machine</t>
  </si>
  <si>
    <t>3100007939</t>
  </si>
  <si>
    <t>47.5 PCO 1881 Rnd Clear J/C(W Plt)SIPA</t>
  </si>
  <si>
    <t>PRT  REL</t>
  </si>
  <si>
    <t>IMP19 CYCT 19.3 96 CAV 17906 PER HR</t>
  </si>
  <si>
    <t>INTRA VIS Preform Sorting Machine</t>
  </si>
  <si>
    <t>3100007940</t>
  </si>
  <si>
    <t>12.5 29/25 Rnd Clear J/C(PP</t>
  </si>
  <si>
    <t>PRT  REL</t>
  </si>
  <si>
    <t>IMPS05 CYT 7.5 180 CAV 86400 PC PER HR</t>
  </si>
  <si>
    <t>IMD VISTA Sorting Machine</t>
  </si>
  <si>
    <t>3100007941</t>
  </si>
  <si>
    <t>7.45TO2RD-AJBS-B</t>
  </si>
  <si>
    <t>7.45TO29/25Rnd'ALM'BLUE J/C(PP-SIPA)</t>
  </si>
  <si>
    <t>PRT  REL</t>
  </si>
  <si>
    <t>IMPS03 CYT 6.5 180 CAV 99692 PC PER HR</t>
  </si>
  <si>
    <t>IMD VISTA Sorting Machine</t>
  </si>
  <si>
    <t>3100007942</t>
  </si>
  <si>
    <t>Honeywell Intermec Ribbon 110*450</t>
  </si>
  <si>
    <t>PRT  REL</t>
  </si>
  <si>
    <t>RW01 IMD VISTA Sorting Machine</t>
  </si>
  <si>
    <t>IMD VISTA Sorting Machine</t>
  </si>
  <si>
    <t>Plain Self Adhes W105XH165mm–BOPP 1000/R</t>
  </si>
  <si>
    <t>PRT  REL</t>
  </si>
  <si>
    <t>RW01 IMD VISTA Sorting Machine</t>
  </si>
  <si>
    <t>IMD VISTA Sorting Machine</t>
  </si>
  <si>
    <t>18.0PC2RD-CL-V</t>
  </si>
  <si>
    <t>18.0 PCO 1881 Rnd Clear MenaBev Spec</t>
  </si>
  <si>
    <t>PRT  REL</t>
  </si>
  <si>
    <t>RW01 IMD VISTA Sorting Machine</t>
  </si>
  <si>
    <t>IMD VISTA Sorting Machine</t>
  </si>
  <si>
    <t>3100007943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</si>
  <si>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</si>
  <si>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</si>
  <si>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</si>
  <si>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</si>
  <si>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</si>
  <si>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</si>
  <si>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</si>
  <si>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</si>
  <si>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</si>
  <si>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</si>
  <si>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</si>
  <si>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</si>
  <si>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3100007944</t>
  </si>
  <si>
    <t>Plain Self Adhes W105XH165mm–BOPP 1000/R</t>
  </si>
  <si>
    <t>PRT  REL</t>
  </si>
  <si>
    <t>IMPS05 CYT 7.5 180 CAV 86400 PC PER HR</t>
  </si>
  <si>
    <t>IMD VISTA Sorting Machine</t>
  </si>
  <si>
    <t>P.E Bags (160x130)x50cm Th 40mic- Jomih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</si>
  <si>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</si>
  <si>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</si>
  <si>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</si>
  <si>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</si>
  <si>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</si>
  <si>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</si>
  <si>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</si>
  <si>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3100007945</t>
  </si>
  <si>
    <t>Plain Self Adhes W105XH165mm–BOPP 1000/R</t>
  </si>
  <si>
    <t>PRT  REL</t>
  </si>
  <si>
    <t>IMP19 CYCT 18.5  96 CAV 18682 PER HR</t>
  </si>
  <si>
    <t>IMD VISTA Sorting Machine</t>
  </si>
  <si>
    <t>P.E Bags (160x130)x50cm Th 40mic- Jomih</t>
  </si>
  <si>
    <t>PRT  REL</t>
  </si>
  <si>
    <t>IMP19 CYCT 18.5  96 CAV 18682 PER HR</t>
  </si>
  <si>
    <t>IMD VISTA Sorting Machine</t>
  </si>
  <si>
    <t>PET Green Preform For Grinding</t>
  </si>
  <si>
    <t>PRT  REL</t>
  </si>
  <si>
    <t>IMP19 CYCT 18.5  96 CAV 18682 PER HR</t>
  </si>
  <si>
    <t>IMD VISTA Sorting Machine</t>
  </si>
  <si>
    <t>45.0 PCO 1881 ICI Green J/C(P Plt </t>
  </si>
  <si>
    <t>PRT  REL</t>
  </si>
  <si>
    <t>IMP19 CYCT 18.5  96 CAV 18682 PER HR</t>
  </si>
  <si>
    <t>IMD VISTA Sorting Machine</t>
  </si>
  <si>
    <t>3100007946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</si>
  <si>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</si>
  <si>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</si>
  <si>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</si>
  <si>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</si>
  <si>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</si>
  <si>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</si>
  <si>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</si>
  <si>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</si>
  <si>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</si>
  <si>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</si>
  <si>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</si>
  <si>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</si>
  <si>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3100007947</t>
  </si>
  <si>
    <t>Plain Self Adhes W105XH165mm–BOPP 1000/R</t>
  </si>
  <si>
    <t>PRT  REL</t>
  </si>
  <si>
    <t>IMPS03 CYT 6.5 180 CAV 99692 PC PER HR</t>
  </si>
  <si>
    <t>IMD VISTA Sorting Machine</t>
  </si>
  <si>
    <t>7.45TO29/25Rnd'ALM'BLUE J/C(PP-SIPA)</t>
  </si>
  <si>
    <t>PRT  REL</t>
  </si>
  <si>
    <t>IMPS03 CYT 6.5 180 CAV 99692 PC PER HR</t>
  </si>
  <si>
    <t>IMD VISTA Sorting Machine</t>
  </si>
  <si>
    <t>3100007948</t>
  </si>
  <si>
    <t>Plain Self Adhes W105XH165mm–BOPP 1000/R</t>
  </si>
  <si>
    <t>PRT  REL</t>
  </si>
  <si>
    <t>IMP01 CYCT 18.5 96 CAV 18681 PC PER HR</t>
  </si>
  <si>
    <t>INTRA VIS Preform Sorting Machine</t>
  </si>
  <si>
    <t>45.0 PCO 1881 ICI Green J/C(P Plt </t>
  </si>
  <si>
    <t>PRT  REL</t>
  </si>
  <si>
    <t>IMP01 CYCT 18.5 96 CAV 18681 PC PER HR</t>
  </si>
  <si>
    <t>INTRA VIS Preform Sorting Machine</t>
  </si>
  <si>
    <t>3100007949</t>
  </si>
  <si>
    <t>Plain Self Adhes W105XH165mm–BOPP 1000/R</t>
  </si>
  <si>
    <t>PRT  REL</t>
  </si>
  <si>
    <t>IMPS05 CYT 7.5 180 CAV 86400 PC PER HR</t>
  </si>
  <si>
    <t>IMD VISTA Sorting Machine</t>
  </si>
  <si>
    <t>12.5 29/25 CLR AA Reducer MenaBev</t>
  </si>
  <si>
    <t>PRT  REL</t>
  </si>
  <si>
    <t>IMPS05 CYT 7.5 180 CAV 86400 PC PER HR</t>
  </si>
  <si>
    <t>IMD VISTA Sorting Machine</t>
  </si>
  <si>
    <t>3100007950</t>
  </si>
  <si>
    <t>Plain Self Adhes W105XH165mm–BOPP 1000/R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</si>
  <si>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</si>
  <si>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</si>
  <si>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</si>
  <si>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</si>
  <si>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</si>
  <si>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</si>
  <si>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</si>
  <si>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3100007951</t>
  </si>
  <si>
    <t>Plain Self Adhes W105XH165mm–BOPP 1000/R</t>
  </si>
  <si>
    <t>PRT  REL</t>
  </si>
  <si>
    <t>IMP01 CYCT 18.5 96 CAV 18681 PC PER HR</t>
  </si>
  <si>
    <t>INTRA VIS Preform Sorting Machine</t>
  </si>
  <si>
    <t>45.0 PCO 1881 Rnd Clear MenaBev PP HDG</t>
  </si>
  <si>
    <t>DLT  PRT  REL</t>
  </si>
  <si>
    <t>IMP01 CYCT 18.5 96 CAV 18681 PC PER HR</t>
  </si>
  <si>
    <t>INTRA VIS Preform Sorting Machine</t>
  </si>
  <si>
    <t>45.0 PCO 1881 Rd ICI Green MenaBevPP HDG</t>
  </si>
  <si>
    <t>IMP01 CYCT 18.5 96 CAV 18681 PC PER HR</t>
  </si>
  <si>
    <t>INTRA VIS Preform Sorting Machine</t>
  </si>
  <si>
    <t>PET Green Preform For Grinding</t>
  </si>
  <si>
    <t>IMP01 CYCT 18.5 96 CAV 18681 PC PER HR</t>
  </si>
  <si>
    <t>INTRA VIS Preform Sorting Machine</t>
  </si>
  <si>
    <t>3100007952</t>
  </si>
  <si>
    <t>Plain Self Adhes W105XH165mm–BOPP 1000/R</t>
  </si>
  <si>
    <t>PRT  REL</t>
  </si>
  <si>
    <t>IMP01 CYCT 18.5 96 CAV 18681 PC PER HR</t>
  </si>
  <si>
    <t>INTRA VIS Preform Sorting Machine</t>
  </si>
  <si>
    <t>45.0 PCO 1881 Rd ICI Green MenaBevPP HDG</t>
  </si>
  <si>
    <t>PRT  REL</t>
  </si>
  <si>
    <t>IMP01 CYCT 18.5 96 CAV 18681 PC PER HR</t>
  </si>
  <si>
    <t>INTRA VIS Preform Sorting Machine</t>
  </si>
  <si>
    <t>3100007953</t>
  </si>
  <si>
    <t>Plain Self Adhes W105XH165mm–BOPP 1000/R</t>
  </si>
  <si>
    <t>PRT  REL</t>
  </si>
  <si>
    <t>IMPS05 CYT 7.1 180 CAV 91267 PC PER HR</t>
  </si>
  <si>
    <t>INTRA VIS Preform Sorting Machine</t>
  </si>
  <si>
    <t>11.5 TO29/25 Rnd Clear MenaBev (PP)</t>
  </si>
  <si>
    <t>PRT  REL</t>
  </si>
  <si>
    <t>IMPS05 CYT 7.1 180 CAV 91267 PC PER HR</t>
  </si>
  <si>
    <t>INTRA VIS Preform Sorting Machine</t>
  </si>
  <si>
    <t>3100007954</t>
  </si>
  <si>
    <t>Plain Self Adhes W105XH165mm–BOPP 1000/R</t>
  </si>
  <si>
    <t>PRT  REL</t>
  </si>
  <si>
    <t>IMPS05 CYT 7.5 180 CAV 86400 PC PER HR</t>
  </si>
  <si>
    <t>IMD VISTA Sorting Machine</t>
  </si>
  <si>
    <t>PET Clear Preform For Grinding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</si>
  <si>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</si>
  <si>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</si>
  <si>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</si>
  <si>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</si>
  <si>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</si>
  <si>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</si>
  <si>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</si>
  <si>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3100007955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</si>
  <si>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</si>
  <si>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</si>
  <si>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</si>
  <si>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</si>
  <si>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</si>
  <si>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</si>
  <si>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</si>
  <si>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</si>
  <si>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3100007956</t>
  </si>
  <si>
    <t>Plain Self Adhes W105XH165mm–BOPP 1000/R</t>
  </si>
  <si>
    <t>PRT  REL</t>
  </si>
  <si>
    <t>IMP19 CYCT 18.5  96 CAV 18682 PER HR</t>
  </si>
  <si>
    <t>INTRA VIS Preform Sorting Machine</t>
  </si>
  <si>
    <t>45.0 PCO 1881 ICI Green J/C(P Plt </t>
  </si>
  <si>
    <t>PRT  REL</t>
  </si>
  <si>
    <t>IMP19 CYCT 18.5  96 CAV 18682 PER HR</t>
  </si>
  <si>
    <t>INTRA VIS Preform Sorting Machine</t>
  </si>
  <si>
    <t>3100007957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</si>
  <si>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</si>
  <si>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</si>
  <si>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</si>
  <si>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</si>
  <si>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</si>
  <si>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</si>
  <si>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</si>
  <si>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</si>
  <si>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3100007958</t>
  </si>
  <si>
    <t>45.0 PCO 1881 ICI Green J/C(P Plt </t>
  </si>
  <si>
    <t>PRT  REL</t>
  </si>
  <si>
    <t>IMP19 CYCT 18.5  96 CAV 18682 PER HR</t>
  </si>
  <si>
    <t>IMD VISTA Sorting Machine</t>
  </si>
  <si>
    <t>3100007959</t>
  </si>
  <si>
    <t>26.6 TO 29/25 Rnd Clear J/C(P Plt</t>
  </si>
  <si>
    <t>PRT  REL</t>
  </si>
  <si>
    <t>IMP12 CYCT 15.6 96 CAVITY 22153 PC</t>
  </si>
  <si>
    <t>IMD VISTA Sorting Machine</t>
  </si>
  <si>
    <t>3100007960</t>
  </si>
  <si>
    <t>12.5 29/25 Rnd Clear J/C(PP</t>
  </si>
  <si>
    <t>PRT  REL</t>
  </si>
  <si>
    <t>IMPS05 CYT 7.5 180 CAV 86400 PC PER HR</t>
  </si>
  <si>
    <t>IMD VISTA Sorting Machine</t>
  </si>
  <si>
    <t>3100007961</t>
  </si>
  <si>
    <t>12.5 29/25 Rnd Clear J/C(PP</t>
  </si>
  <si>
    <t>PRT  REL</t>
  </si>
  <si>
    <t>IMPS05 CYT 7.5 180 CAV 86400 PC PER HR</t>
  </si>
  <si>
    <t>IMD VISTA Sorting Machine</t>
  </si>
  <si>
    <t>PET Clear Preform For Grinding</t>
  </si>
  <si>
    <t>PRT  REL</t>
  </si>
  <si>
    <t>IMPS05 CYT 7.5 180 CAV 86400 PC PER HR</t>
  </si>
  <si>
    <t>IMD VISTA Sorting Machine</t>
  </si>
  <si>
    <t>3100007962</t>
  </si>
  <si>
    <t>30.5PCO1881 ICI GreenJ/C(PP JOM HDG-SIPA</t>
  </si>
  <si>
    <t>PRT  REL</t>
  </si>
  <si>
    <t>IMPS06 CYCT 15 CAV 180  PCS PER HR 43200</t>
  </si>
  <si>
    <t>IMD VISTA Sorting Machine</t>
  </si>
  <si>
    <t>3100007963</t>
  </si>
  <si>
    <t>52.0 BC38mm 3 Rnd Clear J/C(P Plt</t>
  </si>
  <si>
    <t>PRT  REL</t>
  </si>
  <si>
    <t>IMP01 CYCT 18.5 96CAVITY 18682 PC PER HR</t>
  </si>
  <si>
    <t>IMD VISTA Sorting Machine</t>
  </si>
  <si>
    <t>3100007964</t>
  </si>
  <si>
    <t>45.0 PCO 1881 ICI Green J/C(P Plt </t>
  </si>
  <si>
    <t>PRT  REL</t>
  </si>
  <si>
    <t>IMP19 CYCT 18.5  96 CAV 18682 PER HR</t>
  </si>
  <si>
    <t>IMD VISTA Sorting Machine</t>
  </si>
  <si>
    <t>3100007965</t>
  </si>
  <si>
    <t>26.6 TO 29/25 Rnd Clear J/C(P Plt</t>
  </si>
  <si>
    <t>PRT  REL</t>
  </si>
  <si>
    <t>IMP12 CYCT 15.6 96 CAVITY 22153 PC</t>
  </si>
  <si>
    <t>IMD VISTA Sorting Machine</t>
  </si>
  <si>
    <t>3100007966</t>
  </si>
  <si>
    <t>8.30TOLW29/25 L.Blue(≤2ppm)J/C(W pt-SIPA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</si>
  <si>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</si>
  <si>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</si>
  <si>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</si>
  <si>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</si>
  <si>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</si>
  <si>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</si>
  <si>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</si>
  <si>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3100007967</t>
  </si>
  <si>
    <t>36.0 BC38mm 3 Rnd Clear OJ/C(W plt</t>
  </si>
  <si>
    <t>PRT  REL</t>
  </si>
  <si>
    <t>IMP12 CYT 16.7 96 CAV 20694 PC PER HR</t>
  </si>
  <si>
    <t>IMD VISTA Sorting Machine</t>
  </si>
  <si>
    <t>PET Clear Preform For Grinding</t>
  </si>
  <si>
    <t>PRT  REL</t>
  </si>
  <si>
    <t>IMP12 CYT 16.7 96 CAV 20694 PC PER HR</t>
  </si>
  <si>
    <t>IMD VISTA Sorting Machine</t>
  </si>
  <si>
    <t>3100007968</t>
  </si>
  <si>
    <t>14.0 TO 29/25 Rnd Arwa Blue J/C(W plt)</t>
  </si>
  <si>
    <t>PRT  REL</t>
  </si>
  <si>
    <t>IM07 CYCT 11 96 CAVITY 31418 PC PER HR</t>
  </si>
  <si>
    <t>IMD VISTA Sorting Machine</t>
  </si>
  <si>
    <t>PET Blue Preform For Grinding</t>
  </si>
  <si>
    <t>PRT  REL</t>
  </si>
  <si>
    <t>IM07 CYCT 11 96 CAVITY 31418 PC PER HR</t>
  </si>
  <si>
    <t>IMD VISTA Sorting Machine</t>
  </si>
  <si>
    <t>3100007969</t>
  </si>
  <si>
    <t>45.0 PCO 1881 ICI Green J/C(P Plt </t>
  </si>
  <si>
    <t>DLT  PRT  REL</t>
  </si>
  <si>
    <t>IMPS07 CYT 17.3 144 CAV 29965 PC PER HR</t>
  </si>
  <si>
    <t>INTRA VIS Preform Sorting Machine</t>
  </si>
  <si>
    <t>PET Clear Preform For Grinding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</si>
  <si>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</si>
  <si>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</si>
  <si>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</si>
  <si>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</si>
  <si>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</si>
  <si>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</si>
  <si>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</si>
  <si>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</si>
  <si>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</si>
  <si>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</si>
  <si>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</si>
  <si>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</si>
  <si>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</si>
  <si>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</si>
  <si>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</si>
  <si>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</si>
  <si>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</si>
  <si>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</si>
  <si>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</si>
  <si>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45.0PC2RD-CLS-B</t>
  </si>
  <si>
    <t>45.0 PCO 1881Rd Clear J/C(P Plt - SIPA</t>
  </si>
  <si>
    <t>IMPS07 CYT 17.3 144 CAV 29965 PC PER HR</t>
  </si>
  <si>
    <t>INTRA VIS Preform Sorting Machine</t>
  </si>
  <si>
    <t>3100007970</t>
  </si>
  <si>
    <t>48.0BC1RD-CL-A</t>
  </si>
  <si>
    <t>48.0 BC38mm 3 Rnd Clear J/C(W plt</t>
  </si>
  <si>
    <t>PRT  REL</t>
  </si>
  <si>
    <t>IMP12 CYCT 18.2 96 CAV 18989 PC PER HR</t>
  </si>
  <si>
    <t>INTRA VIS Preform Sorting Machine</t>
  </si>
  <si>
    <t>PET Clear Preform For Grinding</t>
  </si>
  <si>
    <t>PRT  REL</t>
  </si>
  <si>
    <t>IMP12 CYCT 18.2 96 CAV 18989 PC PER HR</t>
  </si>
  <si>
    <t>INTRA VIS Preform Sorting Machine</t>
  </si>
  <si>
    <t>Plain Self Adhes W105XH165mm–BOPP 1000/R</t>
  </si>
  <si>
    <t>PRT  REL</t>
  </si>
  <si>
    <t>IMP12 CYCT 18.2 96 CAV 18989 PC PER HR</t>
  </si>
  <si>
    <t>INTRA VIS Preform Sorting Machine</t>
  </si>
  <si>
    <t>Transparent Tape roll 2'' wide 45mic</t>
  </si>
  <si>
    <t>PRT  REL</t>
  </si>
  <si>
    <t>IMP12 CYCT 18.2 96 CAV 18989 PC PER HR</t>
  </si>
  <si>
    <t>INTRA VIS Preform Sorting Machine</t>
  </si>
  <si>
    <t>Nylon Cable Tie – CV-200B-Black(100 pcs)</t>
  </si>
  <si>
    <t>PRT  REL</t>
  </si>
  <si>
    <t>IMP12 CYCT 18.2 96 CAV 18989 PC PER HR</t>
  </si>
  <si>
    <t>INTRA VIS Preform Sorting Machine</t>
  </si>
  <si>
    <t>PET Green strapping ROL 2500m-12.5x0.6mm</t>
  </si>
  <si>
    <t>PRT  REL</t>
  </si>
  <si>
    <t>IMP12 CYCT 18.2 96 CAV 18989 PC PER HR</t>
  </si>
  <si>
    <t>INTRA VIS Preform Sorting Machine</t>
  </si>
  <si>
    <t>3100007971</t>
  </si>
  <si>
    <t>30.5PCO1881 ICI GreenJ/C(PP JOM HDG-SIPA</t>
  </si>
  <si>
    <t>PRT  REL</t>
  </si>
  <si>
    <t>IMPS06 CYCT 15 CAV 180  PCS PER HR 43200</t>
  </si>
  <si>
    <t>INTRA VIS Preform Sorting Machine</t>
  </si>
  <si>
    <t>3100007972</t>
  </si>
  <si>
    <t>12.5 29/25 Rnd Clear J/C(PP</t>
  </si>
  <si>
    <t>PRT  REL</t>
  </si>
  <si>
    <t>IMPS05 CYT 7.5 180 CAV 86400 PC PER HR</t>
  </si>
  <si>
    <t>INTRA VIS Preform Sorting Machine</t>
  </si>
  <si>
    <t>3100007973</t>
  </si>
  <si>
    <t>26.6 TO 29/25 Rnd Clear J/C(P Plt</t>
  </si>
  <si>
    <t>PRT  REL</t>
  </si>
  <si>
    <t>IMP12 CYCT 15.6 96 CAVITY 22153 PC</t>
  </si>
  <si>
    <t>INTRA VIS Preform Sorting Machine</t>
  </si>
  <si>
    <t>3100007974</t>
  </si>
  <si>
    <t>52.0 BC38mm 3 Rnd Clear J/C(P Plt</t>
  </si>
  <si>
    <t>PRT  REL</t>
  </si>
  <si>
    <t>IMP01 CYCT 18.5 96CAVITY 18682 PC PER HR</t>
  </si>
  <si>
    <t>INTRA VIS Preform Sorting Machine</t>
  </si>
  <si>
    <t>3100007975</t>
  </si>
  <si>
    <t>45.0 PCO 1881 ICI Green J/C(P Plt </t>
  </si>
  <si>
    <t>PRT  REL</t>
  </si>
  <si>
    <t>IMP19 CYCT 18.5  96 CAV 18682 PER HR</t>
  </si>
  <si>
    <t>INTRA VIS Preform Sorting Machine</t>
  </si>
  <si>
    <t>3100007976</t>
  </si>
  <si>
    <t>45.0 PCO 1881Rd Clear J/C(P Plt - SIPA</t>
  </si>
  <si>
    <t>PRT  REL</t>
  </si>
  <si>
    <t>IMPS07 CYT 17.3 144 CAV 29965 PC PER HR</t>
  </si>
  <si>
    <t>INTRA VIS Preform Sorting Machine</t>
  </si>
  <si>
    <t>PET Clear Preform For Grinding</t>
  </si>
  <si>
    <t>PRT  REL</t>
  </si>
  <si>
    <t>IMPS07 CYT 17.3 144 CAV 29965 PC PER HR</t>
  </si>
  <si>
    <t>INTRA VIS Preform Sorting Machine</t>
  </si>
  <si>
    <t>3100007977</t>
  </si>
  <si>
    <t>30.5PCO1881 ICI GreenJ/C(PP JOM HDG-SIPA</t>
  </si>
  <si>
    <t>PRT  REL</t>
  </si>
  <si>
    <t>IMPS06 CYCT 15 CAV 180  PCS PER HR 43200</t>
  </si>
  <si>
    <t>INTRA VIS Preform Sorting Machine</t>
  </si>
  <si>
    <t>PET Green Preform For Grinding</t>
  </si>
  <si>
    <t>PRT  REL</t>
  </si>
  <si>
    <t>IMPS06 CYCT 15 CAV 180  PCS PER HR 43200</t>
  </si>
  <si>
    <t>INTRA VIS Preform Sorting Machine</t>
  </si>
  <si>
    <t>3100007978</t>
  </si>
  <si>
    <t>45.0 PCO 1881 Rd ICI Green MenaBevPP HDG</t>
  </si>
  <si>
    <t>PRT  REL</t>
  </si>
  <si>
    <t>IMP01 CYCT 18.5 96 CAV 18681 PC PER HR</t>
  </si>
  <si>
    <t>INTRA VIS Preform Sorting Machine</t>
  </si>
  <si>
    <t>PET Green Preform For Grinding</t>
  </si>
  <si>
    <t>PRT  REL</t>
  </si>
  <si>
    <t>IMP01 CYCT 18.5 96 CAV 18681 PC PER HR</t>
  </si>
  <si>
    <t>INTRA VIS Preform Sorting Machine</t>
  </si>
  <si>
    <t>3100007979</t>
  </si>
  <si>
    <t>600324</t>
  </si>
  <si>
    <t>PET Bottle Scrap</t>
  </si>
  <si>
    <t>PRT  REL</t>
  </si>
  <si>
    <t>IMD VISTA Sorting Machine</t>
  </si>
  <si>
    <t>3100007980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</si>
  <si>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</si>
  <si>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</si>
  <si>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</si>
  <si>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</si>
  <si>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</si>
  <si>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</si>
  <si>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</si>
  <si>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</si>
  <si>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30.5PCO1881RndICI GreenMenaBev Spec-SIPA</t>
  </si>
  <si>
    <t>PRT  REL</t>
  </si>
  <si>
    <t>RW01 IMD VISTA Sorting Machine</t>
  </si>
  <si>
    <t>IMD VISTA Sorting Machine</t>
  </si>
  <si>
    <t>3100007981</t>
  </si>
  <si>
    <t>9.4 TO 29/25 Rnd L.Blue J/C (W plt- SIPA</t>
  </si>
  <si>
    <t>PRT  REL</t>
  </si>
  <si>
    <t>IMPS01 CYT 6.8 180 CAV 95294 PC PER HR</t>
  </si>
  <si>
    <t>INTRA VIS Preform Sorting Machine</t>
  </si>
  <si>
    <t>3100007982</t>
  </si>
  <si>
    <t>14.0 PCO 1881 Rnd Clear J/C(W Plt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</si>
  <si>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</si>
  <si>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</si>
  <si>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</si>
  <si>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</si>
  <si>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</si>
  <si>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</si>
  <si>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</si>
  <si>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3100007983</t>
  </si>
  <si>
    <t>9.4 TO29/25 Rnd Nova Blue J/C(Ppl-SABIC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</si>
  <si>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</si>
  <si>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</si>
  <si>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</si>
  <si>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</si>
  <si>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</si>
  <si>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</si>
  <si>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</si>
  <si>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3100007984</t>
  </si>
  <si>
    <t>52.0 BC38mm 3 Rnd Clear J/C(P Plt</t>
  </si>
  <si>
    <t>PRT  REL</t>
  </si>
  <si>
    <t>IMP01 CYCT 18.5 96CAVITY 18682 PC PER HR</t>
  </si>
  <si>
    <t>INTRA VIS Preform Sorting Machine</t>
  </si>
  <si>
    <t>3100007985</t>
  </si>
  <si>
    <t>26.6 TO 29/25 Rnd Clear J/C(P Plt</t>
  </si>
  <si>
    <t>PRT  REL</t>
  </si>
  <si>
    <t>IMP12 CYCT 15.6 96 CAVITY 22153 PC</t>
  </si>
  <si>
    <t>INTRA VIS Preform Sorting Machine</t>
  </si>
  <si>
    <t>3100007986</t>
  </si>
  <si>
    <t>30.5PCO1881RndICI GreenMenaBev Spec-SIPA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</si>
  <si>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</si>
  <si>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</si>
  <si>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</si>
  <si>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</si>
  <si>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</si>
  <si>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</si>
  <si>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</si>
  <si>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3100007987</t>
  </si>
  <si>
    <t>Safi 1.4L PET Clear BTL-Orange -25D</t>
  </si>
  <si>
    <t>IMD VISTA Sorting Machine</t>
  </si>
  <si>
    <t>Safi 1.3L PET ClearBTL-MangoMixFruit-25D</t>
  </si>
  <si>
    <t>IMD VISTA Sorting Machine</t>
  </si>
  <si>
    <t>Transparent Tape roll 2'' wide 45mic</t>
  </si>
  <si>
    <t>IMD VISTA Sorting Machine</t>
  </si>
  <si>
    <t>Plain Self Adhes W105XH165mm–BOPP 1000/R</t>
  </si>
  <si>
    <t>IMD VISTA Sorting Machine</t>
  </si>
  <si>
    <t>St. Film [1.2K.g] 17micx500mmx1500 (Bio)</t>
  </si>
  <si>
    <t>IMD VISTA Sorting Machine</t>
  </si>
  <si>
    <t>PE Bag Roll Width-1239MM,40MIC</t>
  </si>
  <si>
    <t>IMD VISTA Sorting Machine</t>
  </si>
  <si>
    <t>3100007988</t>
  </si>
  <si>
    <t>9.4TO 29/25Rnd L.Blue J/CWplt(≤1ppm)SIPA</t>
  </si>
  <si>
    <t>PRT  REL</t>
  </si>
  <si>
    <t>IMPS01 CYT 6.8 180 CAV 95294 PC PER HR</t>
  </si>
  <si>
    <t>INTRA VIS Preform Sorting Machine</t>
  </si>
  <si>
    <t>PET Blue Preform For Grinding</t>
  </si>
  <si>
    <t>IMPS01 CYT 6.8 180 CAV 95294 PC PER HR</t>
  </si>
  <si>
    <t>INTRA VIS Preform Sorting Machine</t>
  </si>
  <si>
    <t>3100007989</t>
  </si>
  <si>
    <t>13.5BC1RD-CL-S</t>
  </si>
  <si>
    <t>13.5 BC38mm 3 Rnd Clear W steel c.</t>
  </si>
  <si>
    <t>PRT  REL</t>
  </si>
  <si>
    <t>IMP12 CYCT 12 96 CAVITY 28800 PC PER HR</t>
  </si>
  <si>
    <t>INTRA VIS Preform Sorting Machine</t>
  </si>
  <si>
    <t>PET Clear Preform For Grinding</t>
  </si>
  <si>
    <t>PRT  REL</t>
  </si>
  <si>
    <t>IMP12 CYCT 12 96 CAVITY 28800 PC PER HR</t>
  </si>
  <si>
    <t>INTRA VIS Preform Sorting Machine</t>
  </si>
  <si>
    <t>3100007990</t>
  </si>
  <si>
    <t>51.0 BC 38mm 3 Rnd Clear steel c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</si>
  <si>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</si>
  <si>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</si>
  <si>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</si>
  <si>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</si>
  <si>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</si>
  <si>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</si>
  <si>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</si>
  <si>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3100007991</t>
  </si>
  <si>
    <t>52.0 BC38mm 3 Rnd Clear J/C(P Plt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</si>
  <si>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</si>
  <si>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</si>
  <si>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</si>
  <si>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</si>
  <si>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</si>
  <si>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</si>
  <si>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</si>
  <si>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3100007992</t>
  </si>
  <si>
    <t>30.5PCO1881 ICI GreenJ/C(PP JOM HDG-SIPA</t>
  </si>
  <si>
    <t>PRT  REL</t>
  </si>
  <si>
    <t>IMPS06 CYCT 15 CAV 180  PCS PER HR 43200</t>
  </si>
  <si>
    <t>IMD VISTA Sorting Machine</t>
  </si>
  <si>
    <t>3100007993</t>
  </si>
  <si>
    <t>26.6TO2RD-B2-B</t>
  </si>
  <si>
    <t>26.6TO29/25Rnd Nova Blue - (JADE)</t>
  </si>
  <si>
    <t>PRT  REL</t>
  </si>
  <si>
    <t>IMP12 CYCT 15.6 96 CAVITY 22153 PC</t>
  </si>
  <si>
    <t>INTRA VIS Preform Sorting Machine</t>
  </si>
  <si>
    <t>PET Blue Preform For Grinding</t>
  </si>
  <si>
    <t>PRT  REL</t>
  </si>
  <si>
    <t>IMP12 CYCT 15.6 96 CAVITY 22153 PC</t>
  </si>
  <si>
    <t>INTRA VIS Preform Sorting Machine</t>
  </si>
  <si>
    <t>Plain Self Adhes W105XH165mm–BOPP 1000/R</t>
  </si>
  <si>
    <t>PRT  REL</t>
  </si>
  <si>
    <t>IMP12 CYCT 15.6 96 CAVITY 22153 PC</t>
  </si>
  <si>
    <t>INTRA VIS Preform Sorting Machine</t>
  </si>
  <si>
    <t>Transparent Tape roll 2'' wide 45mic</t>
  </si>
  <si>
    <t>PRT  REL</t>
  </si>
  <si>
    <t>IMP12 CYCT 15.6 96 CAVITY 22153 PC</t>
  </si>
  <si>
    <t>INTRA VIS Preform Sorting Machine</t>
  </si>
  <si>
    <t>Nylon Cable Tie – CV-200B-Black(100 pcs)</t>
  </si>
  <si>
    <t>PRT  REL</t>
  </si>
  <si>
    <t>IMP12 CYCT 15.6 96 CAVITY 22153 PC</t>
  </si>
  <si>
    <t>INTRA VIS Preform Sorting Machine</t>
  </si>
  <si>
    <t>3100007994</t>
  </si>
  <si>
    <t>30.5 PCO 1881 Rnd ICI Green J/C(WP-SIPA</t>
  </si>
  <si>
    <t>PRT  REL</t>
  </si>
  <si>
    <t>IMPS06 CYCT 15 CAV 180  PCS PER HR 43200</t>
  </si>
  <si>
    <t>INTRA VIS Preform Sorting Machine</t>
  </si>
  <si>
    <t>3100007995</t>
  </si>
  <si>
    <t>13.5 TO29/25Rnd Nova Blue J/C(P pltYISHN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</si>
  <si>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</si>
  <si>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</si>
  <si>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</si>
  <si>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</si>
  <si>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</si>
  <si>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</si>
  <si>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</si>
  <si>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Plain Self Adhes W105XH165mm–BOPP 1000/R</t>
  </si>
  <si>
    <t>PRT  REL</t>
  </si>
  <si>
    <t>IM24 CYCT 11 96 CAVITY 31418 PC PER HR</t>
  </si>
  <si>
    <t>INTRA VIS Preform Sorting Machine</t>
  </si>
  <si>
    <t>Transparent Tape roll 2'' wide 45mic</t>
  </si>
  <si>
    <t>PRT  REL</t>
  </si>
  <si>
    <t>IM24 CYCT 11 96 CAVITY 31418 PC PER HR</t>
  </si>
  <si>
    <t>INTRA VIS Preform Sorting Machine</t>
  </si>
  <si>
    <t>Nylon Cable Tie – CV-200B-Black(100 pcs)</t>
  </si>
  <si>
    <t>PRT  REL</t>
  </si>
  <si>
    <t>IM24 CYCT 11 96 CAVITY 31418 PC PER HR</t>
  </si>
  <si>
    <t>INTRA VIS Preform Sorting Machine</t>
  </si>
  <si>
    <t>PET Green strapping ROL 2500m-12.5x0.6mm</t>
  </si>
  <si>
    <t>PRT  REL</t>
  </si>
  <si>
    <t>IM24 CYCT 11 96 CAVITY 31418 PC PER HR</t>
  </si>
  <si>
    <t>INTRA VIS Preform Sorting Machine</t>
  </si>
  <si>
    <t>3100007996</t>
  </si>
  <si>
    <t>45.0 PCO 1881Rd Clear J/C(P Plt - SIPA</t>
  </si>
  <si>
    <t>PRT  REL</t>
  </si>
  <si>
    <t>IMPS07 CYT 17.3 144 CAV 29965 PC PER HR</t>
  </si>
  <si>
    <t>INTRA VIS Preform Sorting Machine</t>
  </si>
  <si>
    <t>3100007997</t>
  </si>
  <si>
    <t>Plain Self Adhes W105XH165mm–BOPP 1000/R</t>
  </si>
  <si>
    <t>PRT  REL</t>
  </si>
  <si>
    <t>RW01 IMD VISTA Sorting Machine</t>
  </si>
  <si>
    <t>IMD VISTA Sorting Machine</t>
  </si>
  <si>
    <t>J/C Top Cover (L121XW102XH15)mm- 735gsm</t>
  </si>
  <si>
    <t>PRT  REL</t>
  </si>
  <si>
    <t>RW01 IMD VISTA Sorting Machine</t>
  </si>
  <si>
    <t>IMD VISTA Sorting Machine</t>
  </si>
  <si>
    <t>J/C 7Ply(L1200xW1000xH1000)mm-1300gsm-AA</t>
  </si>
  <si>
    <t>PRT  REL</t>
  </si>
  <si>
    <t>RW01 IMD VISTA Sorting Machine</t>
  </si>
  <si>
    <t>IMD VISTA Sorting Machine</t>
  </si>
  <si>
    <t>METAL CLIP SIZE:- 5 / 8" ,  700gm/BOX</t>
  </si>
  <si>
    <t>PRT  REL</t>
  </si>
  <si>
    <t>RW01 IMD VISTA Sorting Machine</t>
  </si>
  <si>
    <t>IMD VISTA Sorting Machine</t>
  </si>
  <si>
    <t>J/C Bottom Sheet(L1170XW970)mm - 347 gsm</t>
  </si>
  <si>
    <t>PRT  REL</t>
  </si>
  <si>
    <t>RW01 IMD VISTA Sorting Machine</t>
  </si>
  <si>
    <t>IMD VISTA Sorting Machine</t>
  </si>
  <si>
    <t>Transparent Tape roll 2'' wide 45mic</t>
  </si>
  <si>
    <t>PRT  REL</t>
  </si>
  <si>
    <t>RW01 IMD VISTA Sorting Machine</t>
  </si>
  <si>
    <t>IMD VISTA Sorting Machine</t>
  </si>
  <si>
    <t>PET Green strapping ROL 2500m-12.5x0.6mm</t>
  </si>
  <si>
    <t>PRT  REL</t>
  </si>
  <si>
    <t>RW01 IMD VISTA Sorting Machine</t>
  </si>
  <si>
    <t>IMD VISTA Sorting Machine</t>
  </si>
  <si>
    <t>J/C Tubes (ID-50 X T-7 X L-975) mm</t>
  </si>
  <si>
    <t>PRT  REL</t>
  </si>
  <si>
    <t>RW01 IMD VISTA Sorting Machine</t>
  </si>
  <si>
    <t>IMD VISTA Sorting Machine</t>
  </si>
  <si>
    <t>P.E.BAG CLEAR-L265XW130+50cm -335g/30mic</t>
  </si>
  <si>
    <t>PRT  REL</t>
  </si>
  <si>
    <t>RW01 IMD VISTA Sorting Machine</t>
  </si>
  <si>
    <t>IMD VISTA Sorting Machine</t>
  </si>
  <si>
    <t>PREFORM SCRAP</t>
  </si>
  <si>
    <t>PRT  REL</t>
  </si>
  <si>
    <t>RW01 IMD VISTA Sorting Machine</t>
  </si>
  <si>
    <t>IMD VISTA Sorting Machine</t>
  </si>
  <si>
    <t>Nylon Cable Tie – CV-200B-Black(100 pcs)</t>
  </si>
  <si>
    <t>PRT  REL</t>
  </si>
  <si>
    <t>RW01 IMD VISTA Sorting Machine</t>
  </si>
  <si>
    <t>IMD VISTA Sorting Machine</t>
  </si>
  <si>
    <t>Returned from Customer JUMBO CTN</t>
  </si>
  <si>
    <t>PRT  REL</t>
  </si>
  <si>
    <t>RW01 IMD VISTA Sorting Machine</t>
  </si>
  <si>
    <t>IMD VISTA Sorting Machine</t>
  </si>
  <si>
    <t>Returned from Customer Tubes for Boxes</t>
  </si>
  <si>
    <t>PRT  REL</t>
  </si>
  <si>
    <t>RW01 IMD VISTA Sorting Machine</t>
  </si>
  <si>
    <t>IMD VISTA Sorting Machine</t>
  </si>
  <si>
    <t>P.E Bags (160x130)x50cm Th 40mic- Jomih</t>
  </si>
  <si>
    <t>PRT  REL</t>
  </si>
  <si>
    <t>RW01 IMD VISTA Sorting Machine</t>
  </si>
  <si>
    <t>IMD VISTA Sorting Machine</t>
  </si>
  <si>
    <t>PET LUMPS</t>
  </si>
  <si>
    <t>PRT  REL</t>
  </si>
  <si>
    <t>RW01 IMD VISTA Sorting Machine</t>
  </si>
  <si>
    <t>IMD VISTA Sorting Machine</t>
  </si>
  <si>
    <t>PET Clear Preform For Grinding</t>
  </si>
  <si>
    <t>PRT  REL</t>
  </si>
  <si>
    <t>RW01 IMD VISTA Sorting Machine</t>
  </si>
  <si>
    <t>IMD VISTA Sorting Machine</t>
  </si>
  <si>
    <t>Oil Contaminated PET Preform</t>
  </si>
  <si>
    <t>PRT  REL</t>
  </si>
  <si>
    <t>RW01 IMD VISTA Sorting Machine</t>
  </si>
  <si>
    <t>IMD VISTA Sorting Machine</t>
  </si>
  <si>
    <t>102100332</t>
  </si>
  <si>
    <t>PET Additive Triple A-3R+CC1057418Z0</t>
  </si>
  <si>
    <t>PRT  REL</t>
  </si>
  <si>
    <t>RW01 IMD VISTA Sorting Machine</t>
  </si>
  <si>
    <t>IMD VISTA Sorting Machine</t>
  </si>
  <si>
    <t>104010066</t>
  </si>
  <si>
    <t>Clariant HiFRMR(AA)Reducer-FWA0340121-LF</t>
  </si>
  <si>
    <t>PRT  REL</t>
  </si>
  <si>
    <t>RW01 IMD VISTA Sorting Machine</t>
  </si>
  <si>
    <t>IMD VISTA Sorting Machine</t>
  </si>
  <si>
    <t>Retainable J/C Bottom Sheet</t>
  </si>
  <si>
    <t>PRT  REL</t>
  </si>
  <si>
    <t>RW01 IMD VISTA Sorting Machine</t>
  </si>
  <si>
    <t>IMD VISTA Sorting Machine</t>
  </si>
  <si>
    <t>Returnable top jumbo cover carton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</si>
  <si>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</si>
  <si>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</si>
  <si>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</si>
  <si>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</si>
  <si>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</si>
  <si>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</si>
  <si>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</si>
  <si>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Polyethylene Liners Scrap</t>
  </si>
  <si>
    <t>PRT  REL</t>
  </si>
  <si>
    <t>RW01 IMD VISTA Sorting Machine</t>
  </si>
  <si>
    <t>IMD VISTA Sorting Machine</t>
  </si>
  <si>
    <t>EMPTY CARTONS</t>
  </si>
  <si>
    <t>PRT  REL</t>
  </si>
  <si>
    <t>RW01 IMD VISTA Sorting Machine</t>
  </si>
  <si>
    <t>IMD VISTA Sorting Machine</t>
  </si>
  <si>
    <t>EMPTY JUMBO BAGS</t>
  </si>
  <si>
    <t>PRT  REL</t>
  </si>
  <si>
    <t>RW01 IMD VISTA Sorting Machine</t>
  </si>
  <si>
    <t>IMD VISTA Sorting Machine</t>
  </si>
  <si>
    <t>10110669</t>
  </si>
  <si>
    <t>Polyethylene Terephthalate PET BC211</t>
  </si>
  <si>
    <t>PRT  REL</t>
  </si>
  <si>
    <t>RW01 IMD VISTA Sorting Machine</t>
  </si>
  <si>
    <t>IMD VISTA Sorting Machine</t>
  </si>
  <si>
    <t>JADE PET Water Grade 302L</t>
  </si>
  <si>
    <t>PRT  REL</t>
  </si>
  <si>
    <t>RW01 IMD VISTA Sorting Machine</t>
  </si>
  <si>
    <t>IMD VISTA Sorting Machine</t>
  </si>
  <si>
    <t>102666</t>
  </si>
  <si>
    <t>RELIANCE PET RESIN WG - G5761</t>
  </si>
  <si>
    <t>PRT  REL</t>
  </si>
  <si>
    <t>RW01 IMD VISTA Sorting Machine</t>
  </si>
  <si>
    <t>IMD VISTA Sorting Machine</t>
  </si>
  <si>
    <t>101100725</t>
  </si>
  <si>
    <t>INDORAMA PET Water Grade - RAMAPET N1</t>
  </si>
  <si>
    <t>PRT  REL</t>
  </si>
  <si>
    <t>RW01 IMD VISTA Sorting Machine</t>
  </si>
  <si>
    <t>IMD VISTA Sorting Machine</t>
  </si>
  <si>
    <t>10110661</t>
  </si>
  <si>
    <t>Octal PET Water Grade-WG02</t>
  </si>
  <si>
    <t>PRT  REL</t>
  </si>
  <si>
    <t>RW01 IMD VISTA Sorting Machine</t>
  </si>
  <si>
    <t>IMD VISTA Sorting Machine</t>
  </si>
  <si>
    <t>101100742</t>
  </si>
  <si>
    <t>Hainan PET Water Grade -YS-WO1L</t>
  </si>
  <si>
    <t>PRT  REL</t>
  </si>
  <si>
    <t>RW01 IMD VISTA Sorting Machine</t>
  </si>
  <si>
    <t>IMD VISTA Sorting Machine</t>
  </si>
  <si>
    <t>101100773</t>
  </si>
  <si>
    <t>China Resource PET WTR CR8816L (IV 0.76)</t>
  </si>
  <si>
    <t>PRT  REL</t>
  </si>
  <si>
    <t>RW01 IMD VISTA Sorting Machine</t>
  </si>
  <si>
    <t>IMD VISTA Sorting Machine</t>
  </si>
  <si>
    <t>26.6 TO 29/25 Rnd Clear J/C(P Plt</t>
  </si>
  <si>
    <t>RW01 IMD VISTA Sorting Machine</t>
  </si>
  <si>
    <t>IMD VISTA Sorting Machine</t>
  </si>
  <si>
    <t>3100007998</t>
  </si>
  <si>
    <t>26.6 TO 29/25 Rnd Clear J/C(P Plt</t>
  </si>
  <si>
    <t>PRT  REL</t>
  </si>
  <si>
    <t>IMP12 CYCT 15.6 96 CAVITY 22153 PC</t>
  </si>
  <si>
    <t>IMD VISTA Sorting Machine</t>
  </si>
  <si>
    <t>3100007999</t>
  </si>
  <si>
    <t>14.0 PCO 1881 Rnd Clear J/C(W Plt</t>
  </si>
  <si>
    <t>PRT  REL</t>
  </si>
  <si>
    <t>IM24 CYCT 11 96 CAVITY 31418 PC PER HR</t>
  </si>
  <si>
    <t>INTRA VIS Preform Sorting Machine</t>
  </si>
  <si>
    <t>3100008000</t>
  </si>
  <si>
    <t>12.5 29/25 Rnd Clear J/C(W plt-SIPA</t>
  </si>
  <si>
    <t>PRT  REL</t>
  </si>
  <si>
    <t>IMPS05 CYT 7.5 180 CAV 86400 PC PER HR</t>
  </si>
  <si>
    <t>IMD VISTA Sorting Machine</t>
  </si>
  <si>
    <t>3100008001</t>
  </si>
  <si>
    <t>12.5 TO29/25Rd L.Blue J/C(WP-SIPA</t>
  </si>
  <si>
    <t>PRT  REL</t>
  </si>
  <si>
    <t>IMPS05 CYT 7.5 180 CAV 86400 PC PER HR</t>
  </si>
  <si>
    <t>IMD VISTA Sorting Machine</t>
  </si>
  <si>
    <t>3100008002</t>
  </si>
  <si>
    <t>30.5PCO1881 ICI GreenJ/C(PP JOM HDG-SIPA</t>
  </si>
  <si>
    <t>PRT  REL</t>
  </si>
  <si>
    <t>IMPS06 CYCT 15 CAV 180  PCS PER HR 43200</t>
  </si>
  <si>
    <t>INTRA VIS Preform Sorting Machine</t>
  </si>
  <si>
    <t>3100008003</t>
  </si>
  <si>
    <t>7.45TO29/25Rnd'ALM'BLUE J/C(PP-SIPA)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</si>
  <si>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</si>
  <si>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</si>
  <si>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</si>
  <si>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</si>
  <si>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</si>
  <si>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</si>
  <si>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</si>
  <si>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3100008004</t>
  </si>
  <si>
    <t>13.5 BC38mm 3 Rnd Clear OJ/C(p plt</t>
  </si>
  <si>
    <t>PRT  REL</t>
  </si>
  <si>
    <t>IMP02 CYCT 11 96 CAVITY 31418 PC PER HR</t>
  </si>
  <si>
    <t>INTRA VIS Preform Sorting Machine</t>
  </si>
  <si>
    <t>3100008005</t>
  </si>
  <si>
    <t>9.70 29/25 Rnd Clear J/C(P Plt)-SIPA</t>
  </si>
  <si>
    <t>PRT  REL</t>
  </si>
  <si>
    <t>IMPS01 CYT 6.8 180 CAV 95294 PC PER HR</t>
  </si>
  <si>
    <t>IMD VISTA Sorting Machine</t>
  </si>
  <si>
    <t>3100008006</t>
  </si>
  <si>
    <t>29-1.32-2TP-CB-A</t>
  </si>
  <si>
    <t>29 /25 1.32g CAP T PROOF  CONGO BLUE -WP</t>
  </si>
  <si>
    <t>PRT  REL</t>
  </si>
  <si>
    <t>ENGEL1</t>
  </si>
  <si>
    <t>ENGEL1 CYCT 3.7 CAVITY 72 70054 PCS</t>
  </si>
  <si>
    <t>ENGEL 1340/280T</t>
  </si>
  <si>
    <t>3100008007</t>
  </si>
  <si>
    <t>26.6 TO 29/25 Rnd Clear J/C(P Plt</t>
  </si>
  <si>
    <t>PRT  REL</t>
  </si>
  <si>
    <t>IMP12 CYCT 15.6 96 CAVITY 22153 PC</t>
  </si>
  <si>
    <t>IMD VISTA Sorting Machine</t>
  </si>
  <si>
    <t>3100008008</t>
  </si>
  <si>
    <t>13.5TO2RD-B1-B</t>
  </si>
  <si>
    <t>13.5 TO29/25Rnd Nova Blue-PET"ST-CRC"</t>
  </si>
  <si>
    <t>PRT  REL</t>
  </si>
  <si>
    <t>IM24 CYCT 11 96 CAVITY 31418 PC PER HR</t>
  </si>
  <si>
    <t>IMD VISTA Sorting Machine</t>
  </si>
  <si>
    <t>Plain Self Adhes W105XH165mm–BOPP 1000/R</t>
  </si>
  <si>
    <t>PRT  REL</t>
  </si>
  <si>
    <t>IM24 CYCT 11 96 CAVITY 31418 PC PER HR</t>
  </si>
  <si>
    <t>IMD VISTA Sorting Machine</t>
  </si>
  <si>
    <t>Transparent Tape roll 2'' wide 45mic</t>
  </si>
  <si>
    <t>PRT  REL</t>
  </si>
  <si>
    <t>IM24 CYCT 11 96 CAVITY 31418 PC PER HR</t>
  </si>
  <si>
    <t>IMD VISTA Sorting Machine</t>
  </si>
  <si>
    <t>Nylon Cable Tie – CV-200B-Black(100 pcs)</t>
  </si>
  <si>
    <t>PRT  REL</t>
  </si>
  <si>
    <t>IM24 CYCT 11 96 CAVITY 31418 PC PER HR</t>
  </si>
  <si>
    <t>IMD VISTA Sorting Machine</t>
  </si>
  <si>
    <t>PET Green strapping ROL 2500m-12.5x0.6mm</t>
  </si>
  <si>
    <t>PRT  REL</t>
  </si>
  <si>
    <t>IM24 CYCT 11 96 CAVITY 31418 PC PER HR</t>
  </si>
  <si>
    <t>IMD VISTA Sorting Machine</t>
  </si>
  <si>
    <t>3100008009</t>
  </si>
  <si>
    <t>12.5 29/25 Rnd Clear J/C(PP</t>
  </si>
  <si>
    <t>PRT  REL</t>
  </si>
  <si>
    <t>IMPS05 CYT 7.5 180 CAV 86400 PC PER HR</t>
  </si>
  <si>
    <t>INTRA VIS Preform Sorting Machine</t>
  </si>
  <si>
    <t>PET Clear Preform For Grinding</t>
  </si>
  <si>
    <t>PRT  REL</t>
  </si>
  <si>
    <t>IMPS05 CYT 7.5 180 CAV 86400 PC PER HR</t>
  </si>
  <si>
    <t>INTRA VIS Preform Sorting Machine</t>
  </si>
  <si>
    <t>3100008010</t>
  </si>
  <si>
    <t>21.0 PCO 1881 Rnd CLR MenaBev Spec SIPA</t>
  </si>
  <si>
    <t>PRT  REL</t>
  </si>
  <si>
    <t>IMPS06 CYT 11.5 180 CAV 56347 PC PER HR</t>
  </si>
  <si>
    <t>IMD VISTA Sorting Machine</t>
  </si>
  <si>
    <t>3100008011</t>
  </si>
  <si>
    <t>7.45TO LW 29/25 L.Blue J/C(WP-SIPA</t>
  </si>
  <si>
    <t>PRT  REL</t>
  </si>
  <si>
    <t>IMPS03 CYT 6.5 180 CAV 99692 PC PER HR</t>
  </si>
  <si>
    <t>INTRA VIS Preform Sorting Machine</t>
  </si>
  <si>
    <t>3100008012</t>
  </si>
  <si>
    <t>9.70 29/25 Rnd Clear J/C(P Plt)-SIPA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</si>
  <si>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</si>
  <si>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</si>
  <si>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</si>
  <si>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</si>
  <si>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</si>
  <si>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</si>
  <si>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</si>
  <si>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3100008013</t>
  </si>
  <si>
    <t>13.5 BC38mm 3 Rnd Clear OJ/C(p plt</t>
  </si>
  <si>
    <t>PRT  REL</t>
  </si>
  <si>
    <t>IMP02 CYCT 11 96 CAVITY 31418 PC PER HR</t>
  </si>
  <si>
    <t>INTRA VIS Preform Sorting Machine</t>
  </si>
  <si>
    <t>3100008014</t>
  </si>
  <si>
    <t>9.70 29/25 Rnd Clear J/C(P Plt)-SIPA</t>
  </si>
  <si>
    <t>PRT  REL</t>
  </si>
  <si>
    <t>IMPS01 CYT 6.8 180 CAV 95294 PC PER HR</t>
  </si>
  <si>
    <t>IMD VISTA Sorting Machine</t>
  </si>
  <si>
    <t>3100008015</t>
  </si>
  <si>
    <t>12.5 29/25 Rnd Clear J/C(PP</t>
  </si>
  <si>
    <t>PRT  REL</t>
  </si>
  <si>
    <t>IMPS05 CYT 7.5 180 CAV 86400 PC PER HR</t>
  </si>
  <si>
    <t>IMD VISTA Sorting Machine</t>
  </si>
  <si>
    <t>3100008016</t>
  </si>
  <si>
    <t>8.30TO LW 29/25 Clear J/C(WP)-SIPA</t>
  </si>
  <si>
    <t>PRT  REL</t>
  </si>
  <si>
    <t>IMPS04 CYT 6.50 180 CAV 99694 pcs</t>
  </si>
  <si>
    <t>INTRA VIS Preform Sorting Machine</t>
  </si>
  <si>
    <t>PET Clear Preform For Grinding</t>
  </si>
  <si>
    <t>PRT  REL</t>
  </si>
  <si>
    <t>IMPS04 CYT 6.50 180 CAV 99694 pcs</t>
  </si>
  <si>
    <t>INTRA VIS Preform Sorting Machine</t>
  </si>
  <si>
    <t>3100008017</t>
  </si>
  <si>
    <t>7.45TO29/25Rnd'ALM'BLUE J/C(PP-SIPA)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</si>
  <si>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</si>
  <si>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</si>
  <si>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</si>
  <si>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</si>
  <si>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</si>
  <si>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</si>
  <si>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</si>
  <si>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3100008018</t>
  </si>
  <si>
    <t>13.5 TO29/25Rnd Nova Blue J/C(P pltYISHN</t>
  </si>
  <si>
    <t>PRT  REL</t>
  </si>
  <si>
    <t>IM24 CYCT 11 96 CAVITY 31418 PC PER HR</t>
  </si>
  <si>
    <t>INTRA VIS Preform Sorting Machine</t>
  </si>
  <si>
    <t>3100008019</t>
  </si>
  <si>
    <t>7.45TO LW 29/25 L.Blue(≤2ppm)J/C(WP-SIPA</t>
  </si>
  <si>
    <t>PRT  REL</t>
  </si>
  <si>
    <t>IMPS03 CYT 6.5 180 CAV 99692 PC PER HR</t>
  </si>
  <si>
    <t>INTRA VIS Preform Sorting Machine</t>
  </si>
  <si>
    <t>3100008020</t>
  </si>
  <si>
    <t>7.45TO LW 29/25 L.Blue J/C(WP-SIPA</t>
  </si>
  <si>
    <t>PRT  REL</t>
  </si>
  <si>
    <t>IMPS03 CYT 6.5 180 CAV 99692 PC PER HR</t>
  </si>
  <si>
    <t>INTRA VIS Preform Sorting Machine</t>
  </si>
  <si>
    <t>3100008021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</si>
  <si>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</si>
  <si>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</si>
  <si>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</si>
  <si>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</si>
  <si>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</si>
  <si>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</si>
  <si>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</si>
  <si>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</si>
  <si>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45.0PC2RD-CLS-V</t>
  </si>
  <si>
    <t>45.0 PCO 1881 Rnd Clear Mena Bev</t>
  </si>
  <si>
    <t>PRT  REL</t>
  </si>
  <si>
    <t>RW01 IMD VISTA Sorting Machine</t>
  </si>
  <si>
    <t>IMD VISTA Sorting Machine</t>
  </si>
  <si>
    <t>3100008022</t>
  </si>
  <si>
    <t>45.0 PCO 1881 Rnd Clear Mena Bev</t>
  </si>
  <si>
    <t>DLT  PRT  REL</t>
  </si>
  <si>
    <t>IMPS07 CYT 17.3 144 CAV 29965 PC PER HR</t>
  </si>
  <si>
    <t>INTRA VIS Preform Sorting Machine</t>
  </si>
  <si>
    <t>45.0PC2RD-IGS-B</t>
  </si>
  <si>
    <t>45.0 PCO 1881 ICI Green J/C(P Plt - SIPA</t>
  </si>
  <si>
    <t>IMPS07 CYT 17.3 144 CAV 29965 PC PER HR</t>
  </si>
  <si>
    <t>INTRA VIS Preform Sorting Machine</t>
  </si>
  <si>
    <t>3100008023</t>
  </si>
  <si>
    <t>52.0 BC38mm 3 Rnd Clear J/C(P Plt</t>
  </si>
  <si>
    <t>PRT  REL</t>
  </si>
  <si>
    <t>IMP01 CYCT 18.5 96CAVITY 18682 PC PER HR</t>
  </si>
  <si>
    <t>INTRA VIS Preform Sorting Machine</t>
  </si>
  <si>
    <t>3100008024</t>
  </si>
  <si>
    <t>26.6TO29/25Rnd Nova Blue - (JADE)</t>
  </si>
  <si>
    <t>PRT  REL</t>
  </si>
  <si>
    <t>IMP12 CYCT 15.6 96 CAVITY 22153 PC</t>
  </si>
  <si>
    <t>IMD VISTA Sorting Machine</t>
  </si>
  <si>
    <t>3100008025</t>
  </si>
  <si>
    <t>26.6TO29/25Rnd'ALM'BLUE J/C(PP-HDG)</t>
  </si>
  <si>
    <t>PRT  REL</t>
  </si>
  <si>
    <t>IMP12 CYCT 15.6 96 CAVITY 22153 PC</t>
  </si>
  <si>
    <t>IMD VISTA Sorting Machine</t>
  </si>
  <si>
    <t>3100008026</t>
  </si>
  <si>
    <t>45.0 PCO 1881 Rnd Clear Mena Bev</t>
  </si>
  <si>
    <t>PRT  REL</t>
  </si>
  <si>
    <t>IMPS07 CYT 17.3 144 CAV 29965 PC PER HR</t>
  </si>
  <si>
    <t>IMD VISTA Sorting Machine</t>
  </si>
  <si>
    <t>PET Clear Preform For Grinding</t>
  </si>
  <si>
    <t>PRT  REL</t>
  </si>
  <si>
    <t>IMPS07 CYT 17.3 144 CAV 29965 PC PER HR</t>
  </si>
  <si>
    <t>IMD VISTA Sorting Machine</t>
  </si>
  <si>
    <t>3100008027</t>
  </si>
  <si>
    <t>8.30TO LW 29/25Rd L.Blue J/C(W plt)-SIPA</t>
  </si>
  <si>
    <t>PRT  REL</t>
  </si>
  <si>
    <t>IMPS04 CYT 6.50 180 CAV 99694 pcs</t>
  </si>
  <si>
    <t>IMD VISTA Sorting Machine</t>
  </si>
  <si>
    <t>3100008028</t>
  </si>
  <si>
    <t>12.5 29/25 Rnd Clear J/C(PP</t>
  </si>
  <si>
    <t>PRT  REL</t>
  </si>
  <si>
    <t>IMPS05 CYT 7.5 180 CAV 86400 PC PER HR</t>
  </si>
  <si>
    <t>IMD VISTA Sorting Machine</t>
  </si>
  <si>
    <t>3100008029</t>
  </si>
  <si>
    <t>9.70 29/25 Rnd Clear J/C(P Plt)-SIPA</t>
  </si>
  <si>
    <t>PRT  REL</t>
  </si>
  <si>
    <t>IMPS01 CYT 6.8 180 CAV 95294 PC PER HR</t>
  </si>
  <si>
    <t>INTRA VIS Preform Sorting Machine</t>
  </si>
  <si>
    <t>3100008030</t>
  </si>
  <si>
    <t>7.45TO LW 29/25 L.Blue J/C(WP-SIPA</t>
  </si>
  <si>
    <t>PRT  REL</t>
  </si>
  <si>
    <t>IMPS03 CYT 6.5 180 CAV 99692 PC PER HR</t>
  </si>
  <si>
    <t>IMD VISTA Sorting Machine</t>
  </si>
  <si>
    <t>3100008031</t>
  </si>
  <si>
    <t>45.0 PCO 1881 ICI Green J/C(P Plt - SIPA</t>
  </si>
  <si>
    <t>PRT  REL</t>
  </si>
  <si>
    <t>IMPS07 CYT 17.3 144 CAV 29965 PC PER HR</t>
  </si>
  <si>
    <t>IMD VISTA Sorting Machine</t>
  </si>
  <si>
    <t>3100008032</t>
  </si>
  <si>
    <t>12.5 29/25 Rnd Clear J/C(PP</t>
  </si>
  <si>
    <t>PRT  REL</t>
  </si>
  <si>
    <t>IMPS05 CYT 7.5 180 CAV 86400 PC PER HR</t>
  </si>
  <si>
    <t>INTRA VIS Preform Sorting Machine</t>
  </si>
  <si>
    <t>3100008033</t>
  </si>
  <si>
    <t>36.0 BC38mm 3 Rnd Clear OJ/C(W plt</t>
  </si>
  <si>
    <t>PRT  REL</t>
  </si>
  <si>
    <t>IMP12 CYT 16.7 96 CAV 20694 PC PER HR</t>
  </si>
  <si>
    <t>INTRA VIS Preform Sorting Machine</t>
  </si>
  <si>
    <t>PET Clear Preform For Grinding</t>
  </si>
  <si>
    <t>PRT  REL</t>
  </si>
  <si>
    <t>IMP12 CYT 16.7 96 CAV 20694 PC PER HR</t>
  </si>
  <si>
    <t>INTRA VIS Preform Sorting Machine</t>
  </si>
  <si>
    <t>3100008034</t>
  </si>
  <si>
    <t>21.0 PCO 1881 Rnd CLR MenaBev Spec SIPA</t>
  </si>
  <si>
    <t>PRT  REL</t>
  </si>
  <si>
    <t>IMPS06 CYT 11.5 180 CAV 56347 PC PER HR</t>
  </si>
  <si>
    <t>INTRA VIS Preform Sorting Machine</t>
  </si>
  <si>
    <t>3100008035</t>
  </si>
  <si>
    <t>14.0 PCO 1881 Rnd Clear J/C(W Plt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</si>
  <si>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</si>
  <si>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</si>
  <si>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</si>
  <si>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</si>
  <si>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</si>
  <si>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</si>
  <si>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</si>
  <si>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3100008036</t>
  </si>
  <si>
    <t>52.0 BC38mm 3 Rnd Clear J/C(P Plt</t>
  </si>
  <si>
    <t>PRT  REL</t>
  </si>
  <si>
    <t>IMP01 CYCT 18.5 96CAVITY 18682 PC PER HR</t>
  </si>
  <si>
    <t>INTRA VIS Preform Sorting Machine</t>
  </si>
  <si>
    <t>3100008037</t>
  </si>
  <si>
    <t>45.0 PCO 1881 ICI Green J/C(P Plt - SIPA</t>
  </si>
  <si>
    <t>PRT  REL</t>
  </si>
  <si>
    <t>IMPS07 CYT 17.3 144 CAV 29965 PC PER HR</t>
  </si>
  <si>
    <t>INTRA VIS Preform Sorting Machine</t>
  </si>
  <si>
    <t>3100008038</t>
  </si>
  <si>
    <t>8.30TO LW 29/25Rd L.Blue J/C(W plt)-SIPA</t>
  </si>
  <si>
    <t>PRT  REL</t>
  </si>
  <si>
    <t>IMPS04 CYT 6.50 180 CAV 99694 pcs</t>
  </si>
  <si>
    <t>INTRA VIS Preform Sorting Machine</t>
  </si>
  <si>
    <t>Plain Self Adhes W105XH165mm–BOPP 1000/R</t>
  </si>
  <si>
    <t>PRT  REL</t>
  </si>
  <si>
    <t>IMPS04 CYT 6.50 180 CAV 99694 pcs</t>
  </si>
  <si>
    <t>INTRA VIS Preform Sorting Machine</t>
  </si>
  <si>
    <t>3100008039</t>
  </si>
  <si>
    <t>45.0 PCO 1881 ICI Green J/C(P Plt - SIPA</t>
  </si>
  <si>
    <t>PRT  REL</t>
  </si>
  <si>
    <t>IMPS07 CYT 17.3 144 CAV 29965 PC PER HR</t>
  </si>
  <si>
    <t>INTRA VIS Preform Sorting Machine</t>
  </si>
  <si>
    <t>3100008040</t>
  </si>
  <si>
    <t>14.0TO2RD-CL-A</t>
  </si>
  <si>
    <t>14.0 TO 29/25 Rnd Clear J/C(W plt)</t>
  </si>
  <si>
    <t>PRT  REL</t>
  </si>
  <si>
    <t>IM24 CYCT 11 96 CAVITY 31418 PC PER HR</t>
  </si>
  <si>
    <t>IMD VISTA Sorting Machine</t>
  </si>
  <si>
    <t>3100008041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</si>
  <si>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</si>
  <si>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</si>
  <si>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</si>
  <si>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</si>
  <si>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</si>
  <si>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</si>
  <si>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</si>
  <si>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</si>
  <si>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45.0PC2RD-IGS-V</t>
  </si>
  <si>
    <t>45.0 PCO 1881 Rnd ICI Green Mena Bev</t>
  </si>
  <si>
    <t>PRT  REL</t>
  </si>
  <si>
    <t>RW01 IMD VISTA Sorting Machine</t>
  </si>
  <si>
    <t>IMD VISTA Sorting Machine</t>
  </si>
  <si>
    <t>3100008042</t>
  </si>
  <si>
    <t>13.5 TO29/25Rnd Nova Blue J/C(P pltYISHN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</si>
  <si>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</si>
  <si>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</si>
  <si>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</si>
  <si>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</si>
  <si>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</si>
  <si>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</si>
  <si>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</si>
  <si>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3100008043</t>
  </si>
  <si>
    <t>26.6 TO 29/25 Rnd Clear J/C(P Plt</t>
  </si>
  <si>
    <t>PRT  REL</t>
  </si>
  <si>
    <t>IMP12 CYCT 15.6 96 CAVITY 22153 PC</t>
  </si>
  <si>
    <t>INTRA VIS Preform Sorting Machine</t>
  </si>
  <si>
    <t>3100008044</t>
  </si>
  <si>
    <t>9.70 29/25 Rnd Clear J/C(P Plt)-SIPA</t>
  </si>
  <si>
    <t>PRT  REL</t>
  </si>
  <si>
    <t>IMPS01 CYT 6.8 180 CAV 95294 PC PER HR</t>
  </si>
  <si>
    <t>INTRA VIS Preform Sorting Machine</t>
  </si>
  <si>
    <t>3100008045</t>
  </si>
  <si>
    <t>52.0 BC38mm 3 Rnd Clear J/C(P Plt</t>
  </si>
  <si>
    <t>PRT  REL</t>
  </si>
  <si>
    <t>IMP01 CYCT 18.5 96CAVITY 18682 PC PER HR</t>
  </si>
  <si>
    <t>INTRA VIS Preform Sorting Machine</t>
  </si>
  <si>
    <t>3100008046</t>
  </si>
  <si>
    <t>13.5TO2RD-LB-A</t>
  </si>
  <si>
    <t>13.5 TO29/25 Rnd L.Blue J/C(W Plt)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</si>
  <si>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</si>
  <si>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</si>
  <si>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</si>
  <si>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</si>
  <si>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</si>
  <si>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</si>
  <si>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</si>
  <si>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3100008047</t>
  </si>
  <si>
    <t>Plain Self Adhes W105XH165mm–BOPP 1000/R</t>
  </si>
  <si>
    <t>PRT  REL</t>
  </si>
  <si>
    <t>RW01 IMD VISTA Sorting Machine</t>
  </si>
  <si>
    <t>IMD VISTA Sorting Machine</t>
  </si>
  <si>
    <t>Transparent Tape roll 2'' wide 45mic</t>
  </si>
  <si>
    <t>DLT  PRT  REL</t>
  </si>
  <si>
    <t>RW01 IMD VISTA Sorting Machine</t>
  </si>
  <si>
    <t>IMD VISTA Sorting Machine</t>
  </si>
  <si>
    <t>PET Green strapping ROL 2500m-12.5x0.6mm</t>
  </si>
  <si>
    <t>DLT  PRT  REL</t>
  </si>
  <si>
    <t>RW01 IMD VISTA Sorting Machine</t>
  </si>
  <si>
    <t>IMD VISTA Sorting Machine</t>
  </si>
  <si>
    <t>J/C Tubes (ID-50 X T-7 X L-975) mm</t>
  </si>
  <si>
    <t>DLT  PRT  REL</t>
  </si>
  <si>
    <t>RW01 IMD VISTA Sorting Machine</t>
  </si>
  <si>
    <t>IMD VISTA Sorting Machine</t>
  </si>
  <si>
    <t>PET PREFORM COLOURED</t>
  </si>
  <si>
    <t>DLT  PRT  REL</t>
  </si>
  <si>
    <t>RW01 IMD VISTA Sorting Machine</t>
  </si>
  <si>
    <t>IMD VISTA Sorting Machine</t>
  </si>
  <si>
    <t>METAL CLIP SIZE:- 5 / 8" ,  700gm/BOX</t>
  </si>
  <si>
    <t>DLT  PRT  REL</t>
  </si>
  <si>
    <t>RW01 IMD VISTA Sorting Machine</t>
  </si>
  <si>
    <t>IMD VISTA Sorting Machine</t>
  </si>
  <si>
    <t>P.E.BAG CLEAR-L265XW130+50cm -335g/30mic</t>
  </si>
  <si>
    <t>DLT  PRT  REL</t>
  </si>
  <si>
    <t>RW01 IMD VISTA Sorting Machine</t>
  </si>
  <si>
    <t>IMD VISTA Sorting Machine</t>
  </si>
  <si>
    <t>J/C 7Ply(L1200xW1000xH1000)mm-1300gsm-AA</t>
  </si>
  <si>
    <t>DLT  PRT  REL</t>
  </si>
  <si>
    <t>RW01 IMD VISTA Sorting Machine</t>
  </si>
  <si>
    <t>IMD VISTA Sorting Machine</t>
  </si>
  <si>
    <t>J/C Bottom Sheet(L1170XW970)mm - 347 gsm</t>
  </si>
  <si>
    <t>DLT  PRT  REL</t>
  </si>
  <si>
    <t>RW01 IMD VISTA Sorting Machine</t>
  </si>
  <si>
    <t>IMD VISTA Sorting Machine</t>
  </si>
  <si>
    <t>J/C Top Cover (L121XW102XH15)mm- 735gsm</t>
  </si>
  <si>
    <t>DLT  PRT  REL</t>
  </si>
  <si>
    <t>RW01 IMD VISTA Sorting Machine</t>
  </si>
  <si>
    <t>IMD VISTA Sorting Machine</t>
  </si>
  <si>
    <t>Nylon Cable Tie – CV-200B-Black(100 pcs)</t>
  </si>
  <si>
    <t>DLT  PRT  REL</t>
  </si>
  <si>
    <t>RW01 IMD VISTA Sorting Machine</t>
  </si>
  <si>
    <t>IMD VISTA Sorting Machine</t>
  </si>
  <si>
    <t>EMPTY CARTONS</t>
  </si>
  <si>
    <t>DLT  PRT  REL</t>
  </si>
  <si>
    <t>RW01 IMD VISTA Sorting Machine</t>
  </si>
  <si>
    <t>IMD VISTA Sorting Machine</t>
  </si>
  <si>
    <t>Polyethylene Liners Scrap</t>
  </si>
  <si>
    <t>DLT  PRT  REL</t>
  </si>
  <si>
    <t>RW01 IMD VISTA Sorting Machine</t>
  </si>
  <si>
    <t>IMD VISTA Sorting Machine</t>
  </si>
  <si>
    <t>EMPTY JUMBO BAGS</t>
  </si>
  <si>
    <t>DLT  PRT  REL</t>
  </si>
  <si>
    <t>RW01 IMD VISTA Sorting Machine</t>
  </si>
  <si>
    <t>IMD VISTA Sorting Machine</t>
  </si>
  <si>
    <t>Returned from Customer JUMBO CTN</t>
  </si>
  <si>
    <t>DLT  PRT  REL</t>
  </si>
  <si>
    <t>RW01 IMD VISTA Sorting Machine</t>
  </si>
  <si>
    <t>IMD VISTA Sorting Machine</t>
  </si>
  <si>
    <t>Returned from Customer Tubes for Boxes</t>
  </si>
  <si>
    <t>DLT  PRT  REL</t>
  </si>
  <si>
    <t>RW01 IMD VISTA Sorting Machine</t>
  </si>
  <si>
    <t>IMD VISTA Sorting Machine</t>
  </si>
  <si>
    <t>PET LUMPS</t>
  </si>
  <si>
    <t>DLT  PRT  REL</t>
  </si>
  <si>
    <t>RW01 IMD VISTA Sorting Machine</t>
  </si>
  <si>
    <t>IMD VISTA Sorting Machine</t>
  </si>
  <si>
    <t>PET Green Preform For Grinding</t>
  </si>
  <si>
    <t>DLT  PRT  REL</t>
  </si>
  <si>
    <t>RW01 IMD VISTA Sorting Machine</t>
  </si>
  <si>
    <t>IMD VISTA Sorting Machine</t>
  </si>
  <si>
    <t>Oil Contaminated PET Preform</t>
  </si>
  <si>
    <t>DLT  PRT  REL</t>
  </si>
  <si>
    <t>RW01 IMD VISTA Sorting Machine</t>
  </si>
  <si>
    <t>IMD VISTA Sorting Machine</t>
  </si>
  <si>
    <t>Retainable J/C Bottom Sheet</t>
  </si>
  <si>
    <t>DLT  PRT  REL</t>
  </si>
  <si>
    <t>RW01 IMD VISTA Sorting Machine</t>
  </si>
  <si>
    <t>IMD VISTA Sorting Machine</t>
  </si>
  <si>
    <t>Returnable top jumbo cover carton</t>
  </si>
  <si>
    <t>DLT  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</si>
  <si>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</si>
  <si>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</si>
  <si>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</si>
  <si>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</si>
  <si>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</si>
  <si>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</si>
  <si>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Polyethylene Terephthalate PET BC212</t>
  </si>
  <si>
    <t>DLT  PRT  REL</t>
  </si>
  <si>
    <t>RW01 IMD VISTA Sorting Machine</t>
  </si>
  <si>
    <t>IMD VISTA Sorting Machine</t>
  </si>
  <si>
    <t>JADE PET CSD Grade 328</t>
  </si>
  <si>
    <t>DLT  PRT  REL</t>
  </si>
  <si>
    <t>RW01 IMD VISTA Sorting Machine</t>
  </si>
  <si>
    <t>IMD VISTA Sorting Machine</t>
  </si>
  <si>
    <t>RELIANCE PET RESIN CSD - G5841</t>
  </si>
  <si>
    <t>DLT  PRT  REL</t>
  </si>
  <si>
    <t>RW01 IMD VISTA Sorting Machine</t>
  </si>
  <si>
    <t>IMD VISTA Sorting Machine</t>
  </si>
  <si>
    <t>INDORAMA PET CSD Grade - RAMAPET S1</t>
  </si>
  <si>
    <t>DLT  PRT  REL</t>
  </si>
  <si>
    <t>RW01 IMD VISTA Sorting Machine</t>
  </si>
  <si>
    <t>IMD VISTA Sorting Machine</t>
  </si>
  <si>
    <t>China Resource PET CSD CR8828 (IV 0.85)</t>
  </si>
  <si>
    <t>DLT  PRT  REL</t>
  </si>
  <si>
    <t>RW01 IMD VISTA Sorting Machine</t>
  </si>
  <si>
    <t>IMD VISTA Sorting Machine</t>
  </si>
  <si>
    <t>Local SABIC PET BC212</t>
  </si>
  <si>
    <t>DLT  PRT  REL</t>
  </si>
  <si>
    <t>RW01 IMD VISTA Sorting Machine</t>
  </si>
  <si>
    <t>IMD VISTA Sorting Machine</t>
  </si>
  <si>
    <t>Hainan PET CSD Grade -YS-CO1</t>
  </si>
  <si>
    <t>DLT  PRT  REL</t>
  </si>
  <si>
    <t>RW01 IMD VISTA Sorting Machine</t>
  </si>
  <si>
    <t>IMD VISTA Sorting Machine</t>
  </si>
  <si>
    <t>Color Matrix ICI Green</t>
  </si>
  <si>
    <t>DLT  PRT  REL</t>
  </si>
  <si>
    <t>RW01 IMD VISTA Sorting Machine</t>
  </si>
  <si>
    <t>IMD VISTA Sorting Machine</t>
  </si>
  <si>
    <t>45.0 PCO 1881 Rnd ICI Green Mena Bev</t>
  </si>
  <si>
    <t>RW01 IMD VISTA Sorting Machine</t>
  </si>
  <si>
    <t>IMD VISTA Sorting Machine</t>
  </si>
  <si>
    <t>3100008048</t>
  </si>
  <si>
    <t>12.5TO2RD-DBS1-A</t>
  </si>
  <si>
    <t>12.5 29/25 Rd D.Blue(≤ 2ppm) J/C(WP-SIPA</t>
  </si>
  <si>
    <t>PRT  REL</t>
  </si>
  <si>
    <t>IMPS05 CYT 7.5 180 CAV 86400 PC PER HR</t>
  </si>
  <si>
    <t>IMD VISTA Sorting Machine</t>
  </si>
  <si>
    <t>Plain Self Adhes W105XH165mm–BOPP 1000/R</t>
  </si>
  <si>
    <t>PRT  REL</t>
  </si>
  <si>
    <t>IMPS05 CYT 7.5 180 CAV 86400 PC PER HR</t>
  </si>
  <si>
    <t>IMD VISTA Sorting Machine</t>
  </si>
  <si>
    <t>Transparent Tape roll 2'' wide 45mic</t>
  </si>
  <si>
    <t>PRT  REL</t>
  </si>
  <si>
    <t>IMPS05 CYT 7.5 180 CAV 86400 PC PER HR</t>
  </si>
  <si>
    <t>IMD VISTA Sorting Machine</t>
  </si>
  <si>
    <t>Nylon Cable Tie – CV-200B-Black(100 pcs)</t>
  </si>
  <si>
    <t>PRT  REL</t>
  </si>
  <si>
    <t>IMPS05 CYT 7.5 180 CAV 86400 PC PER HR</t>
  </si>
  <si>
    <t>IMD VISTA Sorting Machine</t>
  </si>
  <si>
    <t>PET Green strapping ROL 2500m-12.5x0.6mm</t>
  </si>
  <si>
    <t>PRT  REL</t>
  </si>
  <si>
    <t>IMPS05 CYT 7.5 180 CAV 86400 PC PER HR</t>
  </si>
  <si>
    <t>IMD VISTA Sorting Machine</t>
  </si>
  <si>
    <t>P.E Bags (160x130)x50cm Th 40mic- Jomih</t>
  </si>
  <si>
    <t>PRT  REL</t>
  </si>
  <si>
    <t>IMPS05 CYT 7.5 180 CAV 86400 PC PER HR</t>
  </si>
  <si>
    <t>IMD VISTA Sorting Machine</t>
  </si>
  <si>
    <t>J/C Top Cover (L121XW102XH15)mm- 735gsm</t>
  </si>
  <si>
    <t>PRT  REL</t>
  </si>
  <si>
    <t>IMPS05 CYT 7.5 180 CAV 86400 PC PER HR</t>
  </si>
  <si>
    <t>IMD VISTA Sorting Machine</t>
  </si>
  <si>
    <t>J/C 7Ply(L1200xW1000xH1000)mm-1300gsm-AA</t>
  </si>
  <si>
    <t>PRT  REL</t>
  </si>
  <si>
    <t>IMPS05 CYT 7.5 180 CAV 86400 PC PER HR</t>
  </si>
  <si>
    <t>IMD VISTA Sorting Machine</t>
  </si>
  <si>
    <t>PET Blue Preform For Grinding</t>
  </si>
  <si>
    <t>IMPS05 CYT 7.5 180 CAV 86400 PC PER HR</t>
  </si>
  <si>
    <t>IMD VISTA Sorting Machine</t>
  </si>
  <si>
    <t>3100008049</t>
  </si>
  <si>
    <t>52.0 BC38mm 3 Rnd Clear J/C(P Plt</t>
  </si>
  <si>
    <t>PRT  REL</t>
  </si>
  <si>
    <t>IMP01 CYCT 18.5 96CAVITY 18682 PC PER HR</t>
  </si>
  <si>
    <t>INTRA VIS Preform Sorting Machine</t>
  </si>
  <si>
    <t>PET Blue Preform For Grinding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</si>
  <si>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</si>
  <si>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</si>
  <si>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</si>
  <si>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</si>
  <si>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</si>
  <si>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</si>
  <si>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</si>
  <si>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</si>
  <si>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</si>
  <si>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</si>
  <si>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</si>
  <si>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</si>
  <si>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</si>
  <si>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</si>
  <si>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</si>
  <si>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</si>
  <si>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</si>
  <si>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</si>
  <si>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</si>
  <si>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3100008050</t>
  </si>
  <si>
    <t>12.5 TO29/25Rd L.Blue(≤ 2ppm)J/C(WP-SIPA</t>
  </si>
  <si>
    <t>PRT  REL</t>
  </si>
  <si>
    <t>IMPS05 CYT 7.5 180 CAV 86400 PC PER HR</t>
  </si>
  <si>
    <t>INTRA VIS Preform Sorting Machine</t>
  </si>
  <si>
    <t>3100008051</t>
  </si>
  <si>
    <t>13.5 TO29/25Rnd Nova Blue J/C(P pltYISHN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</si>
  <si>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</si>
  <si>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</si>
  <si>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</si>
  <si>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</si>
  <si>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</si>
  <si>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</si>
  <si>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</si>
  <si>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3100008052</t>
  </si>
  <si>
    <t>9.4 TO29/25 Rnd Nova Blue J/C(Ppl-SABIC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</si>
  <si>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</si>
  <si>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</si>
  <si>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</si>
  <si>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</si>
  <si>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</si>
  <si>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</si>
  <si>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</si>
  <si>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</si>
  <si>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</si>
  <si>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</si>
  <si>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</si>
  <si>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</si>
  <si>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</si>
  <si>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</si>
  <si>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</si>
  <si>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</si>
  <si>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</si>
  <si>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</si>
  <si>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</si>
  <si>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PET Green strapping ROL 2500m-12.5x0.6mm</t>
  </si>
  <si>
    <t>PRT  REL</t>
  </si>
  <si>
    <t>IMPS01 CYT 6.8 180 CAV 95294 PC PER HR</t>
  </si>
  <si>
    <t>INTRA VIS Preform Sorting Machine</t>
  </si>
  <si>
    <t>3100008053</t>
  </si>
  <si>
    <t>9.70 29/25 Rnd Clear J/C(P Plt)-SIPA</t>
  </si>
  <si>
    <t>PRT  REL</t>
  </si>
  <si>
    <t>IMPS01 CYT 6.8 180 CAV 95294 PC PER HR</t>
  </si>
  <si>
    <t>INTRA VIS Preform Sorting Machine</t>
  </si>
  <si>
    <t>3100008054</t>
  </si>
  <si>
    <t>26.6 TO 29/25 Rnd Clear J/C(P Plt</t>
  </si>
  <si>
    <t>PRT  REL</t>
  </si>
  <si>
    <t>IMP12 CYCT 15.6 96 CAVITY 22153 PC</t>
  </si>
  <si>
    <t>INTRA VIS Preform Sorting Machine</t>
  </si>
  <si>
    <t>3100008055</t>
  </si>
  <si>
    <t>26.6 TO 29/25 Rnd Clear J/C(P Plt</t>
  </si>
  <si>
    <t>PRT  REL</t>
  </si>
  <si>
    <t>IMP12 CYCT 15.6 96 CAVITY 22153 PC</t>
  </si>
  <si>
    <t>INTRA VIS Preform Sorting Machine</t>
  </si>
  <si>
    <t>3100008056</t>
  </si>
  <si>
    <t>45.0 PCO 1881 Rnd ICI Green Mena Bev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</si>
  <si>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</si>
  <si>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</si>
  <si>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</si>
  <si>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</si>
  <si>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</si>
  <si>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</si>
  <si>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</si>
  <si>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</si>
  <si>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</si>
  <si>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</si>
  <si>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</si>
  <si>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</si>
  <si>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</si>
  <si>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</si>
  <si>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</si>
  <si>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</si>
  <si>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</si>
  <si>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</si>
  <si>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</si>
  <si>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3100008057</t>
  </si>
  <si>
    <t>26.6 TO 29/25 Rnd Clear J/C(P Plt</t>
  </si>
  <si>
    <t>PRT  REL</t>
  </si>
  <si>
    <t>IMP12 CYCT 15.6 96 CAVITY 22153 PC</t>
  </si>
  <si>
    <t>INTRA VIS Preform Sorting Machine</t>
  </si>
  <si>
    <t>PET Clear Preform For Grinding</t>
  </si>
  <si>
    <t>PRT  REL</t>
  </si>
  <si>
    <t>IMP12 CYCT 15.6 96 CAVITY 22153 PC</t>
  </si>
  <si>
    <t>INTRA VIS Preform Sorting Machine</t>
  </si>
  <si>
    <t>Plain Self Adhes W105XH165mm–BOPP 1000/R</t>
  </si>
  <si>
    <t>PRT  REL</t>
  </si>
  <si>
    <t>IMP12 CYCT 15.6 96 CAVITY 22153 PC</t>
  </si>
  <si>
    <t>INTRA VIS Preform Sorting Machine</t>
  </si>
  <si>
    <t>Transparent Tape roll 2'' wide 45mic</t>
  </si>
  <si>
    <t>PRT  REL</t>
  </si>
  <si>
    <t>IMP12 CYCT 15.6 96 CAVITY 22153 PC</t>
  </si>
  <si>
    <t>INTRA VIS Preform Sorting Machine</t>
  </si>
  <si>
    <t>Nylon Cable Tie – CV-200B-Black(100 pcs)</t>
  </si>
  <si>
    <t>PRT  REL</t>
  </si>
  <si>
    <t>IMP12 CYCT 15.6 96 CAVITY 22153 PC</t>
  </si>
  <si>
    <t>INTRA VIS Preform Sorting Machine</t>
  </si>
  <si>
    <t>PET Green strapping ROL 2500m-12.5x0.6mm</t>
  </si>
  <si>
    <t>PRT  REL</t>
  </si>
  <si>
    <t>IMP12 CYCT 15.6 96 CAVITY 22153 PC</t>
  </si>
  <si>
    <t>INTRA VIS Preform Sorting Machine</t>
  </si>
  <si>
    <t>3100008058</t>
  </si>
  <si>
    <t>9.4 29/25RndCLR AA Rdcer MenaB PP</t>
  </si>
  <si>
    <t>PRT  REL</t>
  </si>
  <si>
    <t>IMPS02 CYT 6.8 180 CAV 95294 PC PER HR</t>
  </si>
  <si>
    <t>INTRA VIS Preform Sorting Machine</t>
  </si>
  <si>
    <t>PET Clear Preform For Grinding</t>
  </si>
  <si>
    <t>PRT  REL</t>
  </si>
  <si>
    <t>IMPS02 CYT 6.8 180 CAV 95294 PC PER HR</t>
  </si>
  <si>
    <t>INTRA VIS Preform Sorting Machine</t>
  </si>
  <si>
    <t>Plain Self Adhes W105XH165mm–BOPP 1000/R</t>
  </si>
  <si>
    <t>PRT  REL</t>
  </si>
  <si>
    <t>IMPS02 CYT 6.8 180 CAV 95294 PC PER HR</t>
  </si>
  <si>
    <t>INTRA VIS Preform Sorting Machine</t>
  </si>
  <si>
    <t>Transparent Tape roll 2'' wide 45mic</t>
  </si>
  <si>
    <t>PRT  REL</t>
  </si>
  <si>
    <t>IMPS02 CYT 6.8 180 CAV 95294 PC PER HR</t>
  </si>
  <si>
    <t>INTRA VIS Preform Sorting Machine</t>
  </si>
  <si>
    <t>Nylon Cable Tie – CV-200B-Black(100 pcs)</t>
  </si>
  <si>
    <t>PRT  REL</t>
  </si>
  <si>
    <t>IMPS02 CYT 6.8 180 CAV 95294 PC PER HR</t>
  </si>
  <si>
    <t>INTRA VIS Preform Sorting Machine</t>
  </si>
  <si>
    <t>PET Green strapping ROL 2500m-12.5x0.6mm</t>
  </si>
  <si>
    <t>PRT  REL</t>
  </si>
  <si>
    <t>IMPS02 CYT 6.8 180 CAV 95294 PC PER HR</t>
  </si>
  <si>
    <t>INTRA VIS Preform Sorting Machine</t>
  </si>
  <si>
    <t>3100008059</t>
  </si>
  <si>
    <t>8.30TO LW 29/25Rd L.Blue J/C(W plt)-SIPA</t>
  </si>
  <si>
    <t>PRT  REL</t>
  </si>
  <si>
    <t>IMPS04 CYT 6.50 180 CAV 99694 pcs</t>
  </si>
  <si>
    <t>INTRA VIS Preform Sorting Machine</t>
  </si>
  <si>
    <t>Plain Self Adhes W105XH165mm–BOPP 1000/R</t>
  </si>
  <si>
    <t>PRT  REL</t>
  </si>
  <si>
    <t>IMPS04 CYT 6.50 180 CAV 99694 pcs</t>
  </si>
  <si>
    <t>INTRA VIS Preform Sorting Machine</t>
  </si>
  <si>
    <t>Transparent Tape roll 2'' wide 45mic</t>
  </si>
  <si>
    <t>PRT  REL</t>
  </si>
  <si>
    <t>IMPS04 CYT 6.50 180 CAV 99694 pcs</t>
  </si>
  <si>
    <t>INTRA VIS Preform Sorting Machine</t>
  </si>
  <si>
    <t>Nylon Cable Tie – CV-200B-Black(100 pcs)</t>
  </si>
  <si>
    <t>PRT  REL</t>
  </si>
  <si>
    <t>IMPS04 CYT 6.50 180 CAV 99694 pcs</t>
  </si>
  <si>
    <t>INTRA VIS Preform Sorting Machine</t>
  </si>
  <si>
    <t>PET Green strapping ROL 2500m-12.5x0.6mm</t>
  </si>
  <si>
    <t>PRT  REL</t>
  </si>
  <si>
    <t>IMPS04 CYT 6.50 180 CAV 99694 pcs</t>
  </si>
  <si>
    <t>INTRA VIS Preform Sorting Machine</t>
  </si>
  <si>
    <t>3100008060</t>
  </si>
  <si>
    <t>9.4 TO29/25 Rnd Nova Blue J/C(Ppl-SABIC</t>
  </si>
  <si>
    <t>PRT  REL</t>
  </si>
  <si>
    <t>IMPS01 CYT 6.8 180 CAV 95294 PC PER HR</t>
  </si>
  <si>
    <t>IMD VISTA Sorting Machine</t>
  </si>
  <si>
    <t>PET Clear Preform For Grinding</t>
  </si>
  <si>
    <t>PRT  REL</t>
  </si>
  <si>
    <t>IMPS01 CYT 6.8 180 CAV 95294 PC PER HR</t>
  </si>
  <si>
    <t>IMD VISTA Sorting Machine</t>
  </si>
  <si>
    <t>Plain Self Adhes W105XH165mm–BOPP 1000/R</t>
  </si>
  <si>
    <t>PRT  REL</t>
  </si>
  <si>
    <t>IMPS01 CYT 6.8 180 CAV 95294 PC PER HR</t>
  </si>
  <si>
    <t>IMD VISTA Sorting Machine</t>
  </si>
  <si>
    <t>Transparent Tape roll 2'' wide 45mic</t>
  </si>
  <si>
    <t>PRT  REL</t>
  </si>
  <si>
    <t>IMPS01 CYT 6.8 180 CAV 95294 PC PER HR</t>
  </si>
  <si>
    <t>IMD VISTA Sorting Machine</t>
  </si>
  <si>
    <t>Nylon Cable Tie – CV-200B-Black(100 pcs)</t>
  </si>
  <si>
    <t>PRT  REL</t>
  </si>
  <si>
    <t>IMPS01 CYT 6.8 180 CAV 95294 PC PER HR</t>
  </si>
  <si>
    <t>IMD VISTA Sorting Machine</t>
  </si>
  <si>
    <t>PET Green strapping ROL 2500m-12.5x0.6mm</t>
  </si>
  <si>
    <t>PRT  REL</t>
  </si>
  <si>
    <t>IMPS01 CYT 6.8 180 CAV 95294 PC PER HR</t>
  </si>
  <si>
    <t>IMD VISTA Sorting Machine</t>
  </si>
  <si>
    <t>3100008061</t>
  </si>
  <si>
    <t>9.4 TO29/25 Rnd Nova Blue J/C(Ppl-SABIC</t>
  </si>
  <si>
    <t>PRT  REL</t>
  </si>
  <si>
    <t>IMPS02 CYT 6.8 180 CAV 95294 PC PER HR</t>
  </si>
  <si>
    <t>INTRA VIS Preform Sorting Machine</t>
  </si>
  <si>
    <t>PET Blue Preform For Grinding</t>
  </si>
  <si>
    <t>DLT  PRT  REL</t>
  </si>
  <si>
    <t>IMPS02 CYT 6.8 180 CAV 95294 PC PER HR</t>
  </si>
  <si>
    <t>INTRA VIS Preform Sorting Machine</t>
  </si>
  <si>
    <t>Plain Self Adhes W105XH165mm–BOPP 1000/R</t>
  </si>
  <si>
    <t>PRT  REL</t>
  </si>
  <si>
    <t>IMPS02 CYT 6.8 180 CAV 95294 PC PER HR</t>
  </si>
  <si>
    <t>INTRA VIS Preform Sorting Machine</t>
  </si>
  <si>
    <t>Transparent Tape roll 2'' wide 45mic</t>
  </si>
  <si>
    <t>PRT  REL</t>
  </si>
  <si>
    <t>IMPS02 CYT 6.8 180 CAV 95294 PC PER HR</t>
  </si>
  <si>
    <t>INTRA VIS Preform Sorting Machine</t>
  </si>
  <si>
    <t>Nylon Cable Tie – CV-200B-Black(100 pcs)</t>
  </si>
  <si>
    <t>PRT  REL</t>
  </si>
  <si>
    <t>IMPS02 CYT 6.8 180 CAV 95294 PC PER HR</t>
  </si>
  <si>
    <t>INTRA VIS Preform Sorting Machine</t>
  </si>
  <si>
    <t>PET Green strapping ROL 2500m-12.5x0.6mm</t>
  </si>
  <si>
    <t>PRT  REL</t>
  </si>
  <si>
    <t>IMPS02 CYT 6.8 180 CAV 95294 PC PER HR</t>
  </si>
  <si>
    <t>INTRA VIS Preform Sorting Machine</t>
  </si>
  <si>
    <t>3100008062</t>
  </si>
  <si>
    <t>29.3 TO 29/25 Rnd Clear J/C(W Plt</t>
  </si>
  <si>
    <t>PRT  REL</t>
  </si>
  <si>
    <t>IMP12 CYCT 15.6 96 CAVITY 22153 PC</t>
  </si>
  <si>
    <t>INTRA VIS Preform Sorting Machine</t>
  </si>
  <si>
    <t>Plain Self Adhes W105XH165mm–BOPP 1000/R</t>
  </si>
  <si>
    <t>IMP12 CYCT 15.6 96 CAVITY 22153 PC</t>
  </si>
  <si>
    <t>INTRA VIS Preform Sorting Machine</t>
  </si>
  <si>
    <t>Transparent Tape roll 2'' wide 45mic</t>
  </si>
  <si>
    <t>IMP12 CYCT 15.6 96 CAVITY 22153 PC</t>
  </si>
  <si>
    <t>INTRA VIS Preform Sorting Machine</t>
  </si>
  <si>
    <t>Nylon Cable Tie – CV-200B-Black(100 pcs)</t>
  </si>
  <si>
    <t>IMP12 CYCT 15.6 96 CAVITY 22153 PC</t>
  </si>
  <si>
    <t>INTRA VIS Preform Sorting Machine</t>
  </si>
  <si>
    <t>PET Green strapping ROL 2500m-12.5x0.6mm</t>
  </si>
  <si>
    <t>IMP12 CYCT 15.6 96 CAVITY 22153 PC</t>
  </si>
  <si>
    <t>INTRA VIS Preform Sorting Machine</t>
  </si>
  <si>
    <t>3100008063</t>
  </si>
  <si>
    <t>9.4 TO 29/25 Rnd L.Blue J/C (W plt- SIPA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</si>
  <si>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</si>
  <si>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</si>
  <si>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</si>
  <si>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</si>
  <si>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</si>
  <si>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</si>
  <si>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</si>
  <si>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</si>
  <si>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</si>
  <si>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</si>
  <si>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</si>
  <si>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</si>
  <si>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</si>
  <si>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</si>
  <si>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</si>
  <si>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PET Green strapping ROL 2500m-12.5x0.6mm</t>
  </si>
  <si>
    <t>PRT  REL</t>
  </si>
  <si>
    <t>IMPS01 CYT 6.8 180 CAV 95294 PC PER HR</t>
  </si>
  <si>
    <t>INTRA VIS Preform Sorting Machine</t>
  </si>
  <si>
    <t>3100008064</t>
  </si>
  <si>
    <t>45.0 PCO 1881 Rnd ICI Green Mena Bev</t>
  </si>
  <si>
    <t>PRT  REL</t>
  </si>
  <si>
    <t>IMPS07 CYT 17.3 144 CAV 29965 PC PER HR</t>
  </si>
  <si>
    <t>INTRA VIS Preform Sorting Machine</t>
  </si>
  <si>
    <t>3100008065</t>
  </si>
  <si>
    <t>26.6 TO 29/25 Rnd Clear J/C(P Plt</t>
  </si>
  <si>
    <t>PRT  REL</t>
  </si>
  <si>
    <t>IMP12 CYCT 15.6 96 CAVITY 22153 PC</t>
  </si>
  <si>
    <t>IMD VISTA Sorting Machine</t>
  </si>
  <si>
    <t>3100008066</t>
  </si>
  <si>
    <t>9.4 TO29/25 Rnd Nova Blue J/C(Ppl-SABIC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</si>
  <si>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</si>
  <si>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</si>
  <si>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</si>
  <si>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</si>
  <si>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</si>
  <si>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</si>
  <si>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</si>
  <si>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</si>
  <si>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</si>
  <si>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</si>
  <si>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</si>
  <si>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</si>
  <si>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</si>
  <si>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</si>
  <si>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</si>
  <si>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</si>
  <si>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</si>
  <si>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</si>
  <si>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</si>
  <si>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PET Green strapping ROL 2500m-12.5x0.6mm</t>
  </si>
  <si>
    <t>PRT  REL</t>
  </si>
  <si>
    <t>IMPS01 CYT 6.8 180 CAV 95294 PC PER HR</t>
  </si>
  <si>
    <t>INTRA VIS Preform Sorting Machine</t>
  </si>
  <si>
    <t>3100008067</t>
  </si>
  <si>
    <t>26.6 TO 29/25 Rnd Clear J/C(P Plt</t>
  </si>
  <si>
    <t>PRT  REL</t>
  </si>
  <si>
    <t>IMP12 CYCT 15.6 96 CAVITY 22153 PC</t>
  </si>
  <si>
    <t>INTRA VIS Preform Sorting Machine</t>
  </si>
  <si>
    <t>3100008068</t>
  </si>
  <si>
    <t>45.0 PCO 1881 Rnd ICI Green Mena Bev</t>
  </si>
  <si>
    <t>PRT  REL</t>
  </si>
  <si>
    <t>IMD VISTA Sorting Machine</t>
  </si>
  <si>
    <t>3100008069</t>
  </si>
  <si>
    <t>36.0 BC 38mm 3 Rnd Clear Steel C-(Aujan)</t>
  </si>
  <si>
    <t>PRT  REL</t>
  </si>
  <si>
    <t>IMP12 CYT 16.5 96 CAV 20945 PC PER HR</t>
  </si>
  <si>
    <t>IMD VISTA Sorting Machine</t>
  </si>
  <si>
    <t>3100008070</t>
  </si>
  <si>
    <t>50.1PC2RD-CL-A</t>
  </si>
  <si>
    <t>50.1 PCO 1881 Rnd Clear J/C(W Plt</t>
  </si>
  <si>
    <t>PRT  REL</t>
  </si>
  <si>
    <t>IMP06 CYCT 18.5 96 CAV 18681 PC PER HR</t>
  </si>
  <si>
    <t>INTRA VIS Preform Sorting Machine</t>
  </si>
  <si>
    <t>3100008071</t>
  </si>
  <si>
    <t>50.1 PCO 1881 Rnd Clear J/C(P plt</t>
  </si>
  <si>
    <t>PRT  REL</t>
  </si>
  <si>
    <t>IMP06 CYCT 18.5 96 CAV 18681 PC PER HR</t>
  </si>
  <si>
    <t>INTRA VIS Preform Sorting Machine</t>
  </si>
  <si>
    <t>3100008072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</si>
  <si>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</si>
  <si>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</si>
  <si>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</si>
  <si>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</si>
  <si>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</si>
  <si>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</si>
  <si>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</si>
  <si>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</si>
  <si>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</si>
  <si>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</si>
  <si>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</si>
  <si>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</si>
  <si>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</si>
  <si>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</si>
  <si>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</si>
  <si>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</si>
  <si>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</si>
  <si>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</si>
  <si>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</si>
  <si>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</si>
  <si>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3100008073</t>
  </si>
  <si>
    <t>Plain Self Adhes W105XH165mm–BOPP 1000/R</t>
  </si>
  <si>
    <t>RW01 IMD VISTA Sorting Machine</t>
  </si>
  <si>
    <t>IMD VISTA Sorting Machine</t>
  </si>
  <si>
    <t>J/C Top Cover (L121XW102XH15)mm- 735gsm</t>
  </si>
  <si>
    <t>RW01 IMD VISTA Sorting Machine</t>
  </si>
  <si>
    <t>IMD VISTA Sorting Machine</t>
  </si>
  <si>
    <t>J/C 7Ply(L1200xW1000xH1000)mm-1300gsm-AA</t>
  </si>
  <si>
    <t>RW01 IMD VISTA Sorting Machine</t>
  </si>
  <si>
    <t>IMD VISTA Sorting Machine</t>
  </si>
  <si>
    <t>METAL CLIP SIZE:- 5 / 8" ,  700gm/BOX</t>
  </si>
  <si>
    <t>RW01 IMD VISTA Sorting Machine</t>
  </si>
  <si>
    <t>IMD VISTA Sorting Machine</t>
  </si>
  <si>
    <t>J/C Bottom Sheet(L1170XW970)mm - 347 gsm</t>
  </si>
  <si>
    <t>RW01 IMD VISTA Sorting Machine</t>
  </si>
  <si>
    <t>IMD VISTA Sorting Machine</t>
  </si>
  <si>
    <t>Transparent Tape roll 2'' wide 45mic</t>
  </si>
  <si>
    <t>RW01 IMD VISTA Sorting Machine</t>
  </si>
  <si>
    <t>IMD VISTA Sorting Machine</t>
  </si>
  <si>
    <t>PET Green strapping ROL 2500m-12.5x0.6mm</t>
  </si>
  <si>
    <t>RW01 IMD VISTA Sorting Machine</t>
  </si>
  <si>
    <t>IMD VISTA Sorting Machine</t>
  </si>
  <si>
    <t>J/C Tubes (ID-50 X T-7 X L-975) mm</t>
  </si>
  <si>
    <t>RW01 IMD VISTA Sorting Machine</t>
  </si>
  <si>
    <t>IMD VISTA Sorting Machine</t>
  </si>
  <si>
    <t>P.E.BAG CLEAR-L265XW130+50cm -335g/30mic</t>
  </si>
  <si>
    <t>RW01 IMD VISTA Sorting Machine</t>
  </si>
  <si>
    <t>IMD VISTA Sorting Machine</t>
  </si>
  <si>
    <t>MB CC10264879Z0 TRIPLE A PILOT BLUE–1</t>
  </si>
  <si>
    <t>RW01 IMD VISTA Sorting Machine</t>
  </si>
  <si>
    <t>IMD VISTA Sorting Machine</t>
  </si>
  <si>
    <t>Nylon Cable Tie – CV-200B-Black(100 pcs)</t>
  </si>
  <si>
    <t>RW01 IMD VISTA Sorting Machine</t>
  </si>
  <si>
    <t>IMD VISTA Sorting Machine</t>
  </si>
  <si>
    <t>Returned from Customer JUMBO CTN</t>
  </si>
  <si>
    <t>RW01 IMD VISTA Sorting Machine</t>
  </si>
  <si>
    <t>IMD VISTA Sorting Machine</t>
  </si>
  <si>
    <t>Returned from Customer Tubes for Boxes</t>
  </si>
  <si>
    <t>RW01 IMD VISTA Sorting Machine</t>
  </si>
  <si>
    <t>IMD VISTA Sorting Machine</t>
  </si>
  <si>
    <t>Returnable top jumbo cover carton</t>
  </si>
  <si>
    <t>RW01 IMD VISTA Sorting Machine</t>
  </si>
  <si>
    <t>IMD VISTA Sorting Machine</t>
  </si>
  <si>
    <t>Retainable J/C Bottom Sheet</t>
  </si>
  <si>
    <t>RW01 IMD VISTA Sorting Machine</t>
  </si>
  <si>
    <t>IMD VISTA Sorting Machine</t>
  </si>
  <si>
    <t>Honeywell Intermec Ribbon 110*450</t>
  </si>
  <si>
    <t>RW01 IMD VISTA Sorting Machine</t>
  </si>
  <si>
    <t>IMD VISTA Sorting Machine</t>
  </si>
  <si>
    <t>206010109</t>
  </si>
  <si>
    <t>Nova Atlas Label No.12 105X48MM A4</t>
  </si>
  <si>
    <t>RW01 IMD VISTA Sorting Machine</t>
  </si>
  <si>
    <t>IMD VISTA Sorting Machine</t>
  </si>
  <si>
    <t>St. Film [1.2K.g] 17micx500mmx1500 (Bio)</t>
  </si>
  <si>
    <t>RW01 IMD VISTA Sorting Machine</t>
  </si>
  <si>
    <t>IMD VISTA Sorting Machine</t>
  </si>
  <si>
    <t>101100778</t>
  </si>
  <si>
    <t>YISHENG PET WTR-PET YS-W01L–NOVA("YS-I")</t>
  </si>
  <si>
    <t>RW01 IMD VISTA Sorting Machine</t>
  </si>
  <si>
    <t>IMD VISTA Sorting Machine</t>
  </si>
  <si>
    <t>Nova PET Blue Preform For Grinding</t>
  </si>
  <si>
    <t>RW01 IMD VISTA Sorting Machine</t>
  </si>
  <si>
    <t>IMD VISTA Sorting Machine</t>
  </si>
  <si>
    <t>NOVA PET SCRAP</t>
  </si>
  <si>
    <t>RW01 IMD VISTA Sorting Machine</t>
  </si>
  <si>
    <t>IMD VISTA Sorting Machine</t>
  </si>
  <si>
    <t>3100008085</t>
  </si>
  <si>
    <t>47.5PC2RD-CLS-B</t>
  </si>
  <si>
    <t>47.5 PCO 1881 Rnd Clear J/C(P Plt)SIPA</t>
  </si>
  <si>
    <t>PRT  REL</t>
  </si>
  <si>
    <t>IMPS07 CYT 17.3 144 CAV 29965 PC PER HR</t>
  </si>
  <si>
    <t>INTRA VIS Preform Sorting Machine</t>
  </si>
  <si>
    <t>PET Clear Preform For Grinding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</si>
  <si>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</si>
  <si>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</si>
  <si>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</si>
  <si>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</si>
  <si>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</si>
  <si>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</si>
  <si>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</si>
  <si>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</si>
  <si>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</si>
  <si>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</si>
  <si>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</si>
  <si>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</si>
  <si>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</si>
  <si>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</si>
  <si>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</si>
  <si>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</si>
  <si>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</si>
  <si>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</si>
  <si>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</si>
  <si>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3100008086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</si>
  <si>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</si>
  <si>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</si>
  <si>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</si>
  <si>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</si>
  <si>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</si>
  <si>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</si>
  <si>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</si>
  <si>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</si>
  <si>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</si>
  <si>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</si>
  <si>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</si>
  <si>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</si>
  <si>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</si>
  <si>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</si>
  <si>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</si>
  <si>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</si>
  <si>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</si>
  <si>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</si>
  <si>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</si>
  <si>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</si>
  <si>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</si>
  <si>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</si>
  <si>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</si>
  <si>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</si>
  <si>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3100008087</t>
  </si>
  <si>
    <t>50.1 PCO 1881 Rnd ICI Green J/C(W plt</t>
  </si>
  <si>
    <t>PRT  REL</t>
  </si>
  <si>
    <t>IMP06 CYCT 18.5 96 CAV 18681 PC PER HR</t>
  </si>
  <si>
    <t>IMD VISTA Sorting Machine</t>
  </si>
  <si>
    <t>Plain Self Adhes W105XH165mm–BOPP 1000/R</t>
  </si>
  <si>
    <t>PRT  REL</t>
  </si>
  <si>
    <t>IMP06 CYCT 18.5 96 CAV 18681 PC PER HR</t>
  </si>
  <si>
    <t>IMD VISTA Sorting Machine</t>
  </si>
  <si>
    <t>Transparent Tape roll 2'' wide 45mic</t>
  </si>
  <si>
    <t>PRT  REL</t>
  </si>
  <si>
    <t>IMP06 CYCT 18.5 96 CAV 18681 PC PER HR</t>
  </si>
  <si>
    <t>IMD VISTA Sorting Machine</t>
  </si>
  <si>
    <t>Nylon Cable Tie – CV-200B-Black(100 pcs)</t>
  </si>
  <si>
    <t>PRT  REL</t>
  </si>
  <si>
    <t>IMP06 CYCT 18.5 96 CAV 18681 PC PER HR</t>
  </si>
  <si>
    <t>IMD VISTA Sorting Machine</t>
  </si>
  <si>
    <t>PET Green strapping ROL 2500m-12.5x0.6mm</t>
  </si>
  <si>
    <t>PRT  REL</t>
  </si>
  <si>
    <t>IMP06 CYCT 18.5 96 CAV 18681 PC PER HR</t>
  </si>
  <si>
    <t>IMD VISTA Sorting Machine</t>
  </si>
  <si>
    <t>3100008088</t>
  </si>
  <si>
    <t>47.5PC2RD-IGS-B</t>
  </si>
  <si>
    <t>47.5PCO 1881 Rnd ICI Green J/C(Pplt)SIPA</t>
  </si>
  <si>
    <t>PRT  REL</t>
  </si>
  <si>
    <t>IMPS07 CYT 17.3 144 CAV 29965 PC PER HR</t>
  </si>
  <si>
    <t>IMD VISTA Sorting Machine</t>
  </si>
  <si>
    <t>PET Green Preform For Grinding</t>
  </si>
  <si>
    <t>PRT  REL</t>
  </si>
  <si>
    <t>IMPS07 CYT 17.3 144 CAV 29965 PC PER HR</t>
  </si>
  <si>
    <t>IMD VISTA Sorting Machine</t>
  </si>
  <si>
    <t>Plain Self Adhes W105XH165mm–BOPP 1000/R</t>
  </si>
  <si>
    <t>PRT  REL</t>
  </si>
  <si>
    <t>IMPS07 CYT 17.3 144 CAV 29965 PC PER HR</t>
  </si>
  <si>
    <t>IMD VISTA Sorting Machine</t>
  </si>
  <si>
    <t>Transparent Tape roll 2'' wide 45mic</t>
  </si>
  <si>
    <t>PRT  REL</t>
  </si>
  <si>
    <t>IMPS07 CYT 17.3 144 CAV 29965 PC PER HR</t>
  </si>
  <si>
    <t>IMD VISTA Sorting Machine</t>
  </si>
  <si>
    <t>Nylon Cable Tie – CV-200B-Black(100 pcs)</t>
  </si>
  <si>
    <t>PRT  REL</t>
  </si>
  <si>
    <t>IMPS07 CYT 17.3 144 CAV 29965 PC PER HR</t>
  </si>
  <si>
    <t>IMD VISTA Sorting Machine</t>
  </si>
  <si>
    <t>PET Green strapping ROL 2500m-12.5x0.6mm</t>
  </si>
  <si>
    <t>PRT  REL</t>
  </si>
  <si>
    <t>IMPS07 CYT 17.3 144 CAV 29965 PC PER HR</t>
  </si>
  <si>
    <t>IMD VISTA Sorting Machine</t>
  </si>
  <si>
    <t>3100008089</t>
  </si>
  <si>
    <t>7.45TO2RD-LBS2-A</t>
  </si>
  <si>
    <t>7.45TO 29/25 Rnd L.Blue (≤1ppm) J/C Wplt</t>
  </si>
  <si>
    <t>PRT  REL</t>
  </si>
  <si>
    <t>IMPS03 CYT 6.5 180 CAV 99692 PC PER HR</t>
  </si>
  <si>
    <t>INTRA VIS Preform Sorting Machine</t>
  </si>
  <si>
    <t>3100008090</t>
  </si>
  <si>
    <t>52.0 BC38mm 3 Rnd Clear J/C(P Plt</t>
  </si>
  <si>
    <t>PRT  REL</t>
  </si>
  <si>
    <t>IMP01 CYCT 18.5 96CAVITY 18682 PC PER HR</t>
  </si>
  <si>
    <t>INTRA VIS Preform Sorting Machine</t>
  </si>
  <si>
    <t>3100008091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</si>
  <si>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</si>
  <si>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</si>
  <si>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</si>
  <si>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</si>
  <si>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</si>
  <si>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</si>
  <si>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</si>
  <si>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</si>
  <si>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</si>
  <si>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</si>
  <si>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</si>
  <si>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</si>
  <si>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</si>
  <si>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</si>
  <si>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</si>
  <si>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</si>
  <si>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PET Green strapping ROL 2500m-12.5x0.6mm</t>
  </si>
  <si>
    <t>PRT  REL</t>
  </si>
  <si>
    <t>IMPS06 CYCT 15 CAV 180  PCS PER HR 43200</t>
  </si>
  <si>
    <t>INTRA VIS Preform Sorting Machine</t>
  </si>
  <si>
    <t>3100008092</t>
  </si>
  <si>
    <t>52.0 BC38mm 3 Rnd Clear J/C(P Plt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</si>
  <si>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</si>
  <si>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</si>
  <si>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</si>
  <si>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</si>
  <si>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</si>
  <si>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</si>
  <si>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</si>
  <si>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</si>
  <si>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</si>
  <si>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</si>
  <si>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</si>
  <si>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</si>
  <si>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</si>
  <si>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</si>
  <si>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</si>
  <si>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</si>
  <si>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</si>
  <si>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</si>
  <si>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</si>
  <si>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</si>
  <si>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</si>
  <si>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</si>
  <si>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</si>
  <si>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3100008093</t>
  </si>
  <si>
    <t>47.5PCO 1881 Rnd ICI Green J/C(Pplt)SIPA</t>
  </si>
  <si>
    <t>PRT  REL</t>
  </si>
  <si>
    <t>IMPS07 CYT 17.3 144 CAV 29965 PC PER HR</t>
  </si>
  <si>
    <t>IMD VISTA Sorting Machine</t>
  </si>
  <si>
    <t>3100008094</t>
  </si>
  <si>
    <t>50.1PC2RD-IG-B</t>
  </si>
  <si>
    <t>50.1 PCO 1881 Rnd ICI Green J/C(P Plt</t>
  </si>
  <si>
    <t>PRT  REL</t>
  </si>
  <si>
    <t>IMP06 CYCT 18.5 96 CAV 18681 PC PER HR</t>
  </si>
  <si>
    <t>IMD VISTA Sorting Machine</t>
  </si>
  <si>
    <t>3100008095</t>
  </si>
  <si>
    <t>16.7PC2RD-CL-A</t>
  </si>
  <si>
    <t>16.7 PCO 1881 Rnd Clear J/C(W plt</t>
  </si>
  <si>
    <t>PRT  REL</t>
  </si>
  <si>
    <t>IMP24 CYCT 11.5 96 CAV 30052 PER HR</t>
  </si>
  <si>
    <t>IMD VISTA Sorting Machine</t>
  </si>
  <si>
    <t>CARTON EXPT L593 X W393 X H456 mm-BC799</t>
  </si>
  <si>
    <t>PRT  REL</t>
  </si>
  <si>
    <t>IMP24 CYCT 11.5 96 CAV 30052 PER HR</t>
  </si>
  <si>
    <t>IMD VISTA Sorting Machine</t>
  </si>
  <si>
    <t>P.E.BAGS CLEAR 120 X 61 CM</t>
  </si>
  <si>
    <t>PRT  REL</t>
  </si>
  <si>
    <t>IMP24 CYCT 11.5 96 CAV 30052 PER HR</t>
  </si>
  <si>
    <t>IMD VISTA Sorting Machine</t>
  </si>
  <si>
    <t>3100008096</t>
  </si>
  <si>
    <t>21.0PCO1881Rnd Clear J/C(W/p-SIPA</t>
  </si>
  <si>
    <t>PRT  REL</t>
  </si>
  <si>
    <t>IMPS06 CYT 11.5 180 CAV 56347 PC PER HR</t>
  </si>
  <si>
    <t>INTRA VIS Preform Sorting Machine</t>
  </si>
  <si>
    <t>3100008097</t>
  </si>
  <si>
    <t>50.1 PCO 1881 Rnd ICI Green J/C(P Plt</t>
  </si>
  <si>
    <t>PRT  REL</t>
  </si>
  <si>
    <t>IMP06 CYCT 18.5 96 CAV 18681 PC PER HR</t>
  </si>
  <si>
    <t>INTRA VIS Preform Sorting Machine</t>
  </si>
  <si>
    <t>Plain Self Adhes W105XH165mm–BOPP 1000/R</t>
  </si>
  <si>
    <t>PRT  REL</t>
  </si>
  <si>
    <t>IMP06 CYCT 18.5 96 CAV 18681 PC PER HR</t>
  </si>
  <si>
    <t>INTRA VIS Preform Sorting Machine</t>
  </si>
  <si>
    <t>Transparent Tape roll 2'' wide 45mic</t>
  </si>
  <si>
    <t>PRT  REL</t>
  </si>
  <si>
    <t>IMP06 CYCT 18.5 96 CAV 18681 PC PER HR</t>
  </si>
  <si>
    <t>INTRA VIS Preform Sorting Machine</t>
  </si>
  <si>
    <t>Nylon Cable Tie – CV-200B-Black(100 pcs)</t>
  </si>
  <si>
    <t>PRT  REL</t>
  </si>
  <si>
    <t>IMP06 CYCT 18.5 96 CAV 18681 PC PER HR</t>
  </si>
  <si>
    <t>INTRA VIS Preform Sorting Machine</t>
  </si>
  <si>
    <t>PET Green strapping ROL 2500m-12.5x0.6mm</t>
  </si>
  <si>
    <t>PRT  REL</t>
  </si>
  <si>
    <t>IMP06 CYCT 18.5 96 CAV 18681 PC PER HR</t>
  </si>
  <si>
    <t>INTRA VIS Preform Sorting Machine</t>
  </si>
  <si>
    <t>3100008098</t>
  </si>
  <si>
    <t>7.45TO 29/25 Rnd L.Blue (≤1ppm) J/C Wplt</t>
  </si>
  <si>
    <t>PRT  REL</t>
  </si>
  <si>
    <t>IMPS03 CYT 6.5 180 CAV 99692 PC PER HR</t>
  </si>
  <si>
    <t>INTRA VIS Preform Sorting Machine</t>
  </si>
  <si>
    <t>Plain Self Adhes W105XH165mm–BOPP 1000/R</t>
  </si>
  <si>
    <t>PRT  REL</t>
  </si>
  <si>
    <t>IMPS03 CYT 6.5 180 CAV 99692 PC PER HR</t>
  </si>
  <si>
    <t>INTRA VIS Preform Sorting Machine</t>
  </si>
  <si>
    <t>Transparent Tape roll 2'' wide 45mic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</si>
  <si>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</si>
  <si>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</si>
  <si>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</si>
  <si>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</si>
  <si>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</si>
  <si>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</si>
  <si>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</si>
  <si>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PET Green strapping ROL 2500m-12.5x0.6mm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</si>
  <si>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</si>
  <si>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</si>
  <si>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</si>
  <si>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</si>
  <si>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</si>
  <si>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</si>
  <si>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</si>
  <si>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3100008099</t>
  </si>
  <si>
    <t>7.45TO29/25Rnd'ALM'BLUE J/C(PP-SIPA)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</si>
  <si>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</si>
  <si>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</si>
  <si>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</si>
  <si>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</si>
  <si>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</si>
  <si>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</si>
  <si>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</si>
  <si>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Plain Self Adhes W105XH165mm–BOPP 1000/R</t>
  </si>
  <si>
    <t>PRT  REL</t>
  </si>
  <si>
    <t>IMPS03 CYT 6.5 180 CAV 99692 PC PER HR</t>
  </si>
  <si>
    <t>INTRA VIS Preform Sorting Machine</t>
  </si>
  <si>
    <t>Transparent Tape roll 2'' wide 45mic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</si>
  <si>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</si>
  <si>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</si>
  <si>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</si>
  <si>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</si>
  <si>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</si>
  <si>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</si>
  <si>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</si>
  <si>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PET Green strapping ROL 2500m-12.5x0.6mm</t>
  </si>
  <si>
    <t>PRT  REL</t>
  </si>
  <si>
    <t>IMPS03 CYT 6.5 180 CAV 99692 PC PER HR</t>
  </si>
  <si>
    <t>INTRA VIS Preform Sorting Machine</t>
  </si>
  <si>
    <t>3100008100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</si>
  <si>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</si>
  <si>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</si>
  <si>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</si>
  <si>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</si>
  <si>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</si>
  <si>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</si>
  <si>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</si>
  <si>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</si>
  <si>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</si>
  <si>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</si>
  <si>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</si>
  <si>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</si>
  <si>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</si>
  <si>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</si>
  <si>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</si>
  <si>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</si>
  <si>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</si>
  <si>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</si>
  <si>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</si>
  <si>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</si>
  <si>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3100008101</t>
  </si>
  <si>
    <t>18.0 BC38mm 3 Rnd Clear Steel C</t>
  </si>
  <si>
    <t>PRT  REL</t>
  </si>
  <si>
    <t>IMP07 CYCT 12 72CAVITY 21600 PC PER HR</t>
  </si>
  <si>
    <t>INTRA VIS Preform Sorting Machine</t>
  </si>
  <si>
    <t>3100008102</t>
  </si>
  <si>
    <t>14.0 PCO 1881 Rnd Clear J/C(W Plt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</si>
  <si>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</si>
  <si>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</si>
  <si>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</si>
  <si>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</si>
  <si>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</si>
  <si>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</si>
  <si>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</si>
  <si>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3100008103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</si>
  <si>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</si>
  <si>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</si>
  <si>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</si>
  <si>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</si>
  <si>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</si>
  <si>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</si>
  <si>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</si>
  <si>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</si>
  <si>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</si>
  <si>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</si>
  <si>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</si>
  <si>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</si>
  <si>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</si>
  <si>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</si>
  <si>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</si>
  <si>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</si>
  <si>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</si>
  <si>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</si>
  <si>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</si>
  <si>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</si>
  <si>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3100008104</t>
  </si>
  <si>
    <t>50.1 PCO 1881 Rnd ICI Green J/C(P Plt</t>
  </si>
  <si>
    <t>PRT  REL</t>
  </si>
  <si>
    <t>IMP06 CYCT 18.5 96 CAV 18681 PC PER HR</t>
  </si>
  <si>
    <t>INTRA VIS Preform Sorting Machine</t>
  </si>
  <si>
    <t>PET Green Preform For Grinding</t>
  </si>
  <si>
    <t>PRT  REL</t>
  </si>
  <si>
    <t>IMP06 CYCT 18.5 96 CAV 18681 PC PER HR</t>
  </si>
  <si>
    <t>INTRA VIS Preform Sorting Machine</t>
  </si>
  <si>
    <t>Plain Self Adhes W105XH165mm–BOPP 1000/R</t>
  </si>
  <si>
    <t>PRT  REL</t>
  </si>
  <si>
    <t>IMP06 CYCT 18.5 96 CAV 18681 PC PER HR</t>
  </si>
  <si>
    <t>INTRA VIS Preform Sorting Machine</t>
  </si>
  <si>
    <t>Transparent Tape roll 2'' wide 45mic</t>
  </si>
  <si>
    <t>PRT  REL</t>
  </si>
  <si>
    <t>IMP06 CYCT 18.5 96 CAV 18681 PC PER HR</t>
  </si>
  <si>
    <t>INTRA VIS Preform Sorting Machine</t>
  </si>
  <si>
    <t>Nylon Cable Tie – CV-200B-Black(100 pcs)</t>
  </si>
  <si>
    <t>PRT  REL</t>
  </si>
  <si>
    <t>IMP06 CYCT 18.5 96 CAV 18681 PC PER HR</t>
  </si>
  <si>
    <t>INTRA VIS Preform Sorting Machine</t>
  </si>
  <si>
    <t>PET Green strapping ROL 2500m-12.5x0.6mm</t>
  </si>
  <si>
    <t>PRT  REL</t>
  </si>
  <si>
    <t>IMP06 CYCT 18.5 96 CAV 18681 PC PER HR</t>
  </si>
  <si>
    <t>INTRA VIS Preform Sorting Machine</t>
  </si>
  <si>
    <t>3100008105</t>
  </si>
  <si>
    <t>45.0 PCO 1881 ICI Green J/C(P Plt - SIPA</t>
  </si>
  <si>
    <t>PRT  REL</t>
  </si>
  <si>
    <t>IMPS07 CYT 17.3 144 CAV 29965 PC PER HR</t>
  </si>
  <si>
    <t>INTRA VIS Preform Sorting Machine</t>
  </si>
  <si>
    <t>3100008106</t>
  </si>
  <si>
    <t>30.5 PCO 1881Rnd CLR J/C(PP JOM HDG-SIPA</t>
  </si>
  <si>
    <t>PRT  REL</t>
  </si>
  <si>
    <t>IMPS06 CYCT 15 CAV 180  PCS PER HR 43200</t>
  </si>
  <si>
    <t>INTRA VIS Preform Sorting Machine</t>
  </si>
  <si>
    <t>3100008107</t>
  </si>
  <si>
    <t>45.0 PCO 1881Rd Clear J/C(P Plt - SIPA</t>
  </si>
  <si>
    <t>PRT  REL</t>
  </si>
  <si>
    <t>IMPS07 CYT 17.3 144 CAV 29965 PC PER HR</t>
  </si>
  <si>
    <t>INTRA VIS Preform Sorting Machine</t>
  </si>
  <si>
    <t>3100008108</t>
  </si>
  <si>
    <t>45.0 PCO 1881 Rnd Clear Mena Bev</t>
  </si>
  <si>
    <t>PRT  REL</t>
  </si>
  <si>
    <t>IMPS07 CYT 17.3 144 CAV 29965 PC PER HR</t>
  </si>
  <si>
    <t>INTRA VIS Preform Sorting Machine</t>
  </si>
  <si>
    <t>PET Clear Preform For Grinding</t>
  </si>
  <si>
    <t>DLT  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</si>
  <si>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</si>
  <si>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</si>
  <si>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</si>
  <si>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</si>
  <si>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</si>
  <si>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</si>
  <si>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</si>
  <si>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</si>
  <si>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</si>
  <si>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</si>
  <si>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</si>
  <si>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</si>
  <si>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</si>
  <si>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</si>
  <si>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</si>
  <si>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</si>
  <si>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</si>
  <si>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</si>
  <si>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3100008109</t>
  </si>
  <si>
    <t>45.0 PCO 1881 Rnd Clear MenaBev PP HDG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</si>
  <si>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</si>
  <si>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</si>
  <si>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</si>
  <si>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</si>
  <si>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</si>
  <si>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</si>
  <si>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</si>
  <si>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</si>
  <si>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</si>
  <si>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</si>
  <si>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</si>
  <si>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</si>
  <si>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</si>
  <si>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</si>
  <si>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</si>
  <si>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</si>
  <si>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</si>
  <si>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</si>
  <si>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</si>
  <si>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3100008110</t>
  </si>
  <si>
    <t>50.1 PCO 1881 Rnd Clear J/C(P plt</t>
  </si>
  <si>
    <t>PRT  REL</t>
  </si>
  <si>
    <t>IMP06 CYCT 18.5 96 CAV 18681 PC PER HR</t>
  </si>
  <si>
    <t>INTRA VIS Preform Sorting Machine</t>
  </si>
  <si>
    <t>3100008111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</si>
  <si>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</si>
  <si>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</si>
  <si>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</si>
  <si>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</si>
  <si>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</si>
  <si>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</si>
  <si>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</si>
  <si>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</si>
  <si>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</si>
  <si>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</si>
  <si>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</si>
  <si>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</si>
  <si>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</si>
  <si>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</si>
  <si>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</si>
  <si>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</si>
  <si>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PET Green strapping ROL 2500m-12.5x0.6mm</t>
  </si>
  <si>
    <t>PRT  REL</t>
  </si>
  <si>
    <t>IMPS06 CYCT 15 CAV 180  PCS PER HR 43200</t>
  </si>
  <si>
    <t>INTRA VIS Preform Sorting Machine</t>
  </si>
  <si>
    <t>PET Green Preform For Grinding</t>
  </si>
  <si>
    <t>PRT  REL</t>
  </si>
  <si>
    <t>IMPS06 CYCT 15 CAV 180  PCS PER HR 43200</t>
  </si>
  <si>
    <t>INTRA VIS Preform Sorting Machine</t>
  </si>
  <si>
    <t>3100008112</t>
  </si>
  <si>
    <t>30.5PCO1881RndICI GreenMenaBev Spec-SIPA</t>
  </si>
  <si>
    <t>PRT  REL</t>
  </si>
  <si>
    <t>IMPS06 CYCT 15 CAV 180  PCS PER HR 43200</t>
  </si>
  <si>
    <t>INTRA VIS Preform Sorting Machine</t>
  </si>
  <si>
    <t>3100008113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</si>
  <si>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</si>
  <si>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</si>
  <si>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</si>
  <si>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</si>
  <si>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</si>
  <si>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</si>
  <si>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</si>
  <si>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</si>
  <si>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</si>
  <si>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</si>
  <si>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</si>
  <si>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</si>
  <si>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</si>
  <si>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</si>
  <si>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</si>
  <si>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</si>
  <si>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</si>
  <si>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</si>
  <si>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</si>
  <si>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</si>
  <si>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3100008114</t>
  </si>
  <si>
    <t>36.0 BC38mm 3 Rnd Clear OJ/C(W plt</t>
  </si>
  <si>
    <t>PRT  REL</t>
  </si>
  <si>
    <t>IMP12 CYT 16.7 96 CAV 20694 PC PER HR</t>
  </si>
  <si>
    <t>INTRA VIS Preform Sorting Machine</t>
  </si>
  <si>
    <t>PET Clear Preform For Grinding</t>
  </si>
  <si>
    <t>PRT  REL</t>
  </si>
  <si>
    <t>IMP12 CYT 16.7 96 CAV 20694 PC PER HR</t>
  </si>
  <si>
    <t>INTRA VIS Preform Sorting Machine</t>
  </si>
  <si>
    <t>Plain Self Adhes W105XH165mm–BOPP 1000/R</t>
  </si>
  <si>
    <t>PRT  REL</t>
  </si>
  <si>
    <t>IMP12 CYT 16.7 96 CAV 20694 PC PER HR</t>
  </si>
  <si>
    <t>INTRA VIS Preform Sorting Machine</t>
  </si>
  <si>
    <t>Transparent Tape roll 2'' wide 45mic</t>
  </si>
  <si>
    <t>PRT  REL</t>
  </si>
  <si>
    <t>IMP12 CYT 16.7 96 CAV 20694 PC PER HR</t>
  </si>
  <si>
    <t>INTRA VIS Preform Sorting Machine</t>
  </si>
  <si>
    <t>Nylon Cable Tie – CV-200B-Black(100 pcs)</t>
  </si>
  <si>
    <t>PRT  REL</t>
  </si>
  <si>
    <t>IMP12 CYT 16.7 96 CAV 20694 PC PER HR</t>
  </si>
  <si>
    <t>INTRA VIS Preform Sorting Machine</t>
  </si>
  <si>
    <t>3100008115</t>
  </si>
  <si>
    <t>30.5 PCO 1881Rnd CLR J/C(PP JOM HDG-SIPA</t>
  </si>
  <si>
    <t>PRT  REL</t>
  </si>
  <si>
    <t>IMPS06 CYCT 15 CAV 180  PCS PER HR 43200</t>
  </si>
  <si>
    <t>INTRA VIS Preform Sorting Machine</t>
  </si>
  <si>
    <t>3100008116</t>
  </si>
  <si>
    <t>21.0PCO1881Rnd ICI Green J/C(W/p-SIPA</t>
  </si>
  <si>
    <t>PRT  REL</t>
  </si>
  <si>
    <t>IMPS06 CYT 11.5 180 CAV 56347 PC PER HR</t>
  </si>
  <si>
    <t>INTRA VIS Preform Sorting Machine</t>
  </si>
  <si>
    <t>3100008117</t>
  </si>
  <si>
    <t>45.0 PCO 1881 Rnd ICI Green Mena Bev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</si>
  <si>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</si>
  <si>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</si>
  <si>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</si>
  <si>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</si>
  <si>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</si>
  <si>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</si>
  <si>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</si>
  <si>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</si>
  <si>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</si>
  <si>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</si>
  <si>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</si>
  <si>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</si>
  <si>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</si>
  <si>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</si>
  <si>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</si>
  <si>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PET Green strapping ROL 2500m-12.5x0.6mm</t>
  </si>
  <si>
    <t>PRT  REL</t>
  </si>
  <si>
    <t>IMPS07 CYT 17.3 144 CAV 29965 PC PER HR</t>
  </si>
  <si>
    <t>INTRA VIS Preform Sorting Machine</t>
  </si>
  <si>
    <t>3100008118</t>
  </si>
  <si>
    <t>36.0 BC 38mm 3 Rnd Clear Steel C-(Aujan)</t>
  </si>
  <si>
    <t>PRT  REL</t>
  </si>
  <si>
    <t>IMP12 CYT 16.5 96 CAV 20945 PC PER HR</t>
  </si>
  <si>
    <t>INTRA VIS Preform Sorting Machine</t>
  </si>
  <si>
    <t>Plain Self Adhes W105XH165mm–BOPP 1000/R</t>
  </si>
  <si>
    <t>PRT  REL</t>
  </si>
  <si>
    <t>IMP12 CYT 16.5 96 CAV 20945 PC PER HR</t>
  </si>
  <si>
    <t>INTRA VIS Preform Sorting Machine</t>
  </si>
  <si>
    <t>Transparent Tape roll 2'' wide 45mic</t>
  </si>
  <si>
    <t>PRT  REL</t>
  </si>
  <si>
    <t>IMP12 CYT 16.5 96 CAV 20945 PC PER HR</t>
  </si>
  <si>
    <t>INTRA VIS Preform Sorting Machine</t>
  </si>
  <si>
    <t>Nylon Cable Tie – CV-200B-Black(100 pcs)</t>
  </si>
  <si>
    <t>PRT  REL</t>
  </si>
  <si>
    <t>IMP12 CYT 16.5 96 CAV 20945 PC PER HR</t>
  </si>
  <si>
    <t>INTRA VIS Preform Sorting Machine</t>
  </si>
  <si>
    <t>3100008119</t>
  </si>
  <si>
    <t>21.0PCO1881Rnd Clear J/C(W/p-SIPA</t>
  </si>
  <si>
    <t>PRT  REL</t>
  </si>
  <si>
    <t>IMPS06 CYT 11.5 180 CAV 56347 PC PER HR</t>
  </si>
  <si>
    <t>INTRA VIS Preform Sorting Machine</t>
  </si>
  <si>
    <t>Plain Self Adhes W105XH165mm–BOPP 1000/R</t>
  </si>
  <si>
    <t>PRT  REL</t>
  </si>
  <si>
    <t>IMPS06 CYT 11.5 180 CAV 56347 PC PER HR</t>
  </si>
  <si>
    <t>INTRA VIS Preform Sorting Machine</t>
  </si>
  <si>
    <t>Transparent Tape roll 2'' wide 45mic</t>
  </si>
  <si>
    <t>PRT  REL</t>
  </si>
  <si>
    <t>IMPS06 CYT 11.5 180 CAV 56347 PC PER HR</t>
  </si>
  <si>
    <t>INTRA VIS Preform Sorting Machine</t>
  </si>
  <si>
    <t>Nylon Cable Tie – CV-200B-Black(100 pcs)</t>
  </si>
  <si>
    <t>PRT  REL</t>
  </si>
  <si>
    <t>IMPS06 CYT 11.5 180 CAV 56347 PC PER HR</t>
  </si>
  <si>
    <t>INTRA VIS Preform Sorting Machine</t>
  </si>
  <si>
    <t>PET Green strapping ROL 2500m-12.5x0.6mm</t>
  </si>
  <si>
    <t>PRT  REL</t>
  </si>
  <si>
    <t>IMPS06 CYT 11.5 180 CAV 56347 PC PER HR</t>
  </si>
  <si>
    <t>INTRA VIS Preform Sorting Machine</t>
  </si>
  <si>
    <t>3100008120</t>
  </si>
  <si>
    <t>52.0 BC38mm 3 Rnd Clear J/C(P Plt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</si>
  <si>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</si>
  <si>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</si>
  <si>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</si>
  <si>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</si>
  <si>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</si>
  <si>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</si>
  <si>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</si>
  <si>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</si>
  <si>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</si>
  <si>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</si>
  <si>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</si>
  <si>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</si>
  <si>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</si>
  <si>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</si>
  <si>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</si>
  <si>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</si>
  <si>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</si>
  <si>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</si>
  <si>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</si>
  <si>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</si>
  <si>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</si>
  <si>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</si>
  <si>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</si>
  <si>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Wooden Pallets Good cond.L120xW100xH15cm</t>
  </si>
  <si>
    <t>IMP01 CYCT 18.5 96CAVITY 18682 PC PER HR</t>
  </si>
  <si>
    <t>INTRA VIS Preform Sorting Machine</t>
  </si>
  <si>
    <t>3100008121</t>
  </si>
  <si>
    <t>45.0 PCO 1881 ICI Green J/C(P Plt - SIPA</t>
  </si>
  <si>
    <t>PRT  REL</t>
  </si>
  <si>
    <t>IMPS07 CYT 17.3 144 CAV 29965 PC PER HR</t>
  </si>
  <si>
    <t>INTRA VIS Preform Sorting Machine</t>
  </si>
  <si>
    <t>3100008122</t>
  </si>
  <si>
    <t>30.5 PCO 1881Rnd CLR J/C(PP JOM HDG-SIPA</t>
  </si>
  <si>
    <t>PRT  REL</t>
  </si>
  <si>
    <t>IMPS06 CYCT 15 CAV 180  PCS PER HR 43200</t>
  </si>
  <si>
    <t>INTRA VIS Preform Sorting Machine</t>
  </si>
  <si>
    <t>3100008123</t>
  </si>
  <si>
    <t>51.0 BC 38mm 3 Rnd Clear steel c</t>
  </si>
  <si>
    <t>PRT  REL</t>
  </si>
  <si>
    <t>IMP01 CYCT 19 72 CAVITY 13642 PC PER HR</t>
  </si>
  <si>
    <t>IMD VISTA Sorting Machine</t>
  </si>
  <si>
    <t>3100008124</t>
  </si>
  <si>
    <t>30.5PCO1881 ICI GreenJ/C(PP JOM HDG-SIPA</t>
  </si>
  <si>
    <t>PRT  REL</t>
  </si>
  <si>
    <t>IMPS06 CYCT 15 CAV 180  PCS PER HR 43200</t>
  </si>
  <si>
    <t>INTRA VIS Preform Sorting Machine</t>
  </si>
  <si>
    <t>3100008125</t>
  </si>
  <si>
    <t>26.6 TO 29/25 Rnd Clear J/C(P Plt</t>
  </si>
  <si>
    <t>PRT  REL</t>
  </si>
  <si>
    <t>IMP12 CYCT 15.6 96 CAVITY 22153 PC</t>
  </si>
  <si>
    <t>INTRA VIS Preform Sorting Machine</t>
  </si>
  <si>
    <t>3100008126</t>
  </si>
  <si>
    <t>52.0 BC38mm 3 Rnd Clear J/C(P Plt</t>
  </si>
  <si>
    <t>PRT  REL</t>
  </si>
  <si>
    <t>IMP01 CYCT 18.5 96CAVITY 18682 PC PER HR</t>
  </si>
  <si>
    <t>INTRA VIS Preform Sorting Machine</t>
  </si>
  <si>
    <t>Wooden Pallets Good cond.L120xW100xH15cm</t>
  </si>
  <si>
    <t>IMP01 CYCT 18.5 96CAVITY 18682 PC PER HR</t>
  </si>
  <si>
    <t>INTRA VIS Preform Sorting Machine</t>
  </si>
  <si>
    <t>3100008127</t>
  </si>
  <si>
    <t>26.6 TO 29/25 Rnd Clear J/C(P Plt</t>
  </si>
  <si>
    <t>PRT  REL</t>
  </si>
  <si>
    <t>IMP12 CYCT 15.6 96 CAVITY 22153 PC</t>
  </si>
  <si>
    <t>INTRA VIS Preform Sorting Machine</t>
  </si>
  <si>
    <t>3100008128</t>
  </si>
  <si>
    <t>30.5 PCO 1881Rnd CLR J/C(PP JOM HDG-SIPA</t>
  </si>
  <si>
    <t>PRT  REL</t>
  </si>
  <si>
    <t>IMPS06 CYCT 15 CAV 180  PCS PER HR 43200</t>
  </si>
  <si>
    <t>INTRA VIS Preform Sorting Machine</t>
  </si>
  <si>
    <t>PET Clear Preform For Grinding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</si>
  <si>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</si>
  <si>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</si>
  <si>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</si>
  <si>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</si>
  <si>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</si>
  <si>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</si>
  <si>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</si>
  <si>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</si>
  <si>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</si>
  <si>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</si>
  <si>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</si>
  <si>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</si>
  <si>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</si>
  <si>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</si>
  <si>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</si>
  <si>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PET Green strapping ROL 2500m-12.5x0.6mm</t>
  </si>
  <si>
    <t>PRT  REL</t>
  </si>
  <si>
    <t>IMPS06 CYCT 15 CAV 180  PCS PER HR 43200</t>
  </si>
  <si>
    <t>INTRA VIS Preform Sorting Machine</t>
  </si>
  <si>
    <t>3100008129</t>
  </si>
  <si>
    <t>12.7 BC38mm 3 ECO Clear Steel c.</t>
  </si>
  <si>
    <t>PRT  REL</t>
  </si>
  <si>
    <t>IMP07 CYCT 10.2 72 CAV 25412 PC PER HR</t>
  </si>
  <si>
    <t>INTRA VIS Preform Sorting Machine</t>
  </si>
  <si>
    <t>Plain Self Adhes W105XH165mm–BOPP 1000/R</t>
  </si>
  <si>
    <t>PRT  REL</t>
  </si>
  <si>
    <t>IMP07 CYCT 10.2 72 CAV 25412 PC PER HR</t>
  </si>
  <si>
    <t>INTRA VIS Preform Sorting Machine</t>
  </si>
  <si>
    <t>Transparent Tape roll 2'' wide 45mic</t>
  </si>
  <si>
    <t>PRT  REL</t>
  </si>
  <si>
    <t>IMP07 CYCT 10.2 72 CAV 25412 PC PER HR</t>
  </si>
  <si>
    <t>INTRA VIS Preform Sorting Machine</t>
  </si>
  <si>
    <t>Nylon Cable Tie – CV-200B-Black(100 pcs)</t>
  </si>
  <si>
    <t>PRT  REL</t>
  </si>
  <si>
    <t>IMP07 CYCT 10.2 72 CAV 25412 PC PER HR</t>
  </si>
  <si>
    <t>INTRA VIS Preform Sorting Machine</t>
  </si>
  <si>
    <t>PET Clear Preform For Grinding</t>
  </si>
  <si>
    <t>IMP07 CYCT 10.2 72 CAV 25412 PC PER HR</t>
  </si>
  <si>
    <t>INTRA VIS Preform Sorting Machine</t>
  </si>
  <si>
    <t>3100008130</t>
  </si>
  <si>
    <t>30.5PCO1881 ICI GreenJ/C(PP JOM HDG-SIPA</t>
  </si>
  <si>
    <t>PRT  REL</t>
  </si>
  <si>
    <t>IMPS06 CYCT 15 CAV 180  PCS PER HR 43200</t>
  </si>
  <si>
    <t>INTRA VIS Preform Sorting Machine</t>
  </si>
  <si>
    <t>3100008131</t>
  </si>
  <si>
    <t>7.45TO29/25Rnd'ALM'BLUE J/C(PP-SIPA)</t>
  </si>
  <si>
    <t>PRT  REL</t>
  </si>
  <si>
    <t>IMPS03 CYT 6.5 180 CAV 99692 PC PER HR</t>
  </si>
  <si>
    <t>INTRA VIS Preform Sorting Machine</t>
  </si>
  <si>
    <t>Plain Self Adhes W105XH165mm–BOPP 1000/R</t>
  </si>
  <si>
    <t>PRT  REL</t>
  </si>
  <si>
    <t>IMPS03 CYT 6.5 180 CAV 99692 PC PER HR</t>
  </si>
  <si>
    <t>INTRA VIS Preform Sorting Machine</t>
  </si>
  <si>
    <t>Transparent Tape roll 2'' wide 45mic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</si>
  <si>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</si>
  <si>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</si>
  <si>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</si>
  <si>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</si>
  <si>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</si>
  <si>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</si>
  <si>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</si>
  <si>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PET Green strapping ROL 2500m-12.5x0.6mm</t>
  </si>
  <si>
    <t>PRT  REL</t>
  </si>
  <si>
    <t>IMPS03 CYT 6.5 180 CAV 99692 PC PER HR</t>
  </si>
  <si>
    <t>INTRA VIS Preform Sorting Machine</t>
  </si>
  <si>
    <t>3100008132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</si>
  <si>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</si>
  <si>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</si>
  <si>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</si>
  <si>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</si>
  <si>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</si>
  <si>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</si>
  <si>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</si>
  <si>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</si>
  <si>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26.6TO29/25Rnd Nova Blue - (JADE)</t>
  </si>
  <si>
    <t>PRT  REL</t>
  </si>
  <si>
    <t>RW01 IMD VISTA Sorting Machine</t>
  </si>
  <si>
    <t>IMD VISTA Sorting Machine</t>
  </si>
  <si>
    <t>3100008133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</si>
  <si>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</si>
  <si>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</si>
  <si>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</si>
  <si>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</si>
  <si>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</si>
  <si>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</si>
  <si>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</si>
  <si>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</si>
  <si>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7.45TO29/25Rnd'ALM'BLUE J/C(PP-SIPA)</t>
  </si>
  <si>
    <t>PRT  REL</t>
  </si>
  <si>
    <t>RW01 IMD VISTA Sorting Machine</t>
  </si>
  <si>
    <t>IMD VISTA Sorting Machine</t>
  </si>
  <si>
    <t>PET Blue Preform For Grinding</t>
  </si>
  <si>
    <t>RW01 IMD VISTA Sorting Machine</t>
  </si>
  <si>
    <t>IMD VISTA Sorting Machine</t>
  </si>
  <si>
    <t>3100008134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</si>
  <si>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</si>
  <si>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</si>
  <si>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</si>
  <si>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</si>
  <si>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</si>
  <si>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</si>
  <si>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</si>
  <si>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</si>
  <si>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26.6 TO 29/25 Rnd Clear J/C(P Plt</t>
  </si>
  <si>
    <t>PRT  REL</t>
  </si>
  <si>
    <t>RW01 IMD VISTA Sorting Machine</t>
  </si>
  <si>
    <t>IMD VISTA Sorting Machine</t>
  </si>
  <si>
    <t>PET Clear Preform For Grinding</t>
  </si>
  <si>
    <t>PRT  REL</t>
  </si>
  <si>
    <t>RW01 IMD VISTA Sorting Machine</t>
  </si>
  <si>
    <t>IMD VISTA Sorting Machine</t>
  </si>
  <si>
    <t>3100008135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</si>
  <si>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</si>
  <si>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</si>
  <si>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</si>
  <si>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</si>
  <si>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</si>
  <si>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</si>
  <si>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</si>
  <si>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</si>
  <si>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30.5PCO1881 ICI GreenJ/C(PP JOM HDG-SIPA</t>
  </si>
  <si>
    <t>PRT  REL</t>
  </si>
  <si>
    <t>RW01 IMD VISTA Sorting Machine</t>
  </si>
  <si>
    <t>IMD VISTA Sorting Machine</t>
  </si>
  <si>
    <t>3100008136</t>
  </si>
  <si>
    <t>Plain Self Adhes W105XH165mm–BOPP 1000/R</t>
  </si>
  <si>
    <t>PRT  REL</t>
  </si>
  <si>
    <t>RW01 IMD VISTA Sorting Machine</t>
  </si>
  <si>
    <t>IMD VISTA Sorting Machine</t>
  </si>
  <si>
    <t>METAL CLIP SIZE:- 5 / 8" ,  700gm/BOX</t>
  </si>
  <si>
    <t>PRT  REL</t>
  </si>
  <si>
    <t>RW01 IMD VISTA Sorting Machine</t>
  </si>
  <si>
    <t>IMD VISTA Sorting Machine</t>
  </si>
  <si>
    <t>PET Green strapping ROL 2500m-12.5x0.6mm</t>
  </si>
  <si>
    <t>PRT  REL</t>
  </si>
  <si>
    <t>RW01 IMD VISTA Sorting Machine</t>
  </si>
  <si>
    <t>IMD VISTA Sorting Machine</t>
  </si>
  <si>
    <t>Nylon Cable Tie – CV-200B-Black(100 pcs)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</si>
  <si>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</si>
  <si>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</si>
  <si>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</si>
  <si>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</si>
  <si>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</si>
  <si>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</si>
  <si>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</si>
  <si>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Wooden Pallets Good cond.L120xW100xH15cm</t>
  </si>
  <si>
    <t>PRT  REL</t>
  </si>
  <si>
    <t>RW01 IMD VISTA Sorting Machine</t>
  </si>
  <si>
    <t>IMD VISTA Sorting Machine</t>
  </si>
  <si>
    <t>9.4 TO29/25 Rnd Nova Blue J/C(Ppl-SABIC</t>
  </si>
  <si>
    <t>PRT  REL</t>
  </si>
  <si>
    <t>RW01 IMD VISTA Sorting Machine</t>
  </si>
  <si>
    <t>IMD VISTA Sorting Machine</t>
  </si>
  <si>
    <t>PET Blue Preform For Grinding</t>
  </si>
  <si>
    <t>PRT  REL</t>
  </si>
  <si>
    <t>RW01 IMD VISTA Sorting Machine</t>
  </si>
  <si>
    <t>IMD VISTA Sorting Machine</t>
  </si>
  <si>
    <t>3100008137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</si>
  <si>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</si>
  <si>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</si>
  <si>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</si>
  <si>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</si>
  <si>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</si>
  <si>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</si>
  <si>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</si>
  <si>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</si>
  <si>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9.4TO 29/25Rnd L.Blue J/CWplt(≤1ppm)SIPA</t>
  </si>
  <si>
    <t>PRT  REL</t>
  </si>
  <si>
    <t>RW01 IMD VISTA Sorting Machine</t>
  </si>
  <si>
    <t>IMD VISTA Sorting Machine</t>
  </si>
  <si>
    <t>3100008138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</si>
  <si>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</si>
  <si>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</si>
  <si>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</si>
  <si>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</si>
  <si>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</si>
  <si>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</si>
  <si>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</si>
  <si>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</si>
  <si>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8.30TO LW 29/25Rd L.Blue J/C(W plt)-SIPA</t>
  </si>
  <si>
    <t>PRT  REL</t>
  </si>
  <si>
    <t>RW01 IMD VISTA Sorting Machine</t>
  </si>
  <si>
    <t>IMD VISTA Sorting Machine</t>
  </si>
  <si>
    <t>3100008139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</si>
  <si>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</si>
  <si>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</si>
  <si>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</si>
  <si>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</si>
  <si>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</si>
  <si>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</si>
  <si>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</si>
  <si>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</si>
  <si>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8.30TOLW29/25 L.Blue(≤2ppm)J/C(W pt-SIPA</t>
  </si>
  <si>
    <t>PRT  REL</t>
  </si>
  <si>
    <t>RW01 IMD VISTA Sorting Machine</t>
  </si>
  <si>
    <t>IMD VISTA Sorting Machine</t>
  </si>
  <si>
    <t>3100008140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</si>
  <si>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</si>
  <si>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</si>
  <si>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</si>
  <si>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</si>
  <si>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</si>
  <si>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</si>
  <si>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</si>
  <si>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</si>
  <si>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PET Blue Preform For Grinding</t>
  </si>
  <si>
    <t>PRT  REL</t>
  </si>
  <si>
    <t>RW01 IMD VISTA Sorting Machine</t>
  </si>
  <si>
    <t>IMD VISTA Sorting Machine</t>
  </si>
  <si>
    <t>7.45TO LW 29/25 L.Blue J/C(WP-SIPA</t>
  </si>
  <si>
    <t>PRT  REL</t>
  </si>
  <si>
    <t>RW01 IMD VISTA Sorting Machine</t>
  </si>
  <si>
    <t>IMD VISTA Sorting Machine</t>
  </si>
  <si>
    <t>3100008141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</si>
  <si>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</si>
  <si>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</si>
  <si>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</si>
  <si>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</si>
  <si>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</si>
  <si>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</si>
  <si>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</si>
  <si>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</si>
  <si>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 PCO 1881 ICI Green J/C(P Plt - SIPA</t>
  </si>
  <si>
    <t>PRT  REL</t>
  </si>
  <si>
    <t>RW01 IMD VISTA Sorting Machine</t>
  </si>
  <si>
    <t>IMD VISTA Sorting Machine</t>
  </si>
  <si>
    <t>3100008142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</si>
  <si>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</si>
  <si>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</si>
  <si>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</si>
  <si>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</si>
  <si>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</si>
  <si>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</si>
  <si>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</si>
  <si>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</si>
  <si>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13.5 BC38mm 3 Rnd Clear W steel c.</t>
  </si>
  <si>
    <t>PRT  REL</t>
  </si>
  <si>
    <t>RW01 IMD VISTA Sorting Machine</t>
  </si>
  <si>
    <t>IMD VISTA Sorting Machine</t>
  </si>
  <si>
    <t>3100008143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</si>
  <si>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</si>
  <si>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</si>
  <si>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</si>
  <si>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</si>
  <si>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</si>
  <si>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</si>
  <si>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</si>
  <si>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</si>
  <si>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3100008144</t>
  </si>
  <si>
    <t>Plain Self Adhes W105XH165mm–BOPP 1000/R</t>
  </si>
  <si>
    <t>CRTD</t>
  </si>
  <si>
    <t>IMPS05 CYT 7.5 180 CAV 86400 PC PER HR</t>
  </si>
  <si>
    <t>IMD VISTA Sorting Machine</t>
  </si>
  <si>
    <t>PET Blue Preform For Grinding</t>
  </si>
  <si>
    <t>IMPS05 CYT 7.5 180 CAV 86400 PC PER HR</t>
  </si>
  <si>
    <t>IMD VISTA Sorting Machine</t>
  </si>
  <si>
    <t>12.5TO2RD-B14-B</t>
  </si>
  <si>
    <t>12.5TO29/25Rnd Nova Blue J/C(Ppt-YISHeng</t>
  </si>
  <si>
    <t>IMPS05 CYT 7.5 180 CAV 86400 PC PER HR</t>
  </si>
  <si>
    <t>IMD VISTA Sorting Machine</t>
  </si>
  <si>
    <t>3100008145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</si>
  <si>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</si>
  <si>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</si>
  <si>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</si>
  <si>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</si>
  <si>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</si>
  <si>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</si>
  <si>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</si>
  <si>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</si>
  <si>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3100008146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</si>
  <si>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</si>
  <si>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</si>
  <si>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</si>
  <si>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</si>
  <si>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</si>
  <si>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</si>
  <si>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</si>
  <si>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</si>
  <si>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9.4TO2RD-BS6-B</t>
  </si>
  <si>
    <t>9.4TO29/25 Rd Nova Blue-PET"ST-BC211</t>
  </si>
  <si>
    <t>PRT  REL</t>
  </si>
  <si>
    <t>IMPS01 CYT 6.8 180 CAV 95294 PC PER HR</t>
  </si>
  <si>
    <t>IMD VISTA Sorting Machine</t>
  </si>
  <si>
    <t>3100008147</t>
  </si>
  <si>
    <t>Plain Self Adhes W105XH165mm–BOPP 1000/R</t>
  </si>
  <si>
    <t>PRT  REL</t>
  </si>
  <si>
    <t>IMP12 CYCT 15.6 96 CAVITY 22153 PC</t>
  </si>
  <si>
    <t>Injection Molding IMP12-HUSKY- 18 HYPET</t>
  </si>
  <si>
    <t>J/C 7Ply(L1200xW1000xH1000)mm-1300gsm-AA</t>
  </si>
  <si>
    <t>PRT  REL</t>
  </si>
  <si>
    <t>IMP12 CYCT 15.6 96 CAVITY 22153 PC</t>
  </si>
  <si>
    <t>Injection Molding IMP12-HUSKY- 18 HYPET</t>
  </si>
  <si>
    <t>J/C Tubes (ID-50 X T-7 X L-975) mm</t>
  </si>
  <si>
    <t>PRT  REL</t>
  </si>
  <si>
    <t>IMP12 CYCT 15.6 96 CAVITY 22153 PC</t>
  </si>
  <si>
    <t>Injection Molding IMP12-HUSKY- 18 HYPET</t>
  </si>
  <si>
    <t>J/C Bottom Sheet(L1170XW970)mm - 347 gsm</t>
  </si>
  <si>
    <t>PRT  REL</t>
  </si>
  <si>
    <t>IMP12 CYCT 15.6 96 CAVITY 22153 PC</t>
  </si>
  <si>
    <t>Injection Molding IMP12-HUSKY- 18 HYPET</t>
  </si>
  <si>
    <t>J/C Top Cover (L121XW102XH15)mm- 735gsm</t>
  </si>
  <si>
    <t>PRT  REL</t>
  </si>
  <si>
    <t>IMP12 CYCT 15.6 96 CAVITY 22153 PC</t>
  </si>
  <si>
    <t>Injection Molding IMP12-HUSKY- 18 HYPET</t>
  </si>
  <si>
    <t>Transparent Tape roll 2'' wide 45mic</t>
  </si>
  <si>
    <t>PRT  REL</t>
  </si>
  <si>
    <t>IMP12 CYCT 15.6 96 CAVITY 22153 PC</t>
  </si>
  <si>
    <t>Injection Molding IMP12-HUSKY- 18 HYPET</t>
  </si>
  <si>
    <t>P.E.BAG CLEAR-L265XW130+50cm -335g/30mic</t>
  </si>
  <si>
    <t>PRT  REL</t>
  </si>
  <si>
    <t>IMP12 CYCT 15.6 96 CAVITY 22153 PC</t>
  </si>
  <si>
    <t>Injection Molding IMP12-HUSKY- 18 HYPET</t>
  </si>
  <si>
    <t>METAL CLIP SIZE:- 5 / 8" ,  700gm/BOX</t>
  </si>
  <si>
    <t>PRT  REL</t>
  </si>
  <si>
    <t>IMP12 CYCT 15.6 96 CAVITY 22153 PC</t>
  </si>
  <si>
    <t>Injection Molding IMP12-HUSKY- 18 HYPET</t>
  </si>
  <si>
    <t>PET Green strapping ROL 2500m-12.5x0.6mm</t>
  </si>
  <si>
    <t>PRT  REL</t>
  </si>
  <si>
    <t>IMP12 CYCT 15.6 96 CAVITY 22153 PC</t>
  </si>
  <si>
    <t>Injection Molding IMP12-HUSKY- 18 HYPET</t>
  </si>
  <si>
    <t>MB CC10264879Z0 TRIPLE A PILOT BLUE–1</t>
  </si>
  <si>
    <t>PRT  REL</t>
  </si>
  <si>
    <t>IMP12 CYCT 15.6 96 CAVITY 22153 PC</t>
  </si>
  <si>
    <t>Injection Molding IMP12-HUSKY- 18 HYPET</t>
  </si>
  <si>
    <t>Nylon Cable Tie – CV-200B-Black(100 pcs)</t>
  </si>
  <si>
    <t>PRT  REL</t>
  </si>
  <si>
    <t>IMP12 CYCT 15.6 96 CAVITY 22153 PC</t>
  </si>
  <si>
    <t>Injection Molding IMP12-HUSKY- 18 HYPET</t>
  </si>
  <si>
    <t>Returned from Customer JUMBO CTN</t>
  </si>
  <si>
    <t>PRT  REL</t>
  </si>
  <si>
    <t>IMP12 CYCT 15.6 96 CAVITY 22153 PC</t>
  </si>
  <si>
    <t>Injection Molding IMP12-HUSKY- 18 HYPET</t>
  </si>
  <si>
    <t>Returned from Customer Tubes for Boxes</t>
  </si>
  <si>
    <t>PRT  REL</t>
  </si>
  <si>
    <t>IMP12 CYCT 15.6 96 CAVITY 22153 PC</t>
  </si>
  <si>
    <t>Injection Molding IMP12-HUSKY- 18 HYPET</t>
  </si>
  <si>
    <t>Retainable J/C Bottom Sheet</t>
  </si>
  <si>
    <t>PRT  REL</t>
  </si>
  <si>
    <t>IMP12 CYCT 15.6 96 CAVITY 22153 PC</t>
  </si>
  <si>
    <t>Injection Molding IMP12-HUSKY- 18 HYPET</t>
  </si>
  <si>
    <t>Returnable top jumbo cover carton</t>
  </si>
  <si>
    <t>PRT  REL</t>
  </si>
  <si>
    <t>IMP12 CYCT 15.6 96 CAVITY 22153 PC</t>
  </si>
  <si>
    <t>Injection Molding IMP12-HUSKY- 18 HYPET</t>
  </si>
  <si>
    <t>Honeywell Intermec Ribbon 110*450</t>
  </si>
  <si>
    <t>PRT  REL</t>
  </si>
  <si>
    <t>IMP12 CYCT 15.6 96 CAVITY 22153 PC</t>
  </si>
  <si>
    <t>Injection Molding IMP12-HUSKY- 18 HYPET</t>
  </si>
  <si>
    <t>St. Film [1.2K.g] 17micx500mmx1500 (Bio)</t>
  </si>
  <si>
    <t>PRT  REL</t>
  </si>
  <si>
    <t>IMP12 CYCT 15.6 96 CAVITY 22153 PC</t>
  </si>
  <si>
    <t>Injection Molding IMP12-HUSKY- 18 HYPET</t>
  </si>
  <si>
    <t>Nova PET Blue Preform For Grinding</t>
  </si>
  <si>
    <t>PRT  REL</t>
  </si>
  <si>
    <t>IMP12 CYCT 15.6 96 CAVITY 22153 PC</t>
  </si>
  <si>
    <t>Injection Molding IMP12-HUSKY- 18 HYPET</t>
  </si>
  <si>
    <t>NOVA PET SCRAP</t>
  </si>
  <si>
    <t>PRT  REL</t>
  </si>
  <si>
    <t>IMP12 CYCT 15.6 96 CAVITY 22153 PC</t>
  </si>
  <si>
    <t>Injection Molding IMP12-HUSKY- 18 HYPET</t>
  </si>
  <si>
    <t>101100796</t>
  </si>
  <si>
    <t>BC211 ST PET WTR - NOVA</t>
  </si>
  <si>
    <t>PRT  REL</t>
  </si>
  <si>
    <t>IMP12 CYCT 15.6 96 CAVITY 22153 PC</t>
  </si>
  <si>
    <t>Injection Molding IMP12-HUSKY- 18 HYPET</t>
  </si>
  <si>
    <t>3100008148</t>
  </si>
  <si>
    <t>30.5 PCO 1881 Rnd ICI Green J/C(WP-SIPA</t>
  </si>
  <si>
    <t>PRT  REL</t>
  </si>
  <si>
    <t>IMPS06 CYCT 15 CAV 180  PCS PER HR 43200</t>
  </si>
  <si>
    <t>IMD VISTA Sorting Machine</t>
  </si>
  <si>
    <t>3100008149</t>
  </si>
  <si>
    <t>30.5 PCO 1881 Rnd ICI Green J/C(WP-SIPA</t>
  </si>
  <si>
    <t>PRT  REL</t>
  </si>
  <si>
    <t>IMPS06 CYCT 15 CAV 180  PCS PER HR 43200</t>
  </si>
  <si>
    <t>IMD VISTA Sorting Machine</t>
  </si>
  <si>
    <t>3100008150</t>
  </si>
  <si>
    <t>PET Blue Preform For Grinding</t>
  </si>
  <si>
    <t>IMPS05 CYT 7.5 180 CAV 86400 PC PER HR</t>
  </si>
  <si>
    <t>INTRA VIS Preform Sorting Machine</t>
  </si>
  <si>
    <t>12.5TO29/25Rnd Nova Blue J/C(Ppt-YISHeng</t>
  </si>
  <si>
    <t>IMPS05 CYT 7.5 180 CAV 86400 PC PER HR</t>
  </si>
  <si>
    <t>INTRA VIS Preform Sorting Machine</t>
  </si>
  <si>
    <t>3100008151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</si>
  <si>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</si>
  <si>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</si>
  <si>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</si>
  <si>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</si>
  <si>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</si>
  <si>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</si>
  <si>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</si>
  <si>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</si>
  <si>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26.6TO2RD-BS4-B</t>
  </si>
  <si>
    <t>26.6TO29/25Rnd Nova Blue -ST-BC 211</t>
  </si>
  <si>
    <t>PRT  REL</t>
  </si>
  <si>
    <t>IMP12 CYCT 15.6 96 CAVITY 22153 PC</t>
  </si>
  <si>
    <t>IMD VISTA Sorting Machine</t>
  </si>
  <si>
    <t>3100008152</t>
  </si>
  <si>
    <t>26.6TO29/25Rnd Nova Blue - (JADE)</t>
  </si>
  <si>
    <t>PRT  REL</t>
  </si>
  <si>
    <t>IMP12 CYCT 15.6 96 CAVITY 22153 PC</t>
  </si>
  <si>
    <t>IMD VISTA Sorting Machine</t>
  </si>
  <si>
    <t>3100008153</t>
  </si>
  <si>
    <t>26.6TO29/25Rnd Nova Blue - (JADE)</t>
  </si>
  <si>
    <t>PRT  REL</t>
  </si>
  <si>
    <t>IMP12 CYCT 15.6 96 CAVITY 22153 PC</t>
  </si>
  <si>
    <t>IMD VISTA Sorting Machine</t>
  </si>
  <si>
    <t>3100008154</t>
  </si>
  <si>
    <t>P.E.BAG CLEAR- L210XW124+51CM 375g-40mic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</si>
  <si>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</si>
  <si>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</si>
  <si>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</si>
  <si>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</si>
  <si>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</si>
  <si>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</si>
  <si>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</si>
  <si>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</si>
  <si>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</si>
  <si>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</si>
  <si>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</si>
  <si>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3100008155</t>
  </si>
  <si>
    <t>Plain Self Adhes W105XH165mm–BOPP 1000/R</t>
  </si>
  <si>
    <t>PRT  REL</t>
  </si>
  <si>
    <t>IMP12 CYCT 15.6 96 CAVITY 22153 PC</t>
  </si>
  <si>
    <t>IMD VISTA Sorting Machine</t>
  </si>
  <si>
    <t>26.6TO29/25Rnd Nova Blue -ST-BC 211</t>
  </si>
  <si>
    <t>PRT  REL</t>
  </si>
  <si>
    <t>IMP12 CYCT 15.6 96 CAVITY 22153 PC</t>
  </si>
  <si>
    <t>IMD VISTA Sorting Machine</t>
  </si>
  <si>
    <t>3100008156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</si>
  <si>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</si>
  <si>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</si>
  <si>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</si>
  <si>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</si>
  <si>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</si>
  <si>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</si>
  <si>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</si>
  <si>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</si>
  <si>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3100008157</t>
  </si>
  <si>
    <t>Plain Self Adhes W105XH165mm–BOPP 1000/R</t>
  </si>
  <si>
    <t>PRT  REL</t>
  </si>
  <si>
    <t>IMPS03 CYT 6.5 180 CAV 99692 PC PER HR</t>
  </si>
  <si>
    <t>INTRA VIS Preform Sorting Machine</t>
  </si>
  <si>
    <t>P.E.BAG CLEAR-L265XW130+50cm -335g/30mic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</si>
  <si>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</si>
  <si>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</si>
  <si>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</si>
  <si>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</si>
  <si>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</si>
  <si>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</si>
  <si>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</si>
  <si>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</si>
  <si>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</si>
  <si>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</si>
  <si>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</si>
  <si>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3100008158</t>
  </si>
  <si>
    <t>11.5TO29/25Rnd'ALM'BLUE J/C(PP-SIPA-HDG</t>
  </si>
  <si>
    <t>PRT  REL</t>
  </si>
  <si>
    <t>IMPS05 CYT 7.1 180 CAV 91267 PC PER HR</t>
  </si>
  <si>
    <t>IMD VISTA Sorting Machine</t>
  </si>
  <si>
    <t>3100008159</t>
  </si>
  <si>
    <t>Plain Self Adhes W105XH165mm–BOPP 1000/R</t>
  </si>
  <si>
    <t>PRT  REL</t>
  </si>
  <si>
    <t>IMPS07 CYT 17.3 144 CAV 29965 PC PER HR</t>
  </si>
  <si>
    <t>IMD VISTA Sorting Machine</t>
  </si>
  <si>
    <t>45.0 PCO 1881 Rd ICI Green MenaBevPP HDG</t>
  </si>
  <si>
    <t>PRT  REL</t>
  </si>
  <si>
    <t>IMPS07 CYT 17.3 144 CAV 29965 PC PER HR</t>
  </si>
  <si>
    <t>IMD VISTA Sorting Machine</t>
  </si>
  <si>
    <t>3100008160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</si>
  <si>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</si>
  <si>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</si>
  <si>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</si>
  <si>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</si>
  <si>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</si>
  <si>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</si>
  <si>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</si>
  <si>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</si>
  <si>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3100008161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</si>
  <si>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</si>
  <si>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</si>
  <si>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</si>
  <si>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</si>
  <si>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</si>
  <si>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</si>
  <si>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</si>
  <si>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</si>
  <si>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3100008162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</si>
  <si>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</si>
  <si>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</si>
  <si>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</si>
  <si>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</si>
  <si>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</si>
  <si>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</si>
  <si>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</si>
  <si>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</si>
  <si>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</si>
  <si>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</si>
  <si>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</si>
  <si>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</si>
  <si>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3100008163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</si>
  <si>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</si>
  <si>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</si>
  <si>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</si>
  <si>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</si>
  <si>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</si>
  <si>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</si>
  <si>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</si>
  <si>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</si>
  <si>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3100008164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</si>
  <si>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</si>
  <si>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</si>
  <si>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</si>
  <si>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</si>
  <si>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</si>
  <si>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</si>
  <si>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</si>
  <si>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</si>
  <si>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3100008165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</si>
  <si>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</si>
  <si>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</si>
  <si>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</si>
  <si>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</si>
  <si>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</si>
  <si>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</si>
  <si>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</si>
  <si>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</si>
  <si>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</si>
  <si>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</si>
  <si>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</si>
  <si>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</si>
  <si>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3100008166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</si>
  <si>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</si>
  <si>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</si>
  <si>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</si>
  <si>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</si>
  <si>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</si>
  <si>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</si>
  <si>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</si>
  <si>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</si>
  <si>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3100008167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</si>
  <si>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</si>
  <si>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</si>
  <si>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</si>
  <si>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</si>
  <si>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</si>
  <si>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</si>
  <si>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</si>
  <si>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</si>
  <si>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7.45TO29/25Rnd'ALM'BLUE J/C(PP-SIPA)</t>
  </si>
  <si>
    <t>PRT  REL</t>
  </si>
  <si>
    <t>IMPS03 CYT 6.5 180 CAV 99692 PC PER HR</t>
  </si>
  <si>
    <t>IMD VISTA Sorting Machine</t>
  </si>
  <si>
    <t>3100008168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</si>
  <si>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</si>
  <si>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</si>
  <si>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</si>
  <si>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</si>
  <si>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</si>
  <si>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</si>
  <si>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</si>
  <si>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</si>
  <si>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3100008169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</si>
  <si>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</si>
  <si>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</si>
  <si>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</si>
  <si>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</si>
  <si>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</si>
  <si>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</si>
  <si>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</si>
  <si>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</si>
  <si>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3100008170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</si>
  <si>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</si>
  <si>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</si>
  <si>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</si>
  <si>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</si>
  <si>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</si>
  <si>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</si>
  <si>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</si>
  <si>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</si>
  <si>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</si>
  <si>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</si>
  <si>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</si>
  <si>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</si>
  <si>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3100008171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</si>
  <si>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</si>
  <si>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</si>
  <si>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</si>
  <si>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</si>
  <si>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</si>
  <si>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</si>
  <si>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</si>
  <si>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</si>
  <si>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3100008172</t>
  </si>
  <si>
    <t>Plain Self Adhes W105XH165mm–BOPP 1000/R</t>
  </si>
  <si>
    <t>PRT  REL</t>
  </si>
  <si>
    <t>IM24 CYCT 11 96 CAVITY 31418 PC PER HR</t>
  </si>
  <si>
    <t>IMD VISTA Sorting Machine</t>
  </si>
  <si>
    <t>PET Clear Preform For Grinding</t>
  </si>
  <si>
    <t>PRT  REL</t>
  </si>
  <si>
    <t>IM24 CYCT 11 96 CAVITY 31418 PC PER HR</t>
  </si>
  <si>
    <t>IMD VISTA Sorting Machine</t>
  </si>
  <si>
    <t>14.0 PCO 1881 Rnd Clear J/C(W Plt</t>
  </si>
  <si>
    <t>PRT  REL</t>
  </si>
  <si>
    <t>IM24 CYCT 11 96 CAVITY 31418 PC PER HR</t>
  </si>
  <si>
    <t>IMD VISTA Sorting Machine</t>
  </si>
  <si>
    <t>3100008173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</si>
  <si>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</si>
  <si>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</si>
  <si>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</si>
  <si>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</si>
  <si>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</si>
  <si>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</si>
  <si>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</si>
  <si>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</si>
  <si>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3100008174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</si>
  <si>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</si>
  <si>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</si>
  <si>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</si>
  <si>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</si>
  <si>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</si>
  <si>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</si>
  <si>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</si>
  <si>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</si>
  <si>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7.45TO29/25Rnd'ALM'BLUE J/C(PP-SIPA)</t>
  </si>
  <si>
    <t>PRT  REL</t>
  </si>
  <si>
    <t>IMPS03 CYT 6.5 180 CAV 99692 PC PER HR</t>
  </si>
  <si>
    <t>IMD VISTA Sorting Machine</t>
  </si>
  <si>
    <t>3100008175</t>
  </si>
  <si>
    <t>Plain Self Adhes W105XH165mm–BOPP 1000/R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</si>
  <si>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</si>
  <si>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</si>
  <si>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</si>
  <si>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</si>
  <si>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</si>
  <si>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</si>
  <si>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</si>
  <si>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3100008176</t>
  </si>
  <si>
    <t>Plain Self Adhes W105XH165mm–BOPP 1000/R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</si>
  <si>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</si>
  <si>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</si>
  <si>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</si>
  <si>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</si>
  <si>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</si>
  <si>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</si>
  <si>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</si>
  <si>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3100008177</t>
  </si>
  <si>
    <t>PET Clear Preform For Grinding</t>
  </si>
  <si>
    <t>PRT  REL</t>
  </si>
  <si>
    <t>IMP12 CYT 16.7 96 CAV 20694 PC PER HR</t>
  </si>
  <si>
    <t>IMD VISTA Sorting Machine</t>
  </si>
  <si>
    <t>36.0 BC 38mm 3 Rnd Clear Steel C-(Aujan)</t>
  </si>
  <si>
    <t>PRT  REL</t>
  </si>
  <si>
    <t>IMP12 CYT 16.7 96 CAV 20694 PC PER HR</t>
  </si>
  <si>
    <t>IMD VISTA Sorting Machine</t>
  </si>
  <si>
    <t>3100008178</t>
  </si>
  <si>
    <t>Plain Self Adhes W105XH165mm–BOPP 1000/R</t>
  </si>
  <si>
    <t>PRT  REL</t>
  </si>
  <si>
    <t>IMP12 CYT 16.7 96 CAV 20694 PC PER HR</t>
  </si>
  <si>
    <t>IMD VISTA Sorting Machine</t>
  </si>
  <si>
    <t>36.0 BC 38mm 3 Rnd Clear Steel C-(Aujan)</t>
  </si>
  <si>
    <t>PRT  REL</t>
  </si>
  <si>
    <t>IMP12 CYT 16.7 96 CAV 20694 PC PER HR</t>
  </si>
  <si>
    <t>IMD VISTA Sorting Machine</t>
  </si>
  <si>
    <t>3100008179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</si>
  <si>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</si>
  <si>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</si>
  <si>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</si>
  <si>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</si>
  <si>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</si>
  <si>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</si>
  <si>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</si>
  <si>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</si>
  <si>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3100008180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</si>
  <si>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</si>
  <si>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</si>
  <si>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</si>
  <si>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</si>
  <si>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</si>
  <si>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</si>
  <si>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</si>
  <si>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</si>
  <si>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3100008181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</si>
  <si>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</si>
  <si>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</si>
  <si>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</si>
  <si>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</si>
  <si>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</si>
  <si>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</si>
  <si>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</si>
  <si>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</si>
  <si>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3100008182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</si>
  <si>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</si>
  <si>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</si>
  <si>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</si>
  <si>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</si>
  <si>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</si>
  <si>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</si>
  <si>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</si>
  <si>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</si>
  <si>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</si>
  <si>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</si>
  <si>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</si>
  <si>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</si>
  <si>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3100008183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</si>
  <si>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</si>
  <si>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</si>
  <si>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</si>
  <si>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</si>
  <si>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</si>
  <si>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</si>
  <si>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</si>
  <si>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</si>
  <si>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</si>
  <si>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</si>
  <si>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</si>
  <si>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</si>
  <si>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3100008184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</si>
  <si>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</si>
  <si>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</si>
  <si>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</si>
  <si>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</si>
  <si>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</si>
  <si>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</si>
  <si>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</si>
  <si>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</si>
  <si>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3100008185</t>
  </si>
  <si>
    <t>Plain Self Adhes W105XH165mm–BOPP 1000/R</t>
  </si>
  <si>
    <t>PRT  REL</t>
  </si>
  <si>
    <t>IMPS06 CYCT 15 CAV 180  PCS PER HR 43200</t>
  </si>
  <si>
    <t>IMD VISTA Sorting Machine</t>
  </si>
  <si>
    <t>30.5 PCO 1881 Rnd ICI Green J/C(WP-SIPA</t>
  </si>
  <si>
    <t>PRT  REL</t>
  </si>
  <si>
    <t>IMPS06 CYCT 15 CAV 180  PCS PER HR 43200</t>
  </si>
  <si>
    <t>IMD VISTA Sorting Machine</t>
  </si>
  <si>
    <t>3100008186</t>
  </si>
  <si>
    <t>30.5 PCO 1881 Rnd ICI Green J/C(WP-SIPA</t>
  </si>
  <si>
    <t>PRT  REL</t>
  </si>
  <si>
    <t>IMPS06 CYCT 15 CAV 180  PCS PER HR 43200</t>
  </si>
  <si>
    <t>IMD VISTA Sorting Machine</t>
  </si>
  <si>
    <t>3100008187</t>
  </si>
  <si>
    <t>1400C51-SFI-1MFJ2</t>
  </si>
  <si>
    <t>Safi 1.4L PET Clear BTL-Multi Fruit -26D</t>
  </si>
  <si>
    <t>PRT  REL</t>
  </si>
  <si>
    <t>SBM02 10CAV 5000 PC PER HR</t>
  </si>
  <si>
    <t>BM02 Sidel – SBO 10 PET Blowing machine</t>
  </si>
  <si>
    <t>3100008188</t>
  </si>
  <si>
    <t>30.5 PCO 1881Rnd CLR J/C(PP JOM HDG-SIPA</t>
  </si>
  <si>
    <t>PRT  REL</t>
  </si>
  <si>
    <t>IMPS06 CYCT 15 CAV 180  PCS PER HR 43200</t>
  </si>
  <si>
    <t>IMD VISTA Sorting Machine</t>
  </si>
  <si>
    <t>3100008189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</si>
  <si>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</si>
  <si>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</si>
  <si>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</si>
  <si>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</si>
  <si>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</si>
  <si>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</si>
  <si>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</si>
  <si>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</si>
  <si>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3100008190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</si>
  <si>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</si>
  <si>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</si>
  <si>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</si>
  <si>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</si>
  <si>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</si>
  <si>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</si>
  <si>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</si>
  <si>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</si>
  <si>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9.4TO29/25 Rd Nova Blue-PET"ST-BC211</t>
  </si>
  <si>
    <t>PRT  REL</t>
  </si>
  <si>
    <t>IMPS01 CYT 6.8 180 CAV 95294 PC PER HR</t>
  </si>
  <si>
    <t>IMD VISTA Sorting Machine</t>
  </si>
  <si>
    <t>3100008191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</si>
  <si>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</si>
  <si>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</si>
  <si>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</si>
  <si>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</si>
  <si>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</si>
  <si>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</si>
  <si>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</si>
  <si>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</si>
  <si>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3100008192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</si>
  <si>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</si>
  <si>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</si>
  <si>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</si>
  <si>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</si>
  <si>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</si>
  <si>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</si>
  <si>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</si>
  <si>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</si>
  <si>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3100008193</t>
  </si>
  <si>
    <t>Plain Self Adhes W105XH165mm–BOPP 1000/R</t>
  </si>
  <si>
    <t>PRT  REL</t>
  </si>
  <si>
    <t>IM02 CYCT 13.3 96 CAVITY 25984 PC PER HR</t>
  </si>
  <si>
    <t>IMD VISTA Sorting Machine</t>
  </si>
  <si>
    <t>PET Clear Preform For Grinding</t>
  </si>
  <si>
    <t>PRT  REL</t>
  </si>
  <si>
    <t>IM02 CYCT 13.3 96 CAVITY 25984 PC PER HR</t>
  </si>
  <si>
    <t>IMD VISTA Sorting Machine</t>
  </si>
  <si>
    <t>26.6 TO 29/25 Rnd Clear J/C(P Plt</t>
  </si>
  <si>
    <t>PRT  REL</t>
  </si>
  <si>
    <t>IM02 CYCT 13.3 96 CAVITY 25984 PC PER HR</t>
  </si>
  <si>
    <t>IMD VISTA Sorting Machine</t>
  </si>
  <si>
    <t>3100008194</t>
  </si>
  <si>
    <t>26.6TO29/25Rnd'ALM'BLUE J/C(PP-HDG)</t>
  </si>
  <si>
    <t>PRT  REL</t>
  </si>
  <si>
    <t>IMP12 CYCT 13.3 96 CAVITY 25984 PC</t>
  </si>
  <si>
    <t>IMD VISTA Sorting Machine</t>
  </si>
  <si>
    <t>3100008195</t>
  </si>
  <si>
    <t>PET Blue Preform For Grinding</t>
  </si>
  <si>
    <t>PRT  REL</t>
  </si>
  <si>
    <t>IMP12 CYCT 15.6 96 CAVITY 22153 PC</t>
  </si>
  <si>
    <t>IMD VISTA Sorting Machine</t>
  </si>
  <si>
    <t>26.6TO29/25Rnd Nova Blue -ST-BC 211</t>
  </si>
  <si>
    <t>PRT  REL</t>
  </si>
  <si>
    <t>IMP12 CYCT 15.6 96 CAVITY 22153 PC</t>
  </si>
  <si>
    <t>IMD VISTA Sorting Machine</t>
  </si>
  <si>
    <t>3100008196</t>
  </si>
  <si>
    <t>PET Clear Preform For Grinding</t>
  </si>
  <si>
    <t>PRT  REL</t>
  </si>
  <si>
    <t>IMP12 CYT 16.7 96 CAV 20694 PC PER HR</t>
  </si>
  <si>
    <t>IMD VISTA Sorting Machine</t>
  </si>
  <si>
    <t>36.0 BC 38mm 3 Rnd Clear Steel C-(Aujan)</t>
  </si>
  <si>
    <t>PRT  REL</t>
  </si>
  <si>
    <t>IMP12 CYT 16.7 96 CAV 20694 PC PER HR</t>
  </si>
  <si>
    <t>IMD VISTA Sorting Machine</t>
  </si>
  <si>
    <t>3100008197</t>
  </si>
  <si>
    <t>36.0 BC38mm 3 Rnd Clear OJ/C(W plt</t>
  </si>
  <si>
    <t>PRT  REL</t>
  </si>
  <si>
    <t>IMP12 CYT 16.7 96 CAV 20694 PC PER HR</t>
  </si>
  <si>
    <t>IMD VISTA Sorting Machine</t>
  </si>
  <si>
    <t>3100008198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</si>
  <si>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</si>
  <si>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</si>
  <si>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</si>
  <si>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</si>
  <si>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</si>
  <si>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</si>
  <si>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</si>
  <si>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</si>
  <si>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3100008199</t>
  </si>
  <si>
    <t>36.0 BC 38mm 3 Rnd Clear Steel C-(Aujan)</t>
  </si>
  <si>
    <t>PRT  REL</t>
  </si>
  <si>
    <t>IMP12 CYT 16.5 96 CAV 20945 PC PER HR</t>
  </si>
  <si>
    <t>IMD VISTA Sorting Machine</t>
  </si>
  <si>
    <t>3100008200</t>
  </si>
  <si>
    <t>Plain Self Adhes W105XH165mm–BOPP 1000/R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</si>
  <si>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</si>
  <si>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</si>
  <si>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</si>
  <si>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</si>
  <si>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</si>
  <si>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</si>
  <si>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</si>
  <si>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3100008201</t>
  </si>
  <si>
    <t>45.0 PCO 1881 ICI Green J/C(P Plt - SIPA</t>
  </si>
  <si>
    <t>PRT  REL</t>
  </si>
  <si>
    <t>INTRA VIS Preform Sorting Machine</t>
  </si>
  <si>
    <t>3100008202</t>
  </si>
  <si>
    <t>52.0BC1RD-GL-G</t>
  </si>
  <si>
    <t>52.0 BC 38mm 3 Rnd Gold OJ/C(W plt</t>
  </si>
  <si>
    <t>IMD VISTA Sorting Machine</t>
  </si>
  <si>
    <t>3100008203</t>
  </si>
  <si>
    <t>60.0BC1RD-CL-A</t>
  </si>
  <si>
    <t>60.0 BC 38mm Rnd Clear J/C(W plt</t>
  </si>
  <si>
    <t>PRT  REL</t>
  </si>
  <si>
    <t>INTRA VIS Preform Sorting Machine</t>
  </si>
  <si>
    <t>3100008204</t>
  </si>
  <si>
    <t>30.5 PCO 1881Rnd CLR J/C(PP JOM HDG-SIPA</t>
  </si>
  <si>
    <t>PRT  REL</t>
  </si>
  <si>
    <t>IMPS06 CYCT 15 CAV 180  PCS PER HR 43200</t>
  </si>
  <si>
    <t>IMD VISTA Sorting Machine</t>
  </si>
  <si>
    <t>3100008205</t>
  </si>
  <si>
    <t>14.0 PCO 1881 Rnd Clear J/C(W Plt</t>
  </si>
  <si>
    <t>PRT  REL</t>
  </si>
  <si>
    <t>IM24 CYCT 11 96 CAVITY 31418 PC PER HR</t>
  </si>
  <si>
    <t>INTRA VIS Preform Sorting Machine</t>
  </si>
  <si>
    <t>3100008206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</si>
  <si>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</si>
  <si>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</si>
  <si>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</si>
  <si>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</si>
  <si>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</si>
  <si>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</si>
  <si>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</si>
  <si>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</si>
  <si>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3100008207</t>
  </si>
  <si>
    <t>30.5 PCO 1881Rnd CLR J/C(PP JOM HDG-SIPA</t>
  </si>
  <si>
    <t>PRT  REL</t>
  </si>
  <si>
    <t>IMPS06 CYCT 15 CAV 180  PCS PER HR 43200</t>
  </si>
  <si>
    <t>IMD VISTA Sorting Machine</t>
  </si>
  <si>
    <t>3100008208</t>
  </si>
  <si>
    <t>Plain Self Adhes W105XH165mm–BOPP 1000/R</t>
  </si>
  <si>
    <t>PRT  REL</t>
  </si>
  <si>
    <t>IMPS07 CYT 17.3 144 CAV 29965 PC PER HR</t>
  </si>
  <si>
    <t>IMD VISTA Sorting Machine</t>
  </si>
  <si>
    <t>PET Clear Preform For Grinding</t>
  </si>
  <si>
    <t>PRT  REL</t>
  </si>
  <si>
    <t>IMPS07 CYT 17.3 144 CAV 29965 PC PER HR</t>
  </si>
  <si>
    <t>IMD VISTA Sorting Machine</t>
  </si>
  <si>
    <t>45.0 PCO 1881 Rnd Clear Mena Bev</t>
  </si>
  <si>
    <t>PRT  REL</t>
  </si>
  <si>
    <t>IMPS07 CYT 17.3 144 CAV 29965 PC PER HR</t>
  </si>
  <si>
    <t>IMD VISTA Sorting Machine</t>
  </si>
  <si>
    <t>3100008209</t>
  </si>
  <si>
    <t>45.0 PCO 1881Rd Clear J/C(P Plt - SIPA</t>
  </si>
  <si>
    <t>PRT  REL</t>
  </si>
  <si>
    <t>IMPS07 CYT 17.3 144 CAV 29965 PC PER HR</t>
  </si>
  <si>
    <t>IMD VISTA Sorting Machine</t>
  </si>
  <si>
    <t>3100008210</t>
  </si>
  <si>
    <t>11.5 TO29/25 Rnd Clear MenaBev (PP)</t>
  </si>
  <si>
    <t>PRT  REL</t>
  </si>
  <si>
    <t>IMPS05 CYT 7.1 180 CAV 91267 PC PER HR</t>
  </si>
  <si>
    <t>INTRA VIS Preform Sorting Machine</t>
  </si>
  <si>
    <t>3100008211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</si>
  <si>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</si>
  <si>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</si>
  <si>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</si>
  <si>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</si>
  <si>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</si>
  <si>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</si>
  <si>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</si>
  <si>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</si>
  <si>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3100008212</t>
  </si>
  <si>
    <t>Plain Self Adhes W105XH165mm–BOPP 1000/R</t>
  </si>
  <si>
    <t>PRT  REL</t>
  </si>
  <si>
    <t>IMP19 CYT 14.5 72 CAV 17875 PC PER HR</t>
  </si>
  <si>
    <t>IMD VISTA Sorting Machine</t>
  </si>
  <si>
    <t>PET Clear Preform For Grinding</t>
  </si>
  <si>
    <t>PRT  REL</t>
  </si>
  <si>
    <t>IMP19 CYT 14.5 72 CAV 17875 PC PER HR</t>
  </si>
  <si>
    <t>IMD VISTA Sorting Machine</t>
  </si>
  <si>
    <t>34.0 BC38mm 3 ECO Huayan Clear steel C</t>
  </si>
  <si>
    <t>PRT  REL</t>
  </si>
  <si>
    <t>IMP19 CYT 14.5 72 CAV 17875 PC PER HR</t>
  </si>
  <si>
    <t>IMD VISTA Sorting Machine</t>
  </si>
  <si>
    <t>3100008213</t>
  </si>
  <si>
    <t>30.5 PCO 1881Rnd CLR J/C(PP JOM HDG-SIPA</t>
  </si>
  <si>
    <t>PRT  REL</t>
  </si>
  <si>
    <t>IMPS06 CYCT 15 CAV 180  PCS PER HR 43200</t>
  </si>
  <si>
    <t>IMD VISTA Sorting Machine</t>
  </si>
  <si>
    <t>3100008214</t>
  </si>
  <si>
    <t>14.0 PCO 1881 Rnd Clear J/C(W Plt</t>
  </si>
  <si>
    <t>PRT  REL</t>
  </si>
  <si>
    <t>IM24 CYCT 11 96 CAVITY 31418 PC PER HR</t>
  </si>
  <si>
    <t>INTRA VIS Preform Sorting Machine</t>
  </si>
  <si>
    <t>3100008215</t>
  </si>
  <si>
    <t>45.0 PCO 1881 ICI Green J/C(P Plt - SIPA</t>
  </si>
  <si>
    <t>PRT  REL</t>
  </si>
  <si>
    <t>IMPS07 CYT 17.3 144 CAV 29965 PC PER HR</t>
  </si>
  <si>
    <t>IMD VISTA Sorting Machine</t>
  </si>
  <si>
    <t>3100008216</t>
  </si>
  <si>
    <t>45.0 PCO 1881 ICI Green J/C(P Plt - SIPA</t>
  </si>
  <si>
    <t>PRT  REL</t>
  </si>
  <si>
    <t>IMPS07 CYT 17.3 144 CAV 29965 PC PER HR</t>
  </si>
  <si>
    <t>INTRA VIS Preform Sorting Machine</t>
  </si>
  <si>
    <t>3100008217</t>
  </si>
  <si>
    <t>30.5 PCO 1881Rnd CLR J/C(PP JOM HDG-SIPA</t>
  </si>
  <si>
    <t>PRT  REL</t>
  </si>
  <si>
    <t>IMPS06 CYCT 15 CAV 180  PCS PER HR 43200</t>
  </si>
  <si>
    <t>INTRA VIS Preform Sorting Machine</t>
  </si>
  <si>
    <t>PET Clear Preform For Grinding</t>
  </si>
  <si>
    <t>PRT  REL</t>
  </si>
  <si>
    <t>IMPS06 CYCT 15 CAV 180  PCS PER HR 43200</t>
  </si>
  <si>
    <t>INTRA VIS Preform Sorting Machine</t>
  </si>
  <si>
    <t>3100008218</t>
  </si>
  <si>
    <t>12.7 BC38mm 3 ECO Clear Steel c.</t>
  </si>
  <si>
    <t>PRT  REL</t>
  </si>
  <si>
    <t>IMP07 CYCT 10.2 72 CAV 25412 PC PER HR</t>
  </si>
  <si>
    <t>INTRA VIS Preform Sorting Machine</t>
  </si>
  <si>
    <t>PET Clear Preform For Grinding</t>
  </si>
  <si>
    <t>PRT  REL</t>
  </si>
  <si>
    <t>IMP07 CYCT 10.2 72 CAV 25412 PC PER HR</t>
  </si>
  <si>
    <t>INTRA VIS Preform Sorting Machine</t>
  </si>
  <si>
    <t>3100008219</t>
  </si>
  <si>
    <t>12.5TO29/25Rnd Nova Blue J/C(Ppt-YISHeng</t>
  </si>
  <si>
    <t>IMPS05 CYT 7.5 180 CAV 86400 PC PER HR</t>
  </si>
  <si>
    <t>INTRA VIS Preform Sorting Machine</t>
  </si>
  <si>
    <t>PET Blue Preform For Grinding</t>
  </si>
  <si>
    <t>IMPS05 CYT 7.5 180 CAV 86400 PC PER HR</t>
  </si>
  <si>
    <t>INTRA VIS Preform Sorting Machine</t>
  </si>
  <si>
    <t>3100008220</t>
  </si>
  <si>
    <t>8.30TOLW29/25 L.Blue(≤2ppm)J/C(W pt-SIPA</t>
  </si>
  <si>
    <t>PRT  REL</t>
  </si>
  <si>
    <t>IMPS04 CYT 6.50 180 CAV 99694 pcs</t>
  </si>
  <si>
    <t>INTRA VIS Preform Sorting Machine</t>
  </si>
  <si>
    <t>PET Blue Preform For Grinding</t>
  </si>
  <si>
    <t>PRT  REL</t>
  </si>
  <si>
    <t>IMPS04 CYT 6.50 180 CAV 99694 pcs</t>
  </si>
  <si>
    <t>INTRA VIS Preform Sorting Machine</t>
  </si>
  <si>
    <t>3100008221</t>
  </si>
  <si>
    <t>8.30TO LW 29/25Rd L.Blue J/C(W plt)-SIPA</t>
  </si>
  <si>
    <t>PRT  REL</t>
  </si>
  <si>
    <t>IMPS04 CYT 6.50 180 CAV 99694 pcs</t>
  </si>
  <si>
    <t>INTRA VIS Preform Sorting Machine</t>
  </si>
  <si>
    <t>3100008222</t>
  </si>
  <si>
    <t>34.0 BC38mm 3 ECO Huayan White Steel C</t>
  </si>
  <si>
    <t>PRT  REL</t>
  </si>
  <si>
    <t>IMP19 CYT 14.5 72 CAV 17875 PC PER HR</t>
  </si>
  <si>
    <t>INTRA VIS Preform Sorting Machine</t>
  </si>
  <si>
    <t>3100008223</t>
  </si>
  <si>
    <t>45.0 PCO 1881 ICI Green J/C(P Plt - SIPA</t>
  </si>
  <si>
    <t>PRT  REL</t>
  </si>
  <si>
    <t>IMPS07 CYT 17.3 144 CAV 29965 PC PER HR</t>
  </si>
  <si>
    <t>INTRA VIS Preform Sorting Machine</t>
  </si>
  <si>
    <t>3100008224</t>
  </si>
  <si>
    <t>18.0 BC38mm 3 Rnd Clear Steel C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</si>
  <si>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</si>
  <si>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</si>
  <si>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</si>
  <si>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</si>
  <si>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</si>
  <si>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</si>
  <si>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</si>
  <si>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3100008225</t>
  </si>
  <si>
    <t>9.4TO29/25 Rd Nova Blue-PET"ST-BC211</t>
  </si>
  <si>
    <t>PRT  REL</t>
  </si>
  <si>
    <t>IMPS01 CYT 6.8 180 CAV 95294 PC PER HR</t>
  </si>
  <si>
    <t>INTRA VIS Preform Sorting Machine</t>
  </si>
  <si>
    <t>3100008226</t>
  </si>
  <si>
    <t>52.0 BC38mm 3 Rnd Clear J/C(P Plt</t>
  </si>
  <si>
    <t>PRT  REL</t>
  </si>
  <si>
    <t>IMP01 CYCT 18.5 96CAVITY 18682 PC PER HR</t>
  </si>
  <si>
    <t>INTRA VIS Preform Sorting Machine</t>
  </si>
  <si>
    <t>3100008227</t>
  </si>
  <si>
    <t>45.0 PCO 1881 ICI Green J/C(P Plt - SIPA</t>
  </si>
  <si>
    <t>PRT  REL</t>
  </si>
  <si>
    <t>IMPS07 CYT 17.3 144 CAV 29965 PC PER HR</t>
  </si>
  <si>
    <t>INTRA VIS Preform Sorting Machine</t>
  </si>
  <si>
    <t>3100008228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</si>
  <si>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</si>
  <si>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</si>
  <si>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</si>
  <si>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</si>
  <si>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</si>
  <si>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</si>
  <si>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</si>
  <si>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</si>
  <si>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</si>
  <si>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</si>
  <si>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</si>
  <si>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</si>
  <si>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</si>
  <si>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</si>
  <si>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</si>
  <si>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</si>
  <si>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</si>
  <si>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</si>
  <si>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</si>
  <si>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</si>
  <si>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3100008229</t>
  </si>
  <si>
    <t>30.5PCO1881 ICI GreenJ/C(PP JOM HDG-SIPA</t>
  </si>
  <si>
    <t>PRT  REL</t>
  </si>
  <si>
    <t>IMPS06 CYCT 15 CAV 180  PCS PER HR 43200</t>
  </si>
  <si>
    <t>INTRA VIS Preform Sorting Machine</t>
  </si>
  <si>
    <t>3100008230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</si>
  <si>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</si>
  <si>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</si>
  <si>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</si>
  <si>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</si>
  <si>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</si>
  <si>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</si>
  <si>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</si>
  <si>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</si>
  <si>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3100008231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</si>
  <si>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</si>
  <si>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</si>
  <si>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</si>
  <si>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</si>
  <si>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</si>
  <si>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</si>
  <si>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</si>
  <si>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</si>
  <si>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3100008232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</si>
  <si>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</si>
  <si>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</si>
  <si>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</si>
  <si>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</si>
  <si>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</si>
  <si>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</si>
  <si>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</si>
  <si>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</si>
  <si>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3100008233</t>
  </si>
  <si>
    <t>Plain Self Adhes W105XH165mm–BOPP 1000/R</t>
  </si>
  <si>
    <t>PRT  REL</t>
  </si>
  <si>
    <t>IMPS01 CYT 6.8 180 CAV 95294 PC PER HR</t>
  </si>
  <si>
    <t>IMD VISTA Sorting Machine</t>
  </si>
  <si>
    <t>9.70 29/25 Rnd Clear J/C(P Plt)-SIPA</t>
  </si>
  <si>
    <t>PRT  REL</t>
  </si>
  <si>
    <t>IMPS01 CYT 6.8 180 CAV 95294 PC PER HR</t>
  </si>
  <si>
    <t>IMD VISTA Sorting Machine</t>
  </si>
  <si>
    <t>3100008234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</si>
  <si>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</si>
  <si>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</si>
  <si>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</si>
  <si>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</si>
  <si>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</si>
  <si>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</si>
  <si>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</si>
  <si>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</si>
  <si>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3100008235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</si>
  <si>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</si>
  <si>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</si>
  <si>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</si>
  <si>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</si>
  <si>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</si>
  <si>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</si>
  <si>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</si>
  <si>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</si>
  <si>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3100008236</t>
  </si>
  <si>
    <t>30.5 PCO 1881Rnd CLR J/C(PP JOM HDG-SIPA</t>
  </si>
  <si>
    <t>PRT  REL</t>
  </si>
  <si>
    <t>IMPS06 CYCT 15 CAV 180  PCS PER HR 43200</t>
  </si>
  <si>
    <t>IMD VISTA Sorting Machine</t>
  </si>
  <si>
    <t>3100008237</t>
  </si>
  <si>
    <t>PET Clear Preform For Grinding</t>
  </si>
  <si>
    <t>PRT  REL</t>
  </si>
  <si>
    <t>IMPS06 CYCT 15 CAV 180  PCS PER HR 43200</t>
  </si>
  <si>
    <t>IMD VISTA Sorting Machine</t>
  </si>
  <si>
    <t>30.5 PCO 1881 Rnd CLR Mena Bev Spec-SIPA</t>
  </si>
  <si>
    <t>PRT  REL</t>
  </si>
  <si>
    <t>IMPS06 CYCT 15 CAV 180  PCS PER HR 43200</t>
  </si>
  <si>
    <t>IMD VISTA Sorting Machine</t>
  </si>
  <si>
    <t>3100008238</t>
  </si>
  <si>
    <t>Plain Self Adhes W105XH165mm–BOPP 1000/R</t>
  </si>
  <si>
    <t>PRT  REL</t>
  </si>
  <si>
    <t>IMPS01 CYT 6.8 180 CAV 95294 PC PER HR</t>
  </si>
  <si>
    <t>IMD VISTA Sorting Machine</t>
  </si>
  <si>
    <t>9.70 29/25 Rnd Clear J/C(P Plt)-SIPA</t>
  </si>
  <si>
    <t>PRT  REL</t>
  </si>
  <si>
    <t>IMPS01 CYT 6.8 180 CAV 95294 PC PER HR</t>
  </si>
  <si>
    <t>IMD VISTA Sorting Machine</t>
  </si>
  <si>
    <t>3100008239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</si>
  <si>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</si>
  <si>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</si>
  <si>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</si>
  <si>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</si>
  <si>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</si>
  <si>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</si>
  <si>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</si>
  <si>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</si>
  <si>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3100008240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</si>
  <si>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</si>
  <si>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</si>
  <si>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</si>
  <si>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</si>
  <si>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</si>
  <si>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</si>
  <si>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</si>
  <si>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</si>
  <si>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3100008241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</si>
  <si>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</si>
  <si>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</si>
  <si>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</si>
  <si>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</si>
  <si>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</si>
  <si>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</si>
  <si>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</si>
  <si>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</si>
  <si>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3100008242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</si>
  <si>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</si>
  <si>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</si>
  <si>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</si>
  <si>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</si>
  <si>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</si>
  <si>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</si>
  <si>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</si>
  <si>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</si>
  <si>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3100008243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</si>
  <si>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</si>
  <si>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</si>
  <si>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</si>
  <si>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</si>
  <si>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</si>
  <si>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</si>
  <si>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</si>
  <si>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</si>
  <si>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3100008244</t>
  </si>
  <si>
    <t>52.0 BC38mm 3 Rnd Clear J/C(P Plt</t>
  </si>
  <si>
    <t>PRT  REL</t>
  </si>
  <si>
    <t>IMP01 CYCT 18.5 96CAVITY 18682 PC PER HR</t>
  </si>
  <si>
    <t>IMD VISTA Sorting Machine</t>
  </si>
  <si>
    <t>3100008245</t>
  </si>
  <si>
    <t>Plain Self Adhes W105XH165mm–BOPP 1000/R</t>
  </si>
  <si>
    <t>IMPS05 CYT 7.5 180 CAV 86400 PC PER HR</t>
  </si>
  <si>
    <t>IMD VISTA Sorting Machine</t>
  </si>
  <si>
    <t>PET Blue Preform For Grinding</t>
  </si>
  <si>
    <t>IMPS05 CYT 7.5 180 CAV 86400 PC PER HR</t>
  </si>
  <si>
    <t>IMD VISTA Sorting Machine</t>
  </si>
  <si>
    <t>12.5TO29/25Rnd Nova Blue J/C(Ppt-YISHeng</t>
  </si>
  <si>
    <t>IMPS05 CYT 7.5 180 CAV 86400 PC PER HR</t>
  </si>
  <si>
    <t>IMD VISTA Sorting Machine</t>
  </si>
  <si>
    <t>3100008246</t>
  </si>
  <si>
    <t>Plain Self Adhes W105XH165mm–BOPP 1000/R</t>
  </si>
  <si>
    <t>PRT  REL</t>
  </si>
  <si>
    <t>IMPS05 CYT 7.5 180 CAV 86400 PC PER HR</t>
  </si>
  <si>
    <t>IMD VISTA Sorting Machine</t>
  </si>
  <si>
    <t>PET Clear Preform For Grinding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</si>
  <si>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</si>
  <si>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</si>
  <si>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</si>
  <si>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</si>
  <si>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</si>
  <si>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</si>
  <si>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</si>
  <si>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3100008247</t>
  </si>
  <si>
    <t>30.5 PCO 1881 Rnd ICI Green J/C(WP-SIPA</t>
  </si>
  <si>
    <t>PRT  REL</t>
  </si>
  <si>
    <t>IMPS06 CYCT 15 CAV 180  PCS PER HR 43200</t>
  </si>
  <si>
    <t>IMD VISTA Sorting Machine</t>
  </si>
  <si>
    <t>3100008248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</si>
  <si>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</si>
  <si>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</si>
  <si>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</si>
  <si>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</si>
  <si>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</si>
  <si>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</si>
  <si>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</si>
  <si>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</si>
  <si>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3100008249</t>
  </si>
  <si>
    <t>30.5PCO1881 ICI GreenJ/C(PP JOM HDG-SIPA</t>
  </si>
  <si>
    <t>PRT  REL</t>
  </si>
  <si>
    <t>IMPS06 CYCT 15 CAV 180  PCS PER HR 43200</t>
  </si>
  <si>
    <t>IMD VISTA Sorting Machine</t>
  </si>
  <si>
    <t>3100008250</t>
  </si>
  <si>
    <t>26.6 TO 29/25 Rnd Clear J/C(P Plt</t>
  </si>
  <si>
    <t>PRT  REL</t>
  </si>
  <si>
    <t>IMP12 CYCT 15.6 96 CAVITY 22153 PC</t>
  </si>
  <si>
    <t>IMD VISTA Sorting Machine</t>
  </si>
  <si>
    <t>3100008251</t>
  </si>
  <si>
    <t>9.70 29/25 Rnd Clear J/C(P Plt)-SIPA</t>
  </si>
  <si>
    <t>PRT  REL</t>
  </si>
  <si>
    <t>IMPS01 CYT 6.8 180 CAV 95294 PC PER HR</t>
  </si>
  <si>
    <t>INTRA VIS Preform Sorting Machine</t>
  </si>
  <si>
    <t>3100008252</t>
  </si>
  <si>
    <t>30.5PCO1881 ICI GreenJ/C(PP JOM HDG-SIPA</t>
  </si>
  <si>
    <t>PRT  REL</t>
  </si>
  <si>
    <t>IMPS06 CYCT 15 CAV 180  PCS PER HR 43200</t>
  </si>
  <si>
    <t>INTRA VIS Preform Sorting Machine</t>
  </si>
  <si>
    <t>3100008253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</si>
  <si>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</si>
  <si>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</si>
  <si>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</si>
  <si>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</si>
  <si>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</si>
  <si>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</si>
  <si>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</si>
  <si>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</si>
  <si>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3100008254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</si>
  <si>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</si>
  <si>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</si>
  <si>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</si>
  <si>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</si>
  <si>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</si>
  <si>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</si>
  <si>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</si>
  <si>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</si>
  <si>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3100008255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</si>
  <si>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</si>
  <si>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</si>
  <si>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</si>
  <si>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</si>
  <si>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</si>
  <si>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</si>
  <si>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</si>
  <si>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</si>
  <si>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3100008256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</si>
  <si>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</si>
  <si>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</si>
  <si>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</si>
  <si>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</si>
  <si>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</si>
  <si>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</si>
  <si>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</si>
  <si>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</si>
  <si>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3100008257</t>
  </si>
  <si>
    <t>Plain Self Adhes W105XH165mm–BOPP 1000/R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</si>
  <si>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</si>
  <si>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</si>
  <si>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</si>
  <si>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</si>
  <si>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</si>
  <si>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</si>
  <si>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</si>
  <si>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3100008258</t>
  </si>
  <si>
    <t>9.70 29/25 Rnd Clear J/C(P Plt)-SIPA</t>
  </si>
  <si>
    <t>PRT  REL</t>
  </si>
  <si>
    <t>IMPS01 CYT 6.8 180 CAV 95294 PC PER HR</t>
  </si>
  <si>
    <t>INTRA VIS Preform Sorting Machine</t>
  </si>
  <si>
    <t>3100008259</t>
  </si>
  <si>
    <t>30.5PCO1881 ICI GreenJ/C(PP JOM HDG-SIPA</t>
  </si>
  <si>
    <t>PRT  REL</t>
  </si>
  <si>
    <t>IMPS06 CYCT 15 CAV 180  PCS PER HR 43200</t>
  </si>
  <si>
    <t>INTRA VIS Preform Sorting Machine</t>
  </si>
  <si>
    <t>3100008260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</si>
  <si>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</si>
  <si>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</si>
  <si>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</si>
  <si>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</si>
  <si>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</si>
  <si>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</si>
  <si>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</si>
  <si>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</si>
  <si>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3100008261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</si>
  <si>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</si>
  <si>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</si>
  <si>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</si>
  <si>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</si>
  <si>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</si>
  <si>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</si>
  <si>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</si>
  <si>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</si>
  <si>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3100008262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</si>
  <si>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</si>
  <si>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</si>
  <si>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</si>
  <si>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</si>
  <si>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</si>
  <si>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</si>
  <si>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</si>
  <si>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</si>
  <si>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3100008263</t>
  </si>
  <si>
    <t>Plain Self Adhes W105XH165mm–BOPP 1000/R</t>
  </si>
  <si>
    <t>PRT  REL</t>
  </si>
  <si>
    <t>IMPS01 CYT 6.8 180 CAV 95294 PC PER HR</t>
  </si>
  <si>
    <t>IMD VISTA Sorting Machine</t>
  </si>
  <si>
    <t>9.70 29/25 Rnd Clear J/C(P Plt)-SIPA</t>
  </si>
  <si>
    <t>PRT  REL</t>
  </si>
  <si>
    <t>IMPS01 CYT 6.8 180 CAV 95294 PC PER HR</t>
  </si>
  <si>
    <t>IMD VISTA Sorting Machine</t>
  </si>
  <si>
    <t>3100008264</t>
  </si>
  <si>
    <t>30.5PCO1881 ICI GreenJ/C(PP JOM HDG-SIPA</t>
  </si>
  <si>
    <t>PRT  REL</t>
  </si>
  <si>
    <t>IMPS06 CYCT 15 CAV 180  PCS PER HR 43200</t>
  </si>
  <si>
    <t>IMD VISTA Sorting Machine</t>
  </si>
  <si>
    <t>3100008265</t>
  </si>
  <si>
    <t>45.0 PCO 1881 Rnd ICI Green Mena Bev</t>
  </si>
  <si>
    <t>PRT  REL</t>
  </si>
  <si>
    <t>IMPS07 CYT 17.3 144 CAV 29965 PC PER HR</t>
  </si>
  <si>
    <t>IMD VISTA Sorting Machine</t>
  </si>
  <si>
    <t>3100008266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</si>
  <si>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</si>
  <si>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</si>
  <si>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</si>
  <si>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</si>
  <si>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</si>
  <si>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</si>
  <si>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</si>
  <si>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</si>
  <si>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3100008267</t>
  </si>
  <si>
    <t>Plain Self Adhes W105XH165mm–BOPP 1000/R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</si>
  <si>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</si>
  <si>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</si>
  <si>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</si>
  <si>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</si>
  <si>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</si>
  <si>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</si>
  <si>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</si>
  <si>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3100008268</t>
  </si>
  <si>
    <t>11.5TO2RD-LBS1-A</t>
  </si>
  <si>
    <t>11.5 TO29/25Rd L.Blue(≤2ppm)J/C(WP-SIPA</t>
  </si>
  <si>
    <t>PRT  REL</t>
  </si>
  <si>
    <t>IMPS05 CYT 7.1 180 CAV 91267 PC PER HR</t>
  </si>
  <si>
    <t>INTRA VIS Preform Sorting Machine</t>
  </si>
  <si>
    <t>3100008269</t>
  </si>
  <si>
    <t>30.5PCO1881 ICI GreenJ/C(PP JOM HDG-SIPA</t>
  </si>
  <si>
    <t>PRT  REL</t>
  </si>
  <si>
    <t>IMPS06 CYCT 15 CAV 180  PCS PER HR 43200</t>
  </si>
  <si>
    <t>IMD VISTA Sorting Machine</t>
  </si>
  <si>
    <t>3100008270</t>
  </si>
  <si>
    <t>Plain Self Adhes W105XH165mm–BOPP 1000/R</t>
  </si>
  <si>
    <t>PRT  REL</t>
  </si>
  <si>
    <t>IMPS01 CYT 6.8 180 CAV 95294 PC PER HR</t>
  </si>
  <si>
    <t>IMD VISTA Sorting Machine</t>
  </si>
  <si>
    <t>9.70 29/25 Rnd Clear J/C(P Plt)-SIPA</t>
  </si>
  <si>
    <t>PRT  REL</t>
  </si>
  <si>
    <t>IMPS01 CYT 6.8 180 CAV 95294 PC PER HR</t>
  </si>
  <si>
    <t>IMD VISTA Sorting Machine</t>
  </si>
  <si>
    <t>3100008271</t>
  </si>
  <si>
    <t>PET Clear Preform For Grinding</t>
  </si>
  <si>
    <t>PRT  REL</t>
  </si>
  <si>
    <t>IMP12 CYT 16.7 96 CAV 20694 PC PER HR</t>
  </si>
  <si>
    <t>IMD VISTA Sorting Machine</t>
  </si>
  <si>
    <t>36.0 BC 38mm 3 Rnd Clear Steel C-(Aujan)</t>
  </si>
  <si>
    <t>PRT  REL</t>
  </si>
  <si>
    <t>IMP12 CYT 16.7 96 CAV 20694 PC PER HR</t>
  </si>
  <si>
    <t>IMD VISTA Sorting Machine</t>
  </si>
  <si>
    <t>36.0 BC 38mm 3 Rnd Clear Steel C-(Aujan)</t>
  </si>
  <si>
    <t>IMP12 CYT 16.7 96 CAV 20694 PC PER HR</t>
  </si>
  <si>
    <t>IMD VISTA Sorting Machine</t>
  </si>
  <si>
    <t>3100008272</t>
  </si>
  <si>
    <t>36.0 BC38mm 3 Rnd Clear OJ/C(W plt</t>
  </si>
  <si>
    <t>PRT  REL</t>
  </si>
  <si>
    <t>IMP12 CYT 16.7 96 CAV 20694 PC PER HR</t>
  </si>
  <si>
    <t>IMD VISTA Sorting Machine</t>
  </si>
  <si>
    <t>3100008273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</si>
  <si>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</si>
  <si>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</si>
  <si>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</si>
  <si>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</si>
  <si>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</si>
  <si>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</si>
  <si>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</si>
  <si>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</si>
  <si>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</si>
  <si>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</si>
  <si>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</si>
  <si>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</si>
  <si>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3100008274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</si>
  <si>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</si>
  <si>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</si>
  <si>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</si>
  <si>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</si>
  <si>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</si>
  <si>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</si>
  <si>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</si>
  <si>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</si>
  <si>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</si>
  <si>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</si>
  <si>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</si>
  <si>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</si>
  <si>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3100008275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</si>
  <si>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</si>
  <si>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</si>
  <si>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</si>
  <si>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</si>
  <si>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</si>
  <si>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</si>
  <si>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</si>
  <si>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</si>
  <si>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</si>
  <si>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</si>
  <si>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</si>
  <si>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</si>
  <si>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3100008276</t>
  </si>
  <si>
    <t>Plain Self Adhes W105XH165mm–BOPP 1000/R</t>
  </si>
  <si>
    <t>PRT  REL</t>
  </si>
  <si>
    <t>IMPS01 CYT 6.8 180 CAV 95294 PC PER HR</t>
  </si>
  <si>
    <t>INTRA VIS Preform Sorting Machine</t>
  </si>
  <si>
    <t>PET Clear Preform For Grinding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</si>
  <si>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</si>
  <si>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</si>
  <si>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</si>
  <si>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</si>
  <si>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</si>
  <si>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</si>
  <si>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</si>
  <si>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3100008277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</si>
  <si>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</si>
  <si>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</si>
  <si>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</si>
  <si>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</si>
  <si>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</si>
  <si>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</si>
  <si>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</si>
  <si>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</si>
  <si>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3100008278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</si>
  <si>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</si>
  <si>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</si>
  <si>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</si>
  <si>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</si>
  <si>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J/CWplt(≤1ppm)SIPA</t>
  </si>
  <si>
    <t>PRT  REL</t>
  </si>
  <si>
    <t>IMPS01 CYT 6.8 180 CAV 95294 PC PER HR</t>
  </si>
  <si>
    <t>IMD VISTA Sorting Machine</t>
  </si>
  <si>
    <t>3100008279</t>
  </si>
  <si>
    <t>Plain Self Adhes W105XH165mm–BOPP 1000/R</t>
  </si>
  <si>
    <t>PRT  REL</t>
  </si>
  <si>
    <t>IMPS01 CYT 6.8 180 CAV 95294 PC PER HR</t>
  </si>
  <si>
    <t>IMD VISTA Sorting Machine</t>
  </si>
  <si>
    <t>9.4TO 29/25Rnd L.Blue J/CWplt(≤2ppm)SIPA</t>
  </si>
  <si>
    <t>PRT  REL</t>
  </si>
  <si>
    <t>IMPS01 CYT 6.8 180 CAV 95294 PC PER HR</t>
  </si>
  <si>
    <t>IMD VISTA Sorting Machine</t>
  </si>
  <si>
    <t>3100008280</t>
  </si>
  <si>
    <t>Plain Self Adhes W105XH165mm–BOPP 1000/R</t>
  </si>
  <si>
    <t>PRT  REL</t>
  </si>
  <si>
    <t>IMPS01 CYT 6.8 180 CAV 95294 PC PER HR</t>
  </si>
  <si>
    <t>IMD VISTA Sorting Machine</t>
  </si>
  <si>
    <t>9.4TO29/25 Rd Nova Blue-PET"ST-BC211</t>
  </si>
  <si>
    <t>PRT  REL</t>
  </si>
  <si>
    <t>IMPS01 CYT 6.8 180 CAV 95294 PC PER HR</t>
  </si>
  <si>
    <t>IMD VISTA Sorting Machine</t>
  </si>
  <si>
    <t>3100008281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</si>
  <si>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</si>
  <si>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</si>
  <si>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</si>
  <si>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</si>
  <si>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</si>
  <si>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</si>
  <si>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</si>
  <si>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</si>
  <si>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3100008282</t>
  </si>
  <si>
    <t>Plain Self Adhes W105XH165mm–BOPP 1000/R</t>
  </si>
  <si>
    <t>PRT  REL</t>
  </si>
  <si>
    <t>IMP19 CYT 14.5 72 CAV 17875 PC PER HR</t>
  </si>
  <si>
    <t>IMD VISTA Sorting Machine</t>
  </si>
  <si>
    <t>34.0 BC38mm 3 ECO Huayan Clear steel C</t>
  </si>
  <si>
    <t>PRT  REL</t>
  </si>
  <si>
    <t>IMP19 CYT 14.5 72 CAV 17875 PC PER HR</t>
  </si>
  <si>
    <t>IMD VISTA Sorting Machine</t>
  </si>
  <si>
    <t>3100008283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</si>
  <si>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</si>
  <si>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</si>
  <si>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</si>
  <si>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</si>
  <si>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</si>
  <si>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</si>
  <si>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</si>
  <si>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</si>
  <si>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3100008284</t>
  </si>
  <si>
    <t>7.45TO29/25Rnd'ALM'BLUE J/C(PP-SIPA)</t>
  </si>
  <si>
    <t>PRT  REL</t>
  </si>
  <si>
    <t>IMPS03 CYT 6.5 180 CAV 99692 PC PER HR</t>
  </si>
  <si>
    <t>INTRA VIS Preform Sorting Machine</t>
  </si>
  <si>
    <t>3100008285</t>
  </si>
  <si>
    <t>Plain Self Adhes W105XH165mm–BOPP 1000/R</t>
  </si>
  <si>
    <t>PRT  REL</t>
  </si>
  <si>
    <t>IMP12 CYCT 13.3 96 CAVITY 25984 PC</t>
  </si>
  <si>
    <t>IMD VISTA Sorting Machine</t>
  </si>
  <si>
    <t>PET Blue Preform For Grinding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</si>
  <si>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</si>
  <si>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</si>
  <si>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</si>
  <si>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</si>
  <si>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</si>
  <si>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</si>
  <si>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</si>
  <si>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3100008286</t>
  </si>
  <si>
    <t>26.6 29/25 Rnd Light Blue J/C(W Plt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</si>
  <si>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</si>
  <si>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</si>
  <si>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</si>
  <si>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</si>
  <si>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</si>
  <si>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</si>
  <si>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</si>
  <si>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3100008287</t>
  </si>
  <si>
    <t>12.5TO29/25Rnd Nova Blue J/C(Ppt-YISHeng</t>
  </si>
  <si>
    <t>PRT  REL</t>
  </si>
  <si>
    <t>IMPS05 CYT 7.5 180 CAV 86400 PC PER HR</t>
  </si>
  <si>
    <t>IMD VISTA Sorting Machine</t>
  </si>
  <si>
    <t>3100008288</t>
  </si>
  <si>
    <t>12.5 TO29/25Rd L.Blue(≤ 2ppm)J/C(WP-SIPA</t>
  </si>
  <si>
    <t>PRT  REL</t>
  </si>
  <si>
    <t>IMPS05 CYT 7.5 180 CAV 86400 PC PER HR</t>
  </si>
  <si>
    <t>IMD VISTA Sorting Machine</t>
  </si>
  <si>
    <t>3100008289</t>
  </si>
  <si>
    <t>PET Blue Preform For Grinding</t>
  </si>
  <si>
    <t>PRT  REL</t>
  </si>
  <si>
    <t>IMPS05 CYT 7.5 180 CAV 86400 PC PER HR</t>
  </si>
  <si>
    <t>IMD VISTA Sorting Machine</t>
  </si>
  <si>
    <t>12.5 TO29/25Rd L.Blue J/C(WP-SIPA</t>
  </si>
  <si>
    <t>PRT  REL</t>
  </si>
  <si>
    <t>IMPS05 CYT 7.5 180 CAV 86400 PC PER HR</t>
  </si>
  <si>
    <t>IMD VISTA Sorting Machine</t>
  </si>
  <si>
    <t>3100008290</t>
  </si>
  <si>
    <t>52.0BC1RD-CLS-B</t>
  </si>
  <si>
    <t>52.0 BC38mm 3 Rnd Clear J/C(Pplt)SIPA</t>
  </si>
  <si>
    <t>PRT  REL</t>
  </si>
  <si>
    <t>IMP01 CYCT 18.5 96CAVITY 18682 PC PER HR</t>
  </si>
  <si>
    <t>INTRA VIS Preform Sorting Machine</t>
  </si>
  <si>
    <t>3100008291</t>
  </si>
  <si>
    <t>45.0 PCO 1881 Rnd Clear Mena Bev</t>
  </si>
  <si>
    <t>PRT  REL</t>
  </si>
  <si>
    <t>IMD VISTA Sorting Machine</t>
  </si>
  <si>
    <t>45.0 PCO 1881Rd Clear J/C(P Plt - SIPA</t>
  </si>
  <si>
    <t>PRT  REL</t>
  </si>
  <si>
    <t>IMD VISTA Sorting Machine</t>
  </si>
  <si>
    <t>3100008292</t>
  </si>
  <si>
    <t>208011580</t>
  </si>
  <si>
    <t>SAFI Label 850ml Full Fat Laban- 26D</t>
  </si>
  <si>
    <t>PRT  REL</t>
  </si>
  <si>
    <t>SBM04 8 Cav 6000 PCS Hr</t>
  </si>
  <si>
    <t>IMD VISTA Sorting Machine</t>
  </si>
  <si>
    <t>C'Tray EE1(1140X1042X70)mm-3P,347g-Plain</t>
  </si>
  <si>
    <t>PRT  REL</t>
  </si>
  <si>
    <t>SBM04 8 Cav 6000 PCS Hr</t>
  </si>
  <si>
    <t>IMD VISTA Sorting Machine</t>
  </si>
  <si>
    <t>200136</t>
  </si>
  <si>
    <t>PE bag, 40 mic, 101 x 160 cm 14 cm gus</t>
  </si>
  <si>
    <t>PRT  REL</t>
  </si>
  <si>
    <t>SBM04 8 Cav 6000 PCS Hr</t>
  </si>
  <si>
    <t>IMD VISTA Sorting Machine</t>
  </si>
  <si>
    <t>Plain Self Adhes W105XH165mm–BOPP 1000/R</t>
  </si>
  <si>
    <t>PRT  REL</t>
  </si>
  <si>
    <t>SBM04 8 Cav 6000 PCS Hr</t>
  </si>
  <si>
    <t>IMD VISTA Sorting Machine</t>
  </si>
  <si>
    <t>Transparent Tape roll 2'' wide 45mic</t>
  </si>
  <si>
    <t>PRT  REL</t>
  </si>
  <si>
    <t>SBM04 8 Cav 6000 PCS Hr</t>
  </si>
  <si>
    <t>IMD VISTA Sorting Machine</t>
  </si>
  <si>
    <t>210010006</t>
  </si>
  <si>
    <t>Technomelt EM 357</t>
  </si>
  <si>
    <t>PRT  REL</t>
  </si>
  <si>
    <t>SBM04 8 Cav 6000 PCS Hr</t>
  </si>
  <si>
    <t>IMD VISTA Sorting Machine</t>
  </si>
  <si>
    <t>210010007</t>
  </si>
  <si>
    <t>Technomelt Cleaner 103</t>
  </si>
  <si>
    <t>PRT  REL</t>
  </si>
  <si>
    <t>SBM04 8 Cav 6000 PCS Hr</t>
  </si>
  <si>
    <t>IMD VISTA Sorting Machine</t>
  </si>
  <si>
    <t>Honeywell Intermec Ribbon 110*450</t>
  </si>
  <si>
    <t>PRT  REL</t>
  </si>
  <si>
    <t>SBM04 8 Cav 6000 PCS Hr</t>
  </si>
  <si>
    <t>IMD VISTA Sorting Machine</t>
  </si>
  <si>
    <t>St. Film [1.2K.g] 17micx500mmx1500 (Bio)</t>
  </si>
  <si>
    <t>PRT  REL</t>
  </si>
  <si>
    <t>SBM04 8 Cav 6000 PCS Hr</t>
  </si>
  <si>
    <t>IMD VISTA Sorting Machine</t>
  </si>
  <si>
    <t>Safi 850ml PET WHT BT-F.F Laban-25D V2</t>
  </si>
  <si>
    <t>PRT  REL</t>
  </si>
  <si>
    <t>SBM04 8 Cav 6000 PCS Hr</t>
  </si>
  <si>
    <t>IMD VISTA Sorting Machine</t>
  </si>
  <si>
    <t>3100008293</t>
  </si>
  <si>
    <t>30.5 PCO 1881Rnd CLR J/C(PP JOM HDG-SIPA</t>
  </si>
  <si>
    <t>DLT  PRT  REL</t>
  </si>
  <si>
    <t>IMPS06 CYCT 15 CAV 180  PCS PER HR 43200</t>
  </si>
  <si>
    <t>IMD VISTA Sorting Machine</t>
  </si>
  <si>
    <t>30.5 PCO 1881 Rnd Clear J/C(W plt-SIPA</t>
  </si>
  <si>
    <t>IMPS06 CYCT 15 CAV 180  PCS PER HR 43200</t>
  </si>
  <si>
    <t>IMD VISTA Sorting Machine</t>
  </si>
  <si>
    <t>3100008294</t>
  </si>
  <si>
    <t>PET Clear Preform For Grinding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</si>
  <si>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</si>
  <si>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</si>
  <si>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</si>
  <si>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</si>
  <si>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</si>
  <si>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</si>
  <si>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</si>
  <si>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3100008295</t>
  </si>
  <si>
    <t>30.5 PCO 1881 Rnd CLR Mena Bev Spec-SIPA</t>
  </si>
  <si>
    <t>PRT  REL</t>
  </si>
  <si>
    <t>IMPS06 CYCT 15 CAV 180  PCS PER HR 43200</t>
  </si>
  <si>
    <t>IMD VISTA Sorting Machine</t>
  </si>
  <si>
    <t>3100008296</t>
  </si>
  <si>
    <t>30.5PCO1881RndICI GreenMenaBev Spec-SIPA</t>
  </si>
  <si>
    <t>PRT  REL</t>
  </si>
  <si>
    <t>IMPS06 CYCT 15 CAV 180  PCS PER HR 43200</t>
  </si>
  <si>
    <t>IMD VISTA Sorting Machine</t>
  </si>
  <si>
    <t>3100008297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</si>
  <si>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</si>
  <si>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</si>
  <si>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</si>
  <si>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</si>
  <si>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</si>
  <si>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</si>
  <si>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</si>
  <si>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</si>
  <si>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3100008298</t>
  </si>
  <si>
    <t>Plain Self Adhes W105XH165mm–BOPP 1000/R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</si>
  <si>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</si>
  <si>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</si>
  <si>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</si>
  <si>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</si>
  <si>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</si>
  <si>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</si>
  <si>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</si>
  <si>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3100008299</t>
  </si>
  <si>
    <t>Plain Self Adhes W105XH165mm–BOPP 1000/R</t>
  </si>
  <si>
    <t>PRT  REL</t>
  </si>
  <si>
    <t>IMPS02 CYT 6.8 180 CAV 95294 PC PER HR</t>
  </si>
  <si>
    <t>INTRA VIS Preform Sorting Machine</t>
  </si>
  <si>
    <t>9.4 TO 29/25 Rnd Clear J/C(P Plt</t>
  </si>
  <si>
    <t>PRT  REL</t>
  </si>
  <si>
    <t>IMPS02 CYT 6.8 180 CAV 95294 PC PER HR</t>
  </si>
  <si>
    <t>INTRA VIS Preform Sorting Machine</t>
  </si>
  <si>
    <t>3100008300</t>
  </si>
  <si>
    <t>26.6TO29/25Rnd Nova Blue -ST-BC 211</t>
  </si>
  <si>
    <t>PRT  REL</t>
  </si>
  <si>
    <t>IMP12 CYCT 15.6 96 CAVITY 22153 PC</t>
  </si>
  <si>
    <t>IMD VISTA Sorting Machine</t>
  </si>
  <si>
    <t>3100008301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</si>
  <si>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</si>
  <si>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</si>
  <si>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</si>
  <si>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</si>
  <si>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</si>
  <si>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</si>
  <si>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</si>
  <si>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</si>
  <si>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3100008302</t>
  </si>
  <si>
    <t>Plain Self Adhes W105XH165mm–BOPP 1000/R</t>
  </si>
  <si>
    <t>PRT  REL</t>
  </si>
  <si>
    <t>IMP07 CYCT 10.2 72 CAV 25412 PC PER HR</t>
  </si>
  <si>
    <t>INTRA VIS Preform Sorting Machine</t>
  </si>
  <si>
    <t>PET Clear Preform For Grinding</t>
  </si>
  <si>
    <t>PRT  REL</t>
  </si>
  <si>
    <t>IMP07 CYCT 10.2 72 CAV 25412 PC PER HR</t>
  </si>
  <si>
    <t>INTRA VIS Preform Sorting Machine</t>
  </si>
  <si>
    <t>12.7 BC38mm 3 ECO Clear Steel c.</t>
  </si>
  <si>
    <t>PRT  REL</t>
  </si>
  <si>
    <t>IMP07 CYCT 10.2 72 CAV 25412 PC PER HR</t>
  </si>
  <si>
    <t>INTRA VIS Preform Sorting Machine</t>
  </si>
  <si>
    <t>3100008303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</si>
  <si>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</si>
  <si>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</si>
  <si>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</si>
  <si>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</si>
  <si>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</si>
  <si>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</si>
  <si>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</si>
  <si>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</si>
  <si>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3100008304</t>
  </si>
  <si>
    <t>PET Clear Preform For Grinding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</si>
  <si>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</si>
  <si>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</si>
  <si>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</si>
  <si>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</si>
  <si>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</si>
  <si>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</si>
  <si>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</si>
  <si>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3100008305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</si>
  <si>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</si>
  <si>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</si>
  <si>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</si>
  <si>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</si>
  <si>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</si>
  <si>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</si>
  <si>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</si>
  <si>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</si>
  <si>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3100008306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</si>
  <si>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</si>
  <si>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</si>
  <si>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</si>
  <si>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</si>
  <si>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</si>
  <si>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</si>
  <si>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</si>
  <si>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</si>
  <si>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3100008307</t>
  </si>
  <si>
    <t>30.5 PCO 1881 Rnd Clear J/C(W plt-SIPA</t>
  </si>
  <si>
    <t>PRT  REL</t>
  </si>
  <si>
    <t>IMPS06 CYCT 15 CAV 180  PCS PER HR 43200</t>
  </si>
  <si>
    <t>IMD VISTA Sorting Machine</t>
  </si>
  <si>
    <t>3100008308</t>
  </si>
  <si>
    <t>30.5 PCO 1881Rnd CLR J/C(PP JOM HDG-SIPA</t>
  </si>
  <si>
    <t>PRT  REL</t>
  </si>
  <si>
    <t>IMPS06 CYCT 15 CAV 180  PCS PER HR 43200</t>
  </si>
  <si>
    <t>IMD VISTA Sorting Machine</t>
  </si>
  <si>
    <t>3100008309</t>
  </si>
  <si>
    <t>26.6 TO 29/25 Rnd Clear J/C(P Plt</t>
  </si>
  <si>
    <t>PRT  REL</t>
  </si>
  <si>
    <t>IMP12 CYCT 15.6 96 CAVITY 22153 PC</t>
  </si>
  <si>
    <t>IMD VISTA Sorting Machine</t>
  </si>
  <si>
    <t>3100008310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</si>
  <si>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</si>
  <si>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</si>
  <si>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</si>
  <si>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</si>
  <si>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</si>
  <si>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</si>
  <si>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</si>
  <si>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</si>
  <si>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3100008311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</si>
  <si>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</si>
  <si>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</si>
  <si>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</si>
  <si>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</si>
  <si>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</si>
  <si>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</si>
  <si>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</si>
  <si>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</si>
  <si>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3100008312</t>
  </si>
  <si>
    <t>36.0 BC 38mm 3 Rnd Clear Steel C-(Aujan)</t>
  </si>
  <si>
    <t>PRT  REL</t>
  </si>
  <si>
    <t>IMP12 CYT 16.7 96 CAV 20694 PC PER HR</t>
  </si>
  <si>
    <t>IMD VISTA Sorting Machine</t>
  </si>
  <si>
    <t>3100008313</t>
  </si>
  <si>
    <t>52.0 BC38mm 3 Rnd Clear J/C(P Plt</t>
  </si>
  <si>
    <t>PRT  REL</t>
  </si>
  <si>
    <t>IMP01 CYCT 18.5 96CAVITY 18682 PC PER HR</t>
  </si>
  <si>
    <t>INTRA VIS Preform Sorting Machine</t>
  </si>
  <si>
    <t>3100008314</t>
  </si>
  <si>
    <t>52.0 BC 38mm 3 Rnd Clear OJ/C(W plt</t>
  </si>
  <si>
    <t>PRT  REL</t>
  </si>
  <si>
    <t>IMP01 CYCT 18.5 96CAVITY 18682 PC PER HR</t>
  </si>
  <si>
    <t>INTRA VIS Preform Sorting Machine</t>
  </si>
  <si>
    <t>3100008315</t>
  </si>
  <si>
    <t>30.5 PCO 1881Rnd CLR J/C(PP JOM HDG-SIPA</t>
  </si>
  <si>
    <t>PRT  REL</t>
  </si>
  <si>
    <t>IMPS06 CYCT 15 CAV 180  PCS PER HR 43200</t>
  </si>
  <si>
    <t>IMD VISTA Sorting Machine</t>
  </si>
  <si>
    <t>3100008316</t>
  </si>
  <si>
    <t>Plain Self Adhes W105XH165mm–BOPP 1000/R</t>
  </si>
  <si>
    <t>PRT  REL</t>
  </si>
  <si>
    <t>IMPS07 CYT 17.3 144 CAV 29965 PC PER HR</t>
  </si>
  <si>
    <t>IMD VISTA Sorting Machine</t>
  </si>
  <si>
    <t>PET Green Preform For Grinding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</si>
  <si>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</si>
  <si>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</si>
  <si>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</si>
  <si>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</si>
  <si>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</si>
  <si>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</si>
  <si>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</si>
  <si>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3100008317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</si>
  <si>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</si>
  <si>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</si>
  <si>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</si>
  <si>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</si>
  <si>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</si>
  <si>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</si>
  <si>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</si>
  <si>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</si>
  <si>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3100008318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</si>
  <si>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</si>
  <si>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</si>
  <si>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</si>
  <si>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</si>
  <si>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</si>
  <si>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</si>
  <si>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</si>
  <si>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</si>
  <si>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3100008319</t>
  </si>
  <si>
    <t>52.0 BC38mm 3 Rnd Clear J/C(P Plt</t>
  </si>
  <si>
    <t>PRT  REL</t>
  </si>
  <si>
    <t>IMP01 CYCT 18.5 96CAVITY 18682 PC PER HR</t>
  </si>
  <si>
    <t>INTRA VIS Preform Sorting Machine</t>
  </si>
  <si>
    <t>3100008320</t>
  </si>
  <si>
    <t>26.6 TO 29/25 Rnd Clear J/C(P Plt</t>
  </si>
  <si>
    <t>PRT  REL</t>
  </si>
  <si>
    <t>IMP12 CYCT 15.6 96 CAVITY 22153 PC</t>
  </si>
  <si>
    <t>INTRA VIS Preform Sorting Machine</t>
  </si>
  <si>
    <t>3100008321</t>
  </si>
  <si>
    <t>30.5PCO1881 ICI GreenJ/C(PP JOM HDG-SIPA</t>
  </si>
  <si>
    <t>PRT  REL</t>
  </si>
  <si>
    <t>IMPS06 CYCT 15 CAV 180  PCS PER HR 43200</t>
  </si>
  <si>
    <t>INTRA VIS Preform Sorting Machine</t>
  </si>
  <si>
    <t>P.E Bags (160x130)x50cm Th 40mic- Jomih</t>
  </si>
  <si>
    <t>IMPS06 CYCT 15 CAV 180  PCS PER HR 43200</t>
  </si>
  <si>
    <t>INTRA VIS Preform Sorting Machine</t>
  </si>
  <si>
    <t>3100008322</t>
  </si>
  <si>
    <t>52.0 BC38mm 3 Rnd Clear J/C(P Plt</t>
  </si>
  <si>
    <t>PRT  REL</t>
  </si>
  <si>
    <t>IMP01 CYCT 18.5 96CAVITY 18682 PC PER HR</t>
  </si>
  <si>
    <t>INTRA VIS Preform Sorting Machine</t>
  </si>
  <si>
    <t>3100008323</t>
  </si>
  <si>
    <t>45.0 PCO 1881 ICI Green J/C(P Plt - SIPA</t>
  </si>
  <si>
    <t>PRT  REL</t>
  </si>
  <si>
    <t>IMPS07 CYT 17.3 144 CAV 29965 PC PER HR</t>
  </si>
  <si>
    <t>INTRA VIS Preform Sorting Machine</t>
  </si>
  <si>
    <t>3100008324</t>
  </si>
  <si>
    <t>30.5 PCO 1881Rnd CLR J/C(PP JOM HDG-SIPA</t>
  </si>
  <si>
    <t>PRT  REL</t>
  </si>
  <si>
    <t>IMPS06 CYCT 15 CAV 180  PCS PER HR 43200</t>
  </si>
  <si>
    <t>INTRA VIS Preform Sorting Machine</t>
  </si>
  <si>
    <t>3100008325</t>
  </si>
  <si>
    <t>18.0 BC38mm 3 Rnd Clear Steel C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</si>
  <si>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</si>
  <si>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</si>
  <si>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</si>
  <si>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</si>
  <si>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</si>
  <si>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</si>
  <si>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</si>
  <si>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3100008326</t>
  </si>
  <si>
    <t>51.0 BC 38mm 3 Rnd Clear steel c</t>
  </si>
  <si>
    <t>PRT  REL</t>
  </si>
  <si>
    <t>IMP01 CYCT 19 72 CAVITY 13642 PC PER HR</t>
  </si>
  <si>
    <t>INTRA VIS Preform Sorting Machine</t>
  </si>
  <si>
    <t>3100008345</t>
  </si>
  <si>
    <t>30.5PCO1881 ICI GreenJ/C(PP JOM HDG-SIPA</t>
  </si>
  <si>
    <t>PRT  REL</t>
  </si>
  <si>
    <t>IMPS06 CYCT 15 CAV 180  PCS PER HR 43200</t>
  </si>
  <si>
    <t>IMD VISTA Sorting Machine</t>
  </si>
  <si>
    <t>3100008346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</si>
  <si>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</si>
  <si>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</si>
  <si>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</si>
  <si>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</si>
  <si>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</si>
  <si>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</si>
  <si>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</si>
  <si>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</si>
  <si>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3100008347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</si>
  <si>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</si>
  <si>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</si>
  <si>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</si>
  <si>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</si>
  <si>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</si>
  <si>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</si>
  <si>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</si>
  <si>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</si>
  <si>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3100008348</t>
  </si>
  <si>
    <t>26.6 TO 29/25 Rnd Clear J/C(P Plt</t>
  </si>
  <si>
    <t>PRT  REL</t>
  </si>
  <si>
    <t>IMP12 CYCT 15.6 96 CAVITY 22153 PC</t>
  </si>
  <si>
    <t>IMD VISTA Sorting Machine</t>
  </si>
  <si>
    <t>3100008349</t>
  </si>
  <si>
    <t>52.0 BC38mm 3 Rnd Clear J/C(P Plt</t>
  </si>
  <si>
    <t>PRT  REL</t>
  </si>
  <si>
    <t>IMP01 CYCT 18.5 96CAVITY 18682 PC PER HR</t>
  </si>
  <si>
    <t>IMD VISTA Sorting Machine</t>
  </si>
  <si>
    <t>3100008350</t>
  </si>
  <si>
    <t>26.6 TO 29/25 Rnd Clear J/C(P Plt</t>
  </si>
  <si>
    <t>PRT  REL</t>
  </si>
  <si>
    <t>IMP12 CYCT 15.6 96 CAVITY 22153 PC</t>
  </si>
  <si>
    <t>IMD VISTA Sorting Machine</t>
  </si>
  <si>
    <t>3100008351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</si>
  <si>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</si>
  <si>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</si>
  <si>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</si>
  <si>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</si>
  <si>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</si>
  <si>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</si>
  <si>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</si>
  <si>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</si>
  <si>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3100008352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</si>
  <si>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</si>
  <si>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</si>
  <si>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</si>
  <si>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</si>
  <si>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</si>
  <si>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</si>
  <si>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</si>
  <si>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</si>
  <si>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3100008353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</si>
  <si>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</si>
  <si>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</si>
  <si>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</si>
  <si>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</si>
  <si>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</si>
  <si>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</si>
  <si>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</si>
  <si>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</si>
  <si>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</si>
  <si>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</si>
  <si>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</si>
  <si>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</si>
  <si>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3100008354</t>
  </si>
  <si>
    <t>Plain Self Adhes W105XH165mm–BOPP 1000/R</t>
  </si>
  <si>
    <t>PRT  REL</t>
  </si>
  <si>
    <t>IMPS01 CYT 6.8 180 CAV 95294 PC PER HR</t>
  </si>
  <si>
    <t>INTRA VIS Preform Sorting Machine</t>
  </si>
  <si>
    <t>9.70 29/25 Rnd Clear J/C(P Plt)-SIPA</t>
  </si>
  <si>
    <t>PRT  REL</t>
  </si>
  <si>
    <t>IMPS01 CYT 6.8 180 CAV 95294 PC PER HR</t>
  </si>
  <si>
    <t>INTRA VIS Preform Sorting Machine</t>
  </si>
  <si>
    <t>3100008355</t>
  </si>
  <si>
    <t>45.0 PCO 1881 ICI Green J/C(P Plt - SIPA</t>
  </si>
  <si>
    <t>PRT  REL</t>
  </si>
  <si>
    <t>IMPS07 CYT 17.3 144 CAV 29965 PC PER HR</t>
  </si>
  <si>
    <t>INTRA VIS Preform Sorting Machine</t>
  </si>
  <si>
    <t>3100008356</t>
  </si>
  <si>
    <t>45.0 PCO 1881 Rnd ICI Green Mena Bev</t>
  </si>
  <si>
    <t>PRT  REL</t>
  </si>
  <si>
    <t>IMPS07 CYT 17.3 144 CAV 29965 PC PER HR</t>
  </si>
  <si>
    <t>INTRA VIS Preform Sorting Machine</t>
  </si>
  <si>
    <t>3100008357</t>
  </si>
  <si>
    <t>PET Blue Preform For Grinding</t>
  </si>
  <si>
    <t>PRT  REL</t>
  </si>
  <si>
    <t>IMP02 CYCT 19 72 CAVITY 13642 PC PER HR</t>
  </si>
  <si>
    <t>INTRA VIS Preform Sorting Machine</t>
  </si>
  <si>
    <t>51.0 BC 38mm 3 Rnd Light Blue J/C(W plt</t>
  </si>
  <si>
    <t>PRT  REL</t>
  </si>
  <si>
    <t>IMP02 CYCT 19 72 CAVITY 13642 PC PER HR</t>
  </si>
  <si>
    <t>INTRA VIS Preform Sorting Machine</t>
  </si>
  <si>
    <t>3100008358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</si>
  <si>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</si>
  <si>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</si>
  <si>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</si>
  <si>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</si>
  <si>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</si>
  <si>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</si>
  <si>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</si>
  <si>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</si>
  <si>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3100008359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</si>
  <si>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</si>
  <si>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</si>
  <si>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</si>
  <si>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</si>
  <si>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</si>
  <si>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</si>
  <si>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</si>
  <si>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</si>
  <si>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3100008360</t>
  </si>
  <si>
    <t>26.6TO29/25Rnd Nova Blue -ST-BC 211</t>
  </si>
  <si>
    <t>PRT  REL</t>
  </si>
  <si>
    <t>IMP12 CYCT 15.6 96 CAVITY 22153 PC</t>
  </si>
  <si>
    <t>IMD VISTA Sorting Machine</t>
  </si>
  <si>
    <t>3100008361</t>
  </si>
  <si>
    <t>26.6TO29/25Rnd'ALM'BLUE J/C(PP-HDG)</t>
  </si>
  <si>
    <t>PRT  REL</t>
  </si>
  <si>
    <t>IMP12 CYCT 15.6 96 CAVITY 22153 PC</t>
  </si>
  <si>
    <t>IMD VISTA Sorting Machine</t>
  </si>
  <si>
    <t>3100008362</t>
  </si>
  <si>
    <t>30.5PCO1881 ICI GreenJ/C(PP JOM HDG-SIPA</t>
  </si>
  <si>
    <t>PRT  REL</t>
  </si>
  <si>
    <t>IMPS06 CYCT 15 CAV 180  PCS PER HR 43200</t>
  </si>
  <si>
    <t>IMD VISTA Sorting Machine</t>
  </si>
  <si>
    <t>P.E Bags (160x130)x50cm Th 40mic- Jomih</t>
  </si>
  <si>
    <t>IMPS06 CYCT 15 CAV 180  PCS PER HR 43200</t>
  </si>
  <si>
    <t>IMD VISTA Sorting Machine</t>
  </si>
  <si>
    <t>3100008363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</si>
  <si>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</si>
  <si>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</si>
  <si>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</si>
  <si>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</si>
  <si>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</si>
  <si>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</si>
  <si>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</si>
  <si>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</si>
  <si>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</si>
  <si>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</si>
  <si>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</si>
  <si>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</si>
  <si>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3100008364</t>
  </si>
  <si>
    <t>30.5 PCO 1881Rnd CLR J/C(PP JOM HDG-SIPA</t>
  </si>
  <si>
    <t>PRT  REL</t>
  </si>
  <si>
    <t>IMPS06 CYCT 15 CAV 180  PCS PER HR 43200</t>
  </si>
  <si>
    <t>IMD VISTA Sorting Machine</t>
  </si>
  <si>
    <t>3100008365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</si>
  <si>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</si>
  <si>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</si>
  <si>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</si>
  <si>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</si>
  <si>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</si>
  <si>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</si>
  <si>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</si>
  <si>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</si>
  <si>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3100008366</t>
  </si>
  <si>
    <t>Plain Self Adhes W105XH165mm–BOPP 1000/R</t>
  </si>
  <si>
    <t>PRT  REL</t>
  </si>
  <si>
    <t>IMP02 CYT 7.9 128 CAV 58329 PC PER HR</t>
  </si>
  <si>
    <t>INTRA VIS Preform Sorting Machine</t>
  </si>
  <si>
    <t>Transparent Tape roll 2'' wide 45mic</t>
  </si>
  <si>
    <t>PRT  REL</t>
  </si>
  <si>
    <t>IMP02 CYT 7.9 128 CAV 58329 PC PER HR</t>
  </si>
  <si>
    <t>INTRA VIS Preform Sorting Machine</t>
  </si>
  <si>
    <t>Nylon Cable Tie – CV-200B-Black(100 pcs)</t>
  </si>
  <si>
    <t>PRT  REL</t>
  </si>
  <si>
    <t>IMP02 CYT 7.9 128 CAV 58329 PC PER HR</t>
  </si>
  <si>
    <t>INTRA VIS Preform Sorting Machine</t>
  </si>
  <si>
    <t>PET Green strapping ROL 2500m-12.5x0.6mm</t>
  </si>
  <si>
    <t>PRT  REL</t>
  </si>
  <si>
    <t>IMP02 CYT 7.9 128 CAV 58329 PC PER HR</t>
  </si>
  <si>
    <t>INTRA VIS Preform Sorting Machine</t>
  </si>
  <si>
    <t>202183</t>
  </si>
  <si>
    <t>P STRAPPING (Arcoma16 mmx.065x1700</t>
  </si>
  <si>
    <t>PRT  REL</t>
  </si>
  <si>
    <t>IMP02 CYT 7.9 128 CAV 58329 PC PER HR</t>
  </si>
  <si>
    <t>INTRA VIS Preform Sorting Machine</t>
  </si>
  <si>
    <t>P.E.BAG CLEAR-L265XW130+50cm -335g/30mic</t>
  </si>
  <si>
    <t>PRT  REL</t>
  </si>
  <si>
    <t>IMP02 CYT 7.9 128 CAV 58329 PC PER HR</t>
  </si>
  <si>
    <t>INTRA VIS Preform Sorting Machine</t>
  </si>
  <si>
    <t>P.E Bags (160x130)x50cm Th 40mic- Jomih</t>
  </si>
  <si>
    <t>PRT  REL</t>
  </si>
  <si>
    <t>IMP02 CYT 7.9 128 CAV 58329 PC PER HR</t>
  </si>
  <si>
    <t>INTRA VIS Preform Sorting Machine</t>
  </si>
  <si>
    <t>10.4 TO 29/25 Rnd Clear J/C(W plt</t>
  </si>
  <si>
    <t>PRT  REL</t>
  </si>
  <si>
    <t>IMP02 CYT 7.9 128 CAV 58329 PC PER HR</t>
  </si>
  <si>
    <t>INTRA VIS Preform Sorting Machine</t>
  </si>
  <si>
    <t>10.4 TO 29/25 Rnd Clear J/C(W plt</t>
  </si>
  <si>
    <t>PRT  REL</t>
  </si>
  <si>
    <t>IMP02 CYT 7.9 128 CAV 58329 PC PER HR</t>
  </si>
  <si>
    <t>INTRA VIS Preform Sorting Machine</t>
  </si>
  <si>
    <t>PET Clear Preform For Grinding</t>
  </si>
  <si>
    <t>PRT  REL</t>
  </si>
  <si>
    <t>IMP02 CYT 7.9 128 CAV 58329 PC PER HR</t>
  </si>
  <si>
    <t>INTRA VIS Preform Sorting Machine</t>
  </si>
  <si>
    <t>3100008367</t>
  </si>
  <si>
    <t>45.0 PCO 1881 Rnd ICI Green Mena Bev</t>
  </si>
  <si>
    <t>PRT  REL</t>
  </si>
  <si>
    <t>IMPS07 CYT 17.3 144 CAV 29965 PC PER HR</t>
  </si>
  <si>
    <t>INTRA VIS Preform Sorting Machine</t>
  </si>
  <si>
    <t>3100008368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</si>
  <si>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</si>
  <si>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</si>
  <si>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</si>
  <si>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</si>
  <si>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</si>
  <si>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</si>
  <si>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</si>
  <si>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</si>
  <si>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3100008369</t>
  </si>
  <si>
    <t>PET Blue Preform For Grinding</t>
  </si>
  <si>
    <t>PRT  REL</t>
  </si>
  <si>
    <t>IMPS03 CYT 6.5 180 CAV 99692 PC PER HR</t>
  </si>
  <si>
    <t>INTRA VIS Preform Sorting Machine</t>
  </si>
  <si>
    <t>7.45TO LW 29/25 L.Blue J/C(WP-SIPA</t>
  </si>
  <si>
    <t>PRT  REL</t>
  </si>
  <si>
    <t>IMPS03 CYT 6.5 180 CAV 99692 PC PER HR</t>
  </si>
  <si>
    <t>INTRA VIS Preform Sorting Machine</t>
  </si>
  <si>
    <t>3100008370</t>
  </si>
  <si>
    <t>11.5 TO29/25 Rnd Clear MenaBev (PP)</t>
  </si>
  <si>
    <t>PRT  REL</t>
  </si>
  <si>
    <t>IMPS05 CYT 7.1 180 CAV 91267 PC PER HR</t>
  </si>
  <si>
    <t>INTRA VIS Preform Sorting Machine</t>
  </si>
  <si>
    <t>3100008371</t>
  </si>
  <si>
    <t>PET Clear Preform For Grinding</t>
  </si>
  <si>
    <t>PRT  REL</t>
  </si>
  <si>
    <t>IMPS05 CYT 7.1 180 CAV 91267 PC PER HR</t>
  </si>
  <si>
    <t>INTRA VIS Preform Sorting Machine</t>
  </si>
  <si>
    <t>11.5 TO29/25 Rnd Clear MenaBev (PP)</t>
  </si>
  <si>
    <t>PRT  REL</t>
  </si>
  <si>
    <t>IMPS05 CYT 7.1 180 CAV 91267 PC PER HR</t>
  </si>
  <si>
    <t>INTRA VIS Preform Sorting Machine</t>
  </si>
  <si>
    <t>3100008372</t>
  </si>
  <si>
    <t>30.5 PCO 1881Rnd CLR J/C(PP JOM HDG-SIPA</t>
  </si>
  <si>
    <t>PRT  REL</t>
  </si>
  <si>
    <t>IMPS06 CYCT 15 CAV 180  PCS PER HR 43200</t>
  </si>
  <si>
    <t>IMD VISTA Sorting Machine</t>
  </si>
  <si>
    <t>3100008373</t>
  </si>
  <si>
    <t>30.5 PCO 1881 Rnd CLR Mena Bev Spec-SIPA</t>
  </si>
  <si>
    <t>PRT  REL</t>
  </si>
  <si>
    <t>IMPS06 CYCT 15 CAV 180  PCS PER HR 43200</t>
  </si>
  <si>
    <t>IMD VISTA Sorting Machine</t>
  </si>
  <si>
    <t>3100008374</t>
  </si>
  <si>
    <t>PET Clear Preform For Grinding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</si>
  <si>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</si>
  <si>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</si>
  <si>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</si>
  <si>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</si>
  <si>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</si>
  <si>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</si>
  <si>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</si>
  <si>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3100008375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</si>
  <si>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</si>
  <si>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</si>
  <si>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</si>
  <si>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</si>
  <si>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</si>
  <si>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</si>
  <si>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</si>
  <si>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</si>
  <si>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3100008376</t>
  </si>
  <si>
    <t>52.0 BC 38mm 3 Rnd Clear OJ/C(W plt</t>
  </si>
  <si>
    <t>PRT  REL</t>
  </si>
  <si>
    <t>IMP01 CYCT 18.5 96CAVITY 18682 PC PER HR</t>
  </si>
  <si>
    <t>IMD VISTA Sorting Machine</t>
  </si>
  <si>
    <t>3100008377</t>
  </si>
  <si>
    <t>P.E Bags (160x130)x50cm Th 40mic- Jomih</t>
  </si>
  <si>
    <t>PRT  REL</t>
  </si>
  <si>
    <t>IMPS06 CYCT 15 CAV 180  PCS PER HR 43200</t>
  </si>
  <si>
    <t>IMD VISTA Sorting Machine</t>
  </si>
  <si>
    <t>30.5 PCO 1881 Rnd CLR Mena Bev Spec-SIPA</t>
  </si>
  <si>
    <t>PRT  REL</t>
  </si>
  <si>
    <t>IMPS06 CYCT 15 CAV 180  PCS PER HR 43200</t>
  </si>
  <si>
    <t>IMD VISTA Sorting Machine</t>
  </si>
  <si>
    <t>3100008378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</si>
  <si>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</si>
  <si>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</si>
  <si>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</si>
  <si>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</si>
  <si>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</si>
  <si>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</si>
  <si>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</si>
  <si>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</si>
  <si>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8.30TOLW29/25 L.Blue(≤2ppm)J/C(W pt-SIPA</t>
  </si>
  <si>
    <t>PRT  REL</t>
  </si>
  <si>
    <t>IMPS04 CYT 6.50 180 CAV 99694 pcs</t>
  </si>
  <si>
    <t>IMD VISTA Sorting Machine</t>
  </si>
  <si>
    <t>3100008379</t>
  </si>
  <si>
    <t>Plain Self Adhes W105XH165mm–BOPP 1000/R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</si>
  <si>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</si>
  <si>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</si>
  <si>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</si>
  <si>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</si>
  <si>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</si>
  <si>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</si>
  <si>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</si>
  <si>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3100008380</t>
  </si>
  <si>
    <t>Plain Self Adhes W105XH165mm–BOPP 1000/R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</si>
  <si>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</si>
  <si>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</si>
  <si>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</si>
  <si>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</si>
  <si>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</si>
  <si>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</si>
  <si>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</si>
  <si>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</si>
  <si>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</si>
  <si>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</si>
  <si>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</si>
  <si>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3100008381</t>
  </si>
  <si>
    <t>P.E Bags (160x130)x50cm Th 40mic- Jomih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</si>
  <si>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</si>
  <si>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</si>
  <si>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</si>
  <si>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</si>
  <si>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</si>
  <si>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</si>
  <si>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</si>
  <si>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3100008382</t>
  </si>
  <si>
    <t>30.5PCO1881 ICI GreenJ/C(PP JOM HDG-SIPA</t>
  </si>
  <si>
    <t>PRT  REL</t>
  </si>
  <si>
    <t>IMPS06 CYCT 15 CAV 180  PCS PER HR 43200</t>
  </si>
  <si>
    <t>INTRA VIS Preform Sorting Machine</t>
  </si>
  <si>
    <t>3100008383</t>
  </si>
  <si>
    <t>36.0 BC 38mm 3 Rnd Clear Steel C-(Aujan)</t>
  </si>
  <si>
    <t>PRT  REL</t>
  </si>
  <si>
    <t>IMP12 CYT 16.7 96 CAV 20694 PC PER HR</t>
  </si>
  <si>
    <t>INTRA VIS Preform Sorting Machine</t>
  </si>
  <si>
    <t>PET Clear Preform For Grinding</t>
  </si>
  <si>
    <t>PRT  REL</t>
  </si>
  <si>
    <t>IMP12 CYT 16.7 96 CAV 20694 PC PER HR</t>
  </si>
  <si>
    <t>INTRA VIS Preform Sorting Machine</t>
  </si>
  <si>
    <t>3100008384</t>
  </si>
  <si>
    <t>36.0 BC 38mm 3 Rnd Clear Steel C-(Aujan)</t>
  </si>
  <si>
    <t>PRT  REL</t>
  </si>
  <si>
    <t>IMP12 CYT 16.5 96 CAV 20945 PC PER HR</t>
  </si>
  <si>
    <t>INTRA VIS Preform Sorting Machine</t>
  </si>
  <si>
    <t>3100008385</t>
  </si>
  <si>
    <t>11.5TO29/25Rnd'ALM'BLUE J/C(PP-SIPA-HDG</t>
  </si>
  <si>
    <t>PRT  REL</t>
  </si>
  <si>
    <t>IMPS05 CYT 7.1 180 CAV 91267 PC PER HR</t>
  </si>
  <si>
    <t>INTRA VIS Preform Sorting Machine</t>
  </si>
  <si>
    <t>Plain Self Adhes W105XH165mm–BOPP 1000/R</t>
  </si>
  <si>
    <t>PRT  REL</t>
  </si>
  <si>
    <t>IMPS05 CYT 7.1 180 CAV 91267 PC PER HR</t>
  </si>
  <si>
    <t>INTRA VIS Preform Sorting Machine</t>
  </si>
  <si>
    <t>Transparent Tape roll 2'' wide 45mic</t>
  </si>
  <si>
    <t>PRT  REL</t>
  </si>
  <si>
    <t>IMPS05 CYT 7.1 180 CAV 91267 PC PER HR</t>
  </si>
  <si>
    <t>INTRA VIS Preform Sorting Machine</t>
  </si>
  <si>
    <t>Nylon Cable Tie – CV-200B-Black(100 pcs)</t>
  </si>
  <si>
    <t>PRT  REL</t>
  </si>
  <si>
    <t>IMPS05 CYT 7.1 180 CAV 91267 PC PER HR</t>
  </si>
  <si>
    <t>INTRA VIS Preform Sorting Machine</t>
  </si>
  <si>
    <t>3100008386</t>
  </si>
  <si>
    <t>30.5PCO1881 ICI GreenJ/C(PP JOM HDG-SIPA</t>
  </si>
  <si>
    <t>PRT  REL</t>
  </si>
  <si>
    <t>IMPS06 CYCT 15 CAV 180  PCS PER HR 43200</t>
  </si>
  <si>
    <t>INTRA VIS Preform Sorting Machine</t>
  </si>
  <si>
    <t>3100008387</t>
  </si>
  <si>
    <t>45.0 PCO 1881Rd Clear J/C(P Plt - SIPA</t>
  </si>
  <si>
    <t>PRT  REL</t>
  </si>
  <si>
    <t>IMPS07 CYT 17.3 144 CAV 29965 PC PER HR</t>
  </si>
  <si>
    <t>INTRA VIS Preform Sorting Machine</t>
  </si>
  <si>
    <t>3100008388</t>
  </si>
  <si>
    <t>30.5 PCO 1881 Rnd CLR Mena Bev Spec-SIPA</t>
  </si>
  <si>
    <t>PRT  REL</t>
  </si>
  <si>
    <t>IMPS06 CYCT 15 CAV 180  PCS PER HR 43200</t>
  </si>
  <si>
    <t>INTRA VIS Preform Sorting Machine</t>
  </si>
  <si>
    <t>PET Clear Preform For Grinding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</si>
  <si>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</si>
  <si>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</si>
  <si>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</si>
  <si>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</si>
  <si>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</si>
  <si>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</si>
  <si>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</si>
  <si>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</si>
  <si>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</si>
  <si>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</si>
  <si>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</si>
  <si>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</si>
  <si>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</si>
  <si>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</si>
  <si>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</si>
  <si>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3100008389</t>
  </si>
  <si>
    <t>9.4 TO29/25 Rnd Nova Blue J/C(Ppl-SABIC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</si>
  <si>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</si>
  <si>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</si>
  <si>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</si>
  <si>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</si>
  <si>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</si>
  <si>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</si>
  <si>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</si>
  <si>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</si>
  <si>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</si>
  <si>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</si>
  <si>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</si>
  <si>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</si>
  <si>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</si>
  <si>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</si>
  <si>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</si>
  <si>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</si>
  <si>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</si>
  <si>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</si>
  <si>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</si>
  <si>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3100008390</t>
  </si>
  <si>
    <t>45.0 PCO 1881 ICI Green J/C(P Plt - SIPA</t>
  </si>
  <si>
    <t>PRT  REL</t>
  </si>
  <si>
    <t>IMPS07 CYT 17.3 144 CAV 29965 PC PER HR</t>
  </si>
  <si>
    <t>INTRA VIS Preform Sorting Machine</t>
  </si>
  <si>
    <t>3100008391</t>
  </si>
  <si>
    <t>9.4 TO 29/25 Rnd L.Blue J/C (W plt- SIPA</t>
  </si>
  <si>
    <t>DLT  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</si>
  <si>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</si>
  <si>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</si>
  <si>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</si>
  <si>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</si>
  <si>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</si>
  <si>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</si>
  <si>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</si>
  <si>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</si>
  <si>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</si>
  <si>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</si>
  <si>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</si>
  <si>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</si>
  <si>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</si>
  <si>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</si>
  <si>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9.4TO29/25 Rd Nova Blue-PET"ST-BC211</t>
  </si>
  <si>
    <t>IMPS01 CYT 6.8 180 CAV 95294 PC PER HR</t>
  </si>
  <si>
    <t>INTRA VIS Preform Sorting Machine</t>
  </si>
  <si>
    <t>3100008392</t>
  </si>
  <si>
    <t>9.4 TO 29/25 Rnd L.Blue J/C (W plt- SIPA</t>
  </si>
  <si>
    <t>PRT  REL</t>
  </si>
  <si>
    <t>IMPS01 CYT 6.8 180 CAV 95294 PC PER HR</t>
  </si>
  <si>
    <t>INTRA VIS Preform Sorting Machine</t>
  </si>
  <si>
    <t>3100008393</t>
  </si>
  <si>
    <t>9.4 TO29/25 Rnd Nova Blue J/C(Ppl-SABIC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</si>
  <si>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</si>
  <si>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</si>
  <si>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</si>
  <si>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</si>
  <si>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</si>
  <si>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</si>
  <si>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</si>
  <si>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</si>
  <si>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</si>
  <si>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</si>
  <si>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</si>
  <si>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</si>
  <si>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</si>
  <si>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</si>
  <si>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</si>
  <si>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</si>
  <si>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</si>
  <si>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</si>
  <si>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</si>
  <si>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3100008394</t>
  </si>
  <si>
    <t>8.30TO LW 29/25Rd L.Blue J/C(W plt)-SIPA</t>
  </si>
  <si>
    <t>PRT  REL</t>
  </si>
  <si>
    <t>IMPS04 CYT 6.50 180 CAV 99694 pcs</t>
  </si>
  <si>
    <t>IMD VISTA Sorting Machine</t>
  </si>
  <si>
    <t>3100008395</t>
  </si>
  <si>
    <t>Plain Self Adhes W105XH165mm–BOPP 1000/R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</si>
  <si>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</si>
  <si>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</si>
  <si>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</si>
  <si>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</si>
  <si>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</si>
  <si>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</si>
  <si>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</si>
  <si>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3100008396</t>
  </si>
  <si>
    <t>7.45TO LW 29/25 L.Blue(≤2ppm)J/C(WP-SIPA</t>
  </si>
  <si>
    <t>PRT  REL</t>
  </si>
  <si>
    <t>IMPS03 CYT 6.5 180 CAV 99692 PC PER HR</t>
  </si>
  <si>
    <t>INTRA VIS Preform Sorting Machine</t>
  </si>
  <si>
    <t>3100008397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</si>
  <si>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</si>
  <si>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</si>
  <si>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</si>
  <si>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</si>
  <si>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</si>
  <si>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</si>
  <si>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</si>
  <si>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</si>
  <si>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3100008398</t>
  </si>
  <si>
    <t>PET Clear Preform For Grinding</t>
  </si>
  <si>
    <t>PRT  REL</t>
  </si>
  <si>
    <t>IMPS07 CYT 17.3 144 CAV 29965 PC PER HR</t>
  </si>
  <si>
    <t>INTRA VIS Preform Sorting Machine</t>
  </si>
  <si>
    <t>45.0 PCO 1881 Rnd Clear Mena Bev</t>
  </si>
  <si>
    <t>PRT  REL</t>
  </si>
  <si>
    <t>IMPS07 CYT 17.3 144 CAV 29965 PC PER HR</t>
  </si>
  <si>
    <t>INTRA VIS Preform Sorting Machine</t>
  </si>
  <si>
    <t>3100008399</t>
  </si>
  <si>
    <t>45.0 PCO 1881Rd Clear J/C(P Plt - SIPA</t>
  </si>
  <si>
    <t>PRT  REL</t>
  </si>
  <si>
    <t>IMPS07 CYT 17.3 144 CAV 29965 PC PER HR</t>
  </si>
  <si>
    <t>INTRA VIS Preform Sorting Machine</t>
  </si>
  <si>
    <t>3100008400</t>
  </si>
  <si>
    <t>36.0 BC38mm 3 Rnd Clear OJ/C(W plt</t>
  </si>
  <si>
    <t>PRT  REL</t>
  </si>
  <si>
    <t>IMP12 CYT 16.7 96 CAV 20694 PC PER HR</t>
  </si>
  <si>
    <t>IMD VISTA Sorting Machine</t>
  </si>
  <si>
    <t>3100008401</t>
  </si>
  <si>
    <t>7.45TO29/25Rnd'ALM'BLUE J/C(PP-SIPA)</t>
  </si>
  <si>
    <t>PRT  REL</t>
  </si>
  <si>
    <t>IMPS03 CYT 6.5 180 CAV 99692 PC PER HR</t>
  </si>
  <si>
    <t>INTRA VIS Preform Sorting Machine</t>
  </si>
  <si>
    <t>3100008402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</si>
  <si>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</si>
  <si>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</si>
  <si>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</si>
  <si>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</si>
  <si>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</si>
  <si>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</si>
  <si>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</si>
  <si>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</si>
  <si>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</si>
  <si>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</si>
  <si>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</si>
  <si>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</si>
  <si>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3100008403</t>
  </si>
  <si>
    <t>52.0 BC38mm 3 Rnd Clear J/C(P Plt</t>
  </si>
  <si>
    <t>PRT  REL</t>
  </si>
  <si>
    <t>IMP01 CYCT 18.5 96CAVITY 18682 PC PER HR</t>
  </si>
  <si>
    <t>INTRA VIS Preform Sorting Machine</t>
  </si>
  <si>
    <t>3100008404</t>
  </si>
  <si>
    <t>P.E Bags (160x130)x50cm Th 40mic- Jomih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</si>
  <si>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</si>
  <si>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</si>
  <si>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</si>
  <si>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</si>
  <si>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</si>
  <si>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</si>
  <si>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</si>
  <si>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3100008405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</si>
  <si>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</si>
  <si>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</si>
  <si>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</si>
  <si>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</si>
  <si>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</si>
  <si>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</si>
  <si>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</si>
  <si>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</si>
  <si>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</si>
  <si>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</si>
  <si>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</si>
  <si>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</si>
  <si>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3100008406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</si>
  <si>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</si>
  <si>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</si>
  <si>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</si>
  <si>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</si>
  <si>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</si>
  <si>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</si>
  <si>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</si>
  <si>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</si>
  <si>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3100008407</t>
  </si>
  <si>
    <t>52.0 BC38mm 3 Rnd Clear J/C(P Plt</t>
  </si>
  <si>
    <t>PRT  REL</t>
  </si>
  <si>
    <t>IMP01 CYCT 18.5 96CAVITY 18682 PC PER HR</t>
  </si>
  <si>
    <t>INTRA VIS Preform Sorting Machine</t>
  </si>
  <si>
    <t>3100008408</t>
  </si>
  <si>
    <t>52.0 BC38mm 3 Rnd Clear J/C(P Plt</t>
  </si>
  <si>
    <t>PRT  REL</t>
  </si>
  <si>
    <t>IMP01 CYCT 18.5 96CAVITY 18682 PC PER HR</t>
  </si>
  <si>
    <t>INTRA VIS Preform Sorting Machine</t>
  </si>
  <si>
    <t>3100008409</t>
  </si>
  <si>
    <t>Plain Self Adhes W105XH165mm–BOPP 1000/R</t>
  </si>
  <si>
    <t>PRT  REL</t>
  </si>
  <si>
    <t>IMP12 CYCT 15.6 96 CAVITY 22153 PC</t>
  </si>
  <si>
    <t>INTRA VIS Preform Sorting Machine</t>
  </si>
  <si>
    <t>P.E Bags (160x130)x50cm Th 40mic- Jomih</t>
  </si>
  <si>
    <t>PRT  REL</t>
  </si>
  <si>
    <t>IMP12 CYCT 15.6 96 CAVITY 22153 PC</t>
  </si>
  <si>
    <t>INTRA VIS Preform Sorting Machine</t>
  </si>
  <si>
    <t>26.6 TO 29/25 Rnd Clear J/C(P Plt</t>
  </si>
  <si>
    <t>PRT  REL</t>
  </si>
  <si>
    <t>IMP12 CYCT 15.6 96 CAVITY 22153 PC</t>
  </si>
  <si>
    <t>INTRA VIS Preform Sorting Machine</t>
  </si>
  <si>
    <t>3100008410</t>
  </si>
  <si>
    <t>PET Clear Preform For Grinding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</si>
  <si>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</si>
  <si>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</si>
  <si>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</si>
  <si>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</si>
  <si>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</si>
  <si>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</si>
  <si>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</si>
  <si>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3100008411</t>
  </si>
  <si>
    <t>Plain Self Adhes W105XH165mm–BOPP 1000/R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</si>
  <si>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</si>
  <si>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</si>
  <si>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</si>
  <si>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</si>
  <si>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</si>
  <si>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</si>
  <si>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</si>
  <si>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3100008412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</si>
  <si>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</si>
  <si>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</si>
  <si>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</si>
  <si>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</si>
  <si>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</si>
  <si>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</si>
  <si>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</si>
  <si>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</si>
  <si>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</si>
  <si>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</si>
  <si>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</si>
  <si>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</si>
  <si>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3100008413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</si>
  <si>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</si>
  <si>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</si>
  <si>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</si>
  <si>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</si>
  <si>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</si>
  <si>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</si>
  <si>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</si>
  <si>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</si>
  <si>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3100008414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</si>
  <si>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</si>
  <si>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</si>
  <si>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</si>
  <si>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</si>
  <si>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</si>
  <si>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</si>
  <si>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</si>
  <si>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</si>
  <si>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3100008415</t>
  </si>
  <si>
    <t>Plain Self Adhes W105XH165mm–BOPP 1000/R</t>
  </si>
  <si>
    <t>PRT  REL</t>
  </si>
  <si>
    <t>IM24 CYCT 11 96 CAVITY 31418 PC PER HR</t>
  </si>
  <si>
    <t>INTRA VIS Preform Sorting Machine</t>
  </si>
  <si>
    <t>PET Clear Preform For Grinding</t>
  </si>
  <si>
    <t>PRT  REL</t>
  </si>
  <si>
    <t>IM24 CYCT 11 96 CAVITY 31418 PC PER HR</t>
  </si>
  <si>
    <t>INTRA VIS Preform Sorting Machine</t>
  </si>
  <si>
    <t>14.0 PCO 1881 Rnd Clear J/C(W Plt</t>
  </si>
  <si>
    <t>PRT  REL</t>
  </si>
  <si>
    <t>IM24 CYCT 11 96 CAVITY 31418 PC PER HR</t>
  </si>
  <si>
    <t>INTRA VIS Preform Sorting Machine</t>
  </si>
  <si>
    <t>3100008416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</si>
  <si>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</si>
  <si>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</si>
  <si>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</si>
  <si>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</si>
  <si>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</si>
  <si>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</si>
  <si>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</si>
  <si>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</si>
  <si>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3100008417</t>
  </si>
  <si>
    <t>PET Green Preform For Grinding</t>
  </si>
  <si>
    <t>PRT  REL</t>
  </si>
  <si>
    <t>IM24 CYCT 11 96 CAVITY 31418 PC PER HR</t>
  </si>
  <si>
    <t>INTRA VIS Preform Sorting Machine</t>
  </si>
  <si>
    <t>14.0 PCO 1881 Rnd ICI Green J/C(W Plt)</t>
  </si>
  <si>
    <t>PRT  REL</t>
  </si>
  <si>
    <t>IM24 CYCT 11 96 CAVITY 31418 PC PER HR</t>
  </si>
  <si>
    <t>INTRA VIS Preform Sorting Machine</t>
  </si>
  <si>
    <t>3100008418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</si>
  <si>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</si>
  <si>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</si>
  <si>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</si>
  <si>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</si>
  <si>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</si>
  <si>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</si>
  <si>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</si>
  <si>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</si>
  <si>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3100008419</t>
  </si>
  <si>
    <t>Transparent Tape roll 2'' wide 45mic</t>
  </si>
  <si>
    <t>PRT  REL</t>
  </si>
  <si>
    <t>ENGEL1 CYCT 3.7 CAVITY 72 70054 PCS</t>
  </si>
  <si>
    <t>IMD VISTA Sorting Machine</t>
  </si>
  <si>
    <t>Plain Self Adhes W105XH165mm–BOPP 1000/R</t>
  </si>
  <si>
    <t>PRT  REL</t>
  </si>
  <si>
    <t>ENGEL1 CYCT 3.7 CAVITY 72 70054 PCS</t>
  </si>
  <si>
    <t>IMD VISTA Sorting Machine</t>
  </si>
  <si>
    <t>Nova Atlas Label No.12 105X48MM A4</t>
  </si>
  <si>
    <t>PRT  REL</t>
  </si>
  <si>
    <t>ENGEL1 CYCT 3.7 CAVITY 72 70054 PCS</t>
  </si>
  <si>
    <t>IMD VISTA Sorting Machine</t>
  </si>
  <si>
    <t>P.E.BAGS CLEAR 120 X 61 CM</t>
  </si>
  <si>
    <t>PRT  REL</t>
  </si>
  <si>
    <t>ENGEL1 CYCT 3.7 CAVITY 72 70054 PCS</t>
  </si>
  <si>
    <t>IMD VISTA Sorting Machine</t>
  </si>
  <si>
    <t>P.E Bags (160x130)x50cm Th 40mic- Jomih</t>
  </si>
  <si>
    <t>PRT  REL</t>
  </si>
  <si>
    <t>ENGEL1 CYCT 3.7 CAVITY 72 70054 PCS</t>
  </si>
  <si>
    <t>IMD VISTA Sorting Machine</t>
  </si>
  <si>
    <t>St. Film [1.2K.g] 17micx500mmx1500 (Bio)</t>
  </si>
  <si>
    <t>PRT  REL</t>
  </si>
  <si>
    <t>ENGEL1 CYCT 3.7 CAVITY 72 70054 PCS</t>
  </si>
  <si>
    <t>IMD VISTA Sorting Machine</t>
  </si>
  <si>
    <t>Honeywell Intermec Ribbon 110*450</t>
  </si>
  <si>
    <t>PRT  REL</t>
  </si>
  <si>
    <t>ENGEL1 CYCT 3.7 CAVITY 72 70054 PCS</t>
  </si>
  <si>
    <t>IMD VISTA Sorting Machine</t>
  </si>
  <si>
    <t>29-1.27-2TP-B4-A</t>
  </si>
  <si>
    <t>29/25 1.27g CAP TP Nova Blue (=2%)-WP</t>
  </si>
  <si>
    <t>PRT  REL</t>
  </si>
  <si>
    <t>ENGEL1 CYCT 3.7 CAVITY 72 70054 PCS</t>
  </si>
  <si>
    <t>IMD VISTA Sorting Machine</t>
  </si>
  <si>
    <t>PE Caps Scrap</t>
  </si>
  <si>
    <t>PRT  REL</t>
  </si>
  <si>
    <t>ENGEL1 CYCT 3.7 CAVITY 72 70054 PCS</t>
  </si>
  <si>
    <t>IMD VISTA Sorting Machine</t>
  </si>
  <si>
    <t>202110</t>
  </si>
  <si>
    <t>CARTON BOX-60 X 50 X 41.5 CM 704 GSM</t>
  </si>
  <si>
    <t>ENGEL1 CYCT 3.7 CAVITY 72 70054 PCS</t>
  </si>
  <si>
    <t>IMD VISTA Sorting Machine</t>
  </si>
  <si>
    <t>3100008420</t>
  </si>
  <si>
    <t>52.0 BC38mm 3 Rnd Clear J/C(P Plt</t>
  </si>
  <si>
    <t>PRT  REL</t>
  </si>
  <si>
    <t>IMP01 CYCT 18.5 96CAVITY 18682 PC PER HR</t>
  </si>
  <si>
    <t>IMD VISTA Sorting Machine</t>
  </si>
  <si>
    <t>3100008421</t>
  </si>
  <si>
    <t>52.0 BC38mm 3 Rnd Clear J/C(P Plt</t>
  </si>
  <si>
    <t>PRT  REL</t>
  </si>
  <si>
    <t>IMP01 CYCT 18.5 96CAVITY 18682 PC PER HR</t>
  </si>
  <si>
    <t>IMD VISTA Sorting Machine</t>
  </si>
  <si>
    <t>3100008422</t>
  </si>
  <si>
    <t>Plain Self Adhes W105XH165mm–BOPP 1000/R</t>
  </si>
  <si>
    <t>PRT  REL</t>
  </si>
  <si>
    <t>IMPS05 CYT 7.1 180 CAV 91267 PC PER HR</t>
  </si>
  <si>
    <t>INTRA VIS Preform Sorting Machine</t>
  </si>
  <si>
    <t>11.5 TO29/25 Rnd Clear MenaBev (PP)</t>
  </si>
  <si>
    <t>PRT  REL</t>
  </si>
  <si>
    <t>IMPS05 CYT 7.1 180 CAV 91267 PC PER HR</t>
  </si>
  <si>
    <t>INTRA VIS Preform Sorting Machine</t>
  </si>
  <si>
    <t>3100008423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</si>
  <si>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</si>
  <si>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</si>
  <si>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</si>
  <si>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</si>
  <si>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</si>
  <si>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</si>
  <si>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</si>
  <si>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</si>
  <si>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3100008424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</si>
  <si>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</si>
  <si>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</si>
  <si>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</si>
  <si>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</si>
  <si>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</si>
  <si>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</si>
  <si>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</si>
  <si>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</si>
  <si>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3100008425</t>
  </si>
  <si>
    <t>30.5 PCO 1881Rnd CLR J/C(PP JOM HDG-SIPA</t>
  </si>
  <si>
    <t>PRT  REL</t>
  </si>
  <si>
    <t>IMPS06 CYCT 15 CAV 180  PCS PER HR 43200</t>
  </si>
  <si>
    <t>IMD VISTA Sorting Machine</t>
  </si>
  <si>
    <t>3100008426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</si>
  <si>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</si>
  <si>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</si>
  <si>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</si>
  <si>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</si>
  <si>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</si>
  <si>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</si>
  <si>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</si>
  <si>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</si>
  <si>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3100008427</t>
  </si>
  <si>
    <t>PET Blue Preform For Grinding</t>
  </si>
  <si>
    <t>PRT  REL</t>
  </si>
  <si>
    <t>IMP12 CYCT 15.6 96 CAVITY 22153 PC</t>
  </si>
  <si>
    <t>IMD VISTA Sorting Machine</t>
  </si>
  <si>
    <t>26.6TO29/25Rnd Nova Blue - (JADE)</t>
  </si>
  <si>
    <t>PRT  REL</t>
  </si>
  <si>
    <t>IMP12 CYCT 15.6 96 CAVITY 22153 PC</t>
  </si>
  <si>
    <t>IMD VISTA Sorting Machine</t>
  </si>
  <si>
    <t>3100008428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</si>
  <si>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</si>
  <si>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</si>
  <si>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</si>
  <si>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</si>
  <si>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</si>
  <si>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</si>
  <si>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</si>
  <si>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</si>
  <si>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3100008429</t>
  </si>
  <si>
    <t>PET Blue Preform For Grinding</t>
  </si>
  <si>
    <t>PRT  REL</t>
  </si>
  <si>
    <t>IMPS01 CYT 6.8 180 CAV 95294 PC PER HR</t>
  </si>
  <si>
    <t>INTRA VIS Preform Sorting Machine</t>
  </si>
  <si>
    <t>9.4 TO29/25 Rnd Nova Blue J/C(Ppl-SABIC</t>
  </si>
  <si>
    <t>PRT  REL</t>
  </si>
  <si>
    <t>IMPS01 CYT 6.8 180 CAV 95294 PC PER HR</t>
  </si>
  <si>
    <t>INTRA VIS Preform Sorting Machine</t>
  </si>
  <si>
    <t>3100008430</t>
  </si>
  <si>
    <t>PET Blue Preform For Grinding</t>
  </si>
  <si>
    <t>PRT  REL</t>
  </si>
  <si>
    <t>IMPS01 CYT 6.8 180 CAV 95294 PC PER HR</t>
  </si>
  <si>
    <t>INTRA VIS Preform Sorting Machine</t>
  </si>
  <si>
    <t>9.4TO2RD-BS12-B</t>
  </si>
  <si>
    <t>9.4 TO29/25Rnd Nova Blue-PET"ST-BC210"</t>
  </si>
  <si>
    <t>PRT  REL</t>
  </si>
  <si>
    <t>IMPS01 CYT 6.8 180 CAV 95294 PC PER HR</t>
  </si>
  <si>
    <t>INTRA VIS Preform Sorting Machine</t>
  </si>
  <si>
    <t>3100008431</t>
  </si>
  <si>
    <t>Plain Self Adhes W105XH165mm–BOPP 1000/R</t>
  </si>
  <si>
    <t>PRT  REL</t>
  </si>
  <si>
    <t>IMPS01 CYT 6.8 180 CAV 95294 PC PER HR</t>
  </si>
  <si>
    <t>INTRA VIS Preform Sorting Machine</t>
  </si>
  <si>
    <t>9.4 TO 29/25 Rnd L.Blue J/C (W plt- SIPA</t>
  </si>
  <si>
    <t>PRT  REL</t>
  </si>
  <si>
    <t>IMPS01 CYT 6.8 180 CAV 95294 PC PER HR</t>
  </si>
  <si>
    <t>INTRA VIS Preform Sorting Machine</t>
  </si>
  <si>
    <t>3100008432</t>
  </si>
  <si>
    <t>Plain Self Adhes W105XH165mm–BOPP 1000/R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</si>
  <si>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</si>
  <si>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</si>
  <si>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</si>
  <si>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</si>
  <si>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</si>
  <si>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</si>
  <si>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</si>
  <si>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3100008433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</si>
  <si>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</si>
  <si>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</si>
  <si>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</si>
  <si>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</si>
  <si>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</si>
  <si>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</si>
  <si>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</si>
  <si>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</si>
  <si>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</si>
  <si>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</si>
  <si>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</si>
  <si>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</si>
  <si>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3100008434</t>
  </si>
  <si>
    <t>7.45TO LW 29/25 L.Blue J/C(WP-SIPA</t>
  </si>
  <si>
    <t>PRT  REL</t>
  </si>
  <si>
    <t>IMPS03 CYT 6.5 180 CAV 99692 PC PER HR</t>
  </si>
  <si>
    <t>IMD VISTA Sorting Machine</t>
  </si>
  <si>
    <t>3100008435</t>
  </si>
  <si>
    <t>9.4TO2RD-CLS-B</t>
  </si>
  <si>
    <t>9.4 TO 29/25 Rnd Clear J/C(PP)</t>
  </si>
  <si>
    <t>IMPS01 CYT 6.8 180 CAV 95294 PC PER HR</t>
  </si>
  <si>
    <t>INTRA VIS Preform Sorting Machine</t>
  </si>
  <si>
    <t>3100008436</t>
  </si>
  <si>
    <t>9.4 29/25RndCLR AA Rdcer MenaB PP</t>
  </si>
  <si>
    <t>IMPS01 CYT 6.8 180 CAV 95294 PC PER HR</t>
  </si>
  <si>
    <t>IMD VISTA Sorting Machine</t>
  </si>
  <si>
    <t>3100008437</t>
  </si>
  <si>
    <t>30.5 PCO 1881 Rnd Clear J/C(W plt-SIPA</t>
  </si>
  <si>
    <t>PRT  REL</t>
  </si>
  <si>
    <t>IMPS06</t>
  </si>
  <si>
    <t>IMPS06 CYCT 15 CAV 180  PCS PER HR 43200</t>
  </si>
  <si>
    <t>INJ Mold 06 SIPA XFORM500EVO GEN4-180 Ca</t>
  </si>
  <si>
    <t>PET Clear Preform For Grinding</t>
  </si>
  <si>
    <t>PRT  REL</t>
  </si>
  <si>
    <t>IMPS06 CYCT 15 CAV 180  PCS PER HR 43200</t>
  </si>
  <si>
    <t>INJ Mold 06 SIPA XFORM500EVO GEN4-180 Ca</t>
  </si>
  <si>
    <t>3100008438</t>
  </si>
  <si>
    <t>50.1 PCO 1881 Rnd Clear J/C(P plt</t>
  </si>
  <si>
    <t>PRT  REL</t>
  </si>
  <si>
    <t>IMP06 CYCT 18.5 96 CAV 18681 PC PER HR</t>
  </si>
  <si>
    <t>INTRA VIS Preform Sorting Machine</t>
  </si>
  <si>
    <t>PET Clear Preform For Grinding</t>
  </si>
  <si>
    <t>PRT  REL</t>
  </si>
  <si>
    <t>IMP06 CYCT 18.5 96 CAV 18681 PC PER HR</t>
  </si>
  <si>
    <t>INTRA VIS Preform Sorting Machine</t>
  </si>
  <si>
    <t>3100008439</t>
  </si>
  <si>
    <t>8.30TO LW 29/25Rd L.Blue J/C(W plt)-SIPA</t>
  </si>
  <si>
    <t>PRT  REL</t>
  </si>
  <si>
    <t>IMPS04 CYT 6.50 180 CAV 99694 pcs</t>
  </si>
  <si>
    <t>INTRA VIS Preform Sorting Machine</t>
  </si>
  <si>
    <t>3100008440</t>
  </si>
  <si>
    <t>26.6 TO 29/25 Rnd Clear J/C(P Plt</t>
  </si>
  <si>
    <t>PRT  REL</t>
  </si>
  <si>
    <t>IMP12 CYCT 15.6 96 CAVITY 22153 PC</t>
  </si>
  <si>
    <t>INTRA VIS Preform Sorting Machine</t>
  </si>
  <si>
    <t>3100008441</t>
  </si>
  <si>
    <t>36.0 BC38mm 3 Rnd Clear OJ/C(W plt</t>
  </si>
  <si>
    <t>DLT  PRT  REL</t>
  </si>
  <si>
    <t>IMP12 CYT 16.7 96 CAV 20694 PC PER HR</t>
  </si>
  <si>
    <t>IMD VISTA Sorting Machine</t>
  </si>
  <si>
    <t>36.0 BC 38mm 3 Rnd Clear Steel C-(Aujan)</t>
  </si>
  <si>
    <t>IMP12 CYT 16.7 96 CAV 20694 PC PER HR</t>
  </si>
  <si>
    <t>IMD VISTA Sorting Machine</t>
  </si>
  <si>
    <t>3100008442</t>
  </si>
  <si>
    <t>12.7 BC38mm 3 ECO Clear Steel c.</t>
  </si>
  <si>
    <t>PRT  REL</t>
  </si>
  <si>
    <t>IMP07 CYCT 10.2 72 CAV 25412 PC PER HR</t>
  </si>
  <si>
    <t>IMD VISTA Sorting Machine</t>
  </si>
  <si>
    <t>PET Clear Preform For Grinding</t>
  </si>
  <si>
    <t>PRT  REL</t>
  </si>
  <si>
    <t>IMP07 CYCT 10.2 72 CAV 25412 PC PER HR</t>
  </si>
  <si>
    <t>IMD VISTA Sorting Machine</t>
  </si>
  <si>
    <t>3100008443</t>
  </si>
  <si>
    <t>26.6 TO 29/25 Rnd Clear J/C(P Plt</t>
  </si>
  <si>
    <t>PRT  REL</t>
  </si>
  <si>
    <t>IMP12 CYCT 15.6 96 CAVITY 22153 PC</t>
  </si>
  <si>
    <t>IMD VISTA Sorting Machine</t>
  </si>
  <si>
    <t>3100008444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</si>
  <si>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</si>
  <si>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</si>
  <si>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</si>
  <si>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</si>
  <si>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</si>
  <si>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</si>
  <si>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</si>
  <si>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</si>
  <si>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</si>
  <si>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</si>
  <si>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</si>
  <si>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</si>
  <si>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3100008445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</si>
  <si>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</si>
  <si>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</si>
  <si>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</si>
  <si>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</si>
  <si>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</si>
  <si>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</si>
  <si>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</si>
  <si>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</si>
  <si>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</si>
  <si>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</si>
  <si>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</si>
  <si>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</si>
  <si>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3100008446</t>
  </si>
  <si>
    <t>Plain Self Adhes W105XH165mm–BOPP 1000/R</t>
  </si>
  <si>
    <t>PRT  REL</t>
  </si>
  <si>
    <t>IMP06 CYCT 18.5 96 CAV 18681 PC PER HR</t>
  </si>
  <si>
    <t>INTRA VIS Preform Sorting Machine</t>
  </si>
  <si>
    <t>50.1 PCO 1881 Rnd Clear J/C(W Plt</t>
  </si>
  <si>
    <t>PRT  REL</t>
  </si>
  <si>
    <t>IMP06 CYCT 18.5 96 CAV 18681 PC PER HR</t>
  </si>
  <si>
    <t>INTRA VIS Preform Sorting Machine</t>
  </si>
  <si>
    <t>3100008447</t>
  </si>
  <si>
    <t>50.1 PCO 1881 Rnd ICI Green J/C(P Plt</t>
  </si>
  <si>
    <t>PRT  REL</t>
  </si>
  <si>
    <t>IMP06 CYCT 18.5 96 CAV 18681 PC PER HR</t>
  </si>
  <si>
    <t>INTRA VIS Preform Sorting Machine</t>
  </si>
  <si>
    <t>3100008448</t>
  </si>
  <si>
    <t>30.5PCO1881RndICI GreenMenaBev Spec-SIPA</t>
  </si>
  <si>
    <t>PRT  REL</t>
  </si>
  <si>
    <t>IMPS06 CYCT 15 CAV 180  PCS PER HR 43200</t>
  </si>
  <si>
    <t>IMD VISTA Sorting Machine</t>
  </si>
  <si>
    <t>3100008449</t>
  </si>
  <si>
    <t>30.5 PCO 1881 Rnd ICI Green J/C(WP-SIPA</t>
  </si>
  <si>
    <t>PRT  REL</t>
  </si>
  <si>
    <t>IMPS06 CYCT 15 CAV 180  PCS PER HR 43200</t>
  </si>
  <si>
    <t>IMD VISTA Sorting Machine</t>
  </si>
  <si>
    <t>3100008450</t>
  </si>
  <si>
    <t>Plain Self Adhes W105XH165mm–BOPP 1000/R</t>
  </si>
  <si>
    <t>PRT  REL</t>
  </si>
  <si>
    <t>IMPS05 CYT 7.5 180 CAV 86400 PC PER HR</t>
  </si>
  <si>
    <t>INTRA VIS Preform Sorting Machine</t>
  </si>
  <si>
    <t>12.5TO29/25Rnd Nova Blue J/C(Ppt-YISHeng</t>
  </si>
  <si>
    <t>PRT  REL</t>
  </si>
  <si>
    <t>IMPS05 CYT 7.5 180 CAV 86400 PC PER HR</t>
  </si>
  <si>
    <t>INTRA VIS Preform Sorting Machine</t>
  </si>
  <si>
    <t>3100008451</t>
  </si>
  <si>
    <t>Plain Self Adhes W105XH165mm–BOPP 1000/R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</si>
  <si>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</si>
  <si>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</si>
  <si>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</si>
  <si>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</si>
  <si>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</si>
  <si>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</si>
  <si>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</si>
  <si>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18.0 BC38mm 3 Rnd Clear Steel C</t>
  </si>
  <si>
    <t>PRT  REL</t>
  </si>
  <si>
    <t>IMP07 CYCT 12 72CAVITY 21600 PC PER HR</t>
  </si>
  <si>
    <t>INTRA VIS Preform Sorting Machine</t>
  </si>
  <si>
    <t>3100008452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</si>
  <si>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</si>
  <si>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</si>
  <si>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</si>
  <si>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</si>
  <si>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</si>
  <si>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</si>
  <si>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</si>
  <si>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</si>
  <si>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26.6TO29/25Rnd Nova Blue - (JADE)</t>
  </si>
  <si>
    <t>PRT  REL</t>
  </si>
  <si>
    <t>IMP12 CYCT 15.6 96 CAVITY 22153 PC</t>
  </si>
  <si>
    <t>IMD VISTA Sorting Machine</t>
  </si>
  <si>
    <t>3100008453</t>
  </si>
  <si>
    <t>Plain Self Adhes W105XH165mm–BOPP 1000/R</t>
  </si>
  <si>
    <t>PRT  REL</t>
  </si>
  <si>
    <t>IMPS07 CYT 17.3 144 CAV 29965 PC PER HR</t>
  </si>
  <si>
    <t>IMD VISTA Sorting Machine</t>
  </si>
  <si>
    <t>PET Green Preform For Grinding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</si>
  <si>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</si>
  <si>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</si>
  <si>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</si>
  <si>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</si>
  <si>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</si>
  <si>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</si>
  <si>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</si>
  <si>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3100008454</t>
  </si>
  <si>
    <t>Plain Self Adhes W105XH165mm–BOPP 1000/R</t>
  </si>
  <si>
    <t>PRT  REL</t>
  </si>
  <si>
    <t>IMPS07 CYT 17.3 144 CAV 29965 PC PER HR</t>
  </si>
  <si>
    <t>IMD VISTA Sorting Machine</t>
  </si>
  <si>
    <t>45.0 PCO 1881 Rnd ICI Green Mena Bev</t>
  </si>
  <si>
    <t>PRT  REL</t>
  </si>
  <si>
    <t>IMPS07 CYT 17.3 144 CAV 29965 PC PER HR</t>
  </si>
  <si>
    <t>IMD VISTA Sorting Machine</t>
  </si>
  <si>
    <t>3100008455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</si>
  <si>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</si>
  <si>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</si>
  <si>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</si>
  <si>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</si>
  <si>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</si>
  <si>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</si>
  <si>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</si>
  <si>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</si>
  <si>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3100008456</t>
  </si>
  <si>
    <t>Plain Self Adhes W105XH165mm–BOPP 1000/R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</si>
  <si>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</si>
  <si>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</si>
  <si>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</si>
  <si>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</si>
  <si>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</si>
  <si>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</si>
  <si>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</si>
  <si>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3100008457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</si>
  <si>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</si>
  <si>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</si>
  <si>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</si>
  <si>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</si>
  <si>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</si>
  <si>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</si>
  <si>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</si>
  <si>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</si>
  <si>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26.6TO29/25Rnd Nova Blue - (JADE)</t>
  </si>
  <si>
    <t>PRT  REL</t>
  </si>
  <si>
    <t>IMP12 CYCT 15.6 96 CAVITY 22153 PC</t>
  </si>
  <si>
    <t>IMD VISTA Sorting Machine</t>
  </si>
  <si>
    <t>3100008458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</si>
  <si>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</si>
  <si>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</si>
  <si>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</si>
  <si>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</si>
  <si>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</si>
  <si>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</si>
  <si>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</si>
  <si>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</si>
  <si>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</si>
  <si>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</si>
  <si>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</si>
  <si>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</si>
  <si>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3100008459</t>
  </si>
  <si>
    <t>P.E Bags (160x130)x50cm Th 40mic- Jomih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</si>
  <si>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</si>
  <si>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</si>
  <si>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</si>
  <si>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</si>
  <si>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</si>
  <si>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</si>
  <si>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</si>
  <si>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3100008460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</si>
  <si>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</si>
  <si>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</si>
  <si>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</si>
  <si>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</si>
  <si>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</si>
  <si>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</si>
  <si>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</si>
  <si>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</si>
  <si>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3100008461</t>
  </si>
  <si>
    <t>Plain Self Adhes W105XH165mm–BOPP 1000/R</t>
  </si>
  <si>
    <t>PRT  REL</t>
  </si>
  <si>
    <t>IM01 CYCT 9.68 72 CAVITY 26777 PC PER HR</t>
  </si>
  <si>
    <t>IMD VISTA Sorting Machine</t>
  </si>
  <si>
    <t>12.7 BC38mm 3 ECO White Steel c.</t>
  </si>
  <si>
    <t>PRT  REL</t>
  </si>
  <si>
    <t>IM01 CYCT 9.68 72 CAVITY 26777 PC PER HR</t>
  </si>
  <si>
    <t>IMD VISTA Sorting Machine</t>
  </si>
  <si>
    <t>3100008462</t>
  </si>
  <si>
    <t>30.5 PCO 1881Rnd CLR J/C(PP JOM HDG-SIPA</t>
  </si>
  <si>
    <t>PRT  REL</t>
  </si>
  <si>
    <t>IMPS06 CYCT 15 CAV 180  PCS PER HR 43200</t>
  </si>
  <si>
    <t>IMD VISTA Sorting Machine</t>
  </si>
  <si>
    <t>3100008463</t>
  </si>
  <si>
    <t>PET Clear Preform For Grinding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</si>
  <si>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</si>
  <si>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</si>
  <si>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</si>
  <si>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</si>
  <si>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</si>
  <si>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</si>
  <si>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</si>
  <si>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3100008464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</si>
  <si>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</si>
  <si>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</si>
  <si>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</si>
  <si>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</si>
  <si>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</si>
  <si>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</si>
  <si>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</si>
  <si>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</si>
  <si>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3100008465</t>
  </si>
  <si>
    <t>Plain Self Adhes W105XH165mm–BOPP 1000/R</t>
  </si>
  <si>
    <t>PRT  REL</t>
  </si>
  <si>
    <t>IMP06 CYCT 18.5 96 CAV 18681 PC PER HR</t>
  </si>
  <si>
    <t>INTRA VIS Preform Sorting Machine</t>
  </si>
  <si>
    <t>50.1 PCO 1881 Rnd ICI Green J/C(P Plt</t>
  </si>
  <si>
    <t>PRT  REL</t>
  </si>
  <si>
    <t>IMP06 CYCT 18.5 96 CAV 18681 PC PER HR</t>
  </si>
  <si>
    <t>INTRA VIS Preform Sorting Machine</t>
  </si>
  <si>
    <t>3100008466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</si>
  <si>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</si>
  <si>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</si>
  <si>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</si>
  <si>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</si>
  <si>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</si>
  <si>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</si>
  <si>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</si>
  <si>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</si>
  <si>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3100008467</t>
  </si>
  <si>
    <t>30.5PCO1881 ICI GreenJ/C(PP JOM HDG-SIPA</t>
  </si>
  <si>
    <t>PRT  REL</t>
  </si>
  <si>
    <t>IMPS06 CYCT 15 CAV 180  PCS PER HR 43200</t>
  </si>
  <si>
    <t>INTRA VIS Preform Sorting Machine</t>
  </si>
  <si>
    <t>3100008468</t>
  </si>
  <si>
    <t>12.5TO29/25Rnd Nova Blue J/C(Ppt-YISHeng</t>
  </si>
  <si>
    <t>PRT  REL</t>
  </si>
  <si>
    <t>IMPS05 CYT 7.5 180 CAV 86400 PC PER HR</t>
  </si>
  <si>
    <t>INTRA VIS Preform Sorting Machine</t>
  </si>
  <si>
    <t>PET Blue Preform For Grinding</t>
  </si>
  <si>
    <t>PRT  REL</t>
  </si>
  <si>
    <t>IMPS05 CYT 7.5 180 CAV 86400 PC PER HR</t>
  </si>
  <si>
    <t>INTRA VIS Preform Sorting Machine</t>
  </si>
  <si>
    <t>Plain Self Adhes W105XH165mm–BOPP 1000/R</t>
  </si>
  <si>
    <t>PRT  REL</t>
  </si>
  <si>
    <t>IMPS05 CYT 7.5 180 CAV 86400 PC PER HR</t>
  </si>
  <si>
    <t>INTRA VIS Preform Sorting Machine</t>
  </si>
  <si>
    <t>Transparent Tape roll 2'' wide 45mic</t>
  </si>
  <si>
    <t>PRT  REL</t>
  </si>
  <si>
    <t>IMPS05 CYT 7.5 180 CAV 86400 PC PER HR</t>
  </si>
  <si>
    <t>INTRA VIS Preform Sorting Machine</t>
  </si>
  <si>
    <t>Nylon Cable Tie – CV-200B-Black(100 pcs)</t>
  </si>
  <si>
    <t>PRT  REL</t>
  </si>
  <si>
    <t>IMPS05 CYT 7.5 180 CAV 86400 PC PER HR</t>
  </si>
  <si>
    <t>INTRA VIS Preform Sorting Machine</t>
  </si>
  <si>
    <t>PET Green strapping ROL 2500m-12.5x0.6mm</t>
  </si>
  <si>
    <t>PRT  REL</t>
  </si>
  <si>
    <t>IMPS05 CYT 7.5 180 CAV 86400 PC PER HR</t>
  </si>
  <si>
    <t>INTRA VIS Preform Sorting Machine</t>
  </si>
  <si>
    <t>3100008469</t>
  </si>
  <si>
    <t>14.0 TO 29/25 Rnd Arwa Blue J/C(W plt)</t>
  </si>
  <si>
    <t>PRT  REL</t>
  </si>
  <si>
    <t>IM07 CYCT 11 96 CAVITY 31418 PC PER HR</t>
  </si>
  <si>
    <t>INTRA VIS Preform Sorting Machine</t>
  </si>
  <si>
    <t>Plain Self Adhes W105XH165mm–BOPP 1000/R</t>
  </si>
  <si>
    <t>PRT  REL</t>
  </si>
  <si>
    <t>IM07 CYCT 11 96 CAVITY 31418 PC PER HR</t>
  </si>
  <si>
    <t>INTRA VIS Preform Sorting Machine</t>
  </si>
  <si>
    <t>Transparent Tape roll 2'' wide 45mic</t>
  </si>
  <si>
    <t>PRT  REL</t>
  </si>
  <si>
    <t>IM07 CYCT 11 96 CAVITY 31418 PC PER HR</t>
  </si>
  <si>
    <t>INTRA VIS Preform Sorting Machine</t>
  </si>
  <si>
    <t>Nylon Cable Tie – CV-200B-Black(100 pcs)</t>
  </si>
  <si>
    <t>PRT  REL</t>
  </si>
  <si>
    <t>IM07 CYCT 11 96 CAVITY 31418 PC PER HR</t>
  </si>
  <si>
    <t>INTRA VIS Preform Sorting Machine</t>
  </si>
  <si>
    <t>PET Green strapping ROL 2500m-12.5x0.6mm</t>
  </si>
  <si>
    <t>PRT  REL</t>
  </si>
  <si>
    <t>IM07 CYCT 11 96 CAVITY 31418 PC PER HR</t>
  </si>
  <si>
    <t>INTRA VIS Preform Sorting Machine</t>
  </si>
  <si>
    <t>3100008470</t>
  </si>
  <si>
    <t>45.0 PCO 1881 ICI Green J/C(P Plt - SIPA</t>
  </si>
  <si>
    <t>PRT  REL</t>
  </si>
  <si>
    <t>IMPS07 CYT 17.3 144 CAV 29965 PC PER HR</t>
  </si>
  <si>
    <t>INTRA VIS Preform Sorting Machine</t>
  </si>
  <si>
    <t>3100008471</t>
  </si>
  <si>
    <t>8.30TO LW 29/25Rd L.Blue J/C(W plt)-SIPA</t>
  </si>
  <si>
    <t>PRT  REL</t>
  </si>
  <si>
    <t>IMPS04 CYT 6.50 180 CAV 99694 pcs</t>
  </si>
  <si>
    <t>INTRA VIS Preform Sorting Machine</t>
  </si>
  <si>
    <t>Plain Self Adhes W105XH165mm–BOPP 1000/R</t>
  </si>
  <si>
    <t>PRT  REL</t>
  </si>
  <si>
    <t>IMPS04 CYT 6.50 180 CAV 99694 pcs</t>
  </si>
  <si>
    <t>INTRA VIS Preform Sorting Machine</t>
  </si>
  <si>
    <t>Transparent Tape roll 2'' wide 45mic</t>
  </si>
  <si>
    <t>PRT  REL</t>
  </si>
  <si>
    <t>IMPS04 CYT 6.50 180 CAV 99694 pcs</t>
  </si>
  <si>
    <t>INTRA VIS Preform Sorting Machine</t>
  </si>
  <si>
    <t>Nylon Cable Tie – CV-200B-Black(100 pcs)</t>
  </si>
  <si>
    <t>PRT  REL</t>
  </si>
  <si>
    <t>IMPS04 CYT 6.50 180 CAV 99694 pcs</t>
  </si>
  <si>
    <t>INTRA VIS Preform Sorting Machine</t>
  </si>
  <si>
    <t>PET Green strapping ROL 2500m-12.5x0.6mm</t>
  </si>
  <si>
    <t>PRT  REL</t>
  </si>
  <si>
    <t>IMPS04 CYT 6.50 180 CAV 99694 pcs</t>
  </si>
  <si>
    <t>INTRA VIS Preform Sorting Machine</t>
  </si>
  <si>
    <t>3100008472</t>
  </si>
  <si>
    <t>12.5 29/25 Rnd Clear J/C(PP</t>
  </si>
  <si>
    <t>PRT  REL</t>
  </si>
  <si>
    <t>IMPS05 CYT 7.5 180 CAV 86400 PC PER HR</t>
  </si>
  <si>
    <t>INTRA VIS Preform Sorting Machine</t>
  </si>
  <si>
    <t>3100008473</t>
  </si>
  <si>
    <t>45.0 PCO 1881Rd Clear J/C(P Plt - SIPA</t>
  </si>
  <si>
    <t>PRT  REL</t>
  </si>
  <si>
    <t>IMPS07 CYT 17.3 144 CAV 29965 PC PER HR</t>
  </si>
  <si>
    <t>INTRA VIS Preform Sorting Machine</t>
  </si>
  <si>
    <t>3100008474</t>
  </si>
  <si>
    <t>26.6TO29/25Rnd'ALM'BLUE J/C(PP-HDG)</t>
  </si>
  <si>
    <t>PRT  REL</t>
  </si>
  <si>
    <t>IMP12 CYCT 13.3 96 CAVITY 25984 PC</t>
  </si>
  <si>
    <t>Injection Molding IMP12-HUSKY- 18 HYPET</t>
  </si>
  <si>
    <t>Plain Self Adhes W105XH165mm–BOPP 1000/R</t>
  </si>
  <si>
    <t>PRT  REL</t>
  </si>
  <si>
    <t>IMP12 CYCT 13.3 96 CAVITY 25984 PC</t>
  </si>
  <si>
    <t>Injection Molding IMP12-HUSKY- 18 HYPET</t>
  </si>
  <si>
    <t>Transparent Tape roll 2'' wide 45mic</t>
  </si>
  <si>
    <t>PRT  REL</t>
  </si>
  <si>
    <t>IMP12 CYCT 13.3 96 CAVITY 25984 PC</t>
  </si>
  <si>
    <t>Injection Molding IMP12-HUSKY- 18 HYPET</t>
  </si>
  <si>
    <t>Nylon Cable Tie – CV-200B-Black(100 pcs)</t>
  </si>
  <si>
    <t>PRT  REL</t>
  </si>
  <si>
    <t>IMP12 CYCT 13.3 96 CAVITY 25984 PC</t>
  </si>
  <si>
    <t>Injection Molding IMP12-HUSKY- 18 HYPET</t>
  </si>
  <si>
    <t>PET Green strapping ROL 2500m-12.5x0.6mm</t>
  </si>
  <si>
    <t>PRT  REL</t>
  </si>
  <si>
    <t>IMP12 CYCT 13.3 96 CAVITY 25984 PC</t>
  </si>
  <si>
    <t>Injection Molding IMP12-HUSKY- 18 HYPET</t>
  </si>
  <si>
    <t>3100008475</t>
  </si>
  <si>
    <t>26.6TO29/25Rnd Nova Blue - (JADE)</t>
  </si>
  <si>
    <t>PRT  REL</t>
  </si>
  <si>
    <t>IMP12 CYCT 13.3 96 CAVITY 25984 PC</t>
  </si>
  <si>
    <t>INTRA VIS Preform Sorting Machine</t>
  </si>
  <si>
    <t>3100008476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</si>
  <si>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</si>
  <si>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</si>
  <si>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</si>
  <si>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</si>
  <si>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</si>
  <si>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</si>
  <si>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</si>
  <si>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</si>
  <si>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30.5 PCO 1881 Rnd Clear J/C(W plt-SIPA</t>
  </si>
  <si>
    <t>PRT  REL</t>
  </si>
  <si>
    <t>RW01 IMD VISTA Sorting Machine</t>
  </si>
  <si>
    <t>IMD VISTA Sorting Machine</t>
  </si>
  <si>
    <t>3100008477</t>
  </si>
  <si>
    <t>7.80 TO 29/25 Rnd Clear J/C(W Plt-SIPA</t>
  </si>
  <si>
    <t>PRT  REL</t>
  </si>
  <si>
    <t>IMPS03 CYT 6.5 180 CAV 99692 PC PER HR</t>
  </si>
  <si>
    <t>INTRA VIS Preform Sorting Machine</t>
  </si>
  <si>
    <t>Plain Self Adhes W105XH165mm–BOPP 1000/R</t>
  </si>
  <si>
    <t>PRT  REL</t>
  </si>
  <si>
    <t>IMPS03 CYT 6.5 180 CAV 99692 PC PER HR</t>
  </si>
  <si>
    <t>INTRA VIS Preform Sorting Machine</t>
  </si>
  <si>
    <t>Transparent Tape roll 2'' wide 45mic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</si>
  <si>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</si>
  <si>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</si>
  <si>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</si>
  <si>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</si>
  <si>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</si>
  <si>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</si>
  <si>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</si>
  <si>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PET Green strapping ROL 2500m-12.5x0.6mm</t>
  </si>
  <si>
    <t>PRT  REL</t>
  </si>
  <si>
    <t>IMPS03 CYT 6.5 180 CAV 99692 PC PER HR</t>
  </si>
  <si>
    <t>INTRA VIS Preform Sorting Machine</t>
  </si>
  <si>
    <t>P STRAPPING (Arcoma16 mmx.065x1700</t>
  </si>
  <si>
    <t>PRT  REL</t>
  </si>
  <si>
    <t>IMPS03 CYT 6.5 180 CAV 99692 PC PER HR</t>
  </si>
  <si>
    <t>INTRA VIS Preform Sorting Machine</t>
  </si>
  <si>
    <t>P.E.BAG CLEAR-L265XW130+50cm -335g/30mic</t>
  </si>
  <si>
    <t>PRT  REL</t>
  </si>
  <si>
    <t>IMPS03 CYT 6.5 180 CAV 99692 PC PER HR</t>
  </si>
  <si>
    <t>INTRA VIS Preform Sorting Machine</t>
  </si>
  <si>
    <t>P.E Bags (160x130)x50cm Th 40mic- Jomih</t>
  </si>
  <si>
    <t>PRT  REL</t>
  </si>
  <si>
    <t>IMPS03 CYT 6.5 180 CAV 99692 PC PER HR</t>
  </si>
  <si>
    <t>INTRA VIS Preform Sorting Machine</t>
  </si>
  <si>
    <t>3100008478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</si>
  <si>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</si>
  <si>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</si>
  <si>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</si>
  <si>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</si>
  <si>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</si>
  <si>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</si>
  <si>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</si>
  <si>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</si>
  <si>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3100008479</t>
  </si>
  <si>
    <t>Plain Self Adhes W105XH165mm–BOPP 1000/R</t>
  </si>
  <si>
    <t>PRT  REL</t>
  </si>
  <si>
    <t>IMPS05 CYT 7.5 180 CAV 86400 PC PER HR</t>
  </si>
  <si>
    <t>IMD VISTA Sorting Machine</t>
  </si>
  <si>
    <t>P.E Bags (160x130)x50cm Th 40mic- Jomih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</si>
  <si>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</si>
  <si>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</si>
  <si>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</si>
  <si>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</si>
  <si>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</si>
  <si>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</si>
  <si>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</si>
  <si>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3100008480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</si>
  <si>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</si>
  <si>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</si>
  <si>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</si>
  <si>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</si>
  <si>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</si>
  <si>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</si>
  <si>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</si>
  <si>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</si>
  <si>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</si>
  <si>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</si>
  <si>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</si>
  <si>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</si>
  <si>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3100008481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</si>
  <si>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</si>
  <si>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</si>
  <si>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</si>
  <si>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</si>
  <si>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</si>
  <si>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</si>
  <si>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</si>
  <si>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</si>
  <si>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3100008482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</si>
  <si>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</si>
  <si>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</si>
  <si>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</si>
  <si>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</si>
  <si>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</si>
  <si>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</si>
  <si>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</si>
  <si>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</si>
  <si>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</si>
  <si>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</si>
  <si>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</si>
  <si>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</si>
  <si>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3100008483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</si>
  <si>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</si>
  <si>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</si>
  <si>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</si>
  <si>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</si>
  <si>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</si>
  <si>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</si>
  <si>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</si>
  <si>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</si>
  <si>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3100008484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</si>
  <si>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</si>
  <si>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</si>
  <si>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</si>
  <si>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</si>
  <si>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</si>
  <si>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</si>
  <si>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</si>
  <si>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</si>
  <si>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3100008485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</si>
  <si>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</si>
  <si>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</si>
  <si>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</si>
  <si>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</si>
  <si>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</si>
  <si>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</si>
  <si>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</si>
  <si>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</si>
  <si>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</si>
  <si>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</si>
  <si>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</si>
  <si>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</si>
  <si>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3100008486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</si>
  <si>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</si>
  <si>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</si>
  <si>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</si>
  <si>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</si>
  <si>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</si>
  <si>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</si>
  <si>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</si>
  <si>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</si>
  <si>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3100008487</t>
  </si>
  <si>
    <t>PET Blue Preform For Grinding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</si>
  <si>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</si>
  <si>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</si>
  <si>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</si>
  <si>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</si>
  <si>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</si>
  <si>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</si>
  <si>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</si>
  <si>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3100008488</t>
  </si>
  <si>
    <t>Plain Self Adhes W105XH165mm–BOPP 1000/R</t>
  </si>
  <si>
    <t>PRT  REL</t>
  </si>
  <si>
    <t>IMPS03 CYT 6.5 180 CAV 99692 PC PER HR</t>
  </si>
  <si>
    <t>IMD VISTA Sorting Machine</t>
  </si>
  <si>
    <t>7.45TO 29/25 Rnd L.Blue (≤1ppm) J/C Wplt</t>
  </si>
  <si>
    <t>PRT  REL</t>
  </si>
  <si>
    <t>IMPS03 CYT 6.5 180 CAV 99692 PC PER HR</t>
  </si>
  <si>
    <t>IMD VISTA Sorting Machine</t>
  </si>
  <si>
    <t>7.45TO29/25Rnd'ALM'BLUE J/C(PP-SIPA)</t>
  </si>
  <si>
    <t>IMPS03 CYT 6.5 180 CAV 99692 PC PER HR</t>
  </si>
  <si>
    <t>IMD VISTA Sorting Machine</t>
  </si>
  <si>
    <t>3100008489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</si>
  <si>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</si>
  <si>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</si>
  <si>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</si>
  <si>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</si>
  <si>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</si>
  <si>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</si>
  <si>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</si>
  <si>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</si>
  <si>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7.45TO29/25Rnd'ALM'BLUE J/C(PP-SIPA)</t>
  </si>
  <si>
    <t>PRT  REL</t>
  </si>
  <si>
    <t>IMPS03 CYT 6.5 180 CAV 99692 PC PER HR</t>
  </si>
  <si>
    <t>IMD VISTA Sorting Machine</t>
  </si>
  <si>
    <t>Wooden Pallets Good cond.L120xW100xH15cm</t>
  </si>
  <si>
    <t>IMPS03 CYT 6.5 180 CAV 99692 PC PER HR</t>
  </si>
  <si>
    <t>IMD VISTA Sorting Machine</t>
  </si>
  <si>
    <t>3100008490</t>
  </si>
  <si>
    <t>Plain Self Adhes W105XH165mm–BOPP 1000/R</t>
  </si>
  <si>
    <t>PRT  REL</t>
  </si>
  <si>
    <t>IMPS02 CYT 6.8 180 CAV 95294 PC PER HR</t>
  </si>
  <si>
    <t>INTRA VIS Preform Sorting Machine</t>
  </si>
  <si>
    <t>9.4 TO29/25Rnd Nova Blue-PET"ST-BC210"</t>
  </si>
  <si>
    <t>PRT  REL</t>
  </si>
  <si>
    <t>IMPS02 CYT 6.8 180 CAV 95294 PC PER HR</t>
  </si>
  <si>
    <t>INTRA VIS Preform Sorting Machine</t>
  </si>
  <si>
    <t>3100008491</t>
  </si>
  <si>
    <t>Plain Self Adhes W105XH165mm–BOPP 1000/R</t>
  </si>
  <si>
    <t>PRT  REL</t>
  </si>
  <si>
    <t>IMPS02 CYT 6.8 180 CAV 95294 PC PER HR</t>
  </si>
  <si>
    <t>INTRA VIS Preform Sorting Machine</t>
  </si>
  <si>
    <t>PET Blue Preform For Grinding</t>
  </si>
  <si>
    <t>PRT  REL</t>
  </si>
  <si>
    <t>IMPS02 CYT 6.8 180 CAV 95294 PC PER HR</t>
  </si>
  <si>
    <t>INTRA VIS Preform Sorting Machine</t>
  </si>
  <si>
    <t>9.4 TO29/25 Rnd Nova Blue J/C(Ppl-SABIC</t>
  </si>
  <si>
    <t>PRT  REL</t>
  </si>
  <si>
    <t>IMPS02 CYT 6.8 180 CAV 95294 PC PER HR</t>
  </si>
  <si>
    <t>INTRA VIS Preform Sorting Machine</t>
  </si>
  <si>
    <t>3100008492</t>
  </si>
  <si>
    <t>Plain Self Adhes W105XH165mm–BOPP 1000/R</t>
  </si>
  <si>
    <t>PRT  REL</t>
  </si>
  <si>
    <t>IMPS02 CYT 6.8 180 CAV 95294 PC PER HR</t>
  </si>
  <si>
    <t>INTRA VIS Preform Sorting Machine</t>
  </si>
  <si>
    <t>9.4 TO 29/25 Rnd L.Blue J/C (W plt- SIPA</t>
  </si>
  <si>
    <t>PRT  REL</t>
  </si>
  <si>
    <t>IMPS02 CYT 6.8 180 CAV 95294 PC PER HR</t>
  </si>
  <si>
    <t>INTRA VIS Preform Sorting Machine</t>
  </si>
  <si>
    <t>3100008493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</si>
  <si>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</si>
  <si>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</si>
  <si>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</si>
  <si>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</si>
  <si>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</si>
  <si>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</si>
  <si>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</si>
  <si>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</si>
  <si>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3100008494</t>
  </si>
  <si>
    <t>PET Clear Preform For Grinding</t>
  </si>
  <si>
    <t>PRT  REL</t>
  </si>
  <si>
    <t>IMP01 CYCT 18.5 96CAVITY 18682 PC PER HR</t>
  </si>
  <si>
    <t>IMD VISTA Sorting Machine</t>
  </si>
  <si>
    <t>52.0 BC 38mm 3 Rnd Clear OJ/C(W plt</t>
  </si>
  <si>
    <t>PRT  REL</t>
  </si>
  <si>
    <t>IMP01 CYCT 18.5 96CAVITY 18682 PC PER HR</t>
  </si>
  <si>
    <t>IMD VISTA Sorting Machine</t>
  </si>
  <si>
    <t>3100008495</t>
  </si>
  <si>
    <t>PET Clear Preform For Grinding</t>
  </si>
  <si>
    <t>PRT  REL</t>
  </si>
  <si>
    <t>IMP12 CYT 16.7 96 CAV 20694 PC PER HR</t>
  </si>
  <si>
    <t>IMD VISTA Sorting Machine</t>
  </si>
  <si>
    <t>36.0 BC38mm 3 Rnd Clear OJ/C(W plt</t>
  </si>
  <si>
    <t>PRT  REL</t>
  </si>
  <si>
    <t>IMP12 CYT 16.7 96 CAV 20694 PC PER HR</t>
  </si>
  <si>
    <t>IMD VISTA Sorting Machine</t>
  </si>
  <si>
    <t>3100008496</t>
  </si>
  <si>
    <t>Plain Self Adhes W105XH165mm–BOPP 1000/R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</si>
  <si>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</si>
  <si>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</si>
  <si>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</si>
  <si>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</si>
  <si>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</si>
  <si>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</si>
  <si>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</si>
  <si>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</si>
  <si>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</si>
  <si>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</si>
  <si>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</si>
  <si>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J/C Top Cover (L121XW102XH15)mm- 735gsm</t>
  </si>
  <si>
    <t>IMPS07 CYT 17.3 144 CAV 29965 PC PER HR</t>
  </si>
  <si>
    <t>INTRA VIS Preform Sorting Machine</t>
  </si>
  <si>
    <t>3100008497</t>
  </si>
  <si>
    <t>P.E Bags (160x130)x50cm Th 40mic- Jomih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</si>
  <si>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</si>
  <si>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</si>
  <si>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</si>
  <si>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</si>
  <si>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</si>
  <si>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</si>
  <si>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</si>
  <si>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J/C Top Cover (L121XW102XH15)mm- 735gsm</t>
  </si>
  <si>
    <t>IMPS06 CYCT 15 CAV 180  PCS PER HR 43200</t>
  </si>
  <si>
    <t>IMD VISTA Sorting Machine</t>
  </si>
  <si>
    <t>3100008498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</si>
  <si>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</si>
  <si>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</si>
  <si>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</si>
  <si>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</si>
  <si>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</si>
  <si>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</si>
  <si>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</si>
  <si>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</si>
  <si>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</si>
  <si>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</si>
  <si>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</si>
  <si>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</si>
  <si>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3100008499</t>
  </si>
  <si>
    <t>Plain Self Adhes W105XH165mm–BOPP 1000/R</t>
  </si>
  <si>
    <t>PRT  REL</t>
  </si>
  <si>
    <t>IMP01 CYCT 18.5 96CAVITY 18682 PC PER HR</t>
  </si>
  <si>
    <t>IMD VISTA Sorting Machine</t>
  </si>
  <si>
    <t>P.E Bags (160x130)x50cm Th 40mic- Jomih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</si>
  <si>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</si>
  <si>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</si>
  <si>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</si>
  <si>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</si>
  <si>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</si>
  <si>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</si>
  <si>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</si>
  <si>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3100008500</t>
  </si>
  <si>
    <t>Plain Self Adhes W105XH165mm–BOPP 1000/R</t>
  </si>
  <si>
    <t>PRT  REL</t>
  </si>
  <si>
    <t>IMP12 CYT 16.7 96 CAV 20694 PC PER HR</t>
  </si>
  <si>
    <t>IMD VISTA Sorting Machine</t>
  </si>
  <si>
    <t>36.0 BC38mm 3 Rnd Clear OJ/C(W plt</t>
  </si>
  <si>
    <t>PRT  REL</t>
  </si>
  <si>
    <t>IMP12 CYT 16.7 96 CAV 20694 PC PER HR</t>
  </si>
  <si>
    <t>IMD VISTA Sorting Machine</t>
  </si>
  <si>
    <t>3100008501</t>
  </si>
  <si>
    <t>Plain Self Adhes W105XH165mm–BOPP 1000/R</t>
  </si>
  <si>
    <t>PRT  REL</t>
  </si>
  <si>
    <t>IMPS03 CYT 6.5 180 CAV 99692 PC PER HR</t>
  </si>
  <si>
    <t>IMD VISTA Sorting Machine</t>
  </si>
  <si>
    <t>7.45TO LW 29/25 L.Blue J/C(WP-SIPA</t>
  </si>
  <si>
    <t>DLT  PRT  REL</t>
  </si>
  <si>
    <t>IMPS03 CYT 6.5 180 CAV 99692 PC PER HR</t>
  </si>
  <si>
    <t>IMD VISTA Sorting Machine</t>
  </si>
  <si>
    <t>7.45TO29/25Rnd'ALM'BLUE J/C(PP-SIPA)</t>
  </si>
  <si>
    <t>IMPS03 CYT 6.5 180 CAV 99692 PC PER HR</t>
  </si>
  <si>
    <t>IMD VISTA Sorting Machine</t>
  </si>
  <si>
    <t>Wooden Pallets Good cond.L120xW100xH15cm</t>
  </si>
  <si>
    <t>IMPS03 CYT 6.5 180 CAV 99692 PC PER HR</t>
  </si>
  <si>
    <t>IMD VISTA Sorting Machine</t>
  </si>
  <si>
    <t>3100008502</t>
  </si>
  <si>
    <t>9.4 TO29/25 Rnd Nova Blue J/C(Ppl-SABIC</t>
  </si>
  <si>
    <t>PRT  REL</t>
  </si>
  <si>
    <t>IMPS02 CYT 6.8 180 CAV 95294 PC PER HR</t>
  </si>
  <si>
    <t>INTRA VIS Preform Sorting Machine</t>
  </si>
  <si>
    <t>3100008503</t>
  </si>
  <si>
    <t>Plain Self Adhes W105XH165mm–BOPP 1000/R</t>
  </si>
  <si>
    <t>PRT  REL</t>
  </si>
  <si>
    <t>IMP12 CYCT 15.6 96 CAVITY 22153 PC</t>
  </si>
  <si>
    <t>IMD VISTA Sorting Machine</t>
  </si>
  <si>
    <t>P.E Bags (160x130)x50cm Th 40mic- Jomih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</si>
  <si>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</si>
  <si>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</si>
  <si>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</si>
  <si>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</si>
  <si>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</si>
  <si>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</si>
  <si>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</si>
  <si>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3100008504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</si>
  <si>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</si>
  <si>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</si>
  <si>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</si>
  <si>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</si>
  <si>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</si>
  <si>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</si>
  <si>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</si>
  <si>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</si>
  <si>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3100008505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</si>
  <si>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</si>
  <si>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</si>
  <si>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</si>
  <si>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</si>
  <si>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</si>
  <si>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</si>
  <si>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</si>
  <si>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</si>
  <si>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3100008506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</si>
  <si>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</si>
  <si>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</si>
  <si>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</si>
  <si>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</si>
  <si>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</si>
  <si>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</si>
  <si>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</si>
  <si>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</si>
  <si>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3100008507</t>
  </si>
  <si>
    <t>Plain Self Adhes W105XH165mm–BOPP 1000/R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</si>
  <si>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</si>
  <si>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</si>
  <si>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</si>
  <si>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</si>
  <si>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</si>
  <si>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</si>
  <si>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</si>
  <si>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</si>
  <si>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</si>
  <si>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</si>
  <si>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</si>
  <si>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3100008508</t>
  </si>
  <si>
    <t>Plain Self Adhes W105XH165mm–BOPP 1000/R</t>
  </si>
  <si>
    <t>PRT  REL</t>
  </si>
  <si>
    <t>IMPS05 CYT 7.5 180 CAV 86400 PC PER HR</t>
  </si>
  <si>
    <t>IMD VISTA Sorting Machine</t>
  </si>
  <si>
    <t>PET Blue Preform For Grinding</t>
  </si>
  <si>
    <t>PRT  REL</t>
  </si>
  <si>
    <t>IMPS05 CYT 7.5 180 CAV 86400 PC PER HR</t>
  </si>
  <si>
    <t>IMD VISTA Sorting Machine</t>
  </si>
  <si>
    <t>Plain Self Adhes W105XH165mm–BOPP 1000/R</t>
  </si>
  <si>
    <t>DLT  PRT  REL</t>
  </si>
  <si>
    <t>IMPS05 CYT 7.5 180 CAV 86400 PC PER HR</t>
  </si>
  <si>
    <t>IMD VISTA Sorting Machine</t>
  </si>
  <si>
    <t>12.5TO29/25Rnd Nova Blue J/C(Ppt-YISHeng</t>
  </si>
  <si>
    <t>IMPS05 CYT 7.5 180 CAV 86400 PC PER HR</t>
  </si>
  <si>
    <t>IMD VISTA Sorting Machine</t>
  </si>
  <si>
    <t>3100008509</t>
  </si>
  <si>
    <t>45.0 PCO 1881 ICI Green J/C(P Plt - SIPA</t>
  </si>
  <si>
    <t>PRT  REL</t>
  </si>
  <si>
    <t>IMPS07 CYT 17.3 144 CAV 29965 PC PER HR</t>
  </si>
  <si>
    <t>INTRA VIS Preform Sorting Machine</t>
  </si>
  <si>
    <t>3100008510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</si>
  <si>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</si>
  <si>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</si>
  <si>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</si>
  <si>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</si>
  <si>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</si>
  <si>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</si>
  <si>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</si>
  <si>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</si>
  <si>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3100008511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</si>
  <si>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</si>
  <si>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</si>
  <si>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</si>
  <si>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</si>
  <si>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</si>
  <si>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</si>
  <si>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</si>
  <si>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</si>
  <si>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3100008512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</si>
  <si>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</si>
  <si>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</si>
  <si>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</si>
  <si>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</si>
  <si>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</si>
  <si>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</si>
  <si>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</si>
  <si>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</si>
  <si>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3100008513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</si>
  <si>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</si>
  <si>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</si>
  <si>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</si>
  <si>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</si>
  <si>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</si>
  <si>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DLT  PRT  REL</t>
  </si>
  <si>
    <t>IMPS06 CYCT 15 CAV 180  PCS PER HR 43200</t>
  </si>
  <si>
    <t>IMD VISTA Sorting Machine</t>
  </si>
  <si>
    <t>30.5PC2RD-IGS-BH1</t>
  </si>
  <si>
    <t>30.5PCO1881 ICI GreenJ/C(PP AQS HDG-SIPA</t>
  </si>
  <si>
    <t>IMPS06 CYCT 15 CAV 180  PCS PER HR 43200</t>
  </si>
  <si>
    <t>IMD VISTA Sorting Machine</t>
  </si>
  <si>
    <t>3100008514</t>
  </si>
  <si>
    <t>Plain Self Adhes W105XH165mm–BOPP 1000/R</t>
  </si>
  <si>
    <t>PRT  REL</t>
  </si>
  <si>
    <t>IMPS06 CYCT 15 CAV 180  PCS PER HR 43200</t>
  </si>
  <si>
    <t>IMD VISTA Sorting Machine</t>
  </si>
  <si>
    <t>30.5PCO1881RndICI GreenMenaBev Spec-SIPA</t>
  </si>
  <si>
    <t>PRT  REL</t>
  </si>
  <si>
    <t>IMPS06 CYCT 15 CAV 180  PCS PER HR 43200</t>
  </si>
  <si>
    <t>IMD VISTA Sorting Machine</t>
  </si>
  <si>
    <t>3100008515</t>
  </si>
  <si>
    <t>Plain Self Adhes W105XH165mm–BOPP 1000/R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</si>
  <si>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</si>
  <si>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</si>
  <si>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</si>
  <si>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</si>
  <si>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</si>
  <si>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</si>
  <si>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</si>
  <si>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</si>
  <si>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</si>
  <si>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</si>
  <si>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</si>
  <si>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3100008516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</si>
  <si>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</si>
  <si>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</si>
  <si>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</si>
  <si>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</si>
  <si>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</si>
  <si>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</si>
  <si>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</si>
  <si>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</si>
  <si>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3100008517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</si>
  <si>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</si>
  <si>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</si>
  <si>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</si>
  <si>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</si>
  <si>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</si>
  <si>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</si>
  <si>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</si>
  <si>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</si>
  <si>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3100008518</t>
  </si>
  <si>
    <t>52.0 BC38mm 3 Rnd Clear J/C(P Plt</t>
  </si>
  <si>
    <t>PRT  REL</t>
  </si>
  <si>
    <t>IMP01 CYCT 18.5 96CAVITY 18682 PC PER HR</t>
  </si>
  <si>
    <t>IMD VISTA Sorting Machine</t>
  </si>
  <si>
    <t>3100008519</t>
  </si>
  <si>
    <t>PET Green Preform For Grinding</t>
  </si>
  <si>
    <t>PRT  REL</t>
  </si>
  <si>
    <t>IMPS06 CYT 11.5 180 CAV 56347 PC PER HR</t>
  </si>
  <si>
    <t>IMD VISTA Sorting Machine</t>
  </si>
  <si>
    <t>21.0PCO1881Rnd ICI Green J/C(W/p-SIPA</t>
  </si>
  <si>
    <t>PRT  REL</t>
  </si>
  <si>
    <t>IMPS06 CYT 11.5 180 CAV 56347 PC PER HR</t>
  </si>
  <si>
    <t>IMD VISTA Sorting Machine</t>
  </si>
  <si>
    <t>3100008520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</si>
  <si>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</si>
  <si>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</si>
  <si>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</si>
  <si>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</si>
  <si>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</si>
  <si>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</si>
  <si>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</si>
  <si>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</si>
  <si>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3100008521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</si>
  <si>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</si>
  <si>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</si>
  <si>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</si>
  <si>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</si>
  <si>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</si>
  <si>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</si>
  <si>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</si>
  <si>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</si>
  <si>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3100008522</t>
  </si>
  <si>
    <t>Plain Self Adhes W105XH165mm–BOPP 1000/R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</si>
  <si>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</si>
  <si>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</si>
  <si>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</si>
  <si>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</si>
  <si>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</si>
  <si>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</si>
  <si>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</si>
  <si>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13.5 TO29/25 Rnd L.Blue J/C(W Plt)</t>
  </si>
  <si>
    <t>PRT  REL</t>
  </si>
  <si>
    <t>IM24 CYCT 11 96 CAVITY 31418 PC PER HR</t>
  </si>
  <si>
    <t>INTRA VIS Preform Sorting Machine</t>
  </si>
  <si>
    <t>3100008523</t>
  </si>
  <si>
    <t>Plain Self Adhes W105XH165mm–BOPP 1000/R</t>
  </si>
  <si>
    <t>PRT  REL</t>
  </si>
  <si>
    <t>IMPS06 CYT 11.5 180 CAV 56347 PC PER HR</t>
  </si>
  <si>
    <t>IMD VISTA Sorting Machine</t>
  </si>
  <si>
    <t>21.0PCO1881Rnd Clear J/C(W/p-SIPA</t>
  </si>
  <si>
    <t>PRT  REL</t>
  </si>
  <si>
    <t>IMPS06 CYT 11.5 180 CAV 56347 PC PER HR</t>
  </si>
  <si>
    <t>IMD VISTA Sorting Machine</t>
  </si>
  <si>
    <t>3100008524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</si>
  <si>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</si>
  <si>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</si>
  <si>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</si>
  <si>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</si>
  <si>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</si>
  <si>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</si>
  <si>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</si>
  <si>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</si>
  <si>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3100008525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</si>
  <si>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</si>
  <si>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</si>
  <si>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</si>
  <si>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</si>
  <si>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</si>
  <si>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</si>
  <si>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</si>
  <si>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</si>
  <si>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3100008526</t>
  </si>
  <si>
    <t>Plain Self Adhes W105XH165mm–BOPP 1000/R</t>
  </si>
  <si>
    <t>PRT  REL</t>
  </si>
  <si>
    <t>IM24 CYCT 11 96 CAVITY 31418 PC PER HR</t>
  </si>
  <si>
    <t>IMD VISTA Sorting Machine</t>
  </si>
  <si>
    <t>PET Clear Preform For Grinding</t>
  </si>
  <si>
    <t>PRT  REL</t>
  </si>
  <si>
    <t>IM24 CYCT 11 96 CAVITY 31418 PC PER HR</t>
  </si>
  <si>
    <t>IMD VISTA Sorting Machine</t>
  </si>
  <si>
    <t>13.5TO1RD-CL-A</t>
  </si>
  <si>
    <t>13.5 TO29/25 Rnd Clear J/C(W Plt)</t>
  </si>
  <si>
    <t>PRT  REL</t>
  </si>
  <si>
    <t>IM24 CYCT 11 96 CAVITY 31418 PC PER HR</t>
  </si>
  <si>
    <t>IMD VISTA Sorting Machine</t>
  </si>
  <si>
    <t>3100008527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</si>
  <si>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</si>
  <si>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</si>
  <si>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</si>
  <si>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</si>
  <si>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</si>
  <si>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</si>
  <si>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</si>
  <si>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</si>
  <si>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3100008528</t>
  </si>
  <si>
    <t>Plain Self Adhes W105XH165mm–BOPP 1000/R</t>
  </si>
  <si>
    <t>PRT  REL</t>
  </si>
  <si>
    <t>IMPS07 CYT 17.3 144 CAV 29965 PC PER HR</t>
  </si>
  <si>
    <t>INTRA VIS Preform Sorting Machine</t>
  </si>
  <si>
    <t>PET Clear Preform For Grinding</t>
  </si>
  <si>
    <t>PRT  REL</t>
  </si>
  <si>
    <t>IMPS07 CYT 17.3 144 CAV 29965 PC PER HR</t>
  </si>
  <si>
    <t>INTRA VIS Preform Sorting Machine</t>
  </si>
  <si>
    <t>45.0 PCO 1881 Rnd Clear Mena Bev</t>
  </si>
  <si>
    <t>DLT  PRT  REL</t>
  </si>
  <si>
    <t>IMPS07 CYT 17.3 144 CAV 29965 PC PER HR</t>
  </si>
  <si>
    <t>INTRA VIS Preform Sorting Machine</t>
  </si>
  <si>
    <t>45.0 PCO 1881Rd Clear J/C(P Plt - SIPA</t>
  </si>
  <si>
    <t>IMPS07 CYT 17.3 144 CAV 29965 PC PER HR</t>
  </si>
  <si>
    <t>INTRA VIS Preform Sorting Machine</t>
  </si>
  <si>
    <t>3100008529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</si>
  <si>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</si>
  <si>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</si>
  <si>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</si>
  <si>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</si>
  <si>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</si>
  <si>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</si>
  <si>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</si>
  <si>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</si>
  <si>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3100008530</t>
  </si>
  <si>
    <t>Plain Self Adhes W105XH165mm–BOPP 1000/R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</si>
  <si>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</si>
  <si>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</si>
  <si>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</si>
  <si>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</si>
  <si>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</si>
  <si>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</si>
  <si>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</si>
  <si>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3100008531</t>
  </si>
  <si>
    <t>45.0 PCO 1881 ICI Green J/C(P Plt - SIPA</t>
  </si>
  <si>
    <t>PRT  REL</t>
  </si>
  <si>
    <t>IMPS07 CYT 17.3 144 CAV 29965 PC PER HR</t>
  </si>
  <si>
    <t>IMD VISTA Sorting Machine</t>
  </si>
  <si>
    <t>3100008532</t>
  </si>
  <si>
    <t>45.0 PCO 1881 ICI Green J/C(P Plt - SIPA</t>
  </si>
  <si>
    <t>PRT  REL</t>
  </si>
  <si>
    <t>IMPS07 CYT 17.3 144 CAV 29965 PC PER HR</t>
  </si>
  <si>
    <t>IMD VISTA Sorting Machine</t>
  </si>
  <si>
    <t>3100008533</t>
  </si>
  <si>
    <t>52.0 BC 38mm 3 Rnd Clear OJ/C(W plt</t>
  </si>
  <si>
    <t>PRT  REL</t>
  </si>
  <si>
    <t>IMP01 CYCT 18.5 96CAVITY 18682 PC PER HR</t>
  </si>
  <si>
    <t>INTRA VIS Preform Sorting Machine</t>
  </si>
  <si>
    <t>3100008534</t>
  </si>
  <si>
    <t>36.0 BC38mm 3 Rnd Clear J/C(W Plt</t>
  </si>
  <si>
    <t>PRT  REL</t>
  </si>
  <si>
    <t>IMP12 CYT 16.7 96 CAV 20694 PC PER HR</t>
  </si>
  <si>
    <t>IMD VISTA Sorting Machine</t>
  </si>
  <si>
    <t>3100008535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</si>
  <si>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</si>
  <si>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</si>
  <si>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</si>
  <si>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</si>
  <si>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</si>
  <si>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</si>
  <si>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</si>
  <si>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</si>
  <si>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 LW 29/25 L.Blue J/C(WP-SIPA</t>
  </si>
  <si>
    <t>PRT  REL</t>
  </si>
  <si>
    <t>IMPS03 CYT 6.5 180 CAV 99692 PC PER HR</t>
  </si>
  <si>
    <t>INTRA VIS Preform Sorting Machine</t>
  </si>
  <si>
    <t>3100008536</t>
  </si>
  <si>
    <t>45.0 PCO 1881 Rnd ICI Green Mena Bev</t>
  </si>
  <si>
    <t>PRT  REL</t>
  </si>
  <si>
    <t>IMPS07 CYT 17.3 144 CAV 29965 PC PER HR</t>
  </si>
  <si>
    <t>IMD VISTA Sorting Machine</t>
  </si>
  <si>
    <t>3100008537</t>
  </si>
  <si>
    <t>Plain Self Adhes W105XH165mm–BOPP 1000/R</t>
  </si>
  <si>
    <t>PRT  REL</t>
  </si>
  <si>
    <t>IMPS01 CYT 6.8 180 CAV 95294 PC PER HR</t>
  </si>
  <si>
    <t>INTRA VIS Preform Sorting Machine</t>
  </si>
  <si>
    <t>9.4 TO 29/25 Rnd L.Blue J/C (W plt- SIPA</t>
  </si>
  <si>
    <t>PRT  REL</t>
  </si>
  <si>
    <t>IMPS01 CYT 6.8 180 CAV 95294 PC PER HR</t>
  </si>
  <si>
    <t>INTRA VIS Preform Sorting Machine</t>
  </si>
  <si>
    <t>3100008538</t>
  </si>
  <si>
    <t>Plain Self Adhes W105XH165mm–BOPP 1000/R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</si>
  <si>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</si>
  <si>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</si>
  <si>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</si>
  <si>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</si>
  <si>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</si>
  <si>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</si>
  <si>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</si>
  <si>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9.4 TO29/25 Rnd Nova Blue J/C(Ppl-SABIC</t>
  </si>
  <si>
    <t>PRT  REL</t>
  </si>
  <si>
    <t>IMPS01 CYT 6.8 180 CAV 95294 PC PER HR</t>
  </si>
  <si>
    <t>INTRA VIS Preform Sorting Machine</t>
  </si>
  <si>
    <t>3100008539</t>
  </si>
  <si>
    <t>Plain Self Adhes W105XH165mm–BOPP 1000/R</t>
  </si>
  <si>
    <t>PRT  REL</t>
  </si>
  <si>
    <t>IMPS03 CYT 6.5 180 CAV 99692 PC PER HR</t>
  </si>
  <si>
    <t>INTRA VIS Preform Sorting Machine</t>
  </si>
  <si>
    <t>7.45TO 29/25 Rnd L.Blue (≤1ppm) J/C Wplt</t>
  </si>
  <si>
    <t>PRT  REL</t>
  </si>
  <si>
    <t>IMPS03 CYT 6.5 180 CAV 99692 PC PER HR</t>
  </si>
  <si>
    <t>INTRA VIS Preform Sorting Machine</t>
  </si>
  <si>
    <t>3100008540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</si>
  <si>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</si>
  <si>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</si>
  <si>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</si>
  <si>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</si>
  <si>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</si>
  <si>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</si>
  <si>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</si>
  <si>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</si>
  <si>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</si>
  <si>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</si>
  <si>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</si>
  <si>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</si>
  <si>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3100008541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</si>
  <si>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</si>
  <si>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</si>
  <si>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</si>
  <si>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</si>
  <si>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</si>
  <si>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</si>
  <si>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</si>
  <si>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</si>
  <si>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</si>
  <si>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</si>
  <si>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</si>
  <si>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</si>
  <si>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3100008542</t>
  </si>
  <si>
    <t>45.0 PCO 1881 Rnd ICI Green J/C(W plt</t>
  </si>
  <si>
    <t>PRT  REL</t>
  </si>
  <si>
    <t>IMPS07 CYT 17.3 144 CAV 29965 PC PER HR</t>
  </si>
  <si>
    <t>IMD VISTA Sorting Machine</t>
  </si>
  <si>
    <t>3100008543</t>
  </si>
  <si>
    <t>45.0 PCO 1881 Rnd ICI Green J/C(W plt</t>
  </si>
  <si>
    <t>PRT  REL</t>
  </si>
  <si>
    <t>IMPS07 CYT 17.3 144 CAV 29965 PC PER HR</t>
  </si>
  <si>
    <t>IMD VISTA Sorting Machine</t>
  </si>
  <si>
    <t>3100008544</t>
  </si>
  <si>
    <t>45PC2RD-CL-A</t>
  </si>
  <si>
    <t>45 PCO 1881 Rnd Clear J/C(W plt</t>
  </si>
  <si>
    <t>PRT  REL</t>
  </si>
  <si>
    <t>IMPS07 CYT 17.3 144 CAV 29965 PC PER HR</t>
  </si>
  <si>
    <t>IMD VISTA Sorting Machine</t>
  </si>
  <si>
    <t>3100008545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</si>
  <si>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</si>
  <si>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</si>
  <si>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</si>
  <si>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</si>
  <si>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</si>
  <si>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</si>
  <si>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</si>
  <si>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</si>
  <si>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J/C Top Cover (L121XW102XH15)mm- 735gsm</t>
  </si>
  <si>
    <t>IMPS06 CYCT 15 CAV 180  PCS PER HR 43200</t>
  </si>
  <si>
    <t>IMD VISTA Sorting Machine</t>
  </si>
  <si>
    <t>3100008546</t>
  </si>
  <si>
    <t>Plain Self Adhes W105XH165mm–BOPP 1000/R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</si>
  <si>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</si>
  <si>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</si>
  <si>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</si>
  <si>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</si>
  <si>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</si>
  <si>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</si>
  <si>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</si>
  <si>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9.4 TO29/25 Rnd Nova Blue J/C(Ppl-SABIC</t>
  </si>
  <si>
    <t>PRT  REL</t>
  </si>
  <si>
    <t>IMPS01 CYT 6.8 180 CAV 95294 PC PER HR</t>
  </si>
  <si>
    <t>INTRA VIS Preform Sorting Machine</t>
  </si>
  <si>
    <t>Wooden Pallets Good cond.L120xW100xH15cm</t>
  </si>
  <si>
    <t>IMPS01 CYT 6.8 180 CAV 95294 PC PER HR</t>
  </si>
  <si>
    <t>INTRA VIS Preform Sorting Machine</t>
  </si>
  <si>
    <t>3100008547</t>
  </si>
  <si>
    <t>PET Blue Preform For Grinding</t>
  </si>
  <si>
    <t>PRT  REL</t>
  </si>
  <si>
    <t>IMP12 CYCT 15.6 96 CAVITY 22153 PC</t>
  </si>
  <si>
    <t>IMD VISTA Sorting Machine</t>
  </si>
  <si>
    <t>26.6TO29/25Rnd'ALM'BLUE J/C(PP-HDG)</t>
  </si>
  <si>
    <t>PRT  REL</t>
  </si>
  <si>
    <t>IMP12 CYCT 15.6 96 CAVITY 22153 PC</t>
  </si>
  <si>
    <t>IMD VISTA Sorting Machine</t>
  </si>
  <si>
    <t>3100008548</t>
  </si>
  <si>
    <t>26.6TO29/25Rnd Nova Blue - (JADE)</t>
  </si>
  <si>
    <t>PRT  REL</t>
  </si>
  <si>
    <t>IMP12 CYCT 15.6 96 CAVITY 22153 PC</t>
  </si>
  <si>
    <t>IMD VISTA Sorting Machine</t>
  </si>
  <si>
    <t>3100008549</t>
  </si>
  <si>
    <t>Plain Self Adhes W105XH165mm–BOPP 1000/R</t>
  </si>
  <si>
    <t>PRT  REL</t>
  </si>
  <si>
    <t>IMP07 CYCT 10.2 72 CAV 25412 PC PER HR</t>
  </si>
  <si>
    <t>IMD VISTA Sorting Machine</t>
  </si>
  <si>
    <t>PET Clear Preform For Grinding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</si>
  <si>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</si>
  <si>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</si>
  <si>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</si>
  <si>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</si>
  <si>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</si>
  <si>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</si>
  <si>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</si>
  <si>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3100008550</t>
  </si>
  <si>
    <t>15.5 BC38mm 3 Start Rnd Clear W Steel c.</t>
  </si>
  <si>
    <t>PRT  REL</t>
  </si>
  <si>
    <t>IM02 CYCT 12.6  72 CAVITY 20571PERHR</t>
  </si>
  <si>
    <t>INTRA VIS Preform Sorting Machine</t>
  </si>
  <si>
    <t>3100008551</t>
  </si>
  <si>
    <t>PET Blue Preform For Grinding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</si>
  <si>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</si>
  <si>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</si>
  <si>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</si>
  <si>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</si>
  <si>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</si>
  <si>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</si>
  <si>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</si>
  <si>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3100008552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</si>
  <si>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</si>
  <si>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</si>
  <si>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</si>
  <si>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</si>
  <si>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</si>
  <si>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</si>
  <si>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</si>
  <si>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</si>
  <si>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3100008553</t>
  </si>
  <si>
    <t>Plain Self Adhes W105XH165mm–BOPP 1000/R</t>
  </si>
  <si>
    <t>PRT  REL</t>
  </si>
  <si>
    <t>IMPS03 CYT 6.5 180 CAV 99692 PC PER HR</t>
  </si>
  <si>
    <t>IMD VISTA Sorting Machine</t>
  </si>
  <si>
    <t>7.45TO 29/25 Rnd L.Blue (≤1ppm) J/C Wplt</t>
  </si>
  <si>
    <t>PRT  REL</t>
  </si>
  <si>
    <t>IMPS03 CYT 6.5 180 CAV 99692 PC PER HR</t>
  </si>
  <si>
    <t>IMD VISTA Sorting Machine</t>
  </si>
  <si>
    <t>3100008554</t>
  </si>
  <si>
    <t>Plain Self Adhes W105XH165mm–BOPP 1000/R</t>
  </si>
  <si>
    <t>PRT  REL</t>
  </si>
  <si>
    <t>IMPS03 CYT 6.5 180 CAV 99692 PC PER HR</t>
  </si>
  <si>
    <t>IMD VISTA Sorting Machine</t>
  </si>
  <si>
    <t>7.45TO 29/25 Rnd L.Blue (≤1ppm) J/C Wplt</t>
  </si>
  <si>
    <t>DLT  PRT  REL</t>
  </si>
  <si>
    <t>IMPS03 CYT 6.5 180 CAV 99692 PC PER HR</t>
  </si>
  <si>
    <t>IMD VISTA Sorting Machine</t>
  </si>
  <si>
    <t>7.45TO29/25Rnd'ALM'BLUE J/C(PP-SIPA)</t>
  </si>
  <si>
    <t>IMPS03 CYT 6.5 180 CAV 99692 PC PER HR</t>
  </si>
  <si>
    <t>IMD VISTA Sorting Machine</t>
  </si>
  <si>
    <t>Wooden Pallets Good cond.L120xW100xH15cm</t>
  </si>
  <si>
    <t>IMPS03 CYT 6.5 180 CAV 99692 PC PER HR</t>
  </si>
  <si>
    <t>IMD VISTA Sorting Machine</t>
  </si>
  <si>
    <t>3100008555</t>
  </si>
  <si>
    <t>Plain Self Adhes W105XH165mm–BOPP 1000/R</t>
  </si>
  <si>
    <t>PRT  REL</t>
  </si>
  <si>
    <t>IMP19 CYT 14.5 72 CAV 17875 PC PER HR</t>
  </si>
  <si>
    <t>IMD VISTA Sorting Machine</t>
  </si>
  <si>
    <t>34.0 BC38mm 3 ECO Huayan White Steel C</t>
  </si>
  <si>
    <t>PRT  REL</t>
  </si>
  <si>
    <t>IMP19 CYT 14.5 72 CAV 17875 PC PER HR</t>
  </si>
  <si>
    <t>IMD VISTA Sorting Machine</t>
  </si>
  <si>
    <t>3100008556</t>
  </si>
  <si>
    <t>Plain Self Adhes W105XH165mm–BOPP 1000/R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</si>
  <si>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</si>
  <si>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</si>
  <si>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</si>
  <si>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</si>
  <si>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</si>
  <si>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</si>
  <si>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</si>
  <si>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18.0 BC38mm 3 Rnd Clear Steel C</t>
  </si>
  <si>
    <t>PRT  REL</t>
  </si>
  <si>
    <t>IMP07 CYCT 12 72CAVITY 21600 PC PER HR</t>
  </si>
  <si>
    <t>INTRA VIS Preform Sorting Machine</t>
  </si>
  <si>
    <t>3100008557</t>
  </si>
  <si>
    <t>13.5 BC38mm 3 Rnd Clear W steel c.</t>
  </si>
  <si>
    <t>PRT  REL</t>
  </si>
  <si>
    <t>IMP12 CYCT 12 96 CAVITY 28800 PC PER HR</t>
  </si>
  <si>
    <t>INTRA VIS Preform Sorting Machine</t>
  </si>
  <si>
    <t>3100008558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</si>
  <si>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</si>
  <si>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</si>
  <si>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</si>
  <si>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</si>
  <si>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</si>
  <si>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</si>
  <si>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</si>
  <si>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</si>
  <si>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J/C Top Cover (L121XW102XH15)mm- 735gsm</t>
  </si>
  <si>
    <t>IMPS06 CYCT 15 CAV 180  PCS PER HR 43200</t>
  </si>
  <si>
    <t>IMD VISTA Sorting Machine</t>
  </si>
  <si>
    <t>3100008559</t>
  </si>
  <si>
    <t>Plain Self Adhes W105XH165mm–BOPP 1000/R</t>
  </si>
  <si>
    <t>PRT  REL</t>
  </si>
  <si>
    <t>IMPS01 CYT 6.8 180 CAV 95294 PC PER HR</t>
  </si>
  <si>
    <t>INTRA VIS Preform Sorting Machine</t>
  </si>
  <si>
    <t>9.4 TO29/25 Rnd Nova Blue J/C(Ppl-SABIC</t>
  </si>
  <si>
    <t>PRT  REL</t>
  </si>
  <si>
    <t>IMPS01 CYT 6.8 180 CAV 95294 PC PER HR</t>
  </si>
  <si>
    <t>INTRA VIS Preform Sorting Machine</t>
  </si>
  <si>
    <t>Wooden Pallets Good cond.L120xW100xH15cm</t>
  </si>
  <si>
    <t>IMPS01 CYT 6.8 180 CAV 95294 PC PER HR</t>
  </si>
  <si>
    <t>INTRA VIS Preform Sorting Machine</t>
  </si>
  <si>
    <t>3100008560</t>
  </si>
  <si>
    <t>Plain Self Adhes W105XH165mm–BOPP 1000/R</t>
  </si>
  <si>
    <t>PRT  REL</t>
  </si>
  <si>
    <t>IMP03 CYCT 8.1 96 CAVITY 42666 PC PER HR</t>
  </si>
  <si>
    <t>INTRA VIS Preform Sorting Machine</t>
  </si>
  <si>
    <t>10.4TO2RD-BS8-B</t>
  </si>
  <si>
    <t>10.4 TO29/25Rd Nova Blue-PET"ST-YISHENG"</t>
  </si>
  <si>
    <t>PRT  REL</t>
  </si>
  <si>
    <t>IMP03 CYCT 8.1 96 CAVITY 42666 PC PER HR</t>
  </si>
  <si>
    <t>INTRA VIS Preform Sorting Machine</t>
  </si>
  <si>
    <t>Wooden Pallets Good cond.L120xW100xH15cm</t>
  </si>
  <si>
    <t>IMP03 CYCT 8.1 96 CAVITY 42666 PC PER HR</t>
  </si>
  <si>
    <t>INTRA VIS Preform Sorting Machine</t>
  </si>
  <si>
    <t>3100008561</t>
  </si>
  <si>
    <t>Plain Self Adhes W105XH165mm–BOPP 1000/R</t>
  </si>
  <si>
    <t>PRT  REL</t>
  </si>
  <si>
    <t>IMPS04 CYT 6.50 180 CAV 99694 pcs</t>
  </si>
  <si>
    <t>IMD VISTA Sorting Machine</t>
  </si>
  <si>
    <t>8.30TOLW29/25 L.Blue(≤2ppm)J/C(W pt-SIPA</t>
  </si>
  <si>
    <t>PRT  REL</t>
  </si>
  <si>
    <t>IMPS04 CYT 6.50 180 CAV 99694 pcs</t>
  </si>
  <si>
    <t>IMD VISTA Sorting Machine</t>
  </si>
  <si>
    <t>3100008562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</si>
  <si>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</si>
  <si>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</si>
  <si>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</si>
  <si>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</si>
  <si>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</si>
  <si>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</si>
  <si>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</si>
  <si>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</si>
  <si>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</si>
  <si>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</si>
  <si>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</si>
  <si>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</si>
  <si>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3100008563</t>
  </si>
  <si>
    <t>9.4 TO 29/25 Rnd L.Blue J/C (W plt- SIPA</t>
  </si>
  <si>
    <t>PRT  REL</t>
  </si>
  <si>
    <t>IMPS01</t>
  </si>
  <si>
    <t>IMPS01 CYT 6.8 180 CAV 95294 PC PER HR</t>
  </si>
  <si>
    <t>INJ Mold01 SIPA XFORM500EVO GEN4-180 Cav</t>
  </si>
  <si>
    <t>3100008564</t>
  </si>
  <si>
    <t>Plain Self Adhes W105XH165mm–BOPP 1000/R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</si>
  <si>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</si>
  <si>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</si>
  <si>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</si>
  <si>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</si>
  <si>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</si>
  <si>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</si>
  <si>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</si>
  <si>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3100008565</t>
  </si>
  <si>
    <t>PET Blue Preform For Grinding</t>
  </si>
  <si>
    <t>PRT  REL</t>
  </si>
  <si>
    <t>IMPS05 CYT 7.1 180 CAV 91267 PC PER HR</t>
  </si>
  <si>
    <t>INTRA VIS Preform Sorting Machine</t>
  </si>
  <si>
    <t>11.5TO2RD-LBS-A</t>
  </si>
  <si>
    <t>11.5 TO29/25Rd L.Blue J/C(WP-SIPA</t>
  </si>
  <si>
    <t>PRT  REL</t>
  </si>
  <si>
    <t>IMPS05 CYT 7.1 180 CAV 91267 PC PER HR</t>
  </si>
  <si>
    <t>INTRA VIS Preform Sorting Machine</t>
  </si>
  <si>
    <t>3100008566</t>
  </si>
  <si>
    <t>21.0PCO1881Rnd Clear J/C(W/p-SIPA</t>
  </si>
  <si>
    <t>PRT  REL</t>
  </si>
  <si>
    <t>IMPS06 CYT 11.5 180 CAV 56347 PC PER HR</t>
  </si>
  <si>
    <t>IMD VISTA Sorting Machine</t>
  </si>
  <si>
    <t>3100008567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</si>
  <si>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</si>
  <si>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</si>
  <si>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</si>
  <si>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</si>
  <si>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</si>
  <si>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</si>
  <si>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</si>
  <si>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</si>
  <si>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</si>
  <si>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</si>
  <si>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</si>
  <si>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</si>
  <si>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Wooden Pallets Good cond.L120xW100xH15cm</t>
  </si>
  <si>
    <t>PRT  REL</t>
  </si>
  <si>
    <t>IMPS06 CYCT 15 CAV 180  PCS PER HR 43200</t>
  </si>
  <si>
    <t>IMD VISTA Sorting Machine</t>
  </si>
  <si>
    <t>3100008568</t>
  </si>
  <si>
    <t>45.0 PCO 1881 ICI Green J/C(P Plt - SIPA</t>
  </si>
  <si>
    <t>PRT  REL</t>
  </si>
  <si>
    <t>IMPS07 CYT 17.3 144 CAV 29965 PC PER HR</t>
  </si>
  <si>
    <t>IMD VISTA Sorting Machine</t>
  </si>
  <si>
    <t>3100008569</t>
  </si>
  <si>
    <t>45.0 PCO 1881 ICI Green J/C(P Plt - SIPA</t>
  </si>
  <si>
    <t>PRT  REL</t>
  </si>
  <si>
    <t>IMPS07 CYT 17.3 144 CAV 29965 PC PER HR</t>
  </si>
  <si>
    <t>INTRA VIS Preform Sorting Machine</t>
  </si>
  <si>
    <t>3100008570</t>
  </si>
  <si>
    <t>Plain Self Adhes W105XH165mm–BOPP 1000/R</t>
  </si>
  <si>
    <t>PRT  REL</t>
  </si>
  <si>
    <t>IMP02 CYT 7.9 128 CAV 58329 PC PER HR</t>
  </si>
  <si>
    <t>INTRA VIS Preform Sorting Machine</t>
  </si>
  <si>
    <t>Wooden Pallets Good cond.L120xW100xH15cm</t>
  </si>
  <si>
    <t>PRT  REL</t>
  </si>
  <si>
    <t>IMP02 CYT 7.9 128 CAV 58329 PC PER HR</t>
  </si>
  <si>
    <t>INTRA VIS Preform Sorting Machine</t>
  </si>
  <si>
    <t>10.4 TO 29/25 Rnd Clear J/C(P Plt</t>
  </si>
  <si>
    <t>PRT  REL</t>
  </si>
  <si>
    <t>IMP02 CYT 7.9 128 CAV 58329 PC PER HR</t>
  </si>
  <si>
    <t>INTRA VIS Preform Sorting Machine</t>
  </si>
  <si>
    <t>3100008571</t>
  </si>
  <si>
    <t>30.5 PCO 1881Rnd CLR J/C(PP JOM HDG-SIPA</t>
  </si>
  <si>
    <t>PRT  REL</t>
  </si>
  <si>
    <t>IMPS06 CYCT 15 CAV 180  PCS PER HR 43200</t>
  </si>
  <si>
    <t>IMD VISTA Sorting Machine</t>
  </si>
  <si>
    <t>3100008572</t>
  </si>
  <si>
    <t>Plain Self Adhes W105XH165mm–BOPP 1000/R</t>
  </si>
  <si>
    <t>PRT  REL</t>
  </si>
  <si>
    <t>IMPS01 CYT 6.8 180 CAV 95294 PC PER HR</t>
  </si>
  <si>
    <t>IMD VISTA Sorting Machine</t>
  </si>
  <si>
    <t>9.4 TO 29/25 Rnd Clear J/C(PP)</t>
  </si>
  <si>
    <t>PRT  REL</t>
  </si>
  <si>
    <t>IMPS01 CYT 6.8 180 CAV 95294 PC PER HR</t>
  </si>
  <si>
    <t>IMD VISTA Sorting Machine</t>
  </si>
  <si>
    <t>3100008573</t>
  </si>
  <si>
    <t>Plain Self Adhes W105XH165mm–BOPP 1000/R</t>
  </si>
  <si>
    <t>PRT  REL</t>
  </si>
  <si>
    <t>IMP19 CYT 14.5 72 CAV 17875 PC PER HR</t>
  </si>
  <si>
    <t>IMD VISTA Sorting Machine</t>
  </si>
  <si>
    <t>34.0 BC38mm 3 ECO Huayan White Steel C</t>
  </si>
  <si>
    <t>PRT  REL</t>
  </si>
  <si>
    <t>IMP19 CYT 14.5 72 CAV 17875 PC PER HR</t>
  </si>
  <si>
    <t>IMD VISTA Sorting Machine</t>
  </si>
  <si>
    <t>3100008574</t>
  </si>
  <si>
    <t>30.5PCO1881 ICI GreenJ/C(PP JOM HDG-SIPA</t>
  </si>
  <si>
    <t>PRT  REL</t>
  </si>
  <si>
    <t>IMPS06 CYCT 15 CAV 180  PCS PER HR 43200</t>
  </si>
  <si>
    <t>IMD VISTA Sorting Machine</t>
  </si>
  <si>
    <t>3100008575</t>
  </si>
  <si>
    <t>52.0 BC 38mm 3 Rnd Clear OJ/C(W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</si>
  <si>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</si>
  <si>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</si>
  <si>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</si>
  <si>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</si>
  <si>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</si>
  <si>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</si>
  <si>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</si>
  <si>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</si>
  <si>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</si>
  <si>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</si>
  <si>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</si>
  <si>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</si>
  <si>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</si>
  <si>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</si>
  <si>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</si>
  <si>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PET Green strapping ROL 2500m-12.5x0.6mm</t>
  </si>
  <si>
    <t>PRT  REL</t>
  </si>
  <si>
    <t>IMP01 CYCT 18.5 96CAVITY 18682 PC PER HR</t>
  </si>
  <si>
    <t>INTRA VIS Preform Sorting Machine</t>
  </si>
  <si>
    <t>3100008576</t>
  </si>
  <si>
    <t>Plain Self Adhes W105XH165mm–BOPP 1000/R</t>
  </si>
  <si>
    <t>PRT  REL</t>
  </si>
  <si>
    <t>IMPS01 CYT 6.8 180 CAV 95294 PC PER HR</t>
  </si>
  <si>
    <t>IMD VISTA Sorting Machine</t>
  </si>
  <si>
    <t>PET Clear Preform For Grinding</t>
  </si>
  <si>
    <t>PRT  REL</t>
  </si>
  <si>
    <t>IMPS01 CYT 6.8 180 CAV 95294 PC PER HR</t>
  </si>
  <si>
    <t>IMD VISTA Sorting Machine</t>
  </si>
  <si>
    <t>9.4 TO 29/25 Rnd Clear J/C(PP)</t>
  </si>
  <si>
    <t>PRT  REL</t>
  </si>
  <si>
    <t>IMPS01 CYT 6.8 180 CAV 95294 PC PER HR</t>
  </si>
  <si>
    <t>IMD VISTA Sorting Machine</t>
  </si>
  <si>
    <t>3100008577</t>
  </si>
  <si>
    <t>52.0 BC 38mm 3 Rnd Clear OJ/C(W plt</t>
  </si>
  <si>
    <t>PRT  REL</t>
  </si>
  <si>
    <t>IMP01 CYCT 18.5 96CAVITY 18682 PC PER HR</t>
  </si>
  <si>
    <t>INTRA VIS Preform Sorting Machine</t>
  </si>
  <si>
    <t>3100008578</t>
  </si>
  <si>
    <t>Plain Self Adhes W105XH165mm–BOPP 1000/R</t>
  </si>
  <si>
    <t>PRT  REL</t>
  </si>
  <si>
    <t>IMP12 CYCT 15.6 96 CAVITY 22153 PC</t>
  </si>
  <si>
    <t>IMD VISTA Sorting Machine</t>
  </si>
  <si>
    <t>26.6TO29/25Rnd Nova Blue - (JADE)</t>
  </si>
  <si>
    <t>PRT  REL</t>
  </si>
  <si>
    <t>IMP12 CYCT 15.6 96 CAVITY 22153 PC</t>
  </si>
  <si>
    <t>IMD VISTA Sorting Machine</t>
  </si>
  <si>
    <t>3100008579</t>
  </si>
  <si>
    <t>26.6TO29/25Rnd'ALM'BLUE J/C(PP-HDG)</t>
  </si>
  <si>
    <t>PRT  REL</t>
  </si>
  <si>
    <t>IMP12 CYCT 15.6 96 CAVITY 22153 PC</t>
  </si>
  <si>
    <t>IMD VISTA Sorting Machine</t>
  </si>
  <si>
    <t>3100008580</t>
  </si>
  <si>
    <t>PET Green Preform For Grinding</t>
  </si>
  <si>
    <t>PRT  REL</t>
  </si>
  <si>
    <t>IM24 CYCT 11 96 CAVITY 31418 PC PER HR</t>
  </si>
  <si>
    <t>INTRA VIS Preform Sorting Machine</t>
  </si>
  <si>
    <t>14.0 PCO 1881 Rnd ICI Green J/C(W Plt)</t>
  </si>
  <si>
    <t>PRT  REL</t>
  </si>
  <si>
    <t>IM24 CYCT 11 96 CAVITY 31418 PC PER HR</t>
  </si>
  <si>
    <t>INTRA VIS Preform Sorting Machine</t>
  </si>
  <si>
    <t>3100008581</t>
  </si>
  <si>
    <t>12.7 BC38mm 3 ECO White Steel c.</t>
  </si>
  <si>
    <t>PRT  REL</t>
  </si>
  <si>
    <t>IM01 CYCT 9.68 72 CAVITY 26777 PC PER HR</t>
  </si>
  <si>
    <t>INTRA VIS Preform Sorting Machine</t>
  </si>
  <si>
    <t>3100008582</t>
  </si>
  <si>
    <t>Plain Self Adhes W105XH165mm–BOPP 1000/R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</si>
  <si>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</si>
  <si>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</si>
  <si>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</si>
  <si>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</si>
  <si>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</si>
  <si>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</si>
  <si>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</si>
  <si>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3100008583</t>
  </si>
  <si>
    <t>Plain Self Adhes W105XH165mm–BOPP 1000/R</t>
  </si>
  <si>
    <t>PRT  REL</t>
  </si>
  <si>
    <t>IM07 CYCT 11 96 CAVITY 31418 PC PER HR</t>
  </si>
  <si>
    <t>INTRA VIS Preform Sorting Machine</t>
  </si>
  <si>
    <t>14.0 TO 29/25 Rnd Arwa Blue J/C(W plt)</t>
  </si>
  <si>
    <t>PRT  REL</t>
  </si>
  <si>
    <t>IM07 CYCT 11 96 CAVITY 31418 PC PER HR</t>
  </si>
  <si>
    <t>INTRA VIS Preform Sorting Machine</t>
  </si>
  <si>
    <t>3100008584</t>
  </si>
  <si>
    <t>Plain Self Adhes W105XH165mm–BOPP 1000/R</t>
  </si>
  <si>
    <t>PRT  REL</t>
  </si>
  <si>
    <t>IMPS01 CYT 6.8 180 CAV 95294 PC PER HR</t>
  </si>
  <si>
    <t>INTRA VIS Preform Sorting Machine</t>
  </si>
  <si>
    <t>9.4 29/25RndCLR AA Rdcer MenaB PP</t>
  </si>
  <si>
    <t>PRT  REL</t>
  </si>
  <si>
    <t>IMPS01 CYT 6.8 180 CAV 95294 PC PER HR</t>
  </si>
  <si>
    <t>INTRA VIS Preform Sorting Machine</t>
  </si>
  <si>
    <t>3100008585</t>
  </si>
  <si>
    <t>Nylon Cable Tie – CV-200B-Black(100 pcs)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</si>
  <si>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</si>
  <si>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</si>
  <si>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</si>
  <si>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</si>
  <si>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</si>
  <si>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</si>
  <si>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</si>
  <si>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</si>
  <si>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</si>
  <si>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</si>
  <si>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</si>
  <si>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3100008586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</si>
  <si>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</si>
  <si>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</si>
  <si>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</si>
  <si>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</si>
  <si>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</si>
  <si>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</si>
  <si>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</si>
  <si>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</si>
  <si>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3100008587</t>
  </si>
  <si>
    <t>Plain Self Adhes W105XH165mm–BOPP 1000/R</t>
  </si>
  <si>
    <t>PRT  REL</t>
  </si>
  <si>
    <t>IMPS05 CYT 7.5 180 CAV 86400 PC PER HR</t>
  </si>
  <si>
    <t>IMD VISTA Sorting Machine</t>
  </si>
  <si>
    <t>Nylon Cable Tie – CV-200B-Black(100 pcs)</t>
  </si>
  <si>
    <t>PRT  REL</t>
  </si>
  <si>
    <t>IMPS05 CYT 7.5 180 CAV 86400 PC PER HR</t>
  </si>
  <si>
    <t>IMD VISTA Sorting Machine</t>
  </si>
  <si>
    <t>12.5TO29/25Rnd Nova Blue J/C(Ppt-YISHeng</t>
  </si>
  <si>
    <t>PRT  REL</t>
  </si>
  <si>
    <t>IMPS05 CYT 7.5 180 CAV 86400 PC PER HR</t>
  </si>
  <si>
    <t>IMD VISTA Sorting Machine</t>
  </si>
  <si>
    <t>3100008588</t>
  </si>
  <si>
    <t>Plain Self Adhes W105XH165mm–BOPP 1000/R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</si>
  <si>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</si>
  <si>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</si>
  <si>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</si>
  <si>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</si>
  <si>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</si>
  <si>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</si>
  <si>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</si>
  <si>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</si>
  <si>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</si>
  <si>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</si>
  <si>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</si>
  <si>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Wooden Pallets Good cond.L120xW100xH15cm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</si>
  <si>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</si>
  <si>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</si>
  <si>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</si>
  <si>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</si>
  <si>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</si>
  <si>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</si>
  <si>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</si>
  <si>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3100008589</t>
  </si>
  <si>
    <t>Plain Self Adhes W105XH165mm–BOPP 1000/R</t>
  </si>
  <si>
    <t>PRT  REL</t>
  </si>
  <si>
    <t>IMPS03 CYT 6.5 180 CAV 99692 PC PER HR</t>
  </si>
  <si>
    <t>INTRA VIS Preform Sorting Machine</t>
  </si>
  <si>
    <t>Nylon Cable Tie – CV-200B-Black(100 pcs)</t>
  </si>
  <si>
    <t>PRT  REL</t>
  </si>
  <si>
    <t>IMPS03 CYT 6.5 180 CAV 99692 PC PER HR</t>
  </si>
  <si>
    <t>INTRA VIS Preform Sorting Machine</t>
  </si>
  <si>
    <t>7.45TO LW 29/25 L.Blue(≤2ppm)J/C(WP-SIPA</t>
  </si>
  <si>
    <t>PRT  REL</t>
  </si>
  <si>
    <t>IMPS03 CYT 6.5 180 CAV 99692 PC PER HR</t>
  </si>
  <si>
    <t>INTRA VIS Preform Sorting Machine</t>
  </si>
  <si>
    <t>3100008590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</si>
  <si>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</si>
  <si>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</si>
  <si>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</si>
  <si>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</si>
  <si>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</si>
  <si>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</si>
  <si>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</si>
  <si>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</si>
  <si>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J/C Top Cover (L121XW102XH15)mm- 735gsm</t>
  </si>
  <si>
    <t>IMP12 CYCT 15.6 96 CAVITY 22153 PC</t>
  </si>
  <si>
    <t>IMD VISTA Sorting Machine</t>
  </si>
  <si>
    <t>3100008591</t>
  </si>
  <si>
    <t>Plain Self Adhes W105XH165mm–BOPP 1000/R</t>
  </si>
  <si>
    <t>PRT  REL</t>
  </si>
  <si>
    <t>IMP02 CYT 7.9 128 CAV 58329 PC PER HR</t>
  </si>
  <si>
    <t>IMD VISTA Sorting Machine</t>
  </si>
  <si>
    <t>Nylon Cable Tie – CV-200B-Black(100 pcs)</t>
  </si>
  <si>
    <t>PRT  REL</t>
  </si>
  <si>
    <t>IMP02 CYT 7.9 128 CAV 58329 PC PER HR</t>
  </si>
  <si>
    <t>IMD VISTA Sorting Machine</t>
  </si>
  <si>
    <t>PET Clear Preform For Grinding</t>
  </si>
  <si>
    <t>PRT  REL</t>
  </si>
  <si>
    <t>IMP02 CYT 7.9 128 CAV 58329 PC PER HR</t>
  </si>
  <si>
    <t>IMD VISTA Sorting Machine</t>
  </si>
  <si>
    <t>10.4 TO 29/25 Rnd Clear J/C(W plt</t>
  </si>
  <si>
    <t>PRT  REL</t>
  </si>
  <si>
    <t>IMP02 CYT 7.9 128 CAV 58329 PC PER HR</t>
  </si>
  <si>
    <t>IMD VISTA Sorting Machine</t>
  </si>
  <si>
    <t>3100008592</t>
  </si>
  <si>
    <t>Plain Self Adhes W105XH165mm–BOPP 1000/R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</si>
  <si>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</si>
  <si>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</si>
  <si>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</si>
  <si>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</si>
  <si>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</si>
  <si>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</si>
  <si>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</si>
  <si>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3100008593</t>
  </si>
  <si>
    <t>Plain Self Adhes W105XH165mm–BOPP 1000/R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</si>
  <si>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</si>
  <si>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</si>
  <si>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</si>
  <si>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</si>
  <si>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</si>
  <si>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</si>
  <si>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</si>
  <si>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3100008594</t>
  </si>
  <si>
    <t>30.5 PCO 1881 Rnd Clear J/C(W plt-SIPA</t>
  </si>
  <si>
    <t>PRT  REL</t>
  </si>
  <si>
    <t>IMD VISTA Sorting Machine</t>
  </si>
  <si>
    <t>3100008595</t>
  </si>
  <si>
    <t>30.5 PCO 1881 Rnd Clear J/C(W plt-SIPA</t>
  </si>
  <si>
    <t>PRT  REL</t>
  </si>
  <si>
    <t>IMD VISTA Sorting Machine</t>
  </si>
  <si>
    <t>3100008596</t>
  </si>
  <si>
    <t>45.0 PCO 1881 ICI Green J/C(P Plt - SIPA</t>
  </si>
  <si>
    <t>PRT  REL</t>
  </si>
  <si>
    <t>IMD VISTA Sorting Machine</t>
  </si>
  <si>
    <t>3100008597</t>
  </si>
  <si>
    <t>45.0 PCO 1881 ICI Green J/C(P Plt - SIPA</t>
  </si>
  <si>
    <t>PRT  REL</t>
  </si>
  <si>
    <t>IMD VISTA Sorting Machine</t>
  </si>
  <si>
    <t>3100008598</t>
  </si>
  <si>
    <t>45.0 PCO 1881 ICI Green J/C(P Plt - SIPA</t>
  </si>
  <si>
    <t>PRT  REL</t>
  </si>
  <si>
    <t>IMD VISTA Sorting Machine</t>
  </si>
  <si>
    <t>3100008599</t>
  </si>
  <si>
    <t>45.0 PCO 1881 ICI Green J/C(P Plt - SIPA</t>
  </si>
  <si>
    <t>PRT  REL</t>
  </si>
  <si>
    <t>IMD VISTA Sorting Machine</t>
  </si>
  <si>
    <t>3100008600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</si>
  <si>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</si>
  <si>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</si>
  <si>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</si>
  <si>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</si>
  <si>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</si>
  <si>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</si>
  <si>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</si>
  <si>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</si>
  <si>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30.5PC2RD-CLR-V</t>
  </si>
  <si>
    <t>30.5PCO 1881Rd Clear RPET Mena Bev</t>
  </si>
  <si>
    <t>PRT  REL</t>
  </si>
  <si>
    <t>IMPS06 CYCT 15 CAV 180  PCS PER HR 43200</t>
  </si>
  <si>
    <t>IMD VISTA Sorting Machine</t>
  </si>
  <si>
    <t>3100008601</t>
  </si>
  <si>
    <t>P.E Bags (160x130)x50cm Th 40mic- Jomih</t>
  </si>
  <si>
    <t>PRT  REL</t>
  </si>
  <si>
    <t>IMPS06 CYCT 16 CAV 180  PCS PER HR 40500</t>
  </si>
  <si>
    <t>IMD VISTA Sorting Machine</t>
  </si>
  <si>
    <t>Plain Self Adhes W105XH165mm–BOPP 1000/R</t>
  </si>
  <si>
    <t>PRT  REL</t>
  </si>
  <si>
    <t>IMPS06 CYCT 16 CAV 180  PCS PER HR 40500</t>
  </si>
  <si>
    <t>IMD VISTA Sorting Machine</t>
  </si>
  <si>
    <t>45.0PC2RD-CLR-V</t>
  </si>
  <si>
    <t>45.0 PCO 1881Rd Clear RPET Mena Bev</t>
  </si>
  <si>
    <t>PRT  REL</t>
  </si>
  <si>
    <t>IMPS06 CYCT 16 CAV 180  PCS PER HR 40500</t>
  </si>
  <si>
    <t>IMD VISTA Sorting Machine</t>
  </si>
  <si>
    <t>3100008602</t>
  </si>
  <si>
    <t>P.E Bags (160x130)x50cm Th 40mic- Jomih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</si>
  <si>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</si>
  <si>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</si>
  <si>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</si>
  <si>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</si>
  <si>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</si>
  <si>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</si>
  <si>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</si>
  <si>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30.5PC2RD-IGR-V</t>
  </si>
  <si>
    <t>30.5PCO 1881 ICI Green RPET Mena Bev</t>
  </si>
  <si>
    <t>PRT  REL</t>
  </si>
  <si>
    <t>IMPS06 CYCT 15 CAV 180  PCS PER HR 43200</t>
  </si>
  <si>
    <t>IMD VISTA Sorting Machine</t>
  </si>
  <si>
    <t>3100008603</t>
  </si>
  <si>
    <t>PET Green Preform For Grinding</t>
  </si>
  <si>
    <t>PRT  REL</t>
  </si>
  <si>
    <t>IMPS06 CYCT 16 CAV 180  PCS PER HR 40500</t>
  </si>
  <si>
    <t>IMD VISTA Sorting Machine</t>
  </si>
  <si>
    <t>J/C Top Cover (L121XW102XH15)mm- 735gsm</t>
  </si>
  <si>
    <t>PRT  REL</t>
  </si>
  <si>
    <t>IMPS06 CYCT 16 CAV 180  PCS PER HR 40500</t>
  </si>
  <si>
    <t>IMD VISTA Sorting Machine</t>
  </si>
  <si>
    <t>45.0PC2RD-IGR-V</t>
  </si>
  <si>
    <t>45.0PCO 1881 ICI Green RPET Mena Bev</t>
  </si>
  <si>
    <t>PRT  REL</t>
  </si>
  <si>
    <t>IMPS06 CYCT 16 CAV 180  PCS PER HR 40500</t>
  </si>
  <si>
    <t>IMD VISTA Sorting Machine</t>
  </si>
  <si>
    <t>3100008604</t>
  </si>
  <si>
    <t>Plain Self Adhes W105XH165mm–BOPP 1000/R</t>
  </si>
  <si>
    <t>PRT  REL</t>
  </si>
  <si>
    <t>IMPS03 CYT 6.5 180 CAV 99692 PC PER HR</t>
  </si>
  <si>
    <t>IMD VISTA Sorting Machine</t>
  </si>
  <si>
    <t>7.45TO29/25Rnd'ALM'BLUE J/C(PP-SIPA)</t>
  </si>
  <si>
    <t>PRT  REL</t>
  </si>
  <si>
    <t>IMPS03 CYT 6.5 180 CAV 99692 PC PER HR</t>
  </si>
  <si>
    <t>IMD VISTA Sorting Machine</t>
  </si>
  <si>
    <t>3100008605</t>
  </si>
  <si>
    <t>J/C Top Cover (L121XW102XH15)mm- 735gsm</t>
  </si>
  <si>
    <t>PRT  REL</t>
  </si>
  <si>
    <t>IMPS07 CYT 17.3 144 CAV 29965 PC PER HR</t>
  </si>
  <si>
    <t>IMD VISTA Sorting Machine</t>
  </si>
  <si>
    <t>47.5PCO 1881 Rnd ICI Green J/C(Pplt)SIPA</t>
  </si>
  <si>
    <t>PRT  REL</t>
  </si>
  <si>
    <t>IMPS07 CYT 17.3 144 CAV 29965 PC PER HR</t>
  </si>
  <si>
    <t>IMD VISTA Sorting Machine</t>
  </si>
  <si>
    <t>3100008606</t>
  </si>
  <si>
    <t>Plain Self Adhes W105XH165mm–BOPP 1000/R</t>
  </si>
  <si>
    <t>PRT  REL</t>
  </si>
  <si>
    <t>IMP12 CYCT 15.6 96 CAVITY 22153 PC</t>
  </si>
  <si>
    <t>IMD VISTA Sorting Machine</t>
  </si>
  <si>
    <t>J/C Top Cover (L121XW102XH15)mm- 735gsm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</si>
  <si>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</si>
  <si>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</si>
  <si>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</si>
  <si>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</si>
  <si>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</si>
  <si>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</si>
  <si>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</si>
  <si>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3100008607</t>
  </si>
  <si>
    <t>PET Clear Preform For Grinding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</si>
  <si>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</si>
  <si>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</si>
  <si>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</si>
  <si>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</si>
  <si>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</si>
  <si>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</si>
  <si>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</si>
  <si>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3100008608</t>
  </si>
  <si>
    <t>26.6 TO 29/25 Rnd Clear J/C(P Plt</t>
  </si>
  <si>
    <t>PRT  REL</t>
  </si>
  <si>
    <t>IMP12 CYCT 15.6 96 CAVITY 22153 PC</t>
  </si>
  <si>
    <t>IMD VISTA Sorting Machine</t>
  </si>
  <si>
    <t>3100008609</t>
  </si>
  <si>
    <t>PET Clear Preform For Grinding</t>
  </si>
  <si>
    <t>PRT  REL</t>
  </si>
  <si>
    <t>IMP01 CYCT 18.5 96CAVITY 18682 PC PER HR</t>
  </si>
  <si>
    <t>INTRA VIS Preform Sorting Machine</t>
  </si>
  <si>
    <t>52.0 BC 38mm 3 Rnd Clear OJ/C(W plt</t>
  </si>
  <si>
    <t>PRT  REL</t>
  </si>
  <si>
    <t>IMP01 CYCT 18.5 96CAVITY 18682 PC PER HR</t>
  </si>
  <si>
    <t>INTRA VIS Preform Sorting Machine</t>
  </si>
  <si>
    <t>3100008610</t>
  </si>
  <si>
    <t>45.0 PCO 1881Rd Clear RPET Mena Bev</t>
  </si>
  <si>
    <t>PRT  REL</t>
  </si>
  <si>
    <t>IMD VISTA Sorting Machine</t>
  </si>
  <si>
    <t>3100008611</t>
  </si>
  <si>
    <t>Plain Self Adhes W105XH165mm–BOPP 1000/R</t>
  </si>
  <si>
    <t>PRT  REL</t>
  </si>
  <si>
    <t>IMPS07 CYT 17.3 144 CAV 29965 PC PER HR</t>
  </si>
  <si>
    <t>IMD VISTA Sorting Machine</t>
  </si>
  <si>
    <t>J/C Top Cover (L121XW102XH15)mm- 735gsm</t>
  </si>
  <si>
    <t>PRT  REL</t>
  </si>
  <si>
    <t>IMPS07 CYT 17.3 144 CAV 29965 PC PER HR</t>
  </si>
  <si>
    <t>IMD VISTA Sorting Machine</t>
  </si>
  <si>
    <t>47.5PCO 1881 Rnd ICI Green J/C(Pplt)SIPA</t>
  </si>
  <si>
    <t>PRT  REL</t>
  </si>
  <si>
    <t>IMPS07 CYT 17.3 144 CAV 29965 PC PER HR</t>
  </si>
  <si>
    <t>IMD VISTA Sorting Machine</t>
  </si>
  <si>
    <t>3100008612</t>
  </si>
  <si>
    <t>Plain Self Adhes W105XH165mm–BOPP 1000/R</t>
  </si>
  <si>
    <t>PRT  REL</t>
  </si>
  <si>
    <t>IMPS07 CYT 17.3 144 CAV 29965 PC PER HR</t>
  </si>
  <si>
    <t>IMD VISTA Sorting Machine</t>
  </si>
  <si>
    <t>PET Green Preform For Grinding</t>
  </si>
  <si>
    <t>PRT  REL</t>
  </si>
  <si>
    <t>IMPS07 CYT 17.3 144 CAV 29965 PC PER HR</t>
  </si>
  <si>
    <t>IMD VISTA Sorting Machine</t>
  </si>
  <si>
    <t>47.5PCO 1881 Rnd ICI Green J/C(Pplt)SIPA</t>
  </si>
  <si>
    <t>PRT  REL</t>
  </si>
  <si>
    <t>IMPS07 CYT 17.3 144 CAV 29965 PC PER HR</t>
  </si>
  <si>
    <t>IMD VISTA Sorting Machine</t>
  </si>
  <si>
    <t>3100008613</t>
  </si>
  <si>
    <t>J/C Top Cover (L121XW102XH15)mm- 735gsm</t>
  </si>
  <si>
    <t>PRT  REL</t>
  </si>
  <si>
    <t>IMPS06 CYCT 15 CAV 180  PCS PER HR 43200</t>
  </si>
  <si>
    <t>IMD VISTA Sorting Machine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</si>
  <si>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</si>
  <si>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</si>
  <si>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</si>
  <si>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</si>
  <si>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</si>
  <si>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</si>
  <si>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</si>
  <si>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</si>
  <si>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</si>
  <si>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</si>
  <si>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</si>
  <si>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</si>
  <si>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3100008614</t>
  </si>
  <si>
    <t>Plain Self Adhes W105XH165mm–BOPP 1000/R</t>
  </si>
  <si>
    <t>PRT  REL</t>
  </si>
  <si>
    <t>IMPS07 CYT 17.3 144 CAV 29965 PC PER HR</t>
  </si>
  <si>
    <t>INTRA VIS Preform Sorting Machine</t>
  </si>
  <si>
    <t>J/C Top Cover (L121XW102XH15)mm- 735gsm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</si>
  <si>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</si>
  <si>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</si>
  <si>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</si>
  <si>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</si>
  <si>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</si>
  <si>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</si>
  <si>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</si>
  <si>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3100008615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</si>
  <si>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</si>
  <si>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</si>
  <si>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</si>
  <si>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</si>
  <si>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</si>
  <si>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</si>
  <si>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</si>
  <si>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</si>
  <si>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26.6TO2RD-BS10-B</t>
  </si>
  <si>
    <t>26.6TO29/25Rnd Nova Blue "Reliance"</t>
  </si>
  <si>
    <t>PRT  REL</t>
  </si>
  <si>
    <t>IMP12 CYCT 15.6 96 CAVITY 22153 PC</t>
  </si>
  <si>
    <t>IMD VISTA Sorting Machine</t>
  </si>
  <si>
    <t>3100008616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</si>
  <si>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</si>
  <si>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</si>
  <si>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</si>
  <si>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</si>
  <si>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</si>
  <si>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</si>
  <si>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</si>
  <si>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</si>
  <si>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</si>
  <si>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</si>
  <si>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</si>
  <si>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</si>
  <si>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 Rnd Nova Blue J/C(Ppl-SABIC</t>
  </si>
  <si>
    <t>PRT  REL</t>
  </si>
  <si>
    <t>IMPS01 CYT 6.8 180 CAV 95294 PC PER HR</t>
  </si>
  <si>
    <t>IMD VISTA Sorting Machine</t>
  </si>
  <si>
    <t>3100008617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</si>
  <si>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</si>
  <si>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</si>
  <si>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</si>
  <si>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</si>
  <si>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</si>
  <si>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</si>
  <si>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</si>
  <si>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</si>
  <si>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9.4TO2RD-BS10-B</t>
  </si>
  <si>
    <t>9.4 TO29/25Rnd NovaBlue-PET"Reliance"</t>
  </si>
  <si>
    <t>PRT  REL</t>
  </si>
  <si>
    <t>IMPS01 CYT 6.8 180 CAV 95294 PC PER HR</t>
  </si>
  <si>
    <t>INTRA VIS Preform Sorting Machine</t>
  </si>
  <si>
    <t>3100008618</t>
  </si>
  <si>
    <t>26.6 TO 29/25 Rnd Clear J/C(P Plt</t>
  </si>
  <si>
    <t>PRT  REL</t>
  </si>
  <si>
    <t>IMP12 CYCT 15.6 96 CAVITY 22153 PC</t>
  </si>
  <si>
    <t>IMD VISTA Sorting Machine</t>
  </si>
  <si>
    <t>3100008619</t>
  </si>
  <si>
    <t>26.6 TO 29/25 Rnd Clear J/C(P Plt</t>
  </si>
  <si>
    <t>PRT  REL</t>
  </si>
  <si>
    <t>IMP12 CYCT 15.6 96 CAVITY 22153 PC</t>
  </si>
  <si>
    <t>IMD VISTA Sorting Machine</t>
  </si>
  <si>
    <t>3100008620</t>
  </si>
  <si>
    <t>30.5PC2RD-IGR-B</t>
  </si>
  <si>
    <t>30.5PCO 1881 ICI Green RPET J/C(PP)</t>
  </si>
  <si>
    <t>DLT  PRT  REL</t>
  </si>
  <si>
    <t>IMPS06 CYCT 15 CAV 180  PCS PER HR 43200</t>
  </si>
  <si>
    <t>IMD VISTA Sorting Machine</t>
  </si>
  <si>
    <t>30.5PCO 1881 ICI Green RPET Mena Bev</t>
  </si>
  <si>
    <t>IMPS06 CYCT 15 CAV 180  PCS PER HR 43200</t>
  </si>
  <si>
    <t>IMD VISTA Sorting Machine</t>
  </si>
  <si>
    <t>3100008621</t>
  </si>
  <si>
    <t>J/C Top Cover (L121XW102XH15)mm- 735gsm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</si>
  <si>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</si>
  <si>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</si>
  <si>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</si>
  <si>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</si>
  <si>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</si>
  <si>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</si>
  <si>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</si>
  <si>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3100008622</t>
  </si>
  <si>
    <t>Plain Self Adhes W105XH165mm–BOPP 1000/R</t>
  </si>
  <si>
    <t>PRT  REL</t>
  </si>
  <si>
    <t>IMPS07 CYT 17.3 144 CAV 29965 PC PER HR</t>
  </si>
  <si>
    <t>IMD VISTA Sorting Machine</t>
  </si>
  <si>
    <t>45.0 PCO 1881Rd Clear J/C(P Plt - SIPA</t>
  </si>
  <si>
    <t>PRT  REL</t>
  </si>
  <si>
    <t>IMPS07 CYT 17.3 144 CAV 29965 PC PER HR</t>
  </si>
  <si>
    <t>IMD VISTA Sorting Machine</t>
  </si>
  <si>
    <t>3100008623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</si>
  <si>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</si>
  <si>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</si>
  <si>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</si>
  <si>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</si>
  <si>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</si>
  <si>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</si>
  <si>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</si>
  <si>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</si>
  <si>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9.4 TO29/25Rnd NovaBlue-PET"Reliance"</t>
  </si>
  <si>
    <t>PRT  REL</t>
  </si>
  <si>
    <t>IMPS01 CYT 6.8 180 CAV 95294 PC PER HR</t>
  </si>
  <si>
    <t>IMD VISTA Sorting Machine</t>
  </si>
  <si>
    <t>3100008624</t>
  </si>
  <si>
    <t>7.45TO 29/25 Rnd L.Blue (≤1ppm) J/C Wplt</t>
  </si>
  <si>
    <t>PRT  REL</t>
  </si>
  <si>
    <t>IMPS03 CYT 6.5 180 CAV 99692 PC PER HR</t>
  </si>
  <si>
    <t>IMD VISTA Sorting Machine</t>
  </si>
  <si>
    <t>3100008625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</si>
  <si>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</si>
  <si>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</si>
  <si>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</si>
  <si>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</si>
  <si>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</si>
  <si>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</si>
  <si>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</si>
  <si>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</si>
  <si>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3100008626</t>
  </si>
  <si>
    <t>45.0PCO 1881 ICI Green RPET Mena Bev</t>
  </si>
  <si>
    <t>PRT  REL</t>
  </si>
  <si>
    <t>IMD VISTA Sorting Machine</t>
  </si>
  <si>
    <t>3100008627</t>
  </si>
  <si>
    <t>J/C Top Cover (L121XW102XH15)mm- 735gsm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</si>
  <si>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</si>
  <si>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</si>
  <si>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</si>
  <si>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</si>
  <si>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</si>
  <si>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</si>
  <si>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</si>
  <si>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3100008628</t>
  </si>
  <si>
    <t>Plain Self Adhes W105XH165mm–BOPP 1000/R</t>
  </si>
  <si>
    <t>PRT  REL</t>
  </si>
  <si>
    <t>IMPS05 CYT 7.5 180 CAV 86400 PC PER HR</t>
  </si>
  <si>
    <t>IMD VISTA Sorting Machine</t>
  </si>
  <si>
    <t>PET Blue Preform For Grinding</t>
  </si>
  <si>
    <t>PRT  REL</t>
  </si>
  <si>
    <t>IMPS05 CYT 7.5 180 CAV 86400 PC PER HR</t>
  </si>
  <si>
    <t>IMD VISTA Sorting Machine</t>
  </si>
  <si>
    <t>12.5TO2RD-BS10-B</t>
  </si>
  <si>
    <t>12.5TO29/25Rnd Nova Blue-PET"Reliance"</t>
  </si>
  <si>
    <t>PRT  REL</t>
  </si>
  <si>
    <t>IMPS05 CYT 7.5 180 CAV 86400 PC PER HR</t>
  </si>
  <si>
    <t>IMD VISTA Sorting Machine</t>
  </si>
  <si>
    <t>3100008629</t>
  </si>
  <si>
    <t>Plain Self Adhes W105XH165mm–BOPP 1000/R</t>
  </si>
  <si>
    <t>PRT  REL</t>
  </si>
  <si>
    <t>IMPS06 CYCT 15 CAV 180  PCS PER HR 43200</t>
  </si>
  <si>
    <t>IMD VISTA Sorting Machine</t>
  </si>
  <si>
    <t>30.5 PCO 1881 Rnd CLR Mena Bev Spec-SIPA</t>
  </si>
  <si>
    <t>PRT  REL</t>
  </si>
  <si>
    <t>IMPS06 CYCT 15 CAV 180  PCS PER HR 43200</t>
  </si>
  <si>
    <t>IMD VISTA Sorting Machine</t>
  </si>
  <si>
    <t>3100008630</t>
  </si>
  <si>
    <t>30.5 PCO 1881 Rnd Clear J/C(W plt-SIPA</t>
  </si>
  <si>
    <t>PRT  REL</t>
  </si>
  <si>
    <t>IMPS06 CYCT 15 CAV 180  PCS PER HR 43200</t>
  </si>
  <si>
    <t>IMD VISTA Sorting Machine</t>
  </si>
  <si>
    <t>3100008631</t>
  </si>
  <si>
    <t>30.5 PCO 1881Rnd CLR J/C(PP JOM HDG-SIPA</t>
  </si>
  <si>
    <t>PRT  REL</t>
  </si>
  <si>
    <t>IMPS06 CYCT 15 CAV 180  PCS PER HR 43200</t>
  </si>
  <si>
    <t>IMD VISTA Sorting Machine</t>
  </si>
  <si>
    <t>3100008632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</si>
  <si>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</si>
  <si>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</si>
  <si>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</si>
  <si>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</si>
  <si>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</si>
  <si>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</si>
  <si>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</si>
  <si>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</si>
  <si>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</si>
  <si>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</si>
  <si>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</si>
  <si>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</si>
  <si>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3100008633</t>
  </si>
  <si>
    <t>Plain Self Adhes W105XH165mm–BOPP 1000/R</t>
  </si>
  <si>
    <t>PRT  REL</t>
  </si>
  <si>
    <t>IMPS01 CYT 6.8 180 CAV 95294 PC PER HR</t>
  </si>
  <si>
    <t>INTRA VIS Preform Sorting Machine</t>
  </si>
  <si>
    <t>9.4 TO 29/25 Rnd Clear J/C(PP)</t>
  </si>
  <si>
    <t>PRT  REL</t>
  </si>
  <si>
    <t>IMPS01 CYT 6.8 180 CAV 95294 PC PER HR</t>
  </si>
  <si>
    <t>INTRA VIS Preform Sorting Machine</t>
  </si>
  <si>
    <t>3100008634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</si>
  <si>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</si>
  <si>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</si>
  <si>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</si>
  <si>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</si>
  <si>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</si>
  <si>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</si>
  <si>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</si>
  <si>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</si>
  <si>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3100008635</t>
  </si>
  <si>
    <t>45.0 PCO 1881 Rnd Clear Mena Bev</t>
  </si>
  <si>
    <t>PRT  REL</t>
  </si>
  <si>
    <t>IMPS07 CYT 17.3 144 CAV 29965 PC PER HR</t>
  </si>
  <si>
    <t>IMD VISTA Sorting Machine</t>
  </si>
  <si>
    <t>3100008636</t>
  </si>
  <si>
    <t>45.0 PCO 1881 Rnd Clear Mena Bev</t>
  </si>
  <si>
    <t>PRT  REL</t>
  </si>
  <si>
    <t>IMPS07 CYT 17.3 144 CAV 29965 PC PER HR</t>
  </si>
  <si>
    <t>IMD VISTA Sorting Machine</t>
  </si>
  <si>
    <t>3100008637</t>
  </si>
  <si>
    <t>45.0 PCO 1881 Rnd Clear Mena Bev</t>
  </si>
  <si>
    <t>PRT  REL</t>
  </si>
  <si>
    <t>IMPS07 CYT 17.3 144 CAV 29965 PC PER HR</t>
  </si>
  <si>
    <t>IMD VISTA Sorting Machine</t>
  </si>
  <si>
    <t>3100008638</t>
  </si>
  <si>
    <t>Plain Self Adhes W105XH165mm–BOPP 1000/R</t>
  </si>
  <si>
    <t>PRT  REL</t>
  </si>
  <si>
    <t>IMP01 CYCT 18.5 96CAVITY 18682 PC PER HR</t>
  </si>
  <si>
    <t>INTRA VIS Preform Sorting Machine</t>
  </si>
  <si>
    <t>J/C Top Cover (L121XW102XH15)mm- 735gsm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</si>
  <si>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</si>
  <si>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</si>
  <si>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</si>
  <si>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</si>
  <si>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</si>
  <si>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</si>
  <si>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</si>
  <si>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3100008639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</si>
  <si>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</si>
  <si>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</si>
  <si>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</si>
  <si>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</si>
  <si>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</si>
  <si>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</si>
  <si>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</si>
  <si>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</si>
  <si>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 TO29/25Rd L.Blue J/C(WP-SIPA</t>
  </si>
  <si>
    <t>PRT  REL</t>
  </si>
  <si>
    <t>IMPS05 CYT 7.1 180 CAV 91267 PC PER HR</t>
  </si>
  <si>
    <t>INTRA VIS Preform Sorting Machine</t>
  </si>
  <si>
    <t>3100008640</t>
  </si>
  <si>
    <t>Plain Self Adhes W105XH165mm–BOPP 1000/R</t>
  </si>
  <si>
    <t>PRT  REL</t>
  </si>
  <si>
    <t>IMPS01 CYT 6.8 180 CAV 95294 PC PER HR</t>
  </si>
  <si>
    <t>IMD VISTA Sorting Machine</t>
  </si>
  <si>
    <t>J/C Top Cover (L121XW102XH15)mm- 735gsm</t>
  </si>
  <si>
    <t>PRT  REL</t>
  </si>
  <si>
    <t>IMPS01 CYT 6.8 180 CAV 95294 PC PER HR</t>
  </si>
  <si>
    <t>IMD VISTA Sorting Machine</t>
  </si>
  <si>
    <t>9.4 TO 29/25 Rnd Clear J/C(PP)</t>
  </si>
  <si>
    <t>PRT  REL</t>
  </si>
  <si>
    <t>IMPS01 CYT 6.8 180 CAV 95294 PC PER HR</t>
  </si>
  <si>
    <t>IMD VISTA Sorting Machine</t>
  </si>
  <si>
    <t>3100008641</t>
  </si>
  <si>
    <t>9.4 TO29/25Rnd NovaBlue-PET"Reliance"</t>
  </si>
  <si>
    <t>PRT  REL</t>
  </si>
  <si>
    <t>IMPS01 CYT 6.8 180 CAV 95294 PC PER HR</t>
  </si>
  <si>
    <t>IMD VISTA Sorting Machine</t>
  </si>
  <si>
    <t>3100008642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</si>
  <si>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</si>
  <si>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</si>
  <si>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</si>
  <si>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</si>
  <si>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</si>
  <si>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</si>
  <si>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</si>
  <si>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</si>
  <si>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3100008643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</si>
  <si>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</si>
  <si>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</si>
  <si>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</si>
  <si>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</si>
  <si>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</si>
  <si>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</si>
  <si>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</si>
  <si>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</si>
  <si>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3100008644</t>
  </si>
  <si>
    <t>Plain Self Adhes W105XH165mm–BOPP 1000/R</t>
  </si>
  <si>
    <t>PRT  REL</t>
  </si>
  <si>
    <t>IM24 CYCT 11 96 CAVITY 31418 PC PER HR</t>
  </si>
  <si>
    <t>INTRA VIS Preform Sorting Machine</t>
  </si>
  <si>
    <t>PET Blue Preform For Grinding</t>
  </si>
  <si>
    <t>PRT  REL</t>
  </si>
  <si>
    <t>IM24 CYCT 11 96 CAVITY 31418 PC PER HR</t>
  </si>
  <si>
    <t>INTRA VIS Preform Sorting Machine</t>
  </si>
  <si>
    <t>13.5 TO29/25 Rnd L.Blue J/C(W Plt)</t>
  </si>
  <si>
    <t>PRT  REL</t>
  </si>
  <si>
    <t>IM24 CYCT 11 96 CAVITY 31418 PC PER HR</t>
  </si>
  <si>
    <t>INTRA VIS Preform Sorting Machine</t>
  </si>
  <si>
    <t>3100008645</t>
  </si>
  <si>
    <t>Wooden Pallets Good cond.L120xW100xH15cm</t>
  </si>
  <si>
    <t>PRT  REL</t>
  </si>
  <si>
    <t>IMP01 CYCT 18.5 96CAVITY 18682 PC PER HR</t>
  </si>
  <si>
    <t>INTRA VIS Preform Sorting Machine</t>
  </si>
  <si>
    <t>PET Clear Preform For Grinding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</si>
  <si>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</si>
  <si>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</si>
  <si>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</si>
  <si>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</si>
  <si>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</si>
  <si>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</si>
  <si>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</si>
  <si>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3100008646</t>
  </si>
  <si>
    <t>Plain Self Adhes W105XH165mm–BOPP 1000/R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</si>
  <si>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</si>
  <si>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</si>
  <si>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</si>
  <si>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</si>
  <si>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</si>
  <si>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</si>
  <si>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</si>
  <si>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3100008647</t>
  </si>
  <si>
    <t>9.4TO 29/25Rnd L.Blue J/CWplt(≤2ppm)SIPA</t>
  </si>
  <si>
    <t>PRT  REL</t>
  </si>
  <si>
    <t>IMPS01 CYT 6.8 180 CAV 95294 PC PER HR</t>
  </si>
  <si>
    <t>INTRA VIS Preform Sorting Machine</t>
  </si>
  <si>
    <t>3100008648</t>
  </si>
  <si>
    <t>11.5 TO29/25 Rnd Clear MenaBev (PP)</t>
  </si>
  <si>
    <t>PRT  REL</t>
  </si>
  <si>
    <t>IMPS05 CYT 7.1 180 CAV 91267 PC PER HR</t>
  </si>
  <si>
    <t>INTRA VIS Preform Sorting Machine</t>
  </si>
  <si>
    <t>3100008649</t>
  </si>
  <si>
    <t>7.45TO LW 29/25 L.Blue(≤2ppm)J/C(WP-SIPA</t>
  </si>
  <si>
    <t>PRT  REL</t>
  </si>
  <si>
    <t>IMPS03 CYT 6.5 180 CAV 99692 PC PER HR</t>
  </si>
  <si>
    <t>IMD VISTA Sorting Machine</t>
  </si>
  <si>
    <t>3100008650</t>
  </si>
  <si>
    <t>Plain Self Adhes W105XH165mm–BOPP 1000/R</t>
  </si>
  <si>
    <t>PRT  REL</t>
  </si>
  <si>
    <t>IMPS03 CYT 6.5 180 CAV 99692 PC PER HR</t>
  </si>
  <si>
    <t>INTRA VIS Preform Sorting Machine</t>
  </si>
  <si>
    <t>Wooden Pallets Good cond.L120xW100xH15cm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</si>
  <si>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</si>
  <si>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</si>
  <si>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</si>
  <si>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</si>
  <si>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</si>
  <si>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</si>
  <si>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</si>
  <si>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3100008651</t>
  </si>
  <si>
    <t>45.0 PCO 1881Rd Clear RPET Mena Bev</t>
  </si>
  <si>
    <t>PRT  REL</t>
  </si>
  <si>
    <t>INTRA VIS Preform Sorting Machine</t>
  </si>
  <si>
    <t>45.0PC2RD-CLR-B</t>
  </si>
  <si>
    <t>45.0 PCO 1881Rd Clear RPET J/C(PP)</t>
  </si>
  <si>
    <t>INTRA VIS Preform Sorting Machine</t>
  </si>
  <si>
    <t>3100008652</t>
  </si>
  <si>
    <t>45.0PCO 1881 ICI Green RPET Mena Bev</t>
  </si>
  <si>
    <t>PRT  REL</t>
  </si>
  <si>
    <t>INTRA VIS Preform Sorting Machine</t>
  </si>
  <si>
    <t>3100008653</t>
  </si>
  <si>
    <t>36.0 BC38mm 3 Rnd Clear OJ/C(W plt</t>
  </si>
  <si>
    <t>PRT  REL</t>
  </si>
  <si>
    <t>IMP12 CYT 16.7 96 CAV 20694 PC PER HR</t>
  </si>
  <si>
    <t>INTRA VIS Preform Sorting Machine</t>
  </si>
  <si>
    <t>PET Clear Preform For Grinding</t>
  </si>
  <si>
    <t>PRT  REL</t>
  </si>
  <si>
    <t>IMP12 CYT 16.7 96 CAV 20694 PC PER HR</t>
  </si>
  <si>
    <t>INTRA VIS Preform Sorting Machine</t>
  </si>
  <si>
    <t>Plain Self Adhes W105XH165mm–BOPP 1000/R</t>
  </si>
  <si>
    <t>PRT  REL</t>
  </si>
  <si>
    <t>IMP12 CYT 16.7 96 CAV 20694 PC PER HR</t>
  </si>
  <si>
    <t>INTRA VIS Preform Sorting Machine</t>
  </si>
  <si>
    <t>Transparent Tape roll 2'' wide 45mic</t>
  </si>
  <si>
    <t>PRT  REL</t>
  </si>
  <si>
    <t>IMP12 CYT 16.7 96 CAV 20694 PC PER HR</t>
  </si>
  <si>
    <t>INTRA VIS Preform Sorting Machine</t>
  </si>
  <si>
    <t>Nylon Cable Tie – CV-200B-Black(100 pcs)</t>
  </si>
  <si>
    <t>PRT  REL</t>
  </si>
  <si>
    <t>IMP12 CYT 16.7 96 CAV 20694 PC PER HR</t>
  </si>
  <si>
    <t>INTRA VIS Preform Sorting Machine</t>
  </si>
  <si>
    <t>PET Green strapping ROL 2500m-12.5x0.6mm</t>
  </si>
  <si>
    <t>PRT  REL</t>
  </si>
  <si>
    <t>IMP12 CYT 16.7 96 CAV 20694 PC PER HR</t>
  </si>
  <si>
    <t>INTRA VIS Preform Sorting Machine</t>
  </si>
  <si>
    <t>3100008654</t>
  </si>
  <si>
    <t>45.0 PCO 1881Rd Clear J/C(P Plt - SIPA</t>
  </si>
  <si>
    <t>PRT  REL</t>
  </si>
  <si>
    <t>IMPS07 CYT 17.3 144 CAV 29965 PC PER HR</t>
  </si>
  <si>
    <t>INTRA VIS Preform Sorting Machine</t>
  </si>
  <si>
    <t>3100008655</t>
  </si>
  <si>
    <t>9.4 TO 29/25 Rnd Clear J/C(PP)</t>
  </si>
  <si>
    <t>PRT  REL</t>
  </si>
  <si>
    <t>IMPS01 CYT 6.8 180 CAV 95294 PC PER HR</t>
  </si>
  <si>
    <t>INTRA VIS Preform Sorting Machine</t>
  </si>
  <si>
    <t>3100008656</t>
  </si>
  <si>
    <t>34.0 BC38mm 3 ECO Huayan Clear steel C</t>
  </si>
  <si>
    <t>PRT  REL</t>
  </si>
  <si>
    <t>IMP19 CYT 14.5 72 CAV 17875 PC PER HR</t>
  </si>
  <si>
    <t>INTRA VIS Preform Sorting Machine</t>
  </si>
  <si>
    <t>PET Clear Preform For Grinding</t>
  </si>
  <si>
    <t>PRT  REL</t>
  </si>
  <si>
    <t>IMP19 CYT 14.5 72 CAV 17875 PC PER HR</t>
  </si>
  <si>
    <t>INTRA VIS Preform Sorting Machine</t>
  </si>
  <si>
    <t>Plain Self Adhes W105XH165mm–BOPP 1000/R</t>
  </si>
  <si>
    <t>PRT  REL</t>
  </si>
  <si>
    <t>IMP19 CYT 14.5 72 CAV 17875 PC PER HR</t>
  </si>
  <si>
    <t>INTRA VIS Preform Sorting Machine</t>
  </si>
  <si>
    <t>Transparent Tape roll 2'' wide 45mic</t>
  </si>
  <si>
    <t>PRT  REL</t>
  </si>
  <si>
    <t>IMP19 CYT 14.5 72 CAV 17875 PC PER HR</t>
  </si>
  <si>
    <t>INTRA VIS Preform Sorting Machine</t>
  </si>
  <si>
    <t>Nylon Cable Tie – CV-200B-Black(100 pcs)</t>
  </si>
  <si>
    <t>PRT  REL</t>
  </si>
  <si>
    <t>IMP19 CYT 14.5 72 CAV 17875 PC PER HR</t>
  </si>
  <si>
    <t>INTRA VIS Preform Sorting Machine</t>
  </si>
  <si>
    <t>PET Green strapping ROL 2500m-12.5x0.6mm</t>
  </si>
  <si>
    <t>PRT  REL</t>
  </si>
  <si>
    <t>IMP19 CYT 14.5 72 CAV 17875 PC PER HR</t>
  </si>
  <si>
    <t>INTRA VIS Preform Sorting Machine</t>
  </si>
  <si>
    <t>3100008657</t>
  </si>
  <si>
    <t>9.4 TO29/25Rnd NovaBlue-PET"Reliance"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</si>
  <si>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</si>
  <si>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</si>
  <si>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</si>
  <si>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</si>
  <si>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</si>
  <si>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</si>
  <si>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</si>
  <si>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</si>
  <si>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</si>
  <si>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</si>
  <si>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</si>
  <si>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</si>
  <si>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</si>
  <si>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</si>
  <si>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</si>
  <si>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PET Green strapping ROL 2500m-12.5x0.6mm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</si>
  <si>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</si>
  <si>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</si>
  <si>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</si>
  <si>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</si>
  <si>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</si>
  <si>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</si>
  <si>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</si>
  <si>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3100008658</t>
  </si>
  <si>
    <t>26.6TO29/25Rnd Nova Blue "Reliance"</t>
  </si>
  <si>
    <t>PRT  REL</t>
  </si>
  <si>
    <t>IMP12 CYCT 15.6 96 CAVITY 22153 PC</t>
  </si>
  <si>
    <t>INTRA VIS Preform Sorting Machine</t>
  </si>
  <si>
    <t>Plain Self Adhes W105XH165mm–BOPP 1000/R</t>
  </si>
  <si>
    <t>PRT  REL</t>
  </si>
  <si>
    <t>IMP12 CYCT 15.6 96 CAVITY 22153 PC</t>
  </si>
  <si>
    <t>INTRA VIS Preform Sorting Machine</t>
  </si>
  <si>
    <t>Transparent Tape roll 2'' wide 45mic</t>
  </si>
  <si>
    <t>PRT  REL</t>
  </si>
  <si>
    <t>IMP12 CYCT 15.6 96 CAVITY 22153 PC</t>
  </si>
  <si>
    <t>INTRA VIS Preform Sorting Machine</t>
  </si>
  <si>
    <t>Nylon Cable Tie – CV-200B-Black(100 pcs)</t>
  </si>
  <si>
    <t>PRT  REL</t>
  </si>
  <si>
    <t>IMP12 CYCT 15.6 96 CAVITY 22153 PC</t>
  </si>
  <si>
    <t>INTRA VIS Preform Sorting Machine</t>
  </si>
  <si>
    <t>PET Green strapping ROL 2500m-12.5x0.6mm</t>
  </si>
  <si>
    <t>PRT  REL</t>
  </si>
  <si>
    <t>IMP12 CYCT 15.6 96 CAVITY 22153 PC</t>
  </si>
  <si>
    <t>INTRA VIS Preform Sorting Machine</t>
  </si>
  <si>
    <t>3100008659</t>
  </si>
  <si>
    <t>18.0 BC38mm 3 Rnd Clear Steel C</t>
  </si>
  <si>
    <t>PRT  REL</t>
  </si>
  <si>
    <t>IMP07 CYCT 12 72CAVITY 21600 PC PER HR</t>
  </si>
  <si>
    <t>INTRA VIS Preform Sorting Machine</t>
  </si>
  <si>
    <t>PET Clear Preform For Grinding</t>
  </si>
  <si>
    <t>PRT  REL</t>
  </si>
  <si>
    <t>IMP07 CYCT 12 72CAVITY 21600 PC PER HR</t>
  </si>
  <si>
    <t>INTRA VIS Preform Sorting Machine</t>
  </si>
  <si>
    <t>Plain Self Adhes W105XH165mm–BOPP 1000/R</t>
  </si>
  <si>
    <t>PRT  REL</t>
  </si>
  <si>
    <t>IMP07 CYCT 12 72CAVITY 21600 PC PER HR</t>
  </si>
  <si>
    <t>INTRA VIS Preform Sorting Machine</t>
  </si>
  <si>
    <t>Transparent Tape roll 2'' wide 45mic</t>
  </si>
  <si>
    <t>PRT  REL</t>
  </si>
  <si>
    <t>IMP07 CYCT 12 72CAVITY 21600 PC PER HR</t>
  </si>
  <si>
    <t>INTRA VIS Preform Sorting Machine</t>
  </si>
  <si>
    <t>Nylon Cable Tie – CV-200B-Black(100 pcs)</t>
  </si>
  <si>
    <t>PRT  REL</t>
  </si>
  <si>
    <t>IMP07 CYCT 12 72CAVITY 21600 PC PER HR</t>
  </si>
  <si>
    <t>INTRA VIS Preform Sorting Machine</t>
  </si>
  <si>
    <t>PET Green strapping ROL 2500m-12.5x0.6mm</t>
  </si>
  <si>
    <t>PRT  REL</t>
  </si>
  <si>
    <t>IMP07 CYCT 12 72CAVITY 21600 PC PER HR</t>
  </si>
  <si>
    <t>INTRA VIS Preform Sorting Machine</t>
  </si>
  <si>
    <t>3100008660</t>
  </si>
  <si>
    <t>30.5PCO1881 ICI GreenJ/C(PP JOM HDG-SIPA</t>
  </si>
  <si>
    <t>PRT  REL</t>
  </si>
  <si>
    <t>IMPS06 CYCT 15 CAV 180  PCS PER HR 43200</t>
  </si>
  <si>
    <t>INTRA VIS Preform Sorting Machine</t>
  </si>
  <si>
    <t>3100008661</t>
  </si>
  <si>
    <t>9.4 TO 29/25 Rnd Clear J/C(PP)</t>
  </si>
  <si>
    <t>PRT  REL</t>
  </si>
  <si>
    <t>IMPS01 CYT 6.8 180 CAV 95294 PC PER HR</t>
  </si>
  <si>
    <t>INTRA VIS Preform Sorting Machine</t>
  </si>
  <si>
    <t>3100008662</t>
  </si>
  <si>
    <t>45.0 PCO 1881Rd Clear J/C(P Plt - SIPA</t>
  </si>
  <si>
    <t>PRT  REL</t>
  </si>
  <si>
    <t>IMPS07 CYT 17.3 144 CAV 29965 PC PER HR</t>
  </si>
  <si>
    <t>INTRA VIS Preform Sorting Machine</t>
  </si>
  <si>
    <t>3100008663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</si>
  <si>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</si>
  <si>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</si>
  <si>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</si>
  <si>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</si>
  <si>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</si>
  <si>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</si>
  <si>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</si>
  <si>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</si>
  <si>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J/C Top Cover (L121XW102XH15)mm- 735gsm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</si>
  <si>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</si>
  <si>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</si>
  <si>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</si>
  <si>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</si>
  <si>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</si>
  <si>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</si>
  <si>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</si>
  <si>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3100008664</t>
  </si>
  <si>
    <t>J/C Top Cover (L121XW102XH15)mm- 735gsm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</si>
  <si>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</si>
  <si>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</si>
  <si>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</si>
  <si>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</si>
  <si>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</si>
  <si>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</si>
  <si>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</si>
  <si>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3100008665</t>
  </si>
  <si>
    <t>8.30TOLW29/25 L.Blue(≤2ppm)J/C(W pt-SIPA</t>
  </si>
  <si>
    <t>PRT  REL</t>
  </si>
  <si>
    <t>IMPS04 CYT 6.50 180 CAV 99694 pcs</t>
  </si>
  <si>
    <t>IMD VISTA Sorting Machine</t>
  </si>
  <si>
    <t>3100008666</t>
  </si>
  <si>
    <t>30.5PCO1881 ICI GreenJ/C(PP JOM HDG-SIPA</t>
  </si>
  <si>
    <t>PRT  REL</t>
  </si>
  <si>
    <t>IMPS06 CYCT 15 CAV 180  PCS PER HR 43200</t>
  </si>
  <si>
    <t>IMD VISTA Sorting Machine</t>
  </si>
  <si>
    <t>3100008667</t>
  </si>
  <si>
    <t>PET Green Preform For Grinding</t>
  </si>
  <si>
    <t>PRT  REL</t>
  </si>
  <si>
    <t>IMPS06 CYCT 15 CAV 180  PCS PER HR 43200</t>
  </si>
  <si>
    <t>IMD VISTA Sorting Machine</t>
  </si>
  <si>
    <t>30.5 PCO 1881 Rnd ICI Green J/C(WP-SIPA</t>
  </si>
  <si>
    <t>PRT  REL</t>
  </si>
  <si>
    <t>IMPS06 CYCT 15 CAV 180  PCS PER HR 43200</t>
  </si>
  <si>
    <t>IMD VISTA Sorting Machine</t>
  </si>
  <si>
    <t>3100008668</t>
  </si>
  <si>
    <t>30.5 PCO 1881 Rnd Clear J/C(W plt-SIPA</t>
  </si>
  <si>
    <t>PRT  REL</t>
  </si>
  <si>
    <t>IMPS06 CYCT 15 CAV 180  PCS PER HR 43200</t>
  </si>
  <si>
    <t>IMD VISTA Sorting Machine</t>
  </si>
  <si>
    <t>3100008669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</si>
  <si>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</si>
  <si>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</si>
  <si>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</si>
  <si>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</si>
  <si>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</si>
  <si>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</si>
  <si>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</si>
  <si>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</si>
  <si>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3100008670</t>
  </si>
  <si>
    <t>45.0 PCO 1881Rd Clear J/C(P Plt - SIPA</t>
  </si>
  <si>
    <t>PRT  REL</t>
  </si>
  <si>
    <t>IMPS07 CYT 17.3 144 CAV 29965 PC PER HR</t>
  </si>
  <si>
    <t>IMD VISTA Sorting Machine</t>
  </si>
  <si>
    <t>3100008671</t>
  </si>
  <si>
    <t>45.0 PCO 1881 Rnd Clear Mena Bev</t>
  </si>
  <si>
    <t>PRT  REL</t>
  </si>
  <si>
    <t>IMPS07 CYT 17.3 144 CAV 29965 PC PER HR</t>
  </si>
  <si>
    <t>IMD VISTA Sorting Machine</t>
  </si>
  <si>
    <t>3100008672</t>
  </si>
  <si>
    <t>7.45TO LW 29/25 L.Blue(≤2ppm)J/C(WP-SIPA</t>
  </si>
  <si>
    <t>PRT  REL</t>
  </si>
  <si>
    <t>IMPS03 CYT 6.5 180 CAV 99692 PC PER HR</t>
  </si>
  <si>
    <t>INTRA VIS Preform Sorting Machine</t>
  </si>
  <si>
    <t>3100008673</t>
  </si>
  <si>
    <t>7.45TO LW 29/25 L.Blue J/C(WP-SIPA</t>
  </si>
  <si>
    <t>PRT  REL</t>
  </si>
  <si>
    <t>IMPS03 CYT 6.5 180 CAV 99692 PC PER HR</t>
  </si>
  <si>
    <t>INTRA VIS Preform Sorting Machine</t>
  </si>
  <si>
    <t>3100008674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</si>
  <si>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</si>
  <si>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</si>
  <si>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</si>
  <si>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</si>
  <si>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</si>
  <si>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</si>
  <si>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</si>
  <si>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</si>
  <si>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3100008675</t>
  </si>
  <si>
    <t>30.5 PCO 1881Rnd CLR J/C(PP JOM HDG-SIPA</t>
  </si>
  <si>
    <t>PRT  REL</t>
  </si>
  <si>
    <t>IMPS06 CYCT 15 CAV 180  PCS PER HR 43200</t>
  </si>
  <si>
    <t>IMD VISTA Sorting Machine</t>
  </si>
  <si>
    <t>3100008676</t>
  </si>
  <si>
    <t>7.45TO LW 29/25 L.Blue J/C(WP-SIPA</t>
  </si>
  <si>
    <t>PRT  REL</t>
  </si>
  <si>
    <t>IMPS03 CYT 6.5 180 CAV 99692 PC PER HR</t>
  </si>
  <si>
    <t>IMD VISTA Sorting Machine</t>
  </si>
  <si>
    <t>3100008677</t>
  </si>
  <si>
    <t>7.45TO LW 29/25 L.Blue(≤2ppm)J/C(WP-SIPA</t>
  </si>
  <si>
    <t>PRT  REL</t>
  </si>
  <si>
    <t>IMPS03 CYT 6.5 180 CAV 99692 PC PER HR</t>
  </si>
  <si>
    <t>IMD VISTA Sorting Machine</t>
  </si>
  <si>
    <t>3100008678</t>
  </si>
  <si>
    <t>Plain Self Adhes W105XH165mm–BOPP 1000/R</t>
  </si>
  <si>
    <t>PRT  REL</t>
  </si>
  <si>
    <t>IMP12 CYCT 15.6 96 CAVITY 22153 PC</t>
  </si>
  <si>
    <t>IMD VISTA Sorting Machine</t>
  </si>
  <si>
    <t>26.6TO29/25Rnd Nova Blue "Reliance"</t>
  </si>
  <si>
    <t>PRT  REL</t>
  </si>
  <si>
    <t>IMP12 CYCT 15.6 96 CAVITY 22153 PC</t>
  </si>
  <si>
    <t>IMD VISTA Sorting Machine</t>
  </si>
  <si>
    <t>3100008679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</si>
  <si>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</si>
  <si>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</si>
  <si>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</si>
  <si>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</si>
  <si>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</si>
  <si>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</si>
  <si>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</si>
  <si>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</si>
  <si>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</si>
  <si>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</si>
  <si>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</si>
  <si>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</si>
  <si>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3100008680</t>
  </si>
  <si>
    <t>Plain Self Adhes W105XH165mm–BOPP 1000/R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</si>
  <si>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</si>
  <si>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</si>
  <si>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</si>
  <si>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</si>
  <si>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</si>
  <si>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</si>
  <si>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</si>
  <si>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3100008681</t>
  </si>
  <si>
    <t>Plain Self Adhes W105XH165mm–BOPP 1000/R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</si>
  <si>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</si>
  <si>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</si>
  <si>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</si>
  <si>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</si>
  <si>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</si>
  <si>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</si>
  <si>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</si>
  <si>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3100008682</t>
  </si>
  <si>
    <t>45.0 PCO 1881 Rnd Clear Mena Bev</t>
  </si>
  <si>
    <t>PRT  REL</t>
  </si>
  <si>
    <t>IMPS07 CYT 17.3 144 CAV 29965 PC PER HR</t>
  </si>
  <si>
    <t>INTRA VIS Preform Sorting Machine</t>
  </si>
  <si>
    <t>3100008683</t>
  </si>
  <si>
    <t>30.5 PCO 1881Rnd CLR J/C(PP JOM HDG-SIPA</t>
  </si>
  <si>
    <t>PRT  REL</t>
  </si>
  <si>
    <t>IMPS06 CYCT 15 CAV 180  PCS PER HR 43200</t>
  </si>
  <si>
    <t>INTRA VIS Preform Sorting Machine</t>
  </si>
  <si>
    <t>3100008684</t>
  </si>
  <si>
    <t>7.45TO LW 29/25 L.Blue(≤2ppm)J/C(WP-SIPA</t>
  </si>
  <si>
    <t>PRT  REL</t>
  </si>
  <si>
    <t>IMPS03</t>
  </si>
  <si>
    <t>IMPS03 CYT 6.5 180 CAV 99692 PC PER HR</t>
  </si>
  <si>
    <t>INJ Mold03 SIPA XFORM500EVO GEN4-180 Cav</t>
  </si>
  <si>
    <t>PET Blue Preform For Grinding</t>
  </si>
  <si>
    <t>PRT  REL</t>
  </si>
  <si>
    <t>IMPS03 CYT 6.5 180 CAV 99692 PC PER HR</t>
  </si>
  <si>
    <t>INJ Mold03 SIPA XFORM500EVO GEN4-180 Cav</t>
  </si>
  <si>
    <t>Plain Self Adhes W105XH165mm–BOPP 1000/R</t>
  </si>
  <si>
    <t>PRT  REL</t>
  </si>
  <si>
    <t>IMPS03 CYT 6.5 180 CAV 99692 PC PER HR</t>
  </si>
  <si>
    <t>INJ Mold03 SIPA XFORM500EVO GEN4-180 Cav</t>
  </si>
  <si>
    <t>Transparent Tape roll 2'' wide 45mic</t>
  </si>
  <si>
    <t>PRT  REL</t>
  </si>
  <si>
    <t>IMPS03 CYT 6.5 180 CAV 99692 PC PER HR</t>
  </si>
  <si>
    <t>INJ Mold03 SIPA XFORM500EVO GEN4-180 Cav</t>
  </si>
  <si>
    <t>Nylon Cable Tie – CV-200B-Black(100 pcs)</t>
  </si>
  <si>
    <t>PRT  REL</t>
  </si>
  <si>
    <t>IMPS03 CYT 6.5 180 CAV 99692 PC PER HR</t>
  </si>
  <si>
    <t>INJ Mold03 SIPA XFORM500EVO GEN4-180 Cav</t>
  </si>
  <si>
    <t>PET Green strapping ROL 2500m-12.5x0.6mm</t>
  </si>
  <si>
    <t>PRT  REL</t>
  </si>
  <si>
    <t>IMPS03 CYT 6.5 180 CAV 99692 PC PER HR</t>
  </si>
  <si>
    <t>INJ Mold03 SIPA XFORM500EVO GEN4-180 Cav</t>
  </si>
  <si>
    <t>3100008685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</si>
  <si>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</si>
  <si>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</si>
  <si>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</si>
  <si>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</si>
  <si>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</si>
  <si>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</si>
  <si>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</si>
  <si>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</si>
  <si>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</si>
  <si>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</si>
  <si>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</si>
  <si>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</si>
  <si>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</si>
  <si>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</si>
  <si>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</si>
  <si>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</si>
  <si>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3100008686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</si>
  <si>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</si>
  <si>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</si>
  <si>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</si>
  <si>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</si>
  <si>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</si>
  <si>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</si>
  <si>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</si>
  <si>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</si>
  <si>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3100008687</t>
  </si>
  <si>
    <t>Plain Self Adhes W105XH165mm–BOPP 1000/R</t>
  </si>
  <si>
    <t>PRT  REL</t>
  </si>
  <si>
    <t>IMPS03 CYT 6.5 180 CAV 99692 PC PER HR</t>
  </si>
  <si>
    <t>INTRA VIS Preform Sorting Machine</t>
  </si>
  <si>
    <t>PET Blue Preform For Grinding</t>
  </si>
  <si>
    <t>PRT  REL</t>
  </si>
  <si>
    <t>IMPS03 CYT 6.5 180 CAV 99692 PC PER HR</t>
  </si>
  <si>
    <t>INTRA VIS Preform Sorting Machine</t>
  </si>
  <si>
    <t>7.45TO LW 29/25 L.Blue(≤2ppm)J/C(WP-SIPA</t>
  </si>
  <si>
    <t>PRT  REL</t>
  </si>
  <si>
    <t>IMPS03 CYT 6.5 180 CAV 99692 PC PER HR</t>
  </si>
  <si>
    <t>INTRA VIS Preform Sorting Machine</t>
  </si>
  <si>
    <t>3100008688</t>
  </si>
  <si>
    <t>30.5 PCO 1881Rnd CLR J/C(PP JOM HDG-SIPA</t>
  </si>
  <si>
    <t>PRT  REL</t>
  </si>
  <si>
    <t>IMPS06 CYCT 15 CAV 180  PCS PER HR 43200</t>
  </si>
  <si>
    <t>IMD VISTA Sorting Machine</t>
  </si>
  <si>
    <t>3100008705</t>
  </si>
  <si>
    <t>Plain Self Adhes W105XH165mm–BOPP 1000/R</t>
  </si>
  <si>
    <t>PRT  REL</t>
  </si>
  <si>
    <t>IMP12 CYCT 15.6 96 CAVITY 22153 PC</t>
  </si>
  <si>
    <t>IMD VISTA Sorting Machine</t>
  </si>
  <si>
    <t>PET Blue Preform For Grinding</t>
  </si>
  <si>
    <t>PRT  REL</t>
  </si>
  <si>
    <t>IMP12 CYCT 15.6 96 CAVITY 22153 PC</t>
  </si>
  <si>
    <t>IMD VISTA Sorting Machine</t>
  </si>
  <si>
    <t>26.6TO29/25Rnd Nova Blue "Reliance"</t>
  </si>
  <si>
    <t>PRT  REL</t>
  </si>
  <si>
    <t>IMP12 CYCT 15.6 96 CAVITY 22153 PC</t>
  </si>
  <si>
    <t>IMD VISTA Sorting Machine</t>
  </si>
  <si>
    <t>3100008706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</si>
  <si>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</si>
  <si>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</si>
  <si>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</si>
  <si>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</si>
  <si>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</si>
  <si>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</si>
  <si>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</si>
  <si>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</si>
  <si>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3100008707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</si>
  <si>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</si>
  <si>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</si>
  <si>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</si>
  <si>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</si>
  <si>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</si>
  <si>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</si>
  <si>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</si>
  <si>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</si>
  <si>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3100008708</t>
  </si>
  <si>
    <t>36.0 BC 38mm 3 Rnd Clear Steel C-(Aujan)</t>
  </si>
  <si>
    <t>PRT  REL</t>
  </si>
  <si>
    <t>IMP12 CYT 16.5 96 CAV 20945 PC PER HR</t>
  </si>
  <si>
    <t>IMD VISTA Sorting Machine</t>
  </si>
  <si>
    <t>3100008709</t>
  </si>
  <si>
    <t>26.6 TO 29/25 Rnd Clear J/C(P Plt</t>
  </si>
  <si>
    <t>PRT  REL</t>
  </si>
  <si>
    <t>IMP12 CYCT 15.6 96 CAVITY 22153 PC</t>
  </si>
  <si>
    <t>IMD VISTA Sorting Machine</t>
  </si>
  <si>
    <t>3100008710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</si>
  <si>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</si>
  <si>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</si>
  <si>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</si>
  <si>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</si>
  <si>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</si>
  <si>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</si>
  <si>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</si>
  <si>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</si>
  <si>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3100008711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</si>
  <si>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</si>
  <si>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</si>
  <si>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</si>
  <si>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</si>
  <si>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</si>
  <si>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</si>
  <si>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</si>
  <si>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</si>
  <si>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3100008712</t>
  </si>
  <si>
    <t>26.6 TO 29/25 Rnd Clear J/C(P Plt</t>
  </si>
  <si>
    <t>PRT  REL</t>
  </si>
  <si>
    <t>IMP12 CYCT 15.6 96 CAVITY 22153 PC</t>
  </si>
  <si>
    <t>IMD VISTA Sorting Machine</t>
  </si>
  <si>
    <t>3100008713</t>
  </si>
  <si>
    <t>Plain Self Adhes W105XH165mm–BOPP 1000/R</t>
  </si>
  <si>
    <t>PRT  REL</t>
  </si>
  <si>
    <t>IMPS05 CYT 7.5 180 CAV 86400 PC PER HR</t>
  </si>
  <si>
    <t>IMD VISTA Sorting Machine</t>
  </si>
  <si>
    <t>12.5TO29/25Rnd Nova Blue-PET"Reliance"</t>
  </si>
  <si>
    <t>PRT  REL</t>
  </si>
  <si>
    <t>IMPS05 CYT 7.5 180 CAV 86400 PC PER HR</t>
  </si>
  <si>
    <t>IMD VISTA Sorting Machine</t>
  </si>
  <si>
    <t>12.5TO29/25Rnd Nova Blue-PET"Reliance"</t>
  </si>
  <si>
    <t>IMPS05 CYT 7.5 180 CAV 86400 PC PER HR</t>
  </si>
  <si>
    <t>IMD VISTA Sorting Machine</t>
  </si>
  <si>
    <t>PET Blue Preform For Grinding</t>
  </si>
  <si>
    <t>IMPS05 CYT 7.5 180 CAV 86400 PC PER HR</t>
  </si>
  <si>
    <t>IMD VISTA Sorting Machine</t>
  </si>
  <si>
    <t>PET Blue Preform For Grinding</t>
  </si>
  <si>
    <t>IMPS05 CYT 7.5 180 CAV 86400 PC PER HR</t>
  </si>
  <si>
    <t>IMD VISTA Sorting Machine</t>
  </si>
  <si>
    <t>3100008714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</si>
  <si>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</si>
  <si>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</si>
  <si>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</si>
  <si>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</si>
  <si>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</si>
  <si>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</si>
  <si>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</si>
  <si>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</si>
  <si>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3100008715</t>
  </si>
  <si>
    <t>26.6 TO 29/25 Rnd Clear J/C(P Plt</t>
  </si>
  <si>
    <t>PRT  REL</t>
  </si>
  <si>
    <t>IMP12 CYCT 15.6 96 CAVITY 22153 PC</t>
  </si>
  <si>
    <t>IMD VISTA Sorting Machine</t>
  </si>
  <si>
    <t>3100008716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</si>
  <si>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</si>
  <si>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</si>
  <si>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</si>
  <si>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</si>
  <si>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</si>
  <si>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</si>
  <si>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</si>
  <si>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</si>
  <si>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3100008717</t>
  </si>
  <si>
    <t>26.6 TO 29/25 Rnd Clear J/C(P Plt</t>
  </si>
  <si>
    <t>PRT  REL</t>
  </si>
  <si>
    <t>IMP12 CYCT 15.6 96 CAVITY 22153 PC</t>
  </si>
  <si>
    <t>IMD VISTA Sorting Machine</t>
  </si>
  <si>
    <t>3100008718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</si>
  <si>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</si>
  <si>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</si>
  <si>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</si>
  <si>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</si>
  <si>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</si>
  <si>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</si>
  <si>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</si>
  <si>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</si>
  <si>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9.4 TO29/25Rnd NovaBlue-PET"Reliance"</t>
  </si>
  <si>
    <t>PRT  REL</t>
  </si>
  <si>
    <t>IMPS01 CYT 6.8 180 CAV 95294 PC PER HR</t>
  </si>
  <si>
    <t>IMD VISTA Sorting Machine</t>
  </si>
  <si>
    <t>3100008719</t>
  </si>
  <si>
    <t>Plain Self Adhes W105XH165mm–BOPP 1000/R</t>
  </si>
  <si>
    <t>PRT  REL</t>
  </si>
  <si>
    <t>IMP24 CYCT 11.5 96 CAV 30052 PER HR</t>
  </si>
  <si>
    <t>INTRA VIS Preform Sorting Machine</t>
  </si>
  <si>
    <t>PET Clear Preform For Grinding</t>
  </si>
  <si>
    <t>PRT  REL</t>
  </si>
  <si>
    <t>IMP24 CYCT 11.5 96 CAV 30052 PER HR</t>
  </si>
  <si>
    <t>INTRA VIS Preform Sorting Machine</t>
  </si>
  <si>
    <t>16.7 PCO 1881 Rnd Clear J/C(W plt</t>
  </si>
  <si>
    <t>PRT  REL</t>
  </si>
  <si>
    <t>IMP24 CYCT 11.5 96 CAV 30052 PER HR</t>
  </si>
  <si>
    <t>INTRA VIS Preform Sorting Machine</t>
  </si>
  <si>
    <t>3100008720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</si>
  <si>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</si>
  <si>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</si>
  <si>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</si>
  <si>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</si>
  <si>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</si>
  <si>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</si>
  <si>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</si>
  <si>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</si>
  <si>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3100008721</t>
  </si>
  <si>
    <t>45.0 PCO 1881 ICI Green J/C(P Plt - SIPA</t>
  </si>
  <si>
    <t>PRT  REL</t>
  </si>
  <si>
    <t>IMPS07 CYT 17.3 144 CAV 29965 PC PER HR</t>
  </si>
  <si>
    <t>INTRA VIS Preform Sorting Machine</t>
  </si>
  <si>
    <t>3100008722</t>
  </si>
  <si>
    <t>Wooden Pallets Good cond.L120xW100xH15cm</t>
  </si>
  <si>
    <t>PRT  REL</t>
  </si>
  <si>
    <t>IMP01 CYCT 18.5 96CAVITY 18682 PC PER HR</t>
  </si>
  <si>
    <t>IMD VISTA Sorting Machine</t>
  </si>
  <si>
    <t>PET Clear Preform For Grinding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</si>
  <si>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</si>
  <si>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</si>
  <si>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</si>
  <si>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</si>
  <si>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</si>
  <si>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</si>
  <si>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</si>
  <si>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3100008723</t>
  </si>
  <si>
    <t>Plain Self Adhes W105XH165mm–BOPP 1000/R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</si>
  <si>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</si>
  <si>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</si>
  <si>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</si>
  <si>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</si>
  <si>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</si>
  <si>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</si>
  <si>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</si>
  <si>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</si>
  <si>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</si>
  <si>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</si>
  <si>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</si>
  <si>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3100008724</t>
  </si>
  <si>
    <t>45.0 PCO 1881 ICI Green J/C(P Plt - SIPA</t>
  </si>
  <si>
    <t>PRT  REL</t>
  </si>
  <si>
    <t>IMPS07 CYT 17.3 144 CAV 29965 PC PER HR</t>
  </si>
  <si>
    <t>INTRA VIS Preform Sorting Machine</t>
  </si>
  <si>
    <t>3100008725</t>
  </si>
  <si>
    <t>Plain Self Adhes W105XH165mm–BOPP 1000/R</t>
  </si>
  <si>
    <t>PRT  REL</t>
  </si>
  <si>
    <t>IMP01 CYCT 18.5 96CAVITY 18682 PC PER HR</t>
  </si>
  <si>
    <t>IMD VISTA Sorting Machine</t>
  </si>
  <si>
    <t>52.0 BC 38mm 3 Rnd Clear OJ/C(W plt</t>
  </si>
  <si>
    <t>PRT  REL</t>
  </si>
  <si>
    <t>IMP01 CYCT 18.5 96CAVITY 18682 PC PER HR</t>
  </si>
  <si>
    <t>IMD VISTA Sorting Machine</t>
  </si>
  <si>
    <t>3100008726</t>
  </si>
  <si>
    <t>Plain Self Adhes W105XH165mm–BOPP 1000/R</t>
  </si>
  <si>
    <t>PRT  REL</t>
  </si>
  <si>
    <t>IMP19 CYT 14.5 72 CAV 17875 PC PER HR</t>
  </si>
  <si>
    <t>INTRA VIS Preform Sorting Machine</t>
  </si>
  <si>
    <t>34.0 BC38mm 3 ECO Huayan Clear steel C</t>
  </si>
  <si>
    <t>PRT  REL</t>
  </si>
  <si>
    <t>IMP19 CYT 14.5 72 CAV 17875 PC PER HR</t>
  </si>
  <si>
    <t>INTRA VIS Preform Sorting Machine</t>
  </si>
  <si>
    <t>3100008727</t>
  </si>
  <si>
    <t>Plain Self Adhes W105XH165mm–BOPP 1000/R</t>
  </si>
  <si>
    <t>PRT  REL</t>
  </si>
  <si>
    <t>IMP19 CYT 14.5 72 CAV 17875 PC PER HR</t>
  </si>
  <si>
    <t>INTRA VIS Preform Sorting Machine</t>
  </si>
  <si>
    <t>34.0 BC38mm 3 ECO Huayan White Steel C</t>
  </si>
  <si>
    <t>PRT  REL</t>
  </si>
  <si>
    <t>IMP19 CYT 14.5 72 CAV 17875 PC PER HR</t>
  </si>
  <si>
    <t>INTRA VIS Preform Sorting Machine</t>
  </si>
  <si>
    <t>3100008728</t>
  </si>
  <si>
    <t>7.45TO LW 29/25 L.Blue J/C(WP-SIPA</t>
  </si>
  <si>
    <t>PRT  REL</t>
  </si>
  <si>
    <t>IMPS03 CYT 6.5 180 CAV 99692 PC PER HR</t>
  </si>
  <si>
    <t>INJ Mold03 SIPA XFORM500EVO GEN4-180 Cav</t>
  </si>
  <si>
    <t>3100008729</t>
  </si>
  <si>
    <t>Plain Self Adhes W105XH165mm–BOPP 1000/R</t>
  </si>
  <si>
    <t>PRT  REL</t>
  </si>
  <si>
    <t>IMP24 CYCT 11.5 96 CAV 30052 PER HR</t>
  </si>
  <si>
    <t>INTRA VIS Preform Sorting Machine</t>
  </si>
  <si>
    <t>PET Clear Preform For Grinding</t>
  </si>
  <si>
    <t>PRT  REL</t>
  </si>
  <si>
    <t>IMP24 CYCT 11.5 96 CAV 30052 PER HR</t>
  </si>
  <si>
    <t>INTRA VIS Preform Sorting Machine</t>
  </si>
  <si>
    <t>16.7 PCO 1881 Rnd Clear J/C(W plt</t>
  </si>
  <si>
    <t>PRT  REL</t>
  </si>
  <si>
    <t>IMP24 CYCT 11.5 96 CAV 30052 PER HR</t>
  </si>
  <si>
    <t>INTRA VIS Preform Sorting Machine</t>
  </si>
  <si>
    <t>3100008730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</si>
  <si>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</si>
  <si>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</si>
  <si>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</si>
  <si>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</si>
  <si>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</si>
  <si>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</si>
  <si>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</si>
  <si>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</si>
  <si>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3100008731</t>
  </si>
  <si>
    <t>Plain Self Adhes W105XH165mm–BOPP 1000/R</t>
  </si>
  <si>
    <t>PRT  REL</t>
  </si>
  <si>
    <t>IMP19 CYT 14.5 72 CAV 17875 PC PER HR</t>
  </si>
  <si>
    <t>IMD VISTA Sorting Machine</t>
  </si>
  <si>
    <t>34.0 BC38mm 3 ECO Huayan White Steel C</t>
  </si>
  <si>
    <t>PRT  REL</t>
  </si>
  <si>
    <t>IMP19 CYT 14.5 72 CAV 17875 PC PER HR</t>
  </si>
  <si>
    <t>IMD VISTA Sorting Machine</t>
  </si>
  <si>
    <t>3100008732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</si>
  <si>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</si>
  <si>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</si>
  <si>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</si>
  <si>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</si>
  <si>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</si>
  <si>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</si>
  <si>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</si>
  <si>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</si>
  <si>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3100008733</t>
  </si>
  <si>
    <t>Plain Self Adhes W105XH165mm–BOPP 1000/R</t>
  </si>
  <si>
    <t>PRT  REL</t>
  </si>
  <si>
    <t>IMPS03 CYT 6.5 180 CAV 99692 PC PER HR</t>
  </si>
  <si>
    <t>INTRA VIS Preform Sorting Machine</t>
  </si>
  <si>
    <t>Wooden Pallets Good cond.L120xW100xH15cm</t>
  </si>
  <si>
    <t>PRT  REL</t>
  </si>
  <si>
    <t>IMPS03 CYT 6.5 180 CAV 99692 PC PER HR</t>
  </si>
  <si>
    <t>INTRA VIS Preform Sorting Machine</t>
  </si>
  <si>
    <t>7.45TO29/25Rnd'ALM'BLUE J/C(PP-SIPA)</t>
  </si>
  <si>
    <t>PRT  REL</t>
  </si>
  <si>
    <t>IMPS03 CYT 6.5 180 CAV 99692 PC PER HR</t>
  </si>
  <si>
    <t>INTRA VIS Preform Sorting Machine</t>
  </si>
  <si>
    <t>3100008734</t>
  </si>
  <si>
    <t>7.45TO 29/25 Rnd L.Blue (≤1ppm) J/C Wplt</t>
  </si>
  <si>
    <t>PRT  REL</t>
  </si>
  <si>
    <t>IMPS03 CYT 6.5 180 CAV 99692 PC PER HR</t>
  </si>
  <si>
    <t>INTRA VIS Preform Sorting Machine</t>
  </si>
  <si>
    <t>3100008735</t>
  </si>
  <si>
    <t>7.45TO 29/25 Rnd L.Blue (≤1ppm) J/C Wplt</t>
  </si>
  <si>
    <t>DLT  PRT  REL</t>
  </si>
  <si>
    <t>IMPS03 CYT 6.5 180 CAV 99692 PC PER HR</t>
  </si>
  <si>
    <t>IMD VISTA Sorting Machine</t>
  </si>
  <si>
    <t>7.45TO LW 29/25 L.Blue(≤2ppm)J/C(WP-SIPA</t>
  </si>
  <si>
    <t>IMPS03 CYT 6.5 180 CAV 99692 PC PER HR</t>
  </si>
  <si>
    <t>IMD VISTA Sorting Machine</t>
  </si>
  <si>
    <t>3100008736</t>
  </si>
  <si>
    <t>PET Blue Preform For Grinding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</si>
  <si>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</si>
  <si>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</si>
  <si>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</si>
  <si>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</si>
  <si>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</si>
  <si>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</si>
  <si>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</si>
  <si>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3100008737</t>
  </si>
  <si>
    <t>45.0 PCO 1881 Rnd ICI Green Mena Bev</t>
  </si>
  <si>
    <t>PRT  REL</t>
  </si>
  <si>
    <t>IMPS07 CYT 17.3 144 CAV 29965 PC PER HR</t>
  </si>
  <si>
    <t>INTRA VIS Preform Sorting Machine</t>
  </si>
  <si>
    <t>3100008738</t>
  </si>
  <si>
    <t>Plain Self Adhes W105XH165mm–BOPP 1000/R</t>
  </si>
  <si>
    <t>PRT  REL</t>
  </si>
  <si>
    <t>IMP12 CYCT 13.3 96 CAVITY 25984 PC</t>
  </si>
  <si>
    <t>IMD VISTA Sorting Machine</t>
  </si>
  <si>
    <t>PET Blue Preform For Grinding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</si>
  <si>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</si>
  <si>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</si>
  <si>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</si>
  <si>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</si>
  <si>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</si>
  <si>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</si>
  <si>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</si>
  <si>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3100008739</t>
  </si>
  <si>
    <t>Plain Self Adhes W105XH165mm–BOPP 1000/R</t>
  </si>
  <si>
    <t>PRT  REL</t>
  </si>
  <si>
    <t>IMPS06 CYCT 15 CAV 180  PCS PER HR 43200</t>
  </si>
  <si>
    <t>IMD VISTA Sorting Machine</t>
  </si>
  <si>
    <t>30.5PCO1881RndICI GreenMenaBev Spec-SIPA</t>
  </si>
  <si>
    <t>PRT  REL</t>
  </si>
  <si>
    <t>IMPS06 CYCT 15 CAV 180  PCS PER HR 43200</t>
  </si>
  <si>
    <t>IMD VISTA Sorting Machine</t>
  </si>
  <si>
    <t>3100008740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</si>
  <si>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</si>
  <si>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</si>
  <si>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</si>
  <si>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</si>
  <si>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</si>
  <si>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</si>
  <si>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</si>
  <si>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</si>
  <si>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3100008744</t>
  </si>
  <si>
    <t>P.E.BAGS CLEAR 120 X 61 CM</t>
  </si>
  <si>
    <t>PRT  REL</t>
  </si>
  <si>
    <t>IMPS03 CYT 6.5 180 CAV 99692 PC PER HR</t>
  </si>
  <si>
    <t>IMD VISTA Sorting Machine</t>
  </si>
  <si>
    <t>CARTON EXPT L593 X W393 X H456 mm-BC799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</si>
  <si>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</si>
  <si>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</si>
  <si>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</si>
  <si>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</si>
  <si>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</si>
  <si>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</si>
  <si>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</si>
  <si>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3100008745</t>
  </si>
  <si>
    <t>P.E.BAGS CLEAR 120 X 61 CM</t>
  </si>
  <si>
    <t>PRT  REL</t>
  </si>
  <si>
    <t>IMPS03 CYT 6.5 180 CAV 99692 PC PER HR</t>
  </si>
  <si>
    <t>IMD VISTA Sorting Machine</t>
  </si>
  <si>
    <t>CARTON EXPT L593 X W393 X H456 mm-BC799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</si>
  <si>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</si>
  <si>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</si>
  <si>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</si>
  <si>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</si>
  <si>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</si>
  <si>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</si>
  <si>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</si>
  <si>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3100008746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</si>
  <si>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</si>
  <si>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</si>
  <si>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</si>
  <si>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</si>
  <si>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</si>
  <si>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</si>
  <si>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</si>
  <si>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</si>
  <si>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3100008747</t>
  </si>
  <si>
    <t>26.6 TO 29/25 Rnd Clear J/C(P Plt</t>
  </si>
  <si>
    <t>PRT  REL</t>
  </si>
  <si>
    <t>IMP12 CYCT 15.6 96 CAVITY 22153 PC</t>
  </si>
  <si>
    <t>IMD VISTA Sorting Machine</t>
  </si>
  <si>
    <t>3100008748</t>
  </si>
  <si>
    <t>36.0 BC38mm 3 Rnd Clear OJ/C(W plt</t>
  </si>
  <si>
    <t>PRT  REL</t>
  </si>
  <si>
    <t>IMP12 CYT 16.7 96 CAV 20694 PC PER HR</t>
  </si>
  <si>
    <t>IMD VISTA Sorting Machine</t>
  </si>
  <si>
    <t>3100008749</t>
  </si>
  <si>
    <t>Plain Self Adhes W105XH165mm–BOPP 1000/R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</si>
  <si>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</si>
  <si>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</si>
  <si>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</si>
  <si>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</si>
  <si>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</si>
  <si>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</si>
  <si>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</si>
  <si>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3100008750</t>
  </si>
  <si>
    <t>12.5 29/25 Rnd Clear J/C(PP</t>
  </si>
  <si>
    <t>PRT  REL</t>
  </si>
  <si>
    <t>IMPS05 CYT 7.5 180 CAV 86400 PC PER HR</t>
  </si>
  <si>
    <t>IMD VISTA Sorting Machine</t>
  </si>
  <si>
    <t>3100008751</t>
  </si>
  <si>
    <t>Plain Self Adhes W105XH165mm–BOPP 1000/R</t>
  </si>
  <si>
    <t>PRT  REL</t>
  </si>
  <si>
    <t>IMPS05 CYT 7.5 180 CAV 86400 PC PER HR</t>
  </si>
  <si>
    <t>IMD VISTA Sorting Machine</t>
  </si>
  <si>
    <t>PET Blue Preform For Grinding</t>
  </si>
  <si>
    <t>PRT  REL</t>
  </si>
  <si>
    <t>IMPS05 CYT 7.5 180 CAV 86400 PC PER HR</t>
  </si>
  <si>
    <t>IMD VISTA Sorting Machine</t>
  </si>
  <si>
    <t>12.5TO29/25Rnd Nova Blue-PET"Reliance"</t>
  </si>
  <si>
    <t>PRT  REL</t>
  </si>
  <si>
    <t>IMPS05 CYT 7.5 180 CAV 86400 PC PER HR</t>
  </si>
  <si>
    <t>IMD VISTA Sorting Machine</t>
  </si>
  <si>
    <t>3100008752</t>
  </si>
  <si>
    <t>13.5BC1RD-R1-G</t>
  </si>
  <si>
    <t>13.5 BC38mm 3 Rnd Red OJ/C(WP)</t>
  </si>
  <si>
    <t>PRT  REL</t>
  </si>
  <si>
    <t>IMP01 CYCT 14.5 96CAVITY 23835 PC PER HR</t>
  </si>
  <si>
    <t>IMD VISTA Sorting Machine</t>
  </si>
  <si>
    <t>3100008753</t>
  </si>
  <si>
    <t>CARTON BOX-60 X 50 X 41.5 CM 704 GSM</t>
  </si>
  <si>
    <t>PRT  REL</t>
  </si>
  <si>
    <t>ENGEL1 CYCT 3.7 CAVITY 72 70054 PCS</t>
  </si>
  <si>
    <t>IMD VISTA Sorting Machine</t>
  </si>
  <si>
    <t>Transparent Tape roll 2'' wide 45mic</t>
  </si>
  <si>
    <t>PRT  REL</t>
  </si>
  <si>
    <t>ENGEL1 CYCT 3.7 CAVITY 72 70054 PCS</t>
  </si>
  <si>
    <t>IMD VISTA Sorting Machine</t>
  </si>
  <si>
    <t>Plain Self Adhes W105XH165mm–BOPP 1000/R</t>
  </si>
  <si>
    <t>PRT  REL</t>
  </si>
  <si>
    <t>ENGEL1 CYCT 3.7 CAVITY 72 70054 PCS</t>
  </si>
  <si>
    <t>IMD VISTA Sorting Machine</t>
  </si>
  <si>
    <t>Nova Atlas Label No.12 105X48MM A4</t>
  </si>
  <si>
    <t>PRT  REL</t>
  </si>
  <si>
    <t>ENGEL1 CYCT 3.7 CAVITY 72 70054 PCS</t>
  </si>
  <si>
    <t>IMD VISTA Sorting Machine</t>
  </si>
  <si>
    <t>P.E.BAGS CLEAR 120 X 61 CM</t>
  </si>
  <si>
    <t>PRT  REL</t>
  </si>
  <si>
    <t>ENGEL1 CYCT 3.7 CAVITY 72 70054 PCS</t>
  </si>
  <si>
    <t>IMD VISTA Sorting Machine</t>
  </si>
  <si>
    <t>P.E Bags (160x130)x50cm Th 40mic- Jomih</t>
  </si>
  <si>
    <t>PRT  REL</t>
  </si>
  <si>
    <t>ENGEL1 CYCT 3.7 CAVITY 72 70054 PCS</t>
  </si>
  <si>
    <t>IMD VISTA Sorting Machine</t>
  </si>
  <si>
    <t>St. Film [1.2K.g] 17micx500mmx1500 (Bio)</t>
  </si>
  <si>
    <t>PRT  REL</t>
  </si>
  <si>
    <t>ENGEL1 CYCT 3.7 CAVITY 72 70054 PCS</t>
  </si>
  <si>
    <t>IMD VISTA Sorting Machine</t>
  </si>
  <si>
    <t>PE Caps Scrap</t>
  </si>
  <si>
    <t>PRT  REL</t>
  </si>
  <si>
    <t>ENGEL1 CYCT 3.7 CAVITY 72 70054 PCS</t>
  </si>
  <si>
    <t>IMD VISTA Sorting Machine</t>
  </si>
  <si>
    <t>Honeywell Intermec Ribbon 110*450</t>
  </si>
  <si>
    <t>PRT  REL</t>
  </si>
  <si>
    <t>ENGEL1 CYCT 3.7 CAVITY 72 70054 PCS</t>
  </si>
  <si>
    <t>IMD VISTA Sorting Machine</t>
  </si>
  <si>
    <t>29/25 1.27g CAP TP Nova Blue (=2%)-WP</t>
  </si>
  <si>
    <t>PRT  REL</t>
  </si>
  <si>
    <t>ENGEL1 CYCT 3.7 CAVITY 72 70054 PCS</t>
  </si>
  <si>
    <t>IMD VISTA Sorting Machine</t>
  </si>
  <si>
    <t>3100008754</t>
  </si>
  <si>
    <t>Plain Self Adhes W105XH165mm–BOPP 1000/R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</si>
  <si>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</si>
  <si>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</si>
  <si>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</si>
  <si>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</si>
  <si>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</si>
  <si>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</si>
  <si>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</si>
  <si>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3100008755</t>
  </si>
  <si>
    <t>Plain Self Adhes W105XH165mm–BOPP 1000/R</t>
  </si>
  <si>
    <t>PRT  REL</t>
  </si>
  <si>
    <t>IMP07 CYCT 14.5 96CAVITY 23835 PC PER HR</t>
  </si>
  <si>
    <t>IMD VISTA Sorting Machine</t>
  </si>
  <si>
    <t>PET PREFORM COLOURED</t>
  </si>
  <si>
    <t>PRT  REL</t>
  </si>
  <si>
    <t>IMP07 CYCT 14.5 96CAVITY 23835 PC PER HR</t>
  </si>
  <si>
    <t>IMD VISTA Sorting Machine</t>
  </si>
  <si>
    <t>13.5BC1RD-G1-G</t>
  </si>
  <si>
    <t>13.5 BC38mm 3 Rnd Green OJ/C(WP)</t>
  </si>
  <si>
    <t>PRT  REL</t>
  </si>
  <si>
    <t>IMP07 CYCT 14.5 96CAVITY 23835 PC PER HR</t>
  </si>
  <si>
    <t>IMD VISTA Sorting Machine</t>
  </si>
  <si>
    <t>3100008756</t>
  </si>
  <si>
    <t>PET PREFORM COLOURED</t>
  </si>
  <si>
    <t>PRT  REL</t>
  </si>
  <si>
    <t>IMP01 CYCT 14.5 96CAVITY 23835 PC PER HR</t>
  </si>
  <si>
    <t>IMD VISTA Sorting Machine</t>
  </si>
  <si>
    <t>13.5BC1RD-O1-G</t>
  </si>
  <si>
    <t>13.5 BC38mm 3 Rnd Orange OJ/C(WP)</t>
  </si>
  <si>
    <t>PRT  REL</t>
  </si>
  <si>
    <t>IMP01 CYCT 14.5 96CAVITY 23835 PC PER HR</t>
  </si>
  <si>
    <t>IMD VISTA Sorting Machine</t>
  </si>
  <si>
    <t>3100008757</t>
  </si>
  <si>
    <t>12.5TO29/25Rnd Nova Blue-PET"Reliance"</t>
  </si>
  <si>
    <t>PRT  REL</t>
  </si>
  <si>
    <t>IMPS05 CYT 7.5 180 CAV 86400 PC PER HR</t>
  </si>
  <si>
    <t>IMD VISTA Sorting Machine</t>
  </si>
  <si>
    <t>3100008758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</si>
  <si>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</si>
  <si>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</si>
  <si>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</si>
  <si>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</si>
  <si>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</si>
  <si>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</si>
  <si>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</si>
  <si>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</si>
  <si>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</si>
  <si>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</si>
  <si>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</si>
  <si>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</si>
  <si>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3100008759</t>
  </si>
  <si>
    <t>Plain Self Adhes W105XH165mm–BOPP 1000/R</t>
  </si>
  <si>
    <t>PRT  REL</t>
  </si>
  <si>
    <t>IMP02 CYCT 11.5 96 CAV 30052 PER HR</t>
  </si>
  <si>
    <t>INTRA VIS Preform Sorting Machine</t>
  </si>
  <si>
    <t>PET Clear Preform For Grinding</t>
  </si>
  <si>
    <t>PRT  REL</t>
  </si>
  <si>
    <t>IMP02 CYCT 11.5 96 CAV 30052 PER HR</t>
  </si>
  <si>
    <t>INTRA VIS Preform Sorting Machine</t>
  </si>
  <si>
    <t>15.5PC2RD-CL-V</t>
  </si>
  <si>
    <t>15.5 PCO 1881 Rnd Clear MenaBev PP</t>
  </si>
  <si>
    <t>PRT  REL</t>
  </si>
  <si>
    <t>IMP02 CYCT 11.5 96 CAV 30052 PER HR</t>
  </si>
  <si>
    <t>INTRA VIS Preform Sorting Machine</t>
  </si>
  <si>
    <t>3100008760</t>
  </si>
  <si>
    <t>15.5 PCO 1881 Rnd Clear MenaBev PP</t>
  </si>
  <si>
    <t>PRT  REL</t>
  </si>
  <si>
    <t>IMP02 CYCT 11.5 96 CAV 30052 PER HR</t>
  </si>
  <si>
    <t>INTRA VIS Preform Sorting Machine</t>
  </si>
  <si>
    <t>3100008761</t>
  </si>
  <si>
    <t>Plain Self Adhes W105XH165mm–BOPP 1000/R</t>
  </si>
  <si>
    <t>PRT  REL</t>
  </si>
  <si>
    <t>IMP02 CYCT 11 96 CAVITY 31418 PC PER HR</t>
  </si>
  <si>
    <t>IMD VISTA Sorting Machine</t>
  </si>
  <si>
    <t>PET Clear Preform For Grinding</t>
  </si>
  <si>
    <t>PRT  REL</t>
  </si>
  <si>
    <t>IMP02 CYCT 11 96 CAVITY 31418 PC PER HR</t>
  </si>
  <si>
    <t>IMD VISTA Sorting Machine</t>
  </si>
  <si>
    <t>13.5 BC38mm 3 Rnd Clear OJ/C(p plt</t>
  </si>
  <si>
    <t>PRT  REL</t>
  </si>
  <si>
    <t>IMP02 CYCT 11 96 CAVITY 31418 PC PER HR</t>
  </si>
  <si>
    <t>IMD VISTA Sorting Machine</t>
  </si>
  <si>
    <t>3100008762</t>
  </si>
  <si>
    <t>Plain Self Adhes W105XH165mm–BOPP 1000/R</t>
  </si>
  <si>
    <t>PRT  REL</t>
  </si>
  <si>
    <t>IM01 CYCT 9.68 72 CAVITY 26777 PC PER HR</t>
  </si>
  <si>
    <t>IMD VISTA Sorting Machine</t>
  </si>
  <si>
    <t>12.7 BC38mm 3 ECO White Steel c.</t>
  </si>
  <si>
    <t>PRT  REL</t>
  </si>
  <si>
    <t>IM01 CYCT 9.68 72 CAVITY 26777 PC PER HR</t>
  </si>
  <si>
    <t>IMD VISTA Sorting Machine</t>
  </si>
  <si>
    <t>3100008763</t>
  </si>
  <si>
    <t>CARTON BOX-60 X 50 X 41.5 CM 704 GSM</t>
  </si>
  <si>
    <t>PRT  REL</t>
  </si>
  <si>
    <t>ENGEL1 CYCT 3.7 CAVITY 72 70054 PCS</t>
  </si>
  <si>
    <t>IMD VISTA Sorting Machine</t>
  </si>
  <si>
    <t>Transparent Tape roll 2'' wide 45mic</t>
  </si>
  <si>
    <t>PRT  REL</t>
  </si>
  <si>
    <t>ENGEL1 CYCT 3.7 CAVITY 72 70054 PCS</t>
  </si>
  <si>
    <t>IMD VISTA Sorting Machine</t>
  </si>
  <si>
    <t>Plain Self Adhes W105XH165mm–BOPP 1000/R</t>
  </si>
  <si>
    <t>PRT  REL</t>
  </si>
  <si>
    <t>ENGEL1 CYCT 3.7 CAVITY 72 70054 PCS</t>
  </si>
  <si>
    <t>IMD VISTA Sorting Machine</t>
  </si>
  <si>
    <t>Nova Atlas Label No.12 105X48MM A4</t>
  </si>
  <si>
    <t>PRT  REL</t>
  </si>
  <si>
    <t>ENGEL1 CYCT 3.7 CAVITY 72 70054 PCS</t>
  </si>
  <si>
    <t>IMD VISTA Sorting Machine</t>
  </si>
  <si>
    <t>P.E.BAGS CLEAR 120 X 61 CM</t>
  </si>
  <si>
    <t>PRT  REL</t>
  </si>
  <si>
    <t>ENGEL1 CYCT 3.7 CAVITY 72 70054 PCS</t>
  </si>
  <si>
    <t>IMD VISTA Sorting Machine</t>
  </si>
  <si>
    <t>P.E Bags (160x130)x50cm Th 40mic- Jomih</t>
  </si>
  <si>
    <t>PRT  REL</t>
  </si>
  <si>
    <t>ENGEL1 CYCT 3.7 CAVITY 72 70054 PCS</t>
  </si>
  <si>
    <t>IMD VISTA Sorting Machine</t>
  </si>
  <si>
    <t>St. Film [1.2K.g] 17micx500mmx1500 (Bio)</t>
  </si>
  <si>
    <t>PRT  REL</t>
  </si>
  <si>
    <t>ENGEL1 CYCT 3.7 CAVITY 72 70054 PCS</t>
  </si>
  <si>
    <t>IMD VISTA Sorting Machine</t>
  </si>
  <si>
    <t>PE Caps Scrap</t>
  </si>
  <si>
    <t>PRT  REL</t>
  </si>
  <si>
    <t>ENGEL1 CYCT 3.7 CAVITY 72 70054 PCS</t>
  </si>
  <si>
    <t>IMD VISTA Sorting Machine</t>
  </si>
  <si>
    <t>Honeywell Intermec Ribbon 110*450</t>
  </si>
  <si>
    <t>PRT  REL</t>
  </si>
  <si>
    <t>ENGEL1 CYCT 3.7 CAVITY 72 70054 PCS</t>
  </si>
  <si>
    <t>IMD VISTA Sorting Machine</t>
  </si>
  <si>
    <t>29/25 1.27g CAP TP Nova Blue (=2%)-WP</t>
  </si>
  <si>
    <t>PRT  REL</t>
  </si>
  <si>
    <t>ENGEL1 CYCT 3.7 CAVITY 72 70054 PCS</t>
  </si>
  <si>
    <t>IMD VISTA Sorting Machine</t>
  </si>
  <si>
    <t>3100008764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</si>
  <si>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</si>
  <si>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</si>
  <si>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</si>
  <si>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</si>
  <si>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</si>
  <si>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</si>
  <si>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</si>
  <si>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</si>
  <si>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</si>
  <si>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</si>
  <si>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</si>
  <si>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</si>
  <si>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3100008765</t>
  </si>
  <si>
    <t>12.7 BC38mm 3 ECO White Steel c.</t>
  </si>
  <si>
    <t>PRT  REL</t>
  </si>
  <si>
    <t>IM01 CYCT 9.68 72 CAVITY 26777 PC PER HR</t>
  </si>
  <si>
    <t>IMD VISTA Sorting Machine</t>
  </si>
  <si>
    <t>3100008766</t>
  </si>
  <si>
    <t>Plain Self Adhes W105XH165mm–BOPP 1000/R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</si>
  <si>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</si>
  <si>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</si>
  <si>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</si>
  <si>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</si>
  <si>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</si>
  <si>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</si>
  <si>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</si>
  <si>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3100008767</t>
  </si>
  <si>
    <t>45.0PCO 1881 ICI Green RPET Mena Bev</t>
  </si>
  <si>
    <t>PRT  REL</t>
  </si>
  <si>
    <t>IMD VISTA Sorting Machine</t>
  </si>
  <si>
    <t>3100008768</t>
  </si>
  <si>
    <t>45.0PCO 1881 ICI Green RPET Mena Bev</t>
  </si>
  <si>
    <t>PRT  REL</t>
  </si>
  <si>
    <t>IMD VISTA Sorting Machine</t>
  </si>
  <si>
    <t>3100008769</t>
  </si>
  <si>
    <t>Plain Self Adhes W105XH165mm–BOPP 1000/R</t>
  </si>
  <si>
    <t>PRT  REL</t>
  </si>
  <si>
    <t>IMP07 CYCT 12 72CAVITY 21600 PC PER HR</t>
  </si>
  <si>
    <t>INTRA VIS Preform Sorting Machine</t>
  </si>
  <si>
    <t>18.0 BC38mm 3 Rnd Clear Steel C</t>
  </si>
  <si>
    <t>PRT  REL</t>
  </si>
  <si>
    <t>IMP07 CYCT 12 72CAVITY 21600 PC PER HR</t>
  </si>
  <si>
    <t>INTRA VIS Preform Sorting Machine</t>
  </si>
  <si>
    <t>3100008770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</si>
  <si>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</si>
  <si>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</si>
  <si>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</si>
  <si>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</si>
  <si>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</si>
  <si>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</si>
  <si>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</si>
  <si>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</si>
  <si>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</si>
  <si>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</si>
  <si>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</si>
  <si>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</si>
  <si>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3100008771</t>
  </si>
  <si>
    <t>Plain Self Adhes W105XH165mm–BOPP 1000/R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</si>
  <si>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</si>
  <si>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</si>
  <si>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</si>
  <si>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</si>
  <si>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</si>
  <si>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</si>
  <si>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</si>
  <si>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3100008772</t>
  </si>
  <si>
    <t>16.7 PCO 1881 Rnd Clear J/C(W plt</t>
  </si>
  <si>
    <t>PRT  REL</t>
  </si>
  <si>
    <t>IMP24 CYCT 11.5 96 CAV 30052 PER HR</t>
  </si>
  <si>
    <t>IMD VISTA Sorting Machine</t>
  </si>
  <si>
    <t>3100008773</t>
  </si>
  <si>
    <t>Plain Self Adhes W105XH165mm–BOPP 1000/R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</si>
  <si>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</si>
  <si>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</si>
  <si>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</si>
  <si>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</si>
  <si>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</si>
  <si>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</si>
  <si>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</si>
  <si>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3100008774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</si>
  <si>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</si>
  <si>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</si>
  <si>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</si>
  <si>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</si>
  <si>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</si>
  <si>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</si>
  <si>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</si>
  <si>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</si>
  <si>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</si>
  <si>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</si>
  <si>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</si>
  <si>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</si>
  <si>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3100008775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</si>
  <si>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</si>
  <si>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</si>
  <si>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</si>
  <si>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</si>
  <si>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</si>
  <si>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</si>
  <si>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</si>
  <si>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</si>
  <si>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</si>
  <si>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</si>
  <si>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</si>
  <si>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</si>
  <si>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3100008776</t>
  </si>
  <si>
    <t>26.6TO29/25Rnd Nova Blue "Reliance"</t>
  </si>
  <si>
    <t>PRT  REL</t>
  </si>
  <si>
    <t>IMP12 CYCT 15.6 96 CAVITY 25600pc</t>
  </si>
  <si>
    <t>IMD VISTA Sorting Machine</t>
  </si>
  <si>
    <t>3100008777</t>
  </si>
  <si>
    <t>45.0 PCO 1881 ICI Green J/C(P Plt - SIPA</t>
  </si>
  <si>
    <t>PRT  REL</t>
  </si>
  <si>
    <t>IMPS07 CYT 17.3 144 CAV 29965 PC PER HR</t>
  </si>
  <si>
    <t>IMD VISTA Sorting Machine</t>
  </si>
  <si>
    <t>3100008778</t>
  </si>
  <si>
    <t>30.5 PCO 1881Rnd CLR J/C(PP JOM HDG-SIPA</t>
  </si>
  <si>
    <t>PRT  REL</t>
  </si>
  <si>
    <t>IMPS06 CYCT 15 CAV 180  PCS PER HR 43200</t>
  </si>
  <si>
    <t>IMD VISTA Sorting Machine</t>
  </si>
  <si>
    <t>3100008779</t>
  </si>
  <si>
    <t>30.5 PCO 1881Rnd CLR J/C(PP JOM HDG-SIPA</t>
  </si>
  <si>
    <t>PRT  REL</t>
  </si>
  <si>
    <t>IMPS06 CYCT 15 CAV 180  PCS PER HR 43200</t>
  </si>
  <si>
    <t>IMD VISTA Sorting Machine</t>
  </si>
  <si>
    <t>3100008780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</si>
  <si>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</si>
  <si>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</si>
  <si>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</si>
  <si>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</si>
  <si>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</si>
  <si>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</si>
  <si>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</si>
  <si>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</si>
  <si>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3100008781</t>
  </si>
  <si>
    <t>Plain Self Adhes W105XH165mm–BOPP 1000/R</t>
  </si>
  <si>
    <t>PRT  REL</t>
  </si>
  <si>
    <t>IMP12 CYCT 15.6 96 CAVITY 22153 PC</t>
  </si>
  <si>
    <t>IMD VISTA Sorting Machine</t>
  </si>
  <si>
    <t>26.6 29/25 Rnd Clear J/C(W Plt</t>
  </si>
  <si>
    <t>PRT  REL</t>
  </si>
  <si>
    <t>IMP12 CYCT 15.6 96 CAVITY 22153 PC</t>
  </si>
  <si>
    <t>IMD VISTA Sorting Machine</t>
  </si>
  <si>
    <t>3100008782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</si>
  <si>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</si>
  <si>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</si>
  <si>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</si>
  <si>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</si>
  <si>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</si>
  <si>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</si>
  <si>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</si>
  <si>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</si>
  <si>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3100008783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</si>
  <si>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</si>
  <si>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</si>
  <si>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</si>
  <si>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</si>
  <si>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</si>
  <si>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</si>
  <si>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</si>
  <si>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</si>
  <si>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45.0 PCO 1881 Rnd ICI Green Mena Bev</t>
  </si>
  <si>
    <t>PRT  REL</t>
  </si>
  <si>
    <t>RW01 IMD VISTA Sorting Machine</t>
  </si>
  <si>
    <t>IMD VISTA Sorting Machine</t>
  </si>
  <si>
    <t>3100008784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</si>
  <si>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</si>
  <si>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</si>
  <si>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</si>
  <si>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</si>
  <si>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</si>
  <si>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</si>
  <si>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</si>
  <si>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</si>
  <si>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3100008785</t>
  </si>
  <si>
    <t>52.0 BC 38mm 3 Rnd Clear OJ/C(W plt</t>
  </si>
  <si>
    <t>DLT  PRT  REL</t>
  </si>
  <si>
    <t>IMP01 CYCT 18.5 96CAVITY 18682 PC PER HR</t>
  </si>
  <si>
    <t>IMD VISTA Sorting Machine</t>
  </si>
  <si>
    <t>PET Clear Preform For Grinding</t>
  </si>
  <si>
    <t>IMP01 CYCT 18.5 96CAVITY 18682 PC PER HR</t>
  </si>
  <si>
    <t>IMD VISTA Sorting Machine</t>
  </si>
  <si>
    <t>52.0 BC 38mm 3 Rnd Clear OJ/C(W plt</t>
  </si>
  <si>
    <t>IMP01 CYCT 18.5 96CAVITY 18682 PC PER HR</t>
  </si>
  <si>
    <t>IMD VISTA Sorting Machine</t>
  </si>
  <si>
    <t>3100008786</t>
  </si>
  <si>
    <t>30.5 PCO 1881 Rnd Clear J/C(W plt-SIPA</t>
  </si>
  <si>
    <t>PRT  REL</t>
  </si>
  <si>
    <t>IMPS06 CYCT 15 CAV 180  PCS PER HR 43200</t>
  </si>
  <si>
    <t>IMD VISTA Sorting Machine</t>
  </si>
  <si>
    <t>3100008787</t>
  </si>
  <si>
    <t>30.5 PCO 1881 Rnd Clear J/C(W plt-SIPA</t>
  </si>
  <si>
    <t>PRT  REL</t>
  </si>
  <si>
    <t>IMPS06 CYCT 15 CAV 180  PCS PER HR 43200</t>
  </si>
  <si>
    <t>IMD VISTA Sorting Machine</t>
  </si>
  <si>
    <t>3100008788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</si>
  <si>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</si>
  <si>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</si>
  <si>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</si>
  <si>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</si>
  <si>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</si>
  <si>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</si>
  <si>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</si>
  <si>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</si>
  <si>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3100008789</t>
  </si>
  <si>
    <t>Plain Self Adhes W105XH165mm–BOPP 1000/R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</si>
  <si>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</si>
  <si>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</si>
  <si>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</si>
  <si>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</si>
  <si>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</si>
  <si>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</si>
  <si>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</si>
  <si>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3100008790</t>
  </si>
  <si>
    <t>Wooden Pallets Good cond.L120xW100xH15cm</t>
  </si>
  <si>
    <t>PRT  REL</t>
  </si>
  <si>
    <t>IMP01 CYCT 18.5 96CAVITY 18682 PC PER HR</t>
  </si>
  <si>
    <t>INTRA VIS Preform Sorting Machine</t>
  </si>
  <si>
    <t>52.0 BC38mm 3 Rnd Clear J/C(P Plt</t>
  </si>
  <si>
    <t>PRT  REL</t>
  </si>
  <si>
    <t>IMP01 CYCT 18.5 96CAVITY 18682 PC PER HR</t>
  </si>
  <si>
    <t>INTRA VIS Preform Sorting Machine</t>
  </si>
  <si>
    <t>3100008791</t>
  </si>
  <si>
    <t>CARTON EXPT L593 X W393 X H456 mm-BC799</t>
  </si>
  <si>
    <t>PRT  REL</t>
  </si>
  <si>
    <t>IMPS07 CYT 17.3 144 CAV 29965 PC PER HR</t>
  </si>
  <si>
    <t>INTRA VIS Preform Sorting Machine</t>
  </si>
  <si>
    <t>P.E.BAGS CLEAR 120 X 61 CM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</si>
  <si>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</si>
  <si>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</si>
  <si>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</si>
  <si>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</si>
  <si>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</si>
  <si>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</si>
  <si>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</si>
  <si>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3100008792</t>
  </si>
  <si>
    <t>26.6TO29/25Rnd'ALM'BLUE J/C(PP-HDG)</t>
  </si>
  <si>
    <t>PRT  REL</t>
  </si>
  <si>
    <t>IMP12 CYCT 13.3 96 CAVITY 25984 PC</t>
  </si>
  <si>
    <t>IMD VISTA Sorting Machine</t>
  </si>
  <si>
    <t>3100008793</t>
  </si>
  <si>
    <t>45.0 PCO 1881 Rnd ICI Green Mena Bev</t>
  </si>
  <si>
    <t>PRT  REL</t>
  </si>
  <si>
    <t>IMD VISTA Sorting Machine</t>
  </si>
  <si>
    <t>3100008794</t>
  </si>
  <si>
    <t>8.30TO LW 29/25Rd L.Blue J/C(W plt)-SIPA</t>
  </si>
  <si>
    <t>PRT  REL</t>
  </si>
  <si>
    <t>IMPS04 CYT 6.50 180 CAV 99694 pcs</t>
  </si>
  <si>
    <t>INTRA VIS Preform Sorting Machine</t>
  </si>
  <si>
    <t>PET Blue Preform For Grinding</t>
  </si>
  <si>
    <t>PRT  REL</t>
  </si>
  <si>
    <t>IMPS04 CYT 6.50 180 CAV 99694 pcs</t>
  </si>
  <si>
    <t>INTRA VIS Preform Sorting Machine</t>
  </si>
  <si>
    <t>Plain Self Adhes W105XH165mm–BOPP 1000/R</t>
  </si>
  <si>
    <t>PRT  REL</t>
  </si>
  <si>
    <t>IMPS04 CYT 6.50 180 CAV 99694 pcs</t>
  </si>
  <si>
    <t>INTRA VIS Preform Sorting Machine</t>
  </si>
  <si>
    <t>Transparent Tape roll 2'' wide 45mic</t>
  </si>
  <si>
    <t>PRT  REL</t>
  </si>
  <si>
    <t>IMPS04 CYT 6.50 180 CAV 99694 pcs</t>
  </si>
  <si>
    <t>INTRA VIS Preform Sorting Machine</t>
  </si>
  <si>
    <t>Nylon Cable Tie – CV-200B-Black(100 pcs)</t>
  </si>
  <si>
    <t>PRT  REL</t>
  </si>
  <si>
    <t>IMPS04 CYT 6.50 180 CAV 99694 pcs</t>
  </si>
  <si>
    <t>INTRA VIS Preform Sorting Machine</t>
  </si>
  <si>
    <t>PET Green strapping ROL 2500m-12.5x0.6mm</t>
  </si>
  <si>
    <t>PRT  REL</t>
  </si>
  <si>
    <t>IMPS04 CYT 6.50 180 CAV 99694 pcs</t>
  </si>
  <si>
    <t>INTRA VIS Preform Sorting Machine</t>
  </si>
  <si>
    <t>P.E.BAG CLEAR-L265XW130+50cm -335g/30mic</t>
  </si>
  <si>
    <t>PRT  REL</t>
  </si>
  <si>
    <t>IMPS04 CYT 6.50 180 CAV 99694 pcs</t>
  </si>
  <si>
    <t>INTRA VIS Preform Sorting Machine</t>
  </si>
  <si>
    <t>P.E Bags (160x130)x50cm Th 40mic- Jomih</t>
  </si>
  <si>
    <t>PRT  REL</t>
  </si>
  <si>
    <t>IMPS04 CYT 6.50 180 CAV 99694 pcs</t>
  </si>
  <si>
    <t>INTRA VIS Preform Sorting Machine</t>
  </si>
  <si>
    <t>J/C Top Cover (L121XW102XH15)mm- 735gsm</t>
  </si>
  <si>
    <t>IMPS04 CYT 6.50 180 CAV 99694 pcs</t>
  </si>
  <si>
    <t>INTRA VIS Preform Sorting Machine</t>
  </si>
  <si>
    <t>Returned from Customer JUMBO CTN</t>
  </si>
  <si>
    <t>IMPS04 CYT 6.50 180 CAV 99694 pcs</t>
  </si>
  <si>
    <t>INTRA VIS Preform Sorting Machine</t>
  </si>
  <si>
    <t>3100008795</t>
  </si>
  <si>
    <t>45.0 PCO 1881 ICI Green J/C(P Plt - SIPA</t>
  </si>
  <si>
    <t>PRT  REL</t>
  </si>
  <si>
    <t>IMPS07 CYT 17.3 144 CAV 29965 PC PER HR</t>
  </si>
  <si>
    <t>INTRA VIS Preform Sorting Machine</t>
  </si>
  <si>
    <t>PET Green Preform For Grinding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</si>
  <si>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</si>
  <si>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</si>
  <si>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</si>
  <si>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</si>
  <si>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</si>
  <si>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</si>
  <si>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</si>
  <si>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</si>
  <si>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</si>
  <si>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</si>
  <si>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</si>
  <si>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</si>
  <si>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</si>
  <si>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</si>
  <si>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</si>
  <si>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3100008796</t>
  </si>
  <si>
    <t>45.0 PCO 1881 Rnd ICI Green Mena Bev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</si>
  <si>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</si>
  <si>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</si>
  <si>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</si>
  <si>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</si>
  <si>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</si>
  <si>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</si>
  <si>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</si>
  <si>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</si>
  <si>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</si>
  <si>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</si>
  <si>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</si>
  <si>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</si>
  <si>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</si>
  <si>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</si>
  <si>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</si>
  <si>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3100008797</t>
  </si>
  <si>
    <t>30.5 PCO 1881 Rnd Clear J/C(W plt-SIPA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</si>
  <si>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</si>
  <si>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</si>
  <si>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</si>
  <si>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</si>
  <si>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</si>
  <si>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</si>
  <si>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</si>
  <si>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</si>
  <si>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</si>
  <si>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</si>
  <si>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</si>
  <si>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</si>
  <si>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</si>
  <si>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</si>
  <si>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</si>
  <si>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3100008798</t>
  </si>
  <si>
    <t>30.5 PCO 1881Rnd CLR J/C(PP JOM HDG-SIPA</t>
  </si>
  <si>
    <t>PRT  REL</t>
  </si>
  <si>
    <t>IMPS06 CYCT 15 CAV 180  PCS PER HR 43200</t>
  </si>
  <si>
    <t>INTRA VIS Preform Sorting Machine</t>
  </si>
  <si>
    <t>3100008799</t>
  </si>
  <si>
    <t>30.5 PCO 1881 Rnd CLR Mena Bev Spec-SIPA</t>
  </si>
  <si>
    <t>PRT  REL</t>
  </si>
  <si>
    <t>IMPS06 CYCT 15 CAV 180  PCS PER HR 43200</t>
  </si>
  <si>
    <t>INTRA VIS Preform Sorting Machine</t>
  </si>
  <si>
    <t>PET Clear Preform For Grinding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</si>
  <si>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</si>
  <si>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</si>
  <si>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</si>
  <si>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</si>
  <si>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</si>
  <si>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</si>
  <si>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</si>
  <si>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</si>
  <si>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</si>
  <si>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</si>
  <si>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</si>
  <si>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</si>
  <si>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</si>
  <si>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</si>
  <si>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</si>
  <si>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3100008800</t>
  </si>
  <si>
    <t>26.6 TO 29/25 Rnd Clear J/C(P Plt</t>
  </si>
  <si>
    <t>PRT  REL</t>
  </si>
  <si>
    <t>IMP12 CYCT 15.6 96 CAVITY 22153 PC</t>
  </si>
  <si>
    <t>INTRA VIS Preform Sorting Machine</t>
  </si>
  <si>
    <t>3100008801</t>
  </si>
  <si>
    <t>8.30TO LW 29/25Rd L.Blue J/C(W plt)-SIPA</t>
  </si>
  <si>
    <t>PRT  REL</t>
  </si>
  <si>
    <t>IMPS04 CYT 6.50 180 CAV 99694 pcs</t>
  </si>
  <si>
    <t>IMD VISTA Sorting Machine</t>
  </si>
  <si>
    <t>PET Blue Preform For Grinding</t>
  </si>
  <si>
    <t>PRT  REL</t>
  </si>
  <si>
    <t>IMPS04 CYT 6.50 180 CAV 99694 pcs</t>
  </si>
  <si>
    <t>IMD VISTA Sorting Machine</t>
  </si>
  <si>
    <t>3100008802</t>
  </si>
  <si>
    <t>26.6TO29/25Rnd'ALM'BLUE J/C(PP-HDG)</t>
  </si>
  <si>
    <t>PRT  REL</t>
  </si>
  <si>
    <t>IMP12 CYCT 13.3 96 CAVITY 25984 PC</t>
  </si>
  <si>
    <t>INTRA VIS Preform Sorting Machine</t>
  </si>
  <si>
    <t>3100008803</t>
  </si>
  <si>
    <t>Plain Self Adhes W105XH165mm–BOPP 1000/R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</si>
  <si>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</si>
  <si>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</si>
  <si>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</si>
  <si>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</si>
  <si>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</si>
  <si>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</si>
  <si>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</si>
  <si>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3100008804</t>
  </si>
  <si>
    <t>26.6 TO 29/25 Rnd Clear J/C(P Plt</t>
  </si>
  <si>
    <t>PRT  REL</t>
  </si>
  <si>
    <t>IMP12 CYCT 15.6 96 CAVITY 22153 PC</t>
  </si>
  <si>
    <t>IMD VISTA Sorting Machine</t>
  </si>
  <si>
    <t>3100008805</t>
  </si>
  <si>
    <t>11.5TO29/25Rnd'ALM'BLUE J/C(PP-SIPA-HDG</t>
  </si>
  <si>
    <t>PRT  REL</t>
  </si>
  <si>
    <t>IMPS05 CYT 7.1 180 CAV 91267 PC PER HR</t>
  </si>
  <si>
    <t>INTRA VIS Preform Sorting Machine</t>
  </si>
  <si>
    <t>Plain Self Adhes W105XH165mm–BOPP 1000/R</t>
  </si>
  <si>
    <t>PRT  REL</t>
  </si>
  <si>
    <t>IMPS05 CYT 7.1 180 CAV 91267 PC PER HR</t>
  </si>
  <si>
    <t>INTRA VIS Preform Sorting Machine</t>
  </si>
  <si>
    <t>Transparent Tape roll 2'' wide 45mic</t>
  </si>
  <si>
    <t>PRT  REL</t>
  </si>
  <si>
    <t>IMPS05 CYT 7.1 180 CAV 91267 PC PER HR</t>
  </si>
  <si>
    <t>INTRA VIS Preform Sorting Machine</t>
  </si>
  <si>
    <t>Nylon Cable Tie – CV-200B-Black(100 pcs)</t>
  </si>
  <si>
    <t>PRT  REL</t>
  </si>
  <si>
    <t>IMPS05 CYT 7.1 180 CAV 91267 PC PER HR</t>
  </si>
  <si>
    <t>INTRA VIS Preform Sorting Machine</t>
  </si>
  <si>
    <t>3100008806</t>
  </si>
  <si>
    <t>9.4 TO29/25Rnd NovaBlue-PET"Reliance"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</si>
  <si>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</si>
  <si>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</si>
  <si>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</si>
  <si>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</si>
  <si>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</si>
  <si>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</si>
  <si>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</si>
  <si>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Plain Self Adhes W105XH165mm–BOPP 1000/R</t>
  </si>
  <si>
    <t>PRT  REL</t>
  </si>
  <si>
    <t>IMPS01 CYT 6.8 180 CAV 95294 PC PER HR</t>
  </si>
  <si>
    <t>INTRA VIS Preform Sorting Machine</t>
  </si>
  <si>
    <t>Transparent Tape roll 2'' wide 45mic</t>
  </si>
  <si>
    <t>PRT  REL</t>
  </si>
  <si>
    <t>IMPS01 CYT 6.8 180 CAV 95294 PC PER HR</t>
  </si>
  <si>
    <t>INTRA VIS Preform Sorting Machine</t>
  </si>
  <si>
    <t>Nylon Cable Tie – CV-200B-Black(100 pcs)</t>
  </si>
  <si>
    <t>PRT  REL</t>
  </si>
  <si>
    <t>IMPS01 CYT 6.8 180 CAV 95294 PC PER HR</t>
  </si>
  <si>
    <t>INTRA VIS Preform Sorting Machine</t>
  </si>
  <si>
    <t>3100008807</t>
  </si>
  <si>
    <t>26.6TO29/25Rnd Nova Blue "Reliance"</t>
  </si>
  <si>
    <t>PRT  REL</t>
  </si>
  <si>
    <t>IMP12 CYCT 15.6 96 CAVITY 25600pc</t>
  </si>
  <si>
    <t>IMD VISTA Sorting Machine</t>
  </si>
  <si>
    <t>Plain Self Adhes W105XH165mm–BOPP 1000/R</t>
  </si>
  <si>
    <t>PRT  REL</t>
  </si>
  <si>
    <t>IMP12 CYCT 15.6 96 CAVITY 25600pc</t>
  </si>
  <si>
    <t>IMD VISTA Sorting Machine</t>
  </si>
  <si>
    <t>Transparent Tape roll 2'' wide 45mic</t>
  </si>
  <si>
    <t>PRT  REL</t>
  </si>
  <si>
    <t>IMP12 CYCT 15.6 96 CAVITY 25600pc</t>
  </si>
  <si>
    <t>IMD VISTA Sorting Machine</t>
  </si>
  <si>
    <t>Nylon Cable Tie – CV-200B-Black(100 pcs)</t>
  </si>
  <si>
    <t>PRT  REL</t>
  </si>
  <si>
    <t>IMP12 CYCT 15.6 96 CAVITY 25600pc</t>
  </si>
  <si>
    <t>IMD VISTA Sorting Machine</t>
  </si>
  <si>
    <t>3100008808</t>
  </si>
  <si>
    <t>30.5PCO1881RndICI GreenMenaBev Spec-SIPA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</si>
  <si>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</si>
  <si>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</si>
  <si>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</si>
  <si>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</si>
  <si>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</si>
  <si>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</si>
  <si>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</si>
  <si>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</si>
  <si>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</si>
  <si>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</si>
  <si>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</si>
  <si>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</si>
  <si>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</si>
  <si>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</si>
  <si>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</si>
  <si>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3100008809</t>
  </si>
  <si>
    <t>30.5PCO1881 ICI GreenJ/C(PP AQS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</si>
  <si>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</si>
  <si>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</si>
  <si>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</si>
  <si>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</si>
  <si>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</si>
  <si>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</si>
  <si>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</si>
  <si>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</si>
  <si>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</si>
  <si>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</si>
  <si>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</si>
  <si>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</si>
  <si>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</si>
  <si>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</si>
  <si>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</si>
  <si>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3100008810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</si>
  <si>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</si>
  <si>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</si>
  <si>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</si>
  <si>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</si>
  <si>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</si>
  <si>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</si>
  <si>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</si>
  <si>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</si>
  <si>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</si>
  <si>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</si>
  <si>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</si>
  <si>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</si>
  <si>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</si>
  <si>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</si>
  <si>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</si>
  <si>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</si>
  <si>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3100008811</t>
  </si>
  <si>
    <t>36.0 BC 38mm 3 Rnd Clear Steel C-(Aujan)</t>
  </si>
  <si>
    <t>PRT  REL</t>
  </si>
  <si>
    <t>IMP12 CYT 16.5 96 CAV 20945 PC PER HR</t>
  </si>
  <si>
    <t>INTRA VIS Preform Sorting Machine</t>
  </si>
  <si>
    <t>Plain Self Adhes W105XH165mm–BOPP 1000/R</t>
  </si>
  <si>
    <t>PRT  REL</t>
  </si>
  <si>
    <t>IMP12 CYT 16.5 96 CAV 20945 PC PER HR</t>
  </si>
  <si>
    <t>INTRA VIS Preform Sorting Machine</t>
  </si>
  <si>
    <t>Transparent Tape roll 2'' wide 45mic</t>
  </si>
  <si>
    <t>PRT  REL</t>
  </si>
  <si>
    <t>IMP12 CYT 16.5 96 CAV 20945 PC PER HR</t>
  </si>
  <si>
    <t>INTRA VIS Preform Sorting Machine</t>
  </si>
  <si>
    <t>Nylon Cable Tie – CV-200B-Black(100 pcs)</t>
  </si>
  <si>
    <t>PRT  REL</t>
  </si>
  <si>
    <t>IMP12 CYT 16.5 96 CAV 20945 PC PER HR</t>
  </si>
  <si>
    <t>INTRA VIS Preform Sorting Machine</t>
  </si>
  <si>
    <t>3100008812</t>
  </si>
  <si>
    <t>Plain Self Adhes W105XH165mm–BOPP 1000/R</t>
  </si>
  <si>
    <t>PRT  REL</t>
  </si>
  <si>
    <t>IMPS01 CYT 6.8 180 CAV 95294 PC PER HR</t>
  </si>
  <si>
    <t>IMD VISTA Sorting Machine</t>
  </si>
  <si>
    <t>Wooden Pallets Good cond.L120xW100xH15cm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</si>
  <si>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</si>
  <si>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</si>
  <si>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</si>
  <si>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</si>
  <si>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</si>
  <si>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</si>
  <si>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</si>
  <si>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TO29/25Rnd NovaBlue-PET"Reliance"</t>
  </si>
  <si>
    <t>PRT  REL</t>
  </si>
  <si>
    <t>IMPS01 CYT 6.8 180 CAV 95294 PC PER HR</t>
  </si>
  <si>
    <t>IMD VISTA Sorting Machine</t>
  </si>
  <si>
    <t>3100008813</t>
  </si>
  <si>
    <t>Plain Self Adhes W105XH165mm–BOPP 1000/R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</si>
  <si>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</si>
  <si>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</si>
  <si>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</si>
  <si>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</si>
  <si>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</si>
  <si>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</si>
  <si>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</si>
  <si>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</si>
  <si>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</si>
  <si>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</si>
  <si>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</si>
  <si>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3100008814</t>
  </si>
  <si>
    <t>Plain Self Adhes W105XH165mm–BOPP 1000/R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</si>
  <si>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</si>
  <si>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</si>
  <si>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</si>
  <si>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</si>
  <si>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</si>
  <si>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</si>
  <si>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</si>
  <si>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3100008815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</si>
  <si>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</si>
  <si>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</si>
  <si>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</si>
  <si>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</si>
  <si>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</si>
  <si>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</si>
  <si>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</si>
  <si>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</si>
  <si>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3100008816</t>
  </si>
  <si>
    <t>Plain Self Adhes W105XH165mm–BOPP 1000/R</t>
  </si>
  <si>
    <t>PRT  REL</t>
  </si>
  <si>
    <t>IMPS04 CYT 6.50 180 CAV 99694 pcs</t>
  </si>
  <si>
    <t>IMD VISTA Sorting Machine</t>
  </si>
  <si>
    <t>8.30TO LW 29/25Rd L.Blue J/C(W plt)-SIPA</t>
  </si>
  <si>
    <t>PRT  REL</t>
  </si>
  <si>
    <t>IMPS04 CYT 6.50 180 CAV 99694 pcs</t>
  </si>
  <si>
    <t>IMD VISTA Sorting Machine</t>
  </si>
  <si>
    <t>3100008817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</si>
  <si>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</si>
  <si>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</si>
  <si>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</si>
  <si>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</si>
  <si>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</si>
  <si>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</si>
  <si>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</si>
  <si>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</si>
  <si>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3100008818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</si>
  <si>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</si>
  <si>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</si>
  <si>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</si>
  <si>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</si>
  <si>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</si>
  <si>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</si>
  <si>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</si>
  <si>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</si>
  <si>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</si>
  <si>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</si>
  <si>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</si>
  <si>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</si>
  <si>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</si>
  <si>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</si>
  <si>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</si>
  <si>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</si>
  <si>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3100008819</t>
  </si>
  <si>
    <t>30.5 PCO 1881 Rnd Clear J/C(W plt-SIPA</t>
  </si>
  <si>
    <t>PRT  REL</t>
  </si>
  <si>
    <t>IMPS06 CYCT 15 CAV 180  PCS PER HR 43200</t>
  </si>
  <si>
    <t>IMD VISTA Sorting Machine</t>
  </si>
  <si>
    <t>3100008820</t>
  </si>
  <si>
    <t>CARTON EXPT L593 X W393 X H456 mm-BC799</t>
  </si>
  <si>
    <t>IMPS06 CYT 12.3 180 CAV 52682 PC PER HR</t>
  </si>
  <si>
    <t>IMD VISTA Sorting Machine</t>
  </si>
  <si>
    <t>22.3PC2RD-G1S-V</t>
  </si>
  <si>
    <t>22.3PCO 1881 Rnd Green MenaBev Spec SIPA</t>
  </si>
  <si>
    <t>IMPS06 CYT 12.3 180 CAV 52682 PC PER HR</t>
  </si>
  <si>
    <t>IMD VISTA Sorting Machine</t>
  </si>
  <si>
    <t>3100008821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</si>
  <si>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</si>
  <si>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</si>
  <si>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</si>
  <si>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</si>
  <si>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</si>
  <si>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</si>
  <si>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</si>
  <si>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</si>
  <si>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3100008822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</si>
  <si>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</si>
  <si>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</si>
  <si>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</si>
  <si>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</si>
  <si>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</si>
  <si>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</si>
  <si>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</si>
  <si>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</si>
  <si>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3100008823</t>
  </si>
  <si>
    <t>26.6 29/25 Rnd Light Blue J/C(W Plt</t>
  </si>
  <si>
    <t>PRT  REL</t>
  </si>
  <si>
    <t>IMP12 CYCT 13.3 96 CAVITY 25984 PC</t>
  </si>
  <si>
    <t>IMD VISTA Sorting Machine</t>
  </si>
  <si>
    <t>3100008824</t>
  </si>
  <si>
    <t>30.5 PCO 1881 Rnd Clear J/C(W plt-SIPA</t>
  </si>
  <si>
    <t>PRT  REL</t>
  </si>
  <si>
    <t>IMPS06 CYCT 15 CAV 180  PCS PER HR 43200</t>
  </si>
  <si>
    <t>IMD VISTA Sorting Machine</t>
  </si>
  <si>
    <t>3100008825</t>
  </si>
  <si>
    <t>30.5 PCO 1881 Rnd Clear J/C(W plt-SIPA</t>
  </si>
  <si>
    <t>PRT  REL</t>
  </si>
  <si>
    <t>IMPS06 CYCT 15 CAV 180  PCS PER HR 43200</t>
  </si>
  <si>
    <t>IMD VISTA Sorting Machine</t>
  </si>
  <si>
    <t>3100008826</t>
  </si>
  <si>
    <t>45.0 PCO 1881 ICI Green J/C(P Plt - SIPA</t>
  </si>
  <si>
    <t>PRT  REL</t>
  </si>
  <si>
    <t>IMPS07 CYT 17.3 144 CAV 29965 PC PER HR</t>
  </si>
  <si>
    <t>IMD VISTA Sorting Machine</t>
  </si>
  <si>
    <t>3100008827</t>
  </si>
  <si>
    <t>Plain Self Adhes W105XH165mm–BOPP 1000/R</t>
  </si>
  <si>
    <t>PRT  REL</t>
  </si>
  <si>
    <t>IMPS03 CYT 6.5 180 CAV 99692 PC PER HR</t>
  </si>
  <si>
    <t>IMD VISTA Sorting Machine</t>
  </si>
  <si>
    <t>7.45TO LW 29/25 L.Blue J/C(WP-SIPA</t>
  </si>
  <si>
    <t>PRT  REL</t>
  </si>
  <si>
    <t>IMPS03 CYT 6.5 180 CAV 99692 PC PER HR</t>
  </si>
  <si>
    <t>IMD VISTA Sorting Machine</t>
  </si>
  <si>
    <t>3100008828</t>
  </si>
  <si>
    <t>52.0 BC 38mm 3 Rnd Clear OJ/C(W plt</t>
  </si>
  <si>
    <t>PRT  REL</t>
  </si>
  <si>
    <t>IMP01 CYCT 18.5 96CAVITY 18682 PC PER HR</t>
  </si>
  <si>
    <t>IMD VISTA Sorting Machine</t>
  </si>
  <si>
    <t>3100008829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</si>
  <si>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</si>
  <si>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</si>
  <si>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</si>
  <si>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</si>
  <si>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</si>
  <si>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</si>
  <si>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</si>
  <si>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</si>
  <si>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3100008830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</si>
  <si>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</si>
  <si>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</si>
  <si>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</si>
  <si>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</si>
  <si>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</si>
  <si>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</si>
  <si>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</si>
  <si>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</si>
  <si>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3100008831</t>
  </si>
  <si>
    <t>52.0 BC 38mm 3 Rnd Clear OJ/C(W plt</t>
  </si>
  <si>
    <t>PRT  REL</t>
  </si>
  <si>
    <t>IMP01 CYCT 18.5 96CAVITY 18682 PC PER HR</t>
  </si>
  <si>
    <t>IMD VISTA Sorting Machine</t>
  </si>
  <si>
    <t>3100008832</t>
  </si>
  <si>
    <t>11.5TO29/25Rnd'ALM'BLUE J/C(PP-SIPA-HDG</t>
  </si>
  <si>
    <t>PRT  REL</t>
  </si>
  <si>
    <t>IMPS05 CYT 7.1 180 CAV 91267 PC PER HR</t>
  </si>
  <si>
    <t>INTRA VIS Preform Sorting Machine</t>
  </si>
  <si>
    <t>3100008833</t>
  </si>
  <si>
    <t>7.45TO29/25Rnd'ALM'BLUE J/C(PP-SIPA)</t>
  </si>
  <si>
    <t>PRT  REL</t>
  </si>
  <si>
    <t>IMPS03 CYT 6.5 180 CAV 99692 PC PER HR</t>
  </si>
  <si>
    <t>INTRA VIS Preform Sorting Machine</t>
  </si>
  <si>
    <t>3100008834</t>
  </si>
  <si>
    <t>30.5PCO1881 ICI GreenJ/C(PP JOM HDG-SIPA</t>
  </si>
  <si>
    <t>PRT  REL</t>
  </si>
  <si>
    <t>IMPS06 CYCT 15 CAV 180  PCS PER HR 43200</t>
  </si>
  <si>
    <t>IMD VISTA Sorting Machine</t>
  </si>
  <si>
    <t>3100008835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</si>
  <si>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</si>
  <si>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</si>
  <si>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</si>
  <si>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</si>
  <si>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</si>
  <si>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</si>
  <si>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</si>
  <si>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</si>
  <si>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3100008836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</si>
  <si>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</si>
  <si>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</si>
  <si>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</si>
  <si>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</si>
  <si>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</si>
  <si>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</si>
  <si>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</si>
  <si>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</si>
  <si>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3100008837</t>
  </si>
  <si>
    <t>52.0 BC38mm 3 Rnd Clear J/C(P Plt</t>
  </si>
  <si>
    <t>PRT  REL</t>
  </si>
  <si>
    <t>IMP01 CYCT 18.5 96CAVITY 18682 PC PER HR</t>
  </si>
  <si>
    <t>IMD VISTA Sorting Machine</t>
  </si>
  <si>
    <t>Plain Self Adhes W105XH165mm–BOPP 1000/R</t>
  </si>
  <si>
    <t>PRT  REL</t>
  </si>
  <si>
    <t>IMP01 CYCT 18.5 96CAVITY 18682 PC PER HR</t>
  </si>
  <si>
    <t>IMD VISTA Sorting Machine</t>
  </si>
  <si>
    <t>Transparent Tape roll 2'' wide 45mic</t>
  </si>
  <si>
    <t>PRT  REL</t>
  </si>
  <si>
    <t>IMP01 CYCT 18.5 96CAVITY 18682 PC PER HR</t>
  </si>
  <si>
    <t>IMD VISTA Sorting Machine</t>
  </si>
  <si>
    <t>Nylon Cable Tie – CV-200B-Black(100 pcs)</t>
  </si>
  <si>
    <t>PRT  REL</t>
  </si>
  <si>
    <t>IMP01 CYCT 18.5 96CAVITY 18682 PC PER HR</t>
  </si>
  <si>
    <t>IMD VISTA Sorting Machine</t>
  </si>
  <si>
    <t>3100008838</t>
  </si>
  <si>
    <t>8.30TO LW 29/25Rd L.Blue J/C(W plt)-SIPA</t>
  </si>
  <si>
    <t>PRT  REL</t>
  </si>
  <si>
    <t>IMPS04 CYT 6.50 180 CAV 99694 pcs</t>
  </si>
  <si>
    <t>IMD VISTA Sorting Machine</t>
  </si>
  <si>
    <t>Plain Self Adhes W105XH165mm–BOPP 1000/R</t>
  </si>
  <si>
    <t>PRT  REL</t>
  </si>
  <si>
    <t>IMPS04 CYT 6.50 180 CAV 99694 pcs</t>
  </si>
  <si>
    <t>IMD VISTA Sorting Machine</t>
  </si>
  <si>
    <t>Transparent Tape roll 2'' wide 45mic</t>
  </si>
  <si>
    <t>PRT  REL</t>
  </si>
  <si>
    <t>IMPS04 CYT 6.50 180 CAV 99694 pcs</t>
  </si>
  <si>
    <t>IMD VISTA Sorting Machine</t>
  </si>
  <si>
    <t>Nylon Cable Tie – CV-200B-Black(100 pcs)</t>
  </si>
  <si>
    <t>PRT  REL</t>
  </si>
  <si>
    <t>IMPS04 CYT 6.50 180 CAV 99694 pcs</t>
  </si>
  <si>
    <t>IMD VISTA Sorting Machine</t>
  </si>
  <si>
    <t>3100008839</t>
  </si>
  <si>
    <t>45.0 PCO 1881 ICI Green J/C(P Plt - SIPA</t>
  </si>
  <si>
    <t>PRT  REL</t>
  </si>
  <si>
    <t>IMPS07 CYT 17.3 144 CAV 29965 PC PER HR</t>
  </si>
  <si>
    <t>INTRA VIS Preform Sorting Machine</t>
  </si>
  <si>
    <t>3100008840</t>
  </si>
  <si>
    <t>30.5PCO 1881 ICI Green RPET Mena Bev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</si>
  <si>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</si>
  <si>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</si>
  <si>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</si>
  <si>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</si>
  <si>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</si>
  <si>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</si>
  <si>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</si>
  <si>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</si>
  <si>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</si>
  <si>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</si>
  <si>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</si>
  <si>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</si>
  <si>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</si>
  <si>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</si>
  <si>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</si>
  <si>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3100008841</t>
  </si>
  <si>
    <t>8.30TOLW29/25 L.Blue(≤2ppm)J/C(W pt-SIPA</t>
  </si>
  <si>
    <t>PRT  REL</t>
  </si>
  <si>
    <t>IMPS04 CYT 6.50 180 CAV 99694 pcs</t>
  </si>
  <si>
    <t>INTRA VIS Preform Sorting Machine</t>
  </si>
  <si>
    <t>3100008842</t>
  </si>
  <si>
    <t>48.0 BC38mm 3 Rnd Clear J/C(W plt</t>
  </si>
  <si>
    <t>PRT  REL</t>
  </si>
  <si>
    <t>IMP12 CYCT 18.2 96 CAV 18989 PC PER HR</t>
  </si>
  <si>
    <t>INTRA VIS Preform Sorting Machine</t>
  </si>
  <si>
    <t>PET Clear Preform For Grinding</t>
  </si>
  <si>
    <t>PRT  REL</t>
  </si>
  <si>
    <t>IMP12 CYCT 18.2 96 CAV 18989 PC PER HR</t>
  </si>
  <si>
    <t>INTRA VIS Preform Sorting Machine</t>
  </si>
  <si>
    <t>3100008843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</si>
  <si>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</si>
  <si>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</si>
  <si>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</si>
  <si>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</si>
  <si>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</si>
  <si>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</si>
  <si>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</si>
  <si>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</si>
  <si>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3100008844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</si>
  <si>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</si>
  <si>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</si>
  <si>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</si>
  <si>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</si>
  <si>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</si>
  <si>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</si>
  <si>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</si>
  <si>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</si>
  <si>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3100008845</t>
  </si>
  <si>
    <t>36.0 BC 38mm 3 Rnd Clear Steel C-(Aujan)</t>
  </si>
  <si>
    <t>PRT  REL</t>
  </si>
  <si>
    <t>IMP12 CYT 16.5 96 CAV 20945 PC PER HR</t>
  </si>
  <si>
    <t>IMD VISTA Sorting Machine</t>
  </si>
  <si>
    <t>3100008846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</si>
  <si>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</si>
  <si>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</si>
  <si>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</si>
  <si>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</si>
  <si>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</si>
  <si>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</si>
  <si>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</si>
  <si>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</si>
  <si>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3100008847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</si>
  <si>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</si>
  <si>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</si>
  <si>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</si>
  <si>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</si>
  <si>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</si>
  <si>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</si>
  <si>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</si>
  <si>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</si>
  <si>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3100008848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</si>
  <si>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</si>
  <si>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</si>
  <si>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</si>
  <si>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</si>
  <si>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</si>
  <si>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</si>
  <si>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</si>
  <si>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</si>
  <si>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3100008849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</si>
  <si>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</si>
  <si>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</si>
  <si>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</si>
  <si>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</si>
  <si>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</si>
  <si>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</si>
  <si>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</si>
  <si>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</si>
  <si>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3100008850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</si>
  <si>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</si>
  <si>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</si>
  <si>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</si>
  <si>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</si>
  <si>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</si>
  <si>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DLT  PRT  REL</t>
  </si>
  <si>
    <t>IMP01 CYCT 18.5 96CAVITY 18682 PC PER HR</t>
  </si>
  <si>
    <t>IMD VISTA Sorting Machine</t>
  </si>
  <si>
    <t>PET Clear Preform For Grinding</t>
  </si>
  <si>
    <t>IMP01 CYCT 18.5 96CAVITY 18682 PC PER HR</t>
  </si>
  <si>
    <t>IMD VISTA Sorting Machine</t>
  </si>
  <si>
    <t>52.0 BC38mm 3 Rnd Clear J/C(P Plt</t>
  </si>
  <si>
    <t>IMP01 CYCT 18.5 96CAVITY 18682 PC PER HR</t>
  </si>
  <si>
    <t>IMD VISTA Sorting Machine</t>
  </si>
  <si>
    <t>3100008851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</si>
  <si>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</si>
  <si>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</si>
  <si>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</si>
  <si>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</si>
  <si>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</si>
  <si>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</si>
  <si>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</si>
  <si>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</si>
  <si>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3100008852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</si>
  <si>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</si>
  <si>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</si>
  <si>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</si>
  <si>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</si>
  <si>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</si>
  <si>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</si>
  <si>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</si>
  <si>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</si>
  <si>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3100008853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</si>
  <si>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</si>
  <si>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</si>
  <si>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</si>
  <si>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</si>
  <si>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</si>
  <si>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</si>
  <si>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</si>
  <si>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</si>
  <si>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3100008854</t>
  </si>
  <si>
    <t>Plain Self Adhes W105XH165mm–BOPP 1000/R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</si>
  <si>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</si>
  <si>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</si>
  <si>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</si>
  <si>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</si>
  <si>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</si>
  <si>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</si>
  <si>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</si>
  <si>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3100008855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</si>
  <si>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</si>
  <si>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</si>
  <si>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</si>
  <si>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</si>
  <si>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</si>
  <si>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</si>
  <si>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</si>
  <si>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</si>
  <si>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3100008856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</si>
  <si>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</si>
  <si>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</si>
  <si>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</si>
  <si>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</si>
  <si>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</si>
  <si>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</si>
  <si>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</si>
  <si>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</si>
  <si>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3100008857</t>
  </si>
  <si>
    <t>Plain Self Adhes W105XH165mm–BOPP 1000/R</t>
  </si>
  <si>
    <t>PRT  REL</t>
  </si>
  <si>
    <t>IMPS01 CYT 6.8 180 CAV 95294 PC PER HR</t>
  </si>
  <si>
    <t>IMD VISTA Sorting Machine</t>
  </si>
  <si>
    <t>9.4 TO29/25Rnd NovaBlue-PET"Reliance"</t>
  </si>
  <si>
    <t>PRT  REL</t>
  </si>
  <si>
    <t>IMPS01 CYT 6.8 180 CAV 95294 PC PER HR</t>
  </si>
  <si>
    <t>IMD VISTA Sorting Machine</t>
  </si>
  <si>
    <t>3100008858</t>
  </si>
  <si>
    <t>Wooden Pallets Good cond.L120xW100xH15cm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</si>
  <si>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</si>
  <si>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</si>
  <si>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</si>
  <si>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</si>
  <si>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</si>
  <si>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</si>
  <si>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</si>
  <si>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3100008859</t>
  </si>
  <si>
    <t>48.0 BC38mm 3 Rnd Clear J/C(W plt</t>
  </si>
  <si>
    <t>PRT  REL</t>
  </si>
  <si>
    <t>IMPS07 CYT 17 128 CAV 27105 PC PER HR</t>
  </si>
  <si>
    <t>IMD VISTA Sorting Machine</t>
  </si>
  <si>
    <t>3100008860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</si>
  <si>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</si>
  <si>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</si>
  <si>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</si>
  <si>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</si>
  <si>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</si>
  <si>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</si>
  <si>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</si>
  <si>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</si>
  <si>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3100008865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</si>
  <si>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</si>
  <si>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</si>
  <si>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</si>
  <si>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</si>
  <si>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</si>
  <si>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</si>
  <si>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</si>
  <si>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</si>
  <si>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3100008866</t>
  </si>
  <si>
    <t>Plain Self Adhes W105XH165mm–BOPP 1000/R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</si>
  <si>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</si>
  <si>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</si>
  <si>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</si>
  <si>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</si>
  <si>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</si>
  <si>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</si>
  <si>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</si>
  <si>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3100008867</t>
  </si>
  <si>
    <t>Plain Self Adhes W105XH165mm–BOPP 1000/R</t>
  </si>
  <si>
    <t>PRT  REL</t>
  </si>
  <si>
    <t>IMPS01 CYT 6.8 180 CAV 95294 PC PER HR</t>
  </si>
  <si>
    <t>INTRA VIS Preform Sorting Machine</t>
  </si>
  <si>
    <t>Wooden Pallets Good cond.L120xW100xH15cm</t>
  </si>
  <si>
    <t>PRT  REL</t>
  </si>
  <si>
    <t>IMPS01 CYT 6.8 180 CAV 95294 PC PER HR</t>
  </si>
  <si>
    <t>INTRA VIS Preform Sorting Machine</t>
  </si>
  <si>
    <t>PET Blue Preform For Grinding</t>
  </si>
  <si>
    <t>PRT  REL</t>
  </si>
  <si>
    <t>IMPS01 CYT 6.8 180 CAV 95294 PC PER HR</t>
  </si>
  <si>
    <t>INTRA VIS Preform Sorting Machine</t>
  </si>
  <si>
    <t>9.4 TO29/25Rnd NovaBlue-PET"Reliance"</t>
  </si>
  <si>
    <t>PRT  REL</t>
  </si>
  <si>
    <t>IMPS01 CYT 6.8 180 CAV 95294 PC PER HR</t>
  </si>
  <si>
    <t>INTRA VIS Preform Sorting Machine</t>
  </si>
  <si>
    <t>3100008868</t>
  </si>
  <si>
    <t>48.0 BC38mm 3 Rnd Clear J/C(W plt</t>
  </si>
  <si>
    <t>PRT  REL</t>
  </si>
  <si>
    <t>IMP12 CYCT 18.2 96 CAV 18989 PC PER HR</t>
  </si>
  <si>
    <t>INTRA VIS Preform Sorting Machine</t>
  </si>
  <si>
    <t>3100008869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</si>
  <si>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</si>
  <si>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</si>
  <si>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</si>
  <si>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</si>
  <si>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</si>
  <si>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</si>
  <si>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</si>
  <si>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</si>
  <si>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3100008870</t>
  </si>
  <si>
    <t>Plain Self Adhes W105XH165mm–BOPP 1000/R</t>
  </si>
  <si>
    <t>PRT  REL</t>
  </si>
  <si>
    <t>IMPS07 CYT 17.3 144 CAV 29965 PC PER HR</t>
  </si>
  <si>
    <t>INTRA VIS Preform Sorting Machine</t>
  </si>
  <si>
    <t>PET Green Preform For Grinding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</si>
  <si>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</si>
  <si>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</si>
  <si>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</si>
  <si>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</si>
  <si>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</si>
  <si>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</si>
  <si>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</si>
  <si>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3100008871</t>
  </si>
  <si>
    <t>Plain Self Adhes W105XH165mm–BOPP 1000/R</t>
  </si>
  <si>
    <t>PRT  REL</t>
  </si>
  <si>
    <t>IMP06 CYCT 18.5 96 CAV 18681 PC PER HR</t>
  </si>
  <si>
    <t>INTRA VIS Preform Sorting Machine</t>
  </si>
  <si>
    <t>PET Clear Preform For Grinding</t>
  </si>
  <si>
    <t>PRT  REL</t>
  </si>
  <si>
    <t>IMP06 CYCT 18.5 96 CAV 18681 PC PER HR</t>
  </si>
  <si>
    <t>INTRA VIS Preform Sorting Machine</t>
  </si>
  <si>
    <t>50.1 PCO 1881 Rnd Clear J/C(P plt</t>
  </si>
  <si>
    <t>PRT  REL</t>
  </si>
  <si>
    <t>IMP06 CYCT 18.5 96 CAV 18681 PC PER HR</t>
  </si>
  <si>
    <t>INTRA VIS Preform Sorting Machine</t>
  </si>
  <si>
    <t>3100008885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</si>
  <si>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</si>
  <si>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</si>
  <si>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</si>
  <si>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</si>
  <si>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</si>
  <si>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</si>
  <si>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</si>
  <si>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</si>
  <si>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</si>
  <si>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</si>
  <si>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</si>
  <si>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</si>
  <si>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</si>
  <si>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</si>
  <si>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</si>
  <si>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</si>
  <si>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3100008886</t>
  </si>
  <si>
    <t>30.5PCO 1881 ICI Green RPET Mena Bev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</si>
  <si>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</si>
  <si>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</si>
  <si>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</si>
  <si>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</si>
  <si>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</si>
  <si>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</si>
  <si>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</si>
  <si>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</si>
  <si>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</si>
  <si>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</si>
  <si>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</si>
  <si>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</si>
  <si>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</si>
  <si>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</si>
  <si>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</si>
  <si>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3100008887</t>
  </si>
  <si>
    <t>30.5PCO 1881Rd Clear RPET Mena Bev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</si>
  <si>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</si>
  <si>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</si>
  <si>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</si>
  <si>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</si>
  <si>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</si>
  <si>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</si>
  <si>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</si>
  <si>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</si>
  <si>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</si>
  <si>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</si>
  <si>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</si>
  <si>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</si>
  <si>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</si>
  <si>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</si>
  <si>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</si>
  <si>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3100008888</t>
  </si>
  <si>
    <t>36.0 BC38mm 3 Rnd Clear OJ/C(W plt</t>
  </si>
  <si>
    <t>PRT  REL</t>
  </si>
  <si>
    <t>IMP12 CYT 16.7 96 CAV 20694 PC PER HR</t>
  </si>
  <si>
    <t>INTRA VIS Preform Sorting Machine</t>
  </si>
  <si>
    <t>Plain Self Adhes W105XH165mm–BOPP 1000/R</t>
  </si>
  <si>
    <t>PRT  REL</t>
  </si>
  <si>
    <t>IMP12 CYT 16.7 96 CAV 20694 PC PER HR</t>
  </si>
  <si>
    <t>INTRA VIS Preform Sorting Machine</t>
  </si>
  <si>
    <t>Transparent Tape roll 2'' wide 45mic</t>
  </si>
  <si>
    <t>PRT  REL</t>
  </si>
  <si>
    <t>IMP12 CYT 16.7 96 CAV 20694 PC PER HR</t>
  </si>
  <si>
    <t>INTRA VIS Preform Sorting Machine</t>
  </si>
  <si>
    <t>Nylon Cable Tie – CV-200B-Black(100 pcs)</t>
  </si>
  <si>
    <t>PRT  REL</t>
  </si>
  <si>
    <t>IMP12 CYT 16.7 96 CAV 20694 PC PER HR</t>
  </si>
  <si>
    <t>INTRA VIS Preform Sorting Machine</t>
  </si>
  <si>
    <t>PET Clear Preform For Grinding</t>
  </si>
  <si>
    <t>PRT  REL</t>
  </si>
  <si>
    <t>IMP12 CYT 16.7 96 CAV 20694 PC PER HR</t>
  </si>
  <si>
    <t>INTRA VIS Preform Sorting Machine</t>
  </si>
  <si>
    <t>3100008889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</si>
  <si>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</si>
  <si>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</si>
  <si>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</si>
  <si>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</si>
  <si>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</si>
  <si>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</si>
  <si>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</si>
  <si>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</si>
  <si>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3100008890</t>
  </si>
  <si>
    <t>52.0 BC38mm 3 Rnd Clear J/C(P Plt</t>
  </si>
  <si>
    <t>PRT  REL</t>
  </si>
  <si>
    <t>IMP01 CYCT 18.5 96CAVITY 18682 PC PER HR</t>
  </si>
  <si>
    <t>IMD VISTA Sorting Machine</t>
  </si>
  <si>
    <t>3100008891</t>
  </si>
  <si>
    <t>Plain Self Adhes W105XH165mm–BOPP 1000/R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</si>
  <si>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</si>
  <si>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</si>
  <si>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</si>
  <si>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</si>
  <si>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</si>
  <si>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</si>
  <si>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</si>
  <si>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36.0 BC 38mm 3 Rnd Clear Steel C-(Aujan)</t>
  </si>
  <si>
    <t>PRT  REL</t>
  </si>
  <si>
    <t>IMP12 CYT 16.5 96 CAV 20945 PC PER HR</t>
  </si>
  <si>
    <t>IMD VISTA Sorting Machine</t>
  </si>
  <si>
    <t>3100008892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</si>
  <si>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</si>
  <si>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</si>
  <si>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</si>
  <si>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</si>
  <si>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</si>
  <si>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</si>
  <si>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</si>
  <si>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</si>
  <si>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3100008893</t>
  </si>
  <si>
    <t>SAFI Label 850ml Full Fat Laban- 26D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</si>
  <si>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</si>
  <si>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</si>
  <si>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</si>
  <si>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</si>
  <si>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</si>
  <si>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</si>
  <si>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</si>
  <si>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Plain Self Adhes W105XH165mm–BOPP 1000/R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</si>
  <si>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</si>
  <si>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</si>
  <si>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</si>
  <si>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</si>
  <si>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</si>
  <si>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</si>
  <si>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</si>
  <si>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Technomelt Cleaner 103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</si>
  <si>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</si>
  <si>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</si>
  <si>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</si>
  <si>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</si>
  <si>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</si>
  <si>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</si>
  <si>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</si>
  <si>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</si>
  <si>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</si>
  <si>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</si>
  <si>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</si>
  <si>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3100008894</t>
  </si>
  <si>
    <t>208011895</t>
  </si>
  <si>
    <t>SAFI Label 850ml Full Fat Laban- 26D V2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</si>
  <si>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</si>
  <si>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</si>
  <si>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</si>
  <si>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</si>
  <si>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</si>
  <si>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</si>
  <si>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</si>
  <si>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Plain Self Adhes W105XH165mm–BOPP 1000/R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</si>
  <si>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</si>
  <si>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</si>
  <si>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</si>
  <si>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</si>
  <si>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</si>
  <si>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</si>
  <si>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</si>
  <si>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Technomelt Cleaner 103</t>
  </si>
  <si>
    <t>PRT  REL</t>
  </si>
  <si>
    <t>SBM04 8 Cav 6000 PCS Hr</t>
  </si>
  <si>
    <t>INTRA VIS Preform Sorting Machine</t>
  </si>
  <si>
    <t>Honeywell Intermec Ribbon 110*450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</si>
  <si>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</si>
  <si>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</si>
  <si>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</si>
  <si>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</si>
  <si>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</si>
  <si>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</si>
  <si>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</si>
  <si>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</si>
  <si>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</si>
  <si>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</si>
  <si>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</si>
  <si>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3100008895</t>
  </si>
  <si>
    <t>30.5PCO 1881 ICI Green RPET Mena Bev</t>
  </si>
  <si>
    <t>PRT  REL</t>
  </si>
  <si>
    <t>IMPS06 CYCT 15 CAV 180  PCS PER HR 43200</t>
  </si>
  <si>
    <t>INJ Mold 06 SIPA XFORM500EVO GEN4-180 Ca</t>
  </si>
  <si>
    <t>PET Green Preform For Grinding</t>
  </si>
  <si>
    <t>PRT  REL</t>
  </si>
  <si>
    <t>IMPS06 CYCT 15 CAV 180  PCS PER HR 43200</t>
  </si>
  <si>
    <t>INJ Mold 06 SIPA XFORM500EVO GEN4-180 Ca</t>
  </si>
  <si>
    <t>Plain Self Adhes W105XH165mm–BOPP 1000/R</t>
  </si>
  <si>
    <t>PRT  REL</t>
  </si>
  <si>
    <t>IMPS06 CYCT 15 CAV 180  PCS PER HR 43200</t>
  </si>
  <si>
    <t>INJ Mold 06 SIPA XFORM500EVO GEN4-180 Ca</t>
  </si>
  <si>
    <t>Transparent Tape roll 2'' wide 45mic</t>
  </si>
  <si>
    <t>PRT  REL</t>
  </si>
  <si>
    <t>IMPS06 CYCT 15 CAV 180  PCS PER HR 43200</t>
  </si>
  <si>
    <t>INJ Mold 06 SIPA XFORM500EVO GEN4-180 Ca</t>
  </si>
  <si>
    <t>Nylon Cable Tie – CV-200B-Black(100 pcs)</t>
  </si>
  <si>
    <t>PRT  REL</t>
  </si>
  <si>
    <t>IMPS06 CYCT 15 CAV 180  PCS PER HR 43200</t>
  </si>
  <si>
    <t>INJ Mold 06 SIPA XFORM500EVO GEN4-180 Ca</t>
  </si>
  <si>
    <t>3100008896</t>
  </si>
  <si>
    <t>30.5PCO 1881 ICI Green RPET J/C(PP)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</si>
  <si>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</si>
  <si>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</si>
  <si>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</si>
  <si>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</si>
  <si>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</si>
  <si>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</si>
  <si>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</si>
  <si>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</si>
  <si>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</si>
  <si>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</si>
  <si>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</si>
  <si>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</si>
  <si>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</si>
  <si>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</si>
  <si>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</si>
  <si>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3100008897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</si>
  <si>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</si>
  <si>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</si>
  <si>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</si>
  <si>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</si>
  <si>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</si>
  <si>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</si>
  <si>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</si>
  <si>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</si>
  <si>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3100008898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</si>
  <si>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</si>
  <si>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</si>
  <si>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</si>
  <si>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</si>
  <si>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</si>
  <si>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</si>
  <si>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</si>
  <si>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</si>
  <si>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3100008899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</si>
  <si>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</si>
  <si>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</si>
  <si>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</si>
  <si>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</si>
  <si>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</si>
  <si>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</si>
  <si>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</si>
  <si>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</si>
  <si>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3100008900</t>
  </si>
  <si>
    <t>Plain Self Adhes W105XH165mm–BOPP 1000/R</t>
  </si>
  <si>
    <t>PRT  REL</t>
  </si>
  <si>
    <t>IMP19 CYT 14.5 72 CAV 17875 PC PER HR</t>
  </si>
  <si>
    <t>IMD VISTA Sorting Machine</t>
  </si>
  <si>
    <t>34.0 BC38mm 3 ECO Huayan White Steel C</t>
  </si>
  <si>
    <t>PRT  REL</t>
  </si>
  <si>
    <t>IMP19 CYT 14.5 72 CAV 17875 PC PER HR</t>
  </si>
  <si>
    <t>IMD VISTA Sorting Machine</t>
  </si>
  <si>
    <t>3100008901</t>
  </si>
  <si>
    <t>SAFI Label 850ml Full Fat Laban- 26D V2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</si>
  <si>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</si>
  <si>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</si>
  <si>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</si>
  <si>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</si>
  <si>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</si>
  <si>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</si>
  <si>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</si>
  <si>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Plain Self Adhes W105XH165mm–BOPP 1000/R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</si>
  <si>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</si>
  <si>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</si>
  <si>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</si>
  <si>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</si>
  <si>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</si>
  <si>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</si>
  <si>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</si>
  <si>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Technomelt Cleaner 103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</si>
  <si>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</si>
  <si>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</si>
  <si>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</si>
  <si>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</si>
  <si>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</si>
  <si>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</si>
  <si>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</si>
  <si>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</si>
  <si>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</si>
  <si>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</si>
  <si>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</si>
  <si>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3100008902</t>
  </si>
  <si>
    <t>Plain Self Adhes W105XH165mm–BOPP 1000/R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</si>
  <si>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</si>
  <si>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</si>
  <si>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</si>
  <si>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</si>
  <si>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</si>
  <si>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</si>
  <si>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</si>
  <si>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3100008903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</si>
  <si>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</si>
  <si>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</si>
  <si>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</si>
  <si>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</si>
  <si>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</si>
  <si>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</si>
  <si>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</si>
  <si>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</si>
  <si>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3100008904</t>
  </si>
  <si>
    <t>Plain Self Adhes W105XH165mm–BOPP 1000/R</t>
  </si>
  <si>
    <t>PRT  REL</t>
  </si>
  <si>
    <t>IMPS06 CYCT 15 CAV 180  PCS PER HR 43200</t>
  </si>
  <si>
    <t>IMD VISTA Sorting Machine</t>
  </si>
  <si>
    <t>30.5PC2RD-CLR-B</t>
  </si>
  <si>
    <t>30.5PCO 1881Rd Clear RPET J/C(PP)</t>
  </si>
  <si>
    <t>PRT  REL</t>
  </si>
  <si>
    <t>IMPS06 CYCT 15 CAV 180  PCS PER HR 43200</t>
  </si>
  <si>
    <t>IMD VISTA Sorting Machine</t>
  </si>
  <si>
    <t>3100008905</t>
  </si>
  <si>
    <t>Plain Self Adhes W105XH165mm–BOPP 1000/R</t>
  </si>
  <si>
    <t>PRT  REL</t>
  </si>
  <si>
    <t>IMP19 CYT 14.5 72 CAV 17875 PC PER HR</t>
  </si>
  <si>
    <t>INTRA VIS Preform Sorting Machine</t>
  </si>
  <si>
    <t>34.0 BC38mm 3 ECO Huayan White Steel C</t>
  </si>
  <si>
    <t>PRT  REL</t>
  </si>
  <si>
    <t>IMP19 CYT 14.5 72 CAV 17875 PC PER HR</t>
  </si>
  <si>
    <t>INTRA VIS Preform Sorting Machine</t>
  </si>
  <si>
    <t>3100008906</t>
  </si>
  <si>
    <t>SAFI Label 850ml Full Fat Laban- 26D V2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</si>
  <si>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</si>
  <si>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</si>
  <si>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</si>
  <si>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</si>
  <si>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</si>
  <si>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</si>
  <si>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</si>
  <si>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</si>
  <si>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</si>
  <si>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</si>
  <si>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</si>
  <si>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Technomelt Cleaner 103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</si>
  <si>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</si>
  <si>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</si>
  <si>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</si>
  <si>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</si>
  <si>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</si>
  <si>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</si>
  <si>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</si>
  <si>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</si>
  <si>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</si>
  <si>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</si>
  <si>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</si>
  <si>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3100008907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</si>
  <si>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</si>
  <si>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</si>
  <si>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</si>
  <si>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</si>
  <si>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</si>
  <si>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</si>
  <si>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</si>
  <si>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</si>
  <si>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30.5PCO 1881Rd Clear RPET Mena Bev</t>
  </si>
  <si>
    <t>PRT  REL</t>
  </si>
  <si>
    <t>IMPS06 CYCT 15 CAV 180  PCS PER HR 43200</t>
  </si>
  <si>
    <t>IMD VISTA Sorting Machine</t>
  </si>
  <si>
    <t>3100008908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</si>
  <si>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</si>
  <si>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</si>
  <si>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</si>
  <si>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</si>
  <si>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</si>
  <si>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</si>
  <si>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</si>
  <si>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</si>
  <si>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3100008909</t>
  </si>
  <si>
    <t>Plain Self Adhes W105XH165mm–BOPP 1000/R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</si>
  <si>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</si>
  <si>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</si>
  <si>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</si>
  <si>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</si>
  <si>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</si>
  <si>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</si>
  <si>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</si>
  <si>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3100008910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</si>
  <si>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</si>
  <si>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</si>
  <si>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</si>
  <si>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</si>
  <si>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</si>
  <si>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</si>
  <si>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</si>
  <si>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</si>
  <si>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3100008911</t>
  </si>
  <si>
    <t>Plain Self Adhes W105XH165mm–BOPP 1000/R</t>
  </si>
  <si>
    <t>DLT  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</si>
  <si>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</si>
  <si>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</si>
  <si>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</si>
  <si>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</si>
  <si>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</si>
  <si>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</si>
  <si>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J/C Top Cover (L121XW102XH15)mm- 735gsm</t>
  </si>
  <si>
    <t>IMPS06 CYCT 15 CAV 180  PCS PER HR 43200</t>
  </si>
  <si>
    <t>IMD VISTA Sorting Machine</t>
  </si>
  <si>
    <t>J/C 7Ply(L1200xW1000xH1000)mm-1300gsm-AA</t>
  </si>
  <si>
    <t>IMPS06 CYCT 15 CAV 180  PCS PER HR 43200</t>
  </si>
  <si>
    <t>IMD VISTA Sorting Machine</t>
  </si>
  <si>
    <t>Transparent Tape roll 2'' wide 45mic</t>
  </si>
  <si>
    <t>IMPS06 CYCT 15 CAV 180  PCS PER HR 43200</t>
  </si>
  <si>
    <t>IMD VISTA Sorting Machine</t>
  </si>
  <si>
    <t>J/C Bottom Sheet(L1170XW970)mm - 347 gsm</t>
  </si>
  <si>
    <t>IMPS06 CYCT 15 CAV 180  PCS PER HR 43200</t>
  </si>
  <si>
    <t>IMD VISTA Sorting Machine</t>
  </si>
  <si>
    <t>PET Green strapping ROL 2500m-12.5x0.6mm</t>
  </si>
  <si>
    <t>IMPS06 CYCT 15 CAV 180  PCS PER HR 43200</t>
  </si>
  <si>
    <t>IMD VISTA Sorting Machine</t>
  </si>
  <si>
    <t>J/C Tubes (ID-50 X T-7 X L-975) mm</t>
  </si>
  <si>
    <t>IMPS06 CYCT 15 CAV 180  PCS PER HR 43200</t>
  </si>
  <si>
    <t>IMD VISTA Sorting Machine</t>
  </si>
  <si>
    <t>P.E.BAG CLEAR-L265XW130+50cm -335g/30mic</t>
  </si>
  <si>
    <t>IMPS06 CYCT 15 CAV 180  PCS PER HR 43200</t>
  </si>
  <si>
    <t>IMD VISTA Sorting Machine</t>
  </si>
  <si>
    <t>P.E Bags (160x130)x50cm Th 40mic- Jomih</t>
  </si>
  <si>
    <t>IMPS06 CYCT 15 CAV 180  PCS PER HR 43200</t>
  </si>
  <si>
    <t>IMD VISTA Sorting Machine</t>
  </si>
  <si>
    <t>Nylon Cable Tie – CV-200B-Black(100 pcs)</t>
  </si>
  <si>
    <t>IMPS06 CYCT 15 CAV 180  PCS PER HR 43200</t>
  </si>
  <si>
    <t>IMD VISTA Sorting Machine</t>
  </si>
  <si>
    <t>Plain Self Adhes W105XH165mm–BOPP 1000/R</t>
  </si>
  <si>
    <t>IMPS06 CYCT 15 CAV 180  PCS PER HR 43200</t>
  </si>
  <si>
    <t>IMD VISTA Sorting Machine</t>
  </si>
  <si>
    <t>METAL CLIP SIZE:- 5 / 8" ,  700gm/BOX</t>
  </si>
  <si>
    <t>IMPS06 CYCT 15 CAV 180  PCS PER HR 43200</t>
  </si>
  <si>
    <t>IMD VISTA Sorting Machine</t>
  </si>
  <si>
    <t>Honeywell Intermec Ribbon 110*450</t>
  </si>
  <si>
    <t>IMPS06 CYCT 15 CAV 180  PCS PER HR 43200</t>
  </si>
  <si>
    <t>IMD VISTA Sorting Machine</t>
  </si>
  <si>
    <t>PET Green Preform For Grinding</t>
  </si>
  <si>
    <t>IMPS06 CYCT 15 CAV 180  PCS PER HR 43200</t>
  </si>
  <si>
    <t>IMD VISTA Sorting Machine</t>
  </si>
  <si>
    <t>3100008912</t>
  </si>
  <si>
    <t>SAFI Label 850ml Full Fat Laban- 26D V2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</si>
  <si>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</si>
  <si>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</si>
  <si>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</si>
  <si>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</si>
  <si>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</si>
  <si>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</si>
  <si>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</si>
  <si>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Plain Self Adhes W105XH165mm–BOPP 1000/R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</si>
  <si>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</si>
  <si>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</si>
  <si>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</si>
  <si>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</si>
  <si>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</si>
  <si>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</si>
  <si>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</si>
  <si>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Technomelt Cleaner 103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</si>
  <si>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</si>
  <si>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</si>
  <si>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</si>
  <si>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</si>
  <si>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</si>
  <si>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</si>
  <si>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</si>
  <si>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</si>
  <si>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</si>
  <si>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</si>
  <si>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</si>
  <si>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3100008913</t>
  </si>
  <si>
    <t>14.0PC2RD-CJA-S</t>
  </si>
  <si>
    <t>14.0 PCO 1881 Rnd W/UV Steel C-(Aujan)</t>
  </si>
  <si>
    <t>IM24 CYCT 11 96 CAVITY 31418 PC PER HR</t>
  </si>
  <si>
    <t>INTRA VIS Preform Sorting Machine</t>
  </si>
  <si>
    <t>3100008914</t>
  </si>
  <si>
    <t>Plain Self Adhes W105XH165mm–BOPP 1000/R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</si>
  <si>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</si>
  <si>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</si>
  <si>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</si>
  <si>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</si>
  <si>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</si>
  <si>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</si>
  <si>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</si>
  <si>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3100008915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</si>
  <si>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</si>
  <si>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</si>
  <si>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</si>
  <si>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</si>
  <si>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</si>
  <si>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</si>
  <si>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</si>
  <si>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</si>
  <si>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3100008916</t>
  </si>
  <si>
    <t>Plain Self Adhes W105XH165mm–BOPP 1000/R</t>
  </si>
  <si>
    <t>IM24 CYCT 11 96 CAVITY 31418 PC PER HR</t>
  </si>
  <si>
    <t>INTRA VIS Preform Sorting Machine</t>
  </si>
  <si>
    <t>14.0 PCO 1881 Rnd W/UV Steel C-(Aujan)</t>
  </si>
  <si>
    <t>IM24 CYCT 11 96 CAVITY 31418 PC PER HR</t>
  </si>
  <si>
    <t>INTRA VIS Preform Sorting Machine</t>
  </si>
  <si>
    <t>3100008917</t>
  </si>
  <si>
    <t>30.5PCO 1881 ICI Green RPET Mena Bev</t>
  </si>
  <si>
    <t>PRT  REL</t>
  </si>
  <si>
    <t>IMPS06 CYCT 15 CAV 180  PCS PER HR 43200</t>
  </si>
  <si>
    <t>IMD VISTA Sorting Machine</t>
  </si>
  <si>
    <t>3100008918</t>
  </si>
  <si>
    <t>Plain Self Adhes W105XH165mm–BOPP 1000/R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</si>
  <si>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</si>
  <si>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</si>
  <si>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</si>
  <si>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</si>
  <si>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</si>
  <si>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</si>
  <si>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</si>
  <si>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</si>
  <si>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</si>
  <si>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</si>
  <si>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</si>
  <si>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J/C Top Cover (L121XW102XH15)mm- 735gsm</t>
  </si>
  <si>
    <t>IMPS06 CYCT 15 CAV 180  PCS PER HR 43200</t>
  </si>
  <si>
    <t>IMD VISTA Sorting Machine</t>
  </si>
  <si>
    <t>J/C 7Ply(L1200xW1000xH1000)mm-1300gsm-AA</t>
  </si>
  <si>
    <t>IMPS06 CYCT 15 CAV 180  PCS PER HR 43200</t>
  </si>
  <si>
    <t>IMD VISTA Sorting Machine</t>
  </si>
  <si>
    <t>Transparent Tape roll 2'' wide 45mic</t>
  </si>
  <si>
    <t>IMPS06 CYCT 15 CAV 180  PCS PER HR 43200</t>
  </si>
  <si>
    <t>IMD VISTA Sorting Machine</t>
  </si>
  <si>
    <t>J/C Bottom Sheet(L1170XW970)mm - 347 gsm</t>
  </si>
  <si>
    <t>IMPS06 CYCT 15 CAV 180  PCS PER HR 43200</t>
  </si>
  <si>
    <t>IMD VISTA Sorting Machine</t>
  </si>
  <si>
    <t>PET Green strapping ROL 2500m-12.5x0.6mm</t>
  </si>
  <si>
    <t>IMPS06 CYCT 15 CAV 180  PCS PER HR 43200</t>
  </si>
  <si>
    <t>IMD VISTA Sorting Machine</t>
  </si>
  <si>
    <t>J/C Tubes (ID-50 X T-7 X L-975) mm</t>
  </si>
  <si>
    <t>IMPS06 CYCT 15 CAV 180  PCS PER HR 43200</t>
  </si>
  <si>
    <t>IMD VISTA Sorting Machine</t>
  </si>
  <si>
    <t>P.E.BAG CLEAR-L265XW130+50cm -335g/30mic</t>
  </si>
  <si>
    <t>IMPS06 CYCT 15 CAV 180  PCS PER HR 43200</t>
  </si>
  <si>
    <t>IMD VISTA Sorting Machine</t>
  </si>
  <si>
    <t>P.E Bags (160x130)x50cm Th 40mic- Jomih</t>
  </si>
  <si>
    <t>IMPS06 CYCT 15 CAV 180  PCS PER HR 43200</t>
  </si>
  <si>
    <t>IMD VISTA Sorting Machine</t>
  </si>
  <si>
    <t>Nylon Cable Tie – CV-200B-Black(100 pcs)</t>
  </si>
  <si>
    <t>IMPS06 CYCT 15 CAV 180  PCS PER HR 43200</t>
  </si>
  <si>
    <t>IMD VISTA Sorting Machine</t>
  </si>
  <si>
    <t>Plain Self Adhes W105XH165mm–BOPP 1000/R</t>
  </si>
  <si>
    <t>IMPS06 CYCT 15 CAV 180  PCS PER HR 43200</t>
  </si>
  <si>
    <t>IMD VISTA Sorting Machine</t>
  </si>
  <si>
    <t>METAL CLIP SIZE:- 5 / 8" ,  700gm/BOX</t>
  </si>
  <si>
    <t>IMPS06 CYCT 15 CAV 180  PCS PER HR 43200</t>
  </si>
  <si>
    <t>IMD VISTA Sorting Machine</t>
  </si>
  <si>
    <t>Honeywell Intermec Ribbon 110*450</t>
  </si>
  <si>
    <t>IMPS06 CYCT 15 CAV 180  PCS PER HR 43200</t>
  </si>
  <si>
    <t>IMD VISTA Sorting Machine</t>
  </si>
  <si>
    <t>3100008919</t>
  </si>
  <si>
    <t>Plain Self Adhes W105XH165mm–BOPP 1000/R</t>
  </si>
  <si>
    <t>PRT  REL</t>
  </si>
  <si>
    <t>IMPS06 CYCT 15 CAV 180  PCS PER HR 43200</t>
  </si>
  <si>
    <t>IMD VISTA Sorting Machine</t>
  </si>
  <si>
    <t>PET Clear Preform For Grinding</t>
  </si>
  <si>
    <t>PRT  REL</t>
  </si>
  <si>
    <t>IMPS06 CYCT 15 CAV 180  PCS PER HR 43200</t>
  </si>
  <si>
    <t>IMD VISTA Sorting Machine</t>
  </si>
  <si>
    <t>30.5 PCO 1881 Rnd Clear J/C(W plt-SIPA</t>
  </si>
  <si>
    <t>PRT  REL</t>
  </si>
  <si>
    <t>IMPS06 CYCT 15 CAV 180  PCS PER HR 43200</t>
  </si>
  <si>
    <t>IMD VISTA Sorting Machine</t>
  </si>
  <si>
    <t>3100008920</t>
  </si>
  <si>
    <t>52.0 BC38mm 3 Rnd Clear J/C(P Plt</t>
  </si>
  <si>
    <t>PRT  REL</t>
  </si>
  <si>
    <t>IMP01 CYCT 18.5 96CAVITY 18682 PC PER HR</t>
  </si>
  <si>
    <t>IMD VISTA Sorting Machine</t>
  </si>
  <si>
    <t>3100008921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</si>
  <si>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</si>
  <si>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</si>
  <si>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</si>
  <si>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</si>
  <si>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</si>
  <si>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</si>
  <si>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</si>
  <si>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</si>
  <si>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3100008922</t>
  </si>
  <si>
    <t>Plain Self Adhes W105XH165mm–BOPP 1000/R</t>
  </si>
  <si>
    <t>IM24 CYCT 11 96 CAVITY 31418 PC PER HR</t>
  </si>
  <si>
    <t>INTRA VIS Preform Sorting Machine</t>
  </si>
  <si>
    <t>PET Clear Preform For Grinding</t>
  </si>
  <si>
    <t>IM24 CYCT 11 96 CAVITY 31418 PC PER HR</t>
  </si>
  <si>
    <t>INTRA VIS Preform Sorting Machine</t>
  </si>
  <si>
    <t>14.0 PCO 1881 Rnd W/UV Steel C-(Aujan)</t>
  </si>
  <si>
    <t>IM24 CYCT 11 96 CAVITY 31418 PC PER HR</t>
  </si>
  <si>
    <t>INTRA VIS Preform Sorting Machine</t>
  </si>
  <si>
    <t>3100008923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</si>
  <si>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</si>
  <si>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</si>
  <si>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</si>
  <si>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</si>
  <si>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</si>
  <si>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</si>
  <si>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</si>
  <si>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</si>
  <si>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3100008924</t>
  </si>
  <si>
    <t>Plain Self Adhes W105XH165mm–BOPP 1000/R</t>
  </si>
  <si>
    <t>PRT  REL</t>
  </si>
  <si>
    <t>IMPS05 CYT 7.1 180 CAV 91267 PC PER HR</t>
  </si>
  <si>
    <t>INTRA VIS Preform Sorting Machine</t>
  </si>
  <si>
    <t>11.5TO2RD-CLS-B</t>
  </si>
  <si>
    <t>11.5 29/25 Rnd Clear J/C(PP</t>
  </si>
  <si>
    <t>PRT  REL</t>
  </si>
  <si>
    <t>IMPS05 CYT 7.1 180 CAV 91267 PC PER HR</t>
  </si>
  <si>
    <t>INTRA VIS Preform Sorting Machine</t>
  </si>
  <si>
    <t>3100008925</t>
  </si>
  <si>
    <t>Plain Self Adhes W105XH165mm–BOPP 1000/R</t>
  </si>
  <si>
    <t>PRT  REL</t>
  </si>
  <si>
    <t>IMPS07 CYT 17.3 144 CAV 29965 PC PER HR</t>
  </si>
  <si>
    <t>IMD VISTA Sorting Machine</t>
  </si>
  <si>
    <t>45.0 PCO 1881 ICI Green J/C(P Plt - SIPA</t>
  </si>
  <si>
    <t>PRT  REL</t>
  </si>
  <si>
    <t>IMPS07 CYT 17.3 144 CAV 29965 PC PER HR</t>
  </si>
  <si>
    <t>IMD VISTA Sorting Machine</t>
  </si>
  <si>
    <t>3100008926</t>
  </si>
  <si>
    <t>Plain Self Adhes W105XH165mm–BOPP 1000/R</t>
  </si>
  <si>
    <t>PRT  REL</t>
  </si>
  <si>
    <t>IMPS07 CYT 17.3 144 CAV 29965 PC PER HR</t>
  </si>
  <si>
    <t>IMD VISTA Sorting Machine</t>
  </si>
  <si>
    <t>45.0 PCO 1881 Rnd ICI Green Mena Bev</t>
  </si>
  <si>
    <t>PRT  REL</t>
  </si>
  <si>
    <t>IMPS07 CYT 17.3 144 CAV 29965 PC PER HR</t>
  </si>
  <si>
    <t>IMD VISTA Sorting Machine</t>
  </si>
  <si>
    <t>3100008927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</si>
  <si>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</si>
  <si>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</si>
  <si>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</si>
  <si>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</si>
  <si>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</si>
  <si>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</si>
  <si>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</si>
  <si>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</si>
  <si>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</si>
  <si>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</si>
  <si>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</si>
  <si>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</si>
  <si>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3100008928</t>
  </si>
  <si>
    <t>Plain Self Adhes W105XH165mm–BOPP 1000/R</t>
  </si>
  <si>
    <t>PRT  REL</t>
  </si>
  <si>
    <t>IMP19 CYT 14.5 72 CAV 17875 PC PER HR</t>
  </si>
  <si>
    <t>IMD VISTA Sorting Machine</t>
  </si>
  <si>
    <t>34.0 BC38mm 3 ECO Huayan Clear steel C</t>
  </si>
  <si>
    <t>PRT  REL</t>
  </si>
  <si>
    <t>IMP19 CYT 14.5 72 CAV 17875 PC PER HR</t>
  </si>
  <si>
    <t>IMD VISTA Sorting Machine</t>
  </si>
  <si>
    <t>3100008929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</si>
  <si>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</si>
  <si>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</si>
  <si>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</si>
  <si>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</si>
  <si>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</si>
  <si>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</si>
  <si>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</si>
  <si>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</si>
  <si>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3100008930</t>
  </si>
  <si>
    <t>Plain Self Adhes W105XH165mm–BOPP 1000/R</t>
  </si>
  <si>
    <t>PRT  REL</t>
  </si>
  <si>
    <t>IMPS06 CYCT 15 CAV 180  PCS PER HR 43200</t>
  </si>
  <si>
    <t>IMD VISTA Sorting Machine</t>
  </si>
  <si>
    <t>PET Green Preform For Grinding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</si>
  <si>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</si>
  <si>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</si>
  <si>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</si>
  <si>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</si>
  <si>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</si>
  <si>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</si>
  <si>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</si>
  <si>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3100008931</t>
  </si>
  <si>
    <t>Plain Self Adhes W105XH165mm–BOPP 1000/R</t>
  </si>
  <si>
    <t>PRT  REL</t>
  </si>
  <si>
    <t>IMP19 CYT 14.5 72 CAV 17875 PC PER HR</t>
  </si>
  <si>
    <t>IMD VISTA Sorting Machine</t>
  </si>
  <si>
    <t>PET Clear Preform For Grinding</t>
  </si>
  <si>
    <t>PRT  REL</t>
  </si>
  <si>
    <t>IMP19 CYT 14.5 72 CAV 17875 PC PER HR</t>
  </si>
  <si>
    <t>IMD VISTA Sorting Machine</t>
  </si>
  <si>
    <t>34.0 BC38mm 3 ECO Huayan Clear steel C</t>
  </si>
  <si>
    <t>PRT  REL</t>
  </si>
  <si>
    <t>IMP19 CYT 14.5 72 CAV 17875 PC PER HR</t>
  </si>
  <si>
    <t>IMD VISTA Sorting Machine</t>
  </si>
  <si>
    <t>3100008932</t>
  </si>
  <si>
    <t>Plain Self Adhes W105XH165mm–BOPP 1000/R</t>
  </si>
  <si>
    <t>PRT  REL</t>
  </si>
  <si>
    <t>IMPS03 CYT 6.5 180 CAV 99692 PC PER HR</t>
  </si>
  <si>
    <t>IMD VISTA Sorting Machine</t>
  </si>
  <si>
    <t>PET Blue Preform For Grinding</t>
  </si>
  <si>
    <t>PRT  REL</t>
  </si>
  <si>
    <t>IMPS03 CYT 6.5 180 CAV 99692 PC PER HR</t>
  </si>
  <si>
    <t>IMD VISTA Sorting Machine</t>
  </si>
  <si>
    <t>7.45TO 29/25 Rnd L.Blue (≤1ppm) J/C Wplt</t>
  </si>
  <si>
    <t>PRT  REL</t>
  </si>
  <si>
    <t>IMPS03 CYT 6.5 180 CAV 99692 PC PER HR</t>
  </si>
  <si>
    <t>IMD VISTA Sorting Machine</t>
  </si>
  <si>
    <t>3100008933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</si>
  <si>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</si>
  <si>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</si>
  <si>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</si>
  <si>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</si>
  <si>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</si>
  <si>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</si>
  <si>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</si>
  <si>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</si>
  <si>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3100008934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</si>
  <si>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</si>
  <si>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</si>
  <si>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</si>
  <si>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</si>
  <si>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</si>
  <si>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</si>
  <si>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</si>
  <si>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</si>
  <si>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3100008935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</si>
  <si>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</si>
  <si>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</si>
  <si>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</si>
  <si>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</si>
  <si>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</si>
  <si>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</si>
  <si>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</si>
  <si>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</si>
  <si>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</si>
  <si>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</si>
  <si>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</si>
  <si>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</si>
  <si>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3100008936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</si>
  <si>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</si>
  <si>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</si>
  <si>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</si>
  <si>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</si>
  <si>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</si>
  <si>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</si>
  <si>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</si>
  <si>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</si>
  <si>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</si>
  <si>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</si>
  <si>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</si>
  <si>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</si>
  <si>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3100008937</t>
  </si>
  <si>
    <t>Plain Self Adhes W105XH165mm–BOPP 1000/R</t>
  </si>
  <si>
    <t>PRT  REL</t>
  </si>
  <si>
    <t>IMP07 CYCT 10.2 72 CAV 25412 PC PER HR</t>
  </si>
  <si>
    <t>IMD VISTA Sorting Machine</t>
  </si>
  <si>
    <t>PET Clear Preform For Grinding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</si>
  <si>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</si>
  <si>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</si>
  <si>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</si>
  <si>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</si>
  <si>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</si>
  <si>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</si>
  <si>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</si>
  <si>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3100008938</t>
  </si>
  <si>
    <t>Plain Self Adhes W105XH165mm–BOPP 1000/R</t>
  </si>
  <si>
    <t>PRT  REL</t>
  </si>
  <si>
    <t>IM01 CYCT 9.68 72 CAVITY 26777 PC PER HR</t>
  </si>
  <si>
    <t>IMD VISTA Sorting Machine</t>
  </si>
  <si>
    <t>12.7 BC38mm 3 ECO White Steel c.</t>
  </si>
  <si>
    <t>PRT  REL</t>
  </si>
  <si>
    <t>IM01 CYCT 9.68 72 CAVITY 26777 PC PER HR</t>
  </si>
  <si>
    <t>IMD VISTA Sorting Machine</t>
  </si>
  <si>
    <t>3100008939</t>
  </si>
  <si>
    <t>Plain Self Adhes W105XH165mm–BOPP 1000/R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</si>
  <si>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</si>
  <si>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</si>
  <si>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</si>
  <si>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</si>
  <si>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</si>
  <si>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</si>
  <si>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</si>
  <si>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3100008940</t>
  </si>
  <si>
    <t>29.3 TO 29/25 Rnd Nova Blue J/C(PPYISHN</t>
  </si>
  <si>
    <t>PRT  REL</t>
  </si>
  <si>
    <t>IMD VISTA Sorting Machine</t>
  </si>
  <si>
    <t>3100008941</t>
  </si>
  <si>
    <t>45.0 PCO 1881Rd Clear J/C(P Plt</t>
  </si>
  <si>
    <t>PRT  REL</t>
  </si>
  <si>
    <t>IMD VISTA Sorting Machine</t>
  </si>
  <si>
    <t>3100008942</t>
  </si>
  <si>
    <t>30.5 PCO 1881Rnd CLR J/C(PP JOM HDG-SIPA</t>
  </si>
  <si>
    <t>PRT  REL</t>
  </si>
  <si>
    <t>IMD VISTA Sorting Machine</t>
  </si>
  <si>
    <t>3100008943</t>
  </si>
  <si>
    <t>45.0 PCO 1881 ICI Green J/C(P Plt - SIPA</t>
  </si>
  <si>
    <t>PRT  REL</t>
  </si>
  <si>
    <t>IMD VISTA Sorting Machine</t>
  </si>
  <si>
    <t>3100008944</t>
  </si>
  <si>
    <t>50.1PCO 1881 ICI Green rPET J/C(P Pt</t>
  </si>
  <si>
    <t>PRT  REL</t>
  </si>
  <si>
    <t>IMD VISTA Sorting Machine</t>
  </si>
  <si>
    <t>3100008945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</si>
  <si>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</si>
  <si>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</si>
  <si>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</si>
  <si>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</si>
  <si>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</si>
  <si>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</si>
  <si>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</si>
  <si>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</si>
  <si>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3100008946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</si>
  <si>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</si>
  <si>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</si>
  <si>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</si>
  <si>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</si>
  <si>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</si>
  <si>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</si>
  <si>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</si>
  <si>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</si>
  <si>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</si>
  <si>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</si>
  <si>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</si>
  <si>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</si>
  <si>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3100008947</t>
  </si>
  <si>
    <t>Plain Self Adhes W105XH165mm–BOPP 1000/R</t>
  </si>
  <si>
    <t>PRT  REL</t>
  </si>
  <si>
    <t>IMPS05 CYT 7.1 180 CAV 91267 PC PER HR</t>
  </si>
  <si>
    <t>INTRA VIS Preform Sorting Machine</t>
  </si>
  <si>
    <t>PET Blue Preform For Grinding</t>
  </si>
  <si>
    <t>PRT  REL</t>
  </si>
  <si>
    <t>IMPS05 CYT 7.1 180 CAV 91267 PC PER HR</t>
  </si>
  <si>
    <t>INTRA VIS Preform Sorting Machine</t>
  </si>
  <si>
    <t>11.5TO29/25Rnd'ALM'BLUE J/C(PP-SIPA-HDG</t>
  </si>
  <si>
    <t>PRT  REL</t>
  </si>
  <si>
    <t>IMPS05 CYT 7.1 180 CAV 91267 PC PER HR</t>
  </si>
  <si>
    <t>INTRA VIS Preform Sorting Machine</t>
  </si>
  <si>
    <t>3100008948</t>
  </si>
  <si>
    <t>Plain Self Adhes W105XH165mm–BOPP 1000/R</t>
  </si>
  <si>
    <t>PRT  REL</t>
  </si>
  <si>
    <t>IMP07 CYCT 12 72CAVITY 21600 PC PER HR</t>
  </si>
  <si>
    <t>INTRA VIS Preform Sorting Machine</t>
  </si>
  <si>
    <t>18.0 BC38mm 3 Rnd Clear Steel C</t>
  </si>
  <si>
    <t>PRT  REL</t>
  </si>
  <si>
    <t>IMP07 CYCT 12 72CAVITY 21600 PC PER HR</t>
  </si>
  <si>
    <t>INTRA VIS Preform Sorting Machine</t>
  </si>
  <si>
    <t>3100008949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</si>
  <si>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</si>
  <si>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</si>
  <si>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</si>
  <si>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</si>
  <si>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</si>
  <si>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</si>
  <si>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</si>
  <si>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</si>
  <si>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</si>
  <si>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</si>
  <si>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</si>
  <si>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</si>
  <si>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3100008950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</si>
  <si>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</si>
  <si>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</si>
  <si>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</si>
  <si>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</si>
  <si>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</si>
  <si>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</si>
  <si>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</si>
  <si>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</si>
  <si>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3100008951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</si>
  <si>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</si>
  <si>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</si>
  <si>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</si>
  <si>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</si>
  <si>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</si>
  <si>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</si>
  <si>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</si>
  <si>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</si>
  <si>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3100008952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</si>
  <si>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</si>
  <si>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</si>
  <si>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</si>
  <si>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</si>
  <si>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</si>
  <si>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</si>
  <si>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</si>
  <si>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</si>
  <si>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3100008953</t>
  </si>
  <si>
    <t>Plain Self Adhes W105XH165mm–BOPP 1000/R</t>
  </si>
  <si>
    <t>PRT  REL</t>
  </si>
  <si>
    <t>IMPS05 CYT 7.5 180 CAV 86400 PC PER HR</t>
  </si>
  <si>
    <t>IMD VISTA Sorting Machine</t>
  </si>
  <si>
    <t>12.5 29/25 Rnd Clear J/C(PP</t>
  </si>
  <si>
    <t>PRT  REL</t>
  </si>
  <si>
    <t>IMPS05 CYT 7.5 180 CAV 86400 PC PER HR</t>
  </si>
  <si>
    <t>IMD VISTA Sorting Machine</t>
  </si>
  <si>
    <t>3100008965</t>
  </si>
  <si>
    <t>12.5 29/25 Rnd Clear J/C(PP</t>
  </si>
  <si>
    <t>PRT  REL</t>
  </si>
  <si>
    <t>IMPS05 CYT 7.5 180 CAV 86400 PC PER HR</t>
  </si>
  <si>
    <t>INTRA VIS Preform Sorting Machine</t>
  </si>
  <si>
    <t>3100008966</t>
  </si>
  <si>
    <t>26.6 TO 29/25 Rnd Clear J/C(P Plt</t>
  </si>
  <si>
    <t>PRT  REL</t>
  </si>
  <si>
    <t>IMP12 CYCT 15.6 96 CAVITY 22153 PC</t>
  </si>
  <si>
    <t>INTRA VIS Preform Sorting Machine</t>
  </si>
  <si>
    <t>3100008967</t>
  </si>
  <si>
    <t>30.5PCO1881 ICI GreenJ/C(PP JOM HDG-SIPA</t>
  </si>
  <si>
    <t>PRT  REL</t>
  </si>
  <si>
    <t>IMPS06 CYCT 15 CAV 180  PCS PER HR 43200</t>
  </si>
  <si>
    <t>INTRA VIS Preform Sorting Machine</t>
  </si>
  <si>
    <t>3100008968</t>
  </si>
  <si>
    <t>45.0 PCO 1881 ICI Green J/C(P Plt - SIPA</t>
  </si>
  <si>
    <t>PRT  REL</t>
  </si>
  <si>
    <t>IMPS07 CYT 17.3 144 CAV 29965 PC PER HR</t>
  </si>
  <si>
    <t>INTRA VIS Preform Sorting Machine</t>
  </si>
  <si>
    <t>3100008969</t>
  </si>
  <si>
    <t>36.0 BC 38mm 3 Rnd Clear Steel C-(Aujan)</t>
  </si>
  <si>
    <t>PRT  REL</t>
  </si>
  <si>
    <t>IMP12 CYT 16.5 96 CAV 20945 PC PER HR</t>
  </si>
  <si>
    <t>INTRA VIS Preform Sorting Machine</t>
  </si>
  <si>
    <t>3100008970</t>
  </si>
  <si>
    <t>26.6 TO 29/25 Rnd Clear J/C(P Plt</t>
  </si>
  <si>
    <t>PRT  REL</t>
  </si>
  <si>
    <t>IMP12 CYCT 15.6 96 CAVITY 22153 PC</t>
  </si>
  <si>
    <t>IMD VISTA Sorting Machine</t>
  </si>
  <si>
    <t>3100008971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</si>
  <si>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</si>
  <si>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</si>
  <si>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</si>
  <si>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</si>
  <si>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</si>
  <si>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</si>
  <si>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</si>
  <si>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</si>
  <si>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</si>
  <si>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</si>
  <si>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</si>
  <si>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</si>
  <si>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</si>
  <si>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</si>
  <si>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</si>
  <si>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</si>
  <si>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3100008972</t>
  </si>
  <si>
    <t>45.0 PCO 1881 ICI Green J/C(P Plt - SIPA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</si>
  <si>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</si>
  <si>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</si>
  <si>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</si>
  <si>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</si>
  <si>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</si>
  <si>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</si>
  <si>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</si>
  <si>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</si>
  <si>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</si>
  <si>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</si>
  <si>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</si>
  <si>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</si>
  <si>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</si>
  <si>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</si>
  <si>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</si>
  <si>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3100008973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</si>
  <si>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</si>
  <si>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</si>
  <si>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</si>
  <si>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</si>
  <si>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</si>
  <si>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</si>
  <si>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</si>
  <si>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</si>
  <si>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</si>
  <si>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</si>
  <si>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</si>
  <si>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</si>
  <si>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</si>
  <si>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</si>
  <si>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</si>
  <si>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</si>
  <si>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3100008974</t>
  </si>
  <si>
    <t>30.5 PCO 1881Rnd CLR J/C(PP JOM HDG-SIPA</t>
  </si>
  <si>
    <t>PRT  REL</t>
  </si>
  <si>
    <t>IMPS06 CYCT 15 CAV 180  PCS PER HR 43200</t>
  </si>
  <si>
    <t>INTRA VIS Preform Sorting Machine</t>
  </si>
  <si>
    <t>3100008975</t>
  </si>
  <si>
    <t>30.5PCO1881 ICI GreenJ/C(PP JOM HDG-SIPA</t>
  </si>
  <si>
    <t>PRT  REL</t>
  </si>
  <si>
    <t>IMPS06 CYCT 15 CAV 180  PCS PER HR 43200</t>
  </si>
  <si>
    <t>INTRA VIS Preform Sorting Machine</t>
  </si>
  <si>
    <t>3100008976</t>
  </si>
  <si>
    <t>26.6 TO 29/25 Rnd Clear J/C(P Plt</t>
  </si>
  <si>
    <t>PRT  REL</t>
  </si>
  <si>
    <t>IMP12 CYCT 15.6 96 CAVITY 22153 PC</t>
  </si>
  <si>
    <t>INTRA VIS Preform Sorting Machine</t>
  </si>
  <si>
    <t>3100008977</t>
  </si>
  <si>
    <t>45.0 PCO 1881 ICI Green J/C(P Plt - SIPA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</si>
  <si>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</si>
  <si>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</si>
  <si>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</si>
  <si>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</si>
  <si>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</si>
  <si>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</si>
  <si>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</si>
  <si>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</si>
  <si>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</si>
  <si>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</si>
  <si>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</si>
  <si>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</si>
  <si>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</si>
  <si>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</si>
  <si>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</si>
  <si>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3100008978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</si>
  <si>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</si>
  <si>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</si>
  <si>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</si>
  <si>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</si>
  <si>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</si>
  <si>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IMP01 CYCT 18.5 96CAVITY 18682 PC PER HR</t>
  </si>
  <si>
    <t>INTRA VIS Preform Sorting Machine</t>
  </si>
  <si>
    <t>Transparent Tape roll 2'' wide 45mic</t>
  </si>
  <si>
    <t>IMP01 CYCT 18.5 96CAVITY 18682 PC PER HR</t>
  </si>
  <si>
    <t>INTRA VIS Preform Sorting Machine</t>
  </si>
  <si>
    <t>Nylon Cable Tie – CV-200B-Black(100 pcs)</t>
  </si>
  <si>
    <t>IMP01 CYCT 18.5 96CAVITY 18682 PC PER HR</t>
  </si>
  <si>
    <t>INTRA VIS Preform Sorting Machine</t>
  </si>
  <si>
    <t>3100008979</t>
  </si>
  <si>
    <t>30.5PCO1881 ICI GreenJ/C(PP JOM HDG-SIPA</t>
  </si>
  <si>
    <t>PRT  REL</t>
  </si>
  <si>
    <t>IMPS06 CYCT 15 CAV 180  PCS PER HR 43200</t>
  </si>
  <si>
    <t>INTRA VIS Preform Sorting Machine</t>
  </si>
  <si>
    <t>3100008980</t>
  </si>
  <si>
    <t>26.6 TO 29/25 Rnd Clear J/C(P Plt</t>
  </si>
  <si>
    <t>PRT  REL</t>
  </si>
  <si>
    <t>IMP12 CYCT 15.6 96 CAVITY 22153 PC</t>
  </si>
  <si>
    <t>INTRA VIS Preform Sorting Machine</t>
  </si>
  <si>
    <t>3100008981</t>
  </si>
  <si>
    <t>30.5 PCO 1881Rnd CLR J/C(PP JOM HDG-SIPA</t>
  </si>
  <si>
    <t>PRT  REL</t>
  </si>
  <si>
    <t>IMPS06 CYCT 15 CAV 180  PCS PER HR 43200</t>
  </si>
  <si>
    <t>INTRA VIS Preform Sorting Machine</t>
  </si>
  <si>
    <t>3100008982</t>
  </si>
  <si>
    <t>52.0 BC38mm 3 Rnd Clear J/C(P Plt</t>
  </si>
  <si>
    <t>PRT  REL</t>
  </si>
  <si>
    <t>IMP01</t>
  </si>
  <si>
    <t>IMP01 CYCT 18.5 96CAVITY 18682 PC PER HR</t>
  </si>
  <si>
    <t>Injection Molding 01 HUSKY HYPET 4</t>
  </si>
  <si>
    <t>Plain Self Adhes W105XH165mm–BOPP 1000/R</t>
  </si>
  <si>
    <t>PRT  REL</t>
  </si>
  <si>
    <t>IMP01 CYCT 18.5 96CAVITY 18682 PC PER HR</t>
  </si>
  <si>
    <t>Injection Molding 01 HUSKY HYPET 4</t>
  </si>
  <si>
    <t>Transparent Tape roll 2'' wide 45mic</t>
  </si>
  <si>
    <t>PRT  REL</t>
  </si>
  <si>
    <t>IMP01 CYCT 18.5 96CAVITY 18682 PC PER HR</t>
  </si>
  <si>
    <t>Injection Molding 01 HUSKY HYPET 4</t>
  </si>
  <si>
    <t>Nylon Cable Tie – CV-200B-Black(100 pcs)</t>
  </si>
  <si>
    <t>PRT  REL</t>
  </si>
  <si>
    <t>IMP01 CYCT 18.5 96CAVITY 18682 PC PER HR</t>
  </si>
  <si>
    <t>Injection Molding 01 HUSKY HYPET 4</t>
  </si>
  <si>
    <t>3100008983</t>
  </si>
  <si>
    <t>30.5PCO1881 ICI GreenJ/C(PP JOM HDG-SIPA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</si>
  <si>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</si>
  <si>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</si>
  <si>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</si>
  <si>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</si>
  <si>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</si>
  <si>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</si>
  <si>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</si>
  <si>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</si>
  <si>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</si>
  <si>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</si>
  <si>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</si>
  <si>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</si>
  <si>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</si>
  <si>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</si>
  <si>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</si>
  <si>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PET Green Preform For Grinding</t>
  </si>
  <si>
    <t>PRT  REL</t>
  </si>
  <si>
    <t>IMPS06 CYCT 15 CAV 180  PCS PER HR 43200</t>
  </si>
  <si>
    <t>INTRA VIS Preform Sorting Machine</t>
  </si>
  <si>
    <t>3100008984</t>
  </si>
  <si>
    <t>30.5 PCO 1881Rnd CLR J/C(PP JOM HDG-SIPA</t>
  </si>
  <si>
    <t>PRT  REL</t>
  </si>
  <si>
    <t>IMPS06 CYCT 15 CAV 180  PCS PER HR 43200</t>
  </si>
  <si>
    <t>INTRA VIS Preform Sorting Machine</t>
  </si>
  <si>
    <t>3100008985</t>
  </si>
  <si>
    <t>52.0 BC38mm 3 Rnd Clear J/C(P Plt</t>
  </si>
  <si>
    <t>PRT  REL</t>
  </si>
  <si>
    <t>IMP01 CYCT 18.5 96CAVITY 18682 PC PER HR</t>
  </si>
  <si>
    <t>INTRA VIS Preform Sorting Machine</t>
  </si>
  <si>
    <t>Plain Self Adhes W105XH165mm–BOPP 1000/R</t>
  </si>
  <si>
    <t>PRT  REL</t>
  </si>
  <si>
    <t>IMP01 CYCT 18.5 96CAVITY 18682 PC PER HR</t>
  </si>
  <si>
    <t>INTRA VIS Preform Sorting Machine</t>
  </si>
  <si>
    <t>Transparent Tape roll 2'' wide 45mic</t>
  </si>
  <si>
    <t>PRT  REL</t>
  </si>
  <si>
    <t>IMP01 CYCT 18.5 96CAVITY 18682 PC PER HR</t>
  </si>
  <si>
    <t>INTRA VIS Preform Sorting Machine</t>
  </si>
  <si>
    <t>Nylon Cable Tie – CV-200B-Black(100 pcs)</t>
  </si>
  <si>
    <t>PRT  REL</t>
  </si>
  <si>
    <t>IMP01 CYCT 18.5 96CAVITY 18682 PC PER HR</t>
  </si>
  <si>
    <t>INTRA VIS Preform Sorting Machine</t>
  </si>
  <si>
    <t>3100008986</t>
  </si>
  <si>
    <t>Plain Self Adhes W105XH165mm–BOPP 1000/R</t>
  </si>
  <si>
    <t>PRT  REL</t>
  </si>
  <si>
    <t>IMPS07 CYT 17.3 144 CAV 29965 PC PER HR</t>
  </si>
  <si>
    <t>INTRA VIS Preform Sorting Machine</t>
  </si>
  <si>
    <t>J/C Top Cover (L121XW102XH15)mm- 735gsm</t>
  </si>
  <si>
    <t>PRT  REL</t>
  </si>
  <si>
    <t>IMPS07 CYT 17.3 144 CAV 29965 PC PER HR</t>
  </si>
  <si>
    <t>INTRA VIS Preform Sorting Machine</t>
  </si>
  <si>
    <t>P.E Bags (160x130)x50cm Th 40mic- Jomih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</si>
  <si>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</si>
  <si>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</si>
  <si>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</si>
  <si>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</si>
  <si>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</si>
  <si>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</si>
  <si>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</si>
  <si>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3100008987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</si>
  <si>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</si>
  <si>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</si>
  <si>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</si>
  <si>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</si>
  <si>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</si>
  <si>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</si>
  <si>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</si>
  <si>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</si>
  <si>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3100008988</t>
  </si>
  <si>
    <t>Plain Self Adhes W105XH165mm–BOPP 1000/R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</si>
  <si>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</si>
  <si>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</si>
  <si>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</si>
  <si>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</si>
  <si>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</si>
  <si>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</si>
  <si>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</si>
  <si>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3100008989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</si>
  <si>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</si>
  <si>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</si>
  <si>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</si>
  <si>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</si>
  <si>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</si>
  <si>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</si>
  <si>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</si>
  <si>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</si>
  <si>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3100008990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</si>
  <si>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</si>
  <si>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</si>
  <si>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</si>
  <si>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</si>
  <si>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</si>
  <si>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</si>
  <si>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</si>
  <si>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</si>
  <si>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3100008991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</si>
  <si>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</si>
  <si>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</si>
  <si>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</si>
  <si>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</si>
  <si>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</si>
  <si>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</si>
  <si>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</si>
  <si>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</si>
  <si>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3100008992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</si>
  <si>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</si>
  <si>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</si>
  <si>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</si>
  <si>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</si>
  <si>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</si>
  <si>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</si>
  <si>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</si>
  <si>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</si>
  <si>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3100008993</t>
  </si>
  <si>
    <t>Plain Self Adhes W105XH165mm–BOPP 1000/R</t>
  </si>
  <si>
    <t>PRT  REL</t>
  </si>
  <si>
    <t>IM24 CYCT 11 96 CAVITY 31418 PC PER HR</t>
  </si>
  <si>
    <t>IMD VISTA Sorting Machine</t>
  </si>
  <si>
    <t>14.0 PCO 1881 Rnd ICI Green J/C(W Plt)</t>
  </si>
  <si>
    <t>PRT  REL</t>
  </si>
  <si>
    <t>IM24 CYCT 11 96 CAVITY 31418 PC PER HR</t>
  </si>
  <si>
    <t>IMD VISTA Sorting Machine</t>
  </si>
  <si>
    <t>3100008994</t>
  </si>
  <si>
    <t>Plain Self Adhes W105XH165mm–BOPP 1000/R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</si>
  <si>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</si>
  <si>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</si>
  <si>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</si>
  <si>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</si>
  <si>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</si>
  <si>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</si>
  <si>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</si>
  <si>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3100008995</t>
  </si>
  <si>
    <t>Plain Self Adhes W105XH165mm–BOPP 1000/R</t>
  </si>
  <si>
    <t>PRT  REL</t>
  </si>
  <si>
    <t>IM24 CYCT 11 96 CAVITY 31418 PC PER HR</t>
  </si>
  <si>
    <t>INTRA VIS Preform Sorting Machine</t>
  </si>
  <si>
    <t>PET Green Preform For Grinding</t>
  </si>
  <si>
    <t>PRT  REL</t>
  </si>
  <si>
    <t>IM24 CYCT 11 96 CAVITY 31418 PC PER HR</t>
  </si>
  <si>
    <t>INTRA VIS Preform Sorting Machine</t>
  </si>
  <si>
    <t>14.0 PCO 1881 Rnd ICI Green J/C(W Plt)</t>
  </si>
  <si>
    <t>PRT  REL</t>
  </si>
  <si>
    <t>IM24 CYCT 11 96 CAVITY 31418 PC PER HR</t>
  </si>
  <si>
    <t>INTRA VIS Preform Sorting Machine</t>
  </si>
  <si>
    <t>3100008996</t>
  </si>
  <si>
    <t>Plain Self Adhes W105XH165mm–BOPP 1000/R</t>
  </si>
  <si>
    <t>PRT  REL</t>
  </si>
  <si>
    <t>IMPS06 CYCT 15 CAV 180  PCS PER HR 43200</t>
  </si>
  <si>
    <t>IMD VISTA Sorting Machine</t>
  </si>
  <si>
    <t>30.5PCO1881 ICI GreenJ/C(PP JOM HDG-SIPA</t>
  </si>
  <si>
    <t>PRT  REL</t>
  </si>
  <si>
    <t>IMPS06 CYCT 15 CAV 180  PCS PER HR 43200</t>
  </si>
  <si>
    <t>IMD VISTA Sorting Machine</t>
  </si>
  <si>
    <t>3100008997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</si>
  <si>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</si>
  <si>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</si>
  <si>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</si>
  <si>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</si>
  <si>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</si>
  <si>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</si>
  <si>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</si>
  <si>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</si>
  <si>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</si>
  <si>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</si>
  <si>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</si>
  <si>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</si>
  <si>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3100008998</t>
  </si>
  <si>
    <t>45.0 PCO 1881 Rnd ICI Green Mena Bev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</si>
  <si>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</si>
  <si>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</si>
  <si>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</si>
  <si>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</si>
  <si>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</si>
  <si>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</si>
  <si>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</si>
  <si>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</si>
  <si>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</si>
  <si>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</si>
  <si>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</si>
  <si>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</si>
  <si>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</si>
  <si>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</si>
  <si>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</si>
  <si>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3100008999</t>
  </si>
  <si>
    <t>Plain Self Adhes W105XH165mm–BOPP 1000/R</t>
  </si>
  <si>
    <t>PRT  REL</t>
  </si>
  <si>
    <t>RW01 IMD VISTA Sorting Machine</t>
  </si>
  <si>
    <t>IMD VISTA Sorting Machine</t>
  </si>
  <si>
    <t>Honeywell Intermec Ribbon 110*450</t>
  </si>
  <si>
    <t>PRT  REL</t>
  </si>
  <si>
    <t>RW01 IMD VISTA Sorting Machine</t>
  </si>
  <si>
    <t>IMD VISTA Sorting Machine</t>
  </si>
  <si>
    <t>7.45TO LW 29/25 L.Blue J/C(WP-SIPA</t>
  </si>
  <si>
    <t>PRT  REL</t>
  </si>
  <si>
    <t>RW01 IMD VISTA Sorting Machine</t>
  </si>
  <si>
    <t>IMD VISTA Sorting Machine</t>
  </si>
  <si>
    <t>3100009000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</si>
  <si>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</si>
  <si>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</si>
  <si>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</si>
  <si>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</si>
  <si>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</si>
  <si>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</si>
  <si>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</si>
  <si>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</si>
  <si>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3100009001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</si>
  <si>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</si>
  <si>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</si>
  <si>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</si>
  <si>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</si>
  <si>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</si>
  <si>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</si>
  <si>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</si>
  <si>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</si>
  <si>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3100009002</t>
  </si>
  <si>
    <t>Plain Self Adhes W105XH165mm–BOPP 1000/R</t>
  </si>
  <si>
    <t>PRT  REL</t>
  </si>
  <si>
    <t>IMPS01 CYT 6.8 180 CAV 95294 PC PER HR</t>
  </si>
  <si>
    <t>IMD VISTA Sorting Machine</t>
  </si>
  <si>
    <t>PET Blue Preform For Grinding</t>
  </si>
  <si>
    <t>PRT  REL</t>
  </si>
  <si>
    <t>IMPS01 CYT 6.8 180 CAV 95294 PC PER HR</t>
  </si>
  <si>
    <t>IMD VISTA Sorting Machine</t>
  </si>
  <si>
    <t>9.4 TO29/25Rnd NovaBlue-PET"Reliance"</t>
  </si>
  <si>
    <t>PRT  REL</t>
  </si>
  <si>
    <t>IMPS01 CYT 6.8 180 CAV 95294 PC PER HR</t>
  </si>
  <si>
    <t>IMD VISTA Sorting Machine</t>
  </si>
  <si>
    <t>3100009003</t>
  </si>
  <si>
    <t>Plain Self Adhes W105XH165mm–BOPP 1000/R</t>
  </si>
  <si>
    <t>PRT  REL</t>
  </si>
  <si>
    <t>IMPS01 CYT 6.8 180 CAV 95294 PC PER HR</t>
  </si>
  <si>
    <t>IMD VISTA Sorting Machine</t>
  </si>
  <si>
    <t>9.4TO29/25 Rd Nova Blue-PET"ST-BC211</t>
  </si>
  <si>
    <t>PRT  REL</t>
  </si>
  <si>
    <t>IMPS01 CYT 6.8 180 CAV 95294 PC PER HR</t>
  </si>
  <si>
    <t>IMD VISTA Sorting Machine</t>
  </si>
  <si>
    <t>3100009004</t>
  </si>
  <si>
    <t>Plain Self Adhes W105XH165mm–BOPP 1000/R</t>
  </si>
  <si>
    <t>PRT  REL</t>
  </si>
  <si>
    <t>IMP12 CYCT 15.6 96 CAVITY 25600pc</t>
  </si>
  <si>
    <t>IMD VISTA Sorting Machine</t>
  </si>
  <si>
    <t>PET Blue Preform For Grinding</t>
  </si>
  <si>
    <t>PRT  REL</t>
  </si>
  <si>
    <t>IMP12 CYCT 15.6 96 CAVITY 25600pc</t>
  </si>
  <si>
    <t>IMD VISTA Sorting Machine</t>
  </si>
  <si>
    <t>26.6TO29/25Rnd Nova Blue "Reliance"</t>
  </si>
  <si>
    <t>PRT  REL</t>
  </si>
  <si>
    <t>IMP12 CYCT 15.6 96 CAVITY 25600pc</t>
  </si>
  <si>
    <t>IMD VISTA Sorting Machine</t>
  </si>
  <si>
    <t>3100009005</t>
  </si>
  <si>
    <t>Plain Self Adhes W105XH165mm–BOPP 1000/R</t>
  </si>
  <si>
    <t>PRT  REL</t>
  </si>
  <si>
    <t>IMP01 CYCT 19 72 CAVITY 13642 PC PER HR</t>
  </si>
  <si>
    <t>INTRA VIS Preform Sorting Machine</t>
  </si>
  <si>
    <t>PET Clear Preform For Grinding</t>
  </si>
  <si>
    <t>PRT  REL</t>
  </si>
  <si>
    <t>IMP01 CYCT 19 72 CAVITY 13642 PC PER HR</t>
  </si>
  <si>
    <t>INTRA VIS Preform Sorting Machine</t>
  </si>
  <si>
    <t>51.0 BC 38mm 3 Rnd Clear steel c</t>
  </si>
  <si>
    <t>PRT  REL</t>
  </si>
  <si>
    <t>IMP01 CYCT 19 72 CAVITY 13642 PC PER HR</t>
  </si>
  <si>
    <t>INTRA VIS Preform Sorting Machine</t>
  </si>
  <si>
    <t>3100009006</t>
  </si>
  <si>
    <t>Plain Self Adhes W105XH165mm–BOPP 1000/R</t>
  </si>
  <si>
    <t>PRT  REL</t>
  </si>
  <si>
    <t>IM04 CYCT 18.3 96 CAVITY 18885 PC PER HR</t>
  </si>
  <si>
    <t>IMD VISTA Sorting Machine</t>
  </si>
  <si>
    <t>38.0BC1RS-CL-A</t>
  </si>
  <si>
    <t>38.0 BC 38mm short 112.7mm Clear J/C(Wpt</t>
  </si>
  <si>
    <t>PRT  REL</t>
  </si>
  <si>
    <t>IM04 CYCT 18.3 96 CAVITY 18885 PC PER HR</t>
  </si>
  <si>
    <t>IMD VISTA Sorting Machine</t>
  </si>
  <si>
    <t>3100009007</t>
  </si>
  <si>
    <t>36.0 BC38mm 3 Rnd Clear OJ/C(W plt</t>
  </si>
  <si>
    <t>PRT  REL</t>
  </si>
  <si>
    <t>IMP07 CYT 17 96 CAV 20330 PC PER HR</t>
  </si>
  <si>
    <t>IMD VISTA Sorting Machine</t>
  </si>
  <si>
    <t>3100009008</t>
  </si>
  <si>
    <t>SAFI Label 850ml Full Fat Laban- 26D V2</t>
  </si>
  <si>
    <t>PRT  REL</t>
  </si>
  <si>
    <t>SBM04 8 Cav 6000 PCS Hr</t>
  </si>
  <si>
    <t>INTRA VIS Preform Sorting Machine</t>
  </si>
  <si>
    <t>PE bag, 40 mic, 101 x 160 cm 14 cm gus</t>
  </si>
  <si>
    <t>PRT  REL</t>
  </si>
  <si>
    <t>SBM04 8 Cav 6000 PCS Hr</t>
  </si>
  <si>
    <t>INTRA VIS Preform Sorting Machine</t>
  </si>
  <si>
    <t>Plain Self Adhes W105XH165mm–BOPP 1000/R</t>
  </si>
  <si>
    <t>PRT  REL</t>
  </si>
  <si>
    <t>SBM04 8 Cav 6000 PCS Hr</t>
  </si>
  <si>
    <t>INTRA VIS Preform Sorting Machine</t>
  </si>
  <si>
    <t>Technomelt EM 357</t>
  </si>
  <si>
    <t>PRT  REL</t>
  </si>
  <si>
    <t>SBM04 8 Cav 6000 PCS Hr</t>
  </si>
  <si>
    <t>INTRA VIS Preform Sorting Machine</t>
  </si>
  <si>
    <t>St. Film [1.2K.g] 17micx500mmx1500 (Bio)</t>
  </si>
  <si>
    <t>PRT  REL</t>
  </si>
  <si>
    <t>SBM04 8 Cav 6000 PCS Hr</t>
  </si>
  <si>
    <t>INTRA VIS Preform Sorting Machine</t>
  </si>
  <si>
    <t>Safi 850ml PET WHT BT-F.F Laban-25D V2</t>
  </si>
  <si>
    <t>PRT  REL</t>
  </si>
  <si>
    <t>SBM04 8 Cav 6000 PCS Hr</t>
  </si>
  <si>
    <t>INTRA VIS Preform Sorting Machine</t>
  </si>
  <si>
    <t>3100009009</t>
  </si>
  <si>
    <t>Plain Self Adhes W105XH165mm–BOPP 1000/R</t>
  </si>
  <si>
    <t>PRT  REL</t>
  </si>
  <si>
    <t>IMPS07 CYT 17.3 144 CAV 29965 PC PER HR</t>
  </si>
  <si>
    <t>INTRA VIS Preform Sorting Machine</t>
  </si>
  <si>
    <t>45.0 PCO 1881 ICI Green J/C(P Plt - SIPA</t>
  </si>
  <si>
    <t>PRT  REL</t>
  </si>
  <si>
    <t>IMPS07 CYT 17.3 144 CAV 29965 PC PER HR</t>
  </si>
  <si>
    <t>INTRA VIS Preform Sorting Machine</t>
  </si>
  <si>
    <t>3100009010</t>
  </si>
  <si>
    <t>Plain Self Adhes W105XH165mm–BOPP 1000/R</t>
  </si>
  <si>
    <t>PRT  REL</t>
  </si>
  <si>
    <t>IMPS05 CYT 7.5 180 CAV 86400 PC PER HR</t>
  </si>
  <si>
    <t>IMD VISTA Sorting Machine</t>
  </si>
  <si>
    <t>PET Blue Preform For Grinding</t>
  </si>
  <si>
    <t>PRT  REL</t>
  </si>
  <si>
    <t>IMPS05 CYT 7.5 180 CAV 86400 PC PER HR</t>
  </si>
  <si>
    <t>IMD VISTA Sorting Machine</t>
  </si>
  <si>
    <t>12.5TO29/25Rnd Nova Blue-PET"Reliance"</t>
  </si>
  <si>
    <t>PRT  REL</t>
  </si>
  <si>
    <t>IMPS05 CYT 7.5 180 CAV 86400 PC PER HR</t>
  </si>
  <si>
    <t>IMD VISTA Sorting Machine</t>
  </si>
  <si>
    <t>3100009011</t>
  </si>
  <si>
    <t>Plain Self Adhes W105XH165mm–BOPP 1000/R</t>
  </si>
  <si>
    <t>PRT  REL</t>
  </si>
  <si>
    <t>IMPS06 CYCT 15 CAV 180  PCS PER HR 43200</t>
  </si>
  <si>
    <t>IMD VISTA Sorting Machine</t>
  </si>
  <si>
    <t>30.5 PCO 1881Rnd CLR J/C(PP JOM HDG-SIPA</t>
  </si>
  <si>
    <t>PRT  REL</t>
  </si>
  <si>
    <t>IMPS06 CYCT 15 CAV 180  PCS PER HR 43200</t>
  </si>
  <si>
    <t>IMD VISTA Sorting Machine</t>
  </si>
  <si>
    <t>3100009012</t>
  </si>
  <si>
    <t>Plain Self Adhes W105XH165mm–BOPP 1000/R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</si>
  <si>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</si>
  <si>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</si>
  <si>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</si>
  <si>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</si>
  <si>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</si>
  <si>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</si>
  <si>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</si>
  <si>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</si>
  <si>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</si>
  <si>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</si>
  <si>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</si>
  <si>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3100009013</t>
  </si>
  <si>
    <t>Plain Self Adhes W105XH165mm–BOPP 1000/R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</si>
  <si>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</si>
  <si>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</si>
  <si>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</si>
  <si>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</si>
  <si>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</si>
  <si>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</si>
  <si>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</si>
  <si>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3100009014</t>
  </si>
  <si>
    <t>Plain Self Adhes W105XH165mm–BOPP 1000/R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</si>
  <si>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</si>
  <si>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</si>
  <si>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</si>
  <si>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</si>
  <si>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</si>
  <si>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</si>
  <si>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</si>
  <si>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3100009015</t>
  </si>
  <si>
    <t>Plain Self Adhes W105XH165mm–BOPP 1000/R</t>
  </si>
  <si>
    <t>PRT  REL</t>
  </si>
  <si>
    <t>IMP12 CYCT 15.6 96 CAVITY 22153 PC</t>
  </si>
  <si>
    <t>IMD VISTA Sorting Machine</t>
  </si>
  <si>
    <t>Transparent Tape roll 2'' wide 45mic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</si>
  <si>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</si>
  <si>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</si>
  <si>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</si>
  <si>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</si>
  <si>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</si>
  <si>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</si>
  <si>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</si>
  <si>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TO 29/25 Rnd Clear J/C(P Plt</t>
  </si>
  <si>
    <t>PRT  REL</t>
  </si>
  <si>
    <t>IMP12 CYCT 15.6 96 CAVITY 22153 PC</t>
  </si>
  <si>
    <t>IMD VISTA Sorting Machine</t>
  </si>
  <si>
    <t>3100009016</t>
  </si>
  <si>
    <t>Plain Self Adhes W105XH165mm–BOPP 1000/R</t>
  </si>
  <si>
    <t>PRT  REL</t>
  </si>
  <si>
    <t>IMP12 CYCT 15.6 96 CAVITY 22153 PC</t>
  </si>
  <si>
    <t>IMD VISTA Sorting Machine</t>
  </si>
  <si>
    <t>Transparent Tape roll 2'' wide 45mic</t>
  </si>
  <si>
    <t>PRT  REL</t>
  </si>
  <si>
    <t>IMP12 CYCT 15.6 96 CAVITY 22153 PC</t>
  </si>
  <si>
    <t>IMD VISTA Sorting Machine</t>
  </si>
  <si>
    <t>PET Clear Preform For Grinding</t>
  </si>
  <si>
    <t>PRT  REL</t>
  </si>
  <si>
    <t>IMP12 CYCT 15.6 96 CAVITY 22153 PC</t>
  </si>
  <si>
    <t>IMD VISTA Sorting Machine</t>
  </si>
  <si>
    <t>26.6 29/25 Rnd Clear J/C(W Plt</t>
  </si>
  <si>
    <t>PRT  REL</t>
  </si>
  <si>
    <t>IMP12 CYCT 15.6 96 CAVITY 22153 PC</t>
  </si>
  <si>
    <t>IMD VISTA Sorting Machine</t>
  </si>
  <si>
    <t>3100009017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</si>
  <si>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</si>
  <si>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</si>
  <si>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</si>
  <si>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</si>
  <si>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</si>
  <si>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</si>
  <si>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</si>
  <si>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</si>
  <si>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45.0 PCO 1881 Rnd ICI Green Mena Bev</t>
  </si>
  <si>
    <t>PRT  REL</t>
  </si>
  <si>
    <t>IMPS07 CYT 17.3 144 CAV 29965 PC PER HR</t>
  </si>
  <si>
    <t>INTRA VIS Preform Sorting Machine</t>
  </si>
  <si>
    <t>3100009018</t>
  </si>
  <si>
    <t>Plain Self Adhes W105XH165mm–BOPP 1000/R</t>
  </si>
  <si>
    <t>PRT  REL</t>
  </si>
  <si>
    <t>IMPS07 CYT 17.3 144 CAV 29965 PC PER HR</t>
  </si>
  <si>
    <t>IMD VISTA Sorting Machine</t>
  </si>
  <si>
    <t>Transparent Tape roll 2'' wide 45mic</t>
  </si>
  <si>
    <t>PRT  REL</t>
  </si>
  <si>
    <t>IMPS07 CYT 17.3 144 CAV 29965 PC PER HR</t>
  </si>
  <si>
    <t>IMD VISTA Sorting Machine</t>
  </si>
  <si>
    <t>45.0 PCO 1881 Rnd ICI Green Mena Bev</t>
  </si>
  <si>
    <t>PRT  REL</t>
  </si>
  <si>
    <t>IMPS07 CYT 17.3 144 CAV 29965 PC PER HR</t>
  </si>
  <si>
    <t>IMD VISTA Sorting Machine</t>
  </si>
  <si>
    <t>3100009019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</si>
  <si>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</si>
  <si>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</si>
  <si>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</si>
  <si>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</si>
  <si>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</si>
  <si>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</si>
  <si>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</si>
  <si>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</si>
  <si>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3100009020</t>
  </si>
  <si>
    <t>Plain Self Adhes W105XH165mm–BOPP 1000/R</t>
  </si>
  <si>
    <t>PRT  REL</t>
  </si>
  <si>
    <t>IMP07 CYCT 10.2 72 CAV 25412 PC PER HR</t>
  </si>
  <si>
    <t>IMD VISTA Sorting Machine</t>
  </si>
  <si>
    <t>PET Clear Preform For Grinding</t>
  </si>
  <si>
    <t>PRT  REL</t>
  </si>
  <si>
    <t>IMP07 CYCT 10.2 72 CAV 25412 PC PER HR</t>
  </si>
  <si>
    <t>IMD VISTA Sorting Machine</t>
  </si>
  <si>
    <t>12.7 BC38mm 3 ECO Clear Steel c.</t>
  </si>
  <si>
    <t>PRT  REL</t>
  </si>
  <si>
    <t>IMP07 CYCT 10.2 72 CAV 25412 PC PER HR</t>
  </si>
  <si>
    <t>IMD VISTA Sorting Machine</t>
  </si>
  <si>
    <t>3100009021</t>
  </si>
  <si>
    <t>Plain Self Adhes W105XH165mm–BOPP 1000/R</t>
  </si>
  <si>
    <t>PRT  REL</t>
  </si>
  <si>
    <t>IMP12 CYCT 13.3 96 CAVITY 25984 PC</t>
  </si>
  <si>
    <t>IMD VISTA Sorting Machine</t>
  </si>
  <si>
    <t>Transparent Tape roll 2'' wide 45mic</t>
  </si>
  <si>
    <t>PRT  REL</t>
  </si>
  <si>
    <t>IMP12 CYCT 13.3 96 CAVITY 25984 PC</t>
  </si>
  <si>
    <t>IMD VISTA Sorting Machine</t>
  </si>
  <si>
    <t>PET Blue Preform For Grinding</t>
  </si>
  <si>
    <t>PRT  REL</t>
  </si>
  <si>
    <t>IMP12 CYCT 13.3 96 CAVITY 25984 PC</t>
  </si>
  <si>
    <t>IMD VISTA Sorting Machine</t>
  </si>
  <si>
    <t>26.6 29/25 Rnd Light Blue J/C(W Plt</t>
  </si>
  <si>
    <t>PRT  REL</t>
  </si>
  <si>
    <t>IMP12 CYCT 13.3 96 CAVITY 25984 PC</t>
  </si>
  <si>
    <t>IMD VISTA Sorting Machine</t>
  </si>
  <si>
    <t>3100009022</t>
  </si>
  <si>
    <t>45.0 PCO 1881 ICI Green J/C(P Plt - SIPA</t>
  </si>
  <si>
    <t>PRT  REL</t>
  </si>
  <si>
    <t>IMPS07 CYT 17.3 144 CAV 29965 PC PER HR</t>
  </si>
  <si>
    <t>INTRA VIS Preform Sorting Machine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</si>
  <si>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</si>
  <si>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</si>
  <si>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</si>
  <si>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</si>
  <si>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</si>
  <si>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</si>
  <si>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</si>
  <si>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</si>
  <si>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Nylon Cable Tie – CV-200B-Black(100 pcs)</t>
  </si>
  <si>
    <t>PRT  REL</t>
  </si>
  <si>
    <t>IMPS07 CYT 17.3 144 CAV 29965 PC PER HR</t>
  </si>
  <si>
    <t>INTRA VIS Preform Sorting Machine</t>
  </si>
  <si>
    <t>3100009023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</si>
  <si>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</si>
  <si>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</si>
  <si>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</si>
  <si>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</si>
  <si>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</si>
  <si>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</si>
  <si>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</si>
  <si>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</si>
  <si>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3100009024</t>
  </si>
  <si>
    <t>Plain Self Adhes W105XH165mm–BOPP 1000/R</t>
  </si>
  <si>
    <t>PRT  REL</t>
  </si>
  <si>
    <t>IMP01 CYCT 18.5 96CAVITY 18682 PC PER HR</t>
  </si>
  <si>
    <t>IMD VISTA Sorting Machine</t>
  </si>
  <si>
    <t>Transparent Tape roll 2'' wide 45mic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</si>
  <si>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</si>
  <si>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</si>
  <si>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</si>
  <si>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</si>
  <si>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</si>
  <si>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</si>
  <si>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</si>
  <si>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3100009025</t>
  </si>
  <si>
    <t>Transparent Tape roll 2'' wide 45mic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</si>
  <si>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</si>
  <si>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</si>
  <si>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</si>
  <si>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</si>
  <si>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</si>
  <si>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</si>
  <si>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</si>
  <si>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3100009026</t>
  </si>
  <si>
    <t>Plain Self Adhes W105XH165mm–BOPP 1000/R</t>
  </si>
  <si>
    <t>PRT  REL</t>
  </si>
  <si>
    <t>IMP01 CYCT 18.5 96CAVITY 18682 PC PER HR</t>
  </si>
  <si>
    <t>IMD VISTA Sorting Machine</t>
  </si>
  <si>
    <t>Transparent Tape roll 2'' wide 45mic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</si>
  <si>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</si>
  <si>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</si>
  <si>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</si>
  <si>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</si>
  <si>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</si>
  <si>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</si>
  <si>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</si>
  <si>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3100009027</t>
  </si>
  <si>
    <t>Plain Self Adhes W105XH165mm–BOPP 1000/R</t>
  </si>
  <si>
    <t>PRT  REL</t>
  </si>
  <si>
    <t>IMP01 CYCT 18.5 96CAVITY 18682 PC PER HR</t>
  </si>
  <si>
    <t>IMD VISTA Sorting Machine</t>
  </si>
  <si>
    <t>52.0 BC38mm 3 Rnd Clear J/C(P Plt</t>
  </si>
  <si>
    <t>PRT  REL</t>
  </si>
  <si>
    <t>IMP01 CYCT 18.5 96CAVITY 18682 PC PER HR</t>
  </si>
  <si>
    <t>IMD VISTA Sorting Machine</t>
  </si>
  <si>
    <t>3100009028</t>
  </si>
  <si>
    <t>52.0 BC38mm 3 Rnd Clear J/C(P Plt</t>
  </si>
  <si>
    <t>PRT  REL</t>
  </si>
  <si>
    <t>IMP01 CYCT 18.5 96CAVITY 18682 PC PER HR</t>
  </si>
  <si>
    <t>INTRA VIS Preform Sorting Machine</t>
  </si>
  <si>
    <t>3100009029</t>
  </si>
  <si>
    <t>30.5PCO1881 ICI GreenJ/C(PP JOM HDG-SIPA</t>
  </si>
  <si>
    <t>PRT  REL</t>
  </si>
  <si>
    <t>IMD VISTA Sorting Machine</t>
  </si>
  <si>
    <t>3100009030</t>
  </si>
  <si>
    <t>52.0 BC38mm 3 Rnd Clear J/C(P Plt</t>
  </si>
  <si>
    <t>PRT  REL</t>
  </si>
  <si>
    <t>IMP01 CYCT 18.5 96CAVITY 18682 PC PER HR</t>
  </si>
  <si>
    <t>IMD VISTA Sorting Machine</t>
  </si>
  <si>
    <t>Plain Self Adhes W105XH165mm–BOPP 1000/R</t>
  </si>
  <si>
    <t>PRT  REL</t>
  </si>
  <si>
    <t>IMP01 CYCT 18.5 96CAVITY 18682 PC PER HR</t>
  </si>
  <si>
    <t>IMD VISTA Sorting Machine</t>
  </si>
  <si>
    <t>Transparent Tape roll 2'' wide 45mic</t>
  </si>
  <si>
    <t>PRT  REL</t>
  </si>
  <si>
    <t>IMP01 CYCT 18.5 96CAVITY 18682 PC PER HR</t>
  </si>
  <si>
    <t>IMD VISTA Sorting Machine</t>
  </si>
  <si>
    <t>Nylon Cable Tie – CV-200B-Black(100 pcs)</t>
  </si>
  <si>
    <t>PRT  REL</t>
  </si>
  <si>
    <t>IMP01 CYCT 18.5 96CAVITY 18682 PC PER HR</t>
  </si>
  <si>
    <t>IMD VISTA Sorting Machine</t>
  </si>
  <si>
    <t>3100009031</t>
  </si>
  <si>
    <t>36.0 BC 38mm 3 Rnd Clear Steel C-(Aujan)</t>
  </si>
  <si>
    <t>PRT  REL</t>
  </si>
  <si>
    <t>IMP12 CYT 16.5 96 CAV 20945 PC PER HR</t>
  </si>
  <si>
    <t>IMD VISTA Sorting Machine</t>
  </si>
  <si>
    <t>PET Clear Preform For Grinding</t>
  </si>
  <si>
    <t>PRT  REL</t>
  </si>
  <si>
    <t>IMP12 CYT 16.5 96 CAV 20945 PC PER HR</t>
  </si>
  <si>
    <t>IMD VISTA Sorting Machine</t>
  </si>
  <si>
    <t>Plain Self Adhes W105XH165mm–BOPP 1000/R</t>
  </si>
  <si>
    <t>PRT  REL</t>
  </si>
  <si>
    <t>IMP12 CYT 16.5 96 CAV 20945 PC PER HR</t>
  </si>
  <si>
    <t>IMD VISTA Sorting Machine</t>
  </si>
  <si>
    <t>Transparent Tape roll 2'' wide 45mic</t>
  </si>
  <si>
    <t>PRT  REL</t>
  </si>
  <si>
    <t>IMP12 CYT 16.5 96 CAV 20945 PC PER HR</t>
  </si>
  <si>
    <t>IMD VISTA Sorting Machine</t>
  </si>
  <si>
    <t>Nylon Cable Tie – CV-200B-Black(100 pcs)</t>
  </si>
  <si>
    <t>PRT  REL</t>
  </si>
  <si>
    <t>IMP12 CYT 16.5 96 CAV 20945 PC PER HR</t>
  </si>
  <si>
    <t>IMD VISTA Sorting Machine</t>
  </si>
  <si>
    <t>3100009032</t>
  </si>
  <si>
    <t>30.5PCO 1881 ICI Green RPET Mena Bev</t>
  </si>
  <si>
    <t>PRT  REL</t>
  </si>
  <si>
    <t>IMPS06 CYCT 15 CAV 180  PCS PER HR 43200</t>
  </si>
  <si>
    <t>INTRA VIS Preform Sorting Machine</t>
  </si>
  <si>
    <t>Plain Self Adhes W105XH165mm–BOPP 1000/R</t>
  </si>
  <si>
    <t>PRT  REL</t>
  </si>
  <si>
    <t>IMPS06 CYCT 15 CAV 180  PCS PER HR 43200</t>
  </si>
  <si>
    <t>INTRA VIS Preform Sorting Machine</t>
  </si>
  <si>
    <t>Transparent Tape roll 2'' wide 45mic</t>
  </si>
  <si>
    <t>PRT  REL</t>
  </si>
  <si>
    <t>IMPS06 CYCT 15 CAV 180  PCS PER HR 43200</t>
  </si>
  <si>
    <t>INTRA VIS Preform Sorting Machine</t>
  </si>
  <si>
    <t>Nylon Cable Tie – CV-200B-Black(100 pcs)</t>
  </si>
  <si>
    <t>PRT  REL</t>
  </si>
  <si>
    <t>IMPS06 CYCT 15 CAV 180  PCS PER HR 43200</t>
  </si>
  <si>
    <t>INTRA VIS Preform Sorting Machine</t>
  </si>
  <si>
    <t>3100009033</t>
  </si>
  <si>
    <t>Plain Self Adhes W105XH165mm–BOPP 1000/R</t>
  </si>
  <si>
    <t>PRT  REL</t>
  </si>
  <si>
    <t>IMPS06 CYCT 15 CAV 180  PCS PER HR 43200</t>
  </si>
  <si>
    <t>IMD VISTA Sorting Machine</t>
  </si>
  <si>
    <t>30.5PCO 1881 ICI Green RPET Mena Bev</t>
  </si>
  <si>
    <t>PRT  REL</t>
  </si>
  <si>
    <t>IMPS06 CYCT 15 CAV 180  PCS PER HR 43200</t>
  </si>
  <si>
    <t>IMD VISTA Sorting Machine</t>
  </si>
  <si>
    <t>3100009034</t>
  </si>
  <si>
    <t>Plain Self Adhes W105XH165mm–BOPP 1000/R</t>
  </si>
  <si>
    <t>PRT  REL</t>
  </si>
  <si>
    <t>IMPS07 CYT 17.3 144 CAV 29965 PC PER HR</t>
  </si>
  <si>
    <t>INTRA VIS Preform Sorting Machine</t>
  </si>
  <si>
    <t>Transparent Tape roll 2'' wide 45mic</t>
  </si>
  <si>
    <t>PRT  REL</t>
  </si>
  <si>
    <t>IMPS07 CYT 17.3 144 CAV 29965 PC PER HR</t>
  </si>
  <si>
    <t>INTRA VIS Preform Sorting Machine</t>
  </si>
  <si>
    <t>45.0 PCO 1881Rd Clear J/C(P Plt - SIPA</t>
  </si>
  <si>
    <t>PRT  REL</t>
  </si>
  <si>
    <t>IMPS07 CYT 17.3 144 CAV 29965 PC PER HR</t>
  </si>
  <si>
    <t>INTRA VIS Preform Sorting Machine</t>
  </si>
  <si>
    <t>FGCODE</t>
  </si>
  <si>
    <t>Pc_Pal</t>
  </si>
  <si>
    <t>Section</t>
  </si>
  <si>
    <t>PartWT_kg</t>
  </si>
  <si>
    <t>Text</t>
  </si>
  <si>
    <t>RM_Type</t>
  </si>
  <si>
    <t>10.4TO2RD-BS10-B</t>
  </si>
  <si>
    <t>IPC</t>
  </si>
  <si>
    <t>10.4TO29/25Rd Nova Blue-PET"ST-Reliance"</t>
  </si>
  <si>
    <t>SOFT</t>
  </si>
  <si>
    <t>10.4TO2RD-BS6-B</t>
  </si>
  <si>
    <t>10.4 TO 29/25 Rnd Nova Blue (rPET)-P plt</t>
  </si>
  <si>
    <t>WTR RPET</t>
  </si>
  <si>
    <t>18.0PC2RD-IG-V2</t>
  </si>
  <si>
    <t>18.0PCO 1881Rnd ICI GreenMenaBev RPET PP</t>
  </si>
  <si>
    <t>RPET</t>
  </si>
  <si>
    <t>22.3PC2RD-CLS-BH1</t>
  </si>
  <si>
    <t>22.3 PCO 1881 Clear"rPET"J/C PPlt (SIPA)</t>
  </si>
  <si>
    <t>22.3PC2RD-IGS-BH1</t>
  </si>
  <si>
    <t>22.3PCO1881ICI Green"rPET"J/C PPlt(SIPA)</t>
  </si>
  <si>
    <t>29.3TO2RD-B6-B</t>
  </si>
  <si>
    <t>29.3TO29/25Rnd Nova Blue-PET"ST-YISHENG"</t>
  </si>
  <si>
    <t>29.3TO2RD-B8-B</t>
  </si>
  <si>
    <t>29.3TO29/25Rnd NovaBlue-PET"ST-Reliance"</t>
  </si>
  <si>
    <t>30.5PC2RD-CLS-V2</t>
  </si>
  <si>
    <t>30.5PCO 1881RdCLR MenaB rPET J/C(PP-SIPA</t>
  </si>
  <si>
    <t>30.5PC2RD-IGS-V2</t>
  </si>
  <si>
    <t>30.5PCO1881Rd ICIGreenMenaB rPET PP-SIPA</t>
  </si>
  <si>
    <t>WTRZ</t>
  </si>
  <si>
    <t>45.0PC2RD-CL-B2</t>
  </si>
  <si>
    <t>45.0 PCO 1881Rd Clear rPET J/C(P Plt JOM</t>
  </si>
  <si>
    <t>45.0PC2RD-IG-B2</t>
  </si>
  <si>
    <t>45.0PCO 1881 ICI Green rPET J/C(P Pt JOM</t>
  </si>
  <si>
    <t>CSD</t>
  </si>
  <si>
    <t>9.4TO2RD-BS8-B</t>
  </si>
  <si>
    <t>9.4 TO29/25Rnd Nova Blue-PET"ST-YISHENG"</t>
  </si>
  <si>
    <t>10.4TO2RD-BS11-B</t>
  </si>
  <si>
    <t>10.4TO29/25Rd Nova Blue-PET"ST-JADE"</t>
  </si>
  <si>
    <t>29.3TO2RD-B5-B</t>
  </si>
  <si>
    <t>29.3TO29/25 Rnd Nova Blue-PET"ST-JADE"</t>
  </si>
  <si>
    <t>9.4TO2RD-BS5-B</t>
  </si>
  <si>
    <t>9.4TO29/25 Rd Nova Blue-PET"ST-JADE"</t>
  </si>
  <si>
    <t>9.4TO2RD-BS11-B</t>
  </si>
  <si>
    <t>9.4 TO29/25Rnd Nova Blue-PET"ST-CRC"</t>
  </si>
  <si>
    <t>10.4TO2RD-BS12-B</t>
  </si>
  <si>
    <t>10.4 TO29/25Rnd Nova Blue-PET"ST-CRC"</t>
  </si>
  <si>
    <t>14.0TO2RD-B2-B</t>
  </si>
  <si>
    <t>14.0 TO29/25Rnd Nova Blue-PET"ST-CRC"</t>
  </si>
  <si>
    <t xml:space="preserve">13.5 TO29/25Rnd Nova Blue-PETST-CRC   </t>
  </si>
  <si>
    <t>13.5TO2RD-B2-B</t>
  </si>
  <si>
    <t>13.5 TO29/25Rd Nova Blue-PET"ST-YISHENG"</t>
  </si>
  <si>
    <t>9.4TO 29/25Rnd L.Blue J/CWplt(?1ppm)SIPA</t>
  </si>
  <si>
    <t>WTR</t>
  </si>
  <si>
    <t xml:space="preserve">13.5 TO29/25Rnd Nova Blue-PET"ST-FENC"  </t>
  </si>
  <si>
    <t>29.3TO2RD-B12-B</t>
  </si>
  <si>
    <t xml:space="preserve">29.3TO29/25Rnd NovaBlue-PET"ST-FENC"    </t>
  </si>
  <si>
    <t>12.5TO2RD-BS3-B</t>
  </si>
  <si>
    <t>12.5TO29/25Rnd Nova Blue-PET"ST-CRC"</t>
  </si>
  <si>
    <t>12.5TO2RD-BS9-B</t>
  </si>
  <si>
    <t>12.5TO29/25Rnd Nova Blue-PET"ST-YISHENG"</t>
  </si>
  <si>
    <t>26.6TO2RD-BS3-B</t>
  </si>
  <si>
    <t>26.6TO29/25Rnd Nova Blue -ST-BC 210</t>
  </si>
  <si>
    <t>14.0 PCO 1881 Rnd Clear Steel C-(Aujan)</t>
  </si>
  <si>
    <t>12.5TO2RD-BS13-B</t>
  </si>
  <si>
    <t>ZZZ</t>
  </si>
  <si>
    <t>10.0TO2RD-CL-A</t>
  </si>
  <si>
    <t>10.0 TO LW 29/25 Rnd Clear J/C(W plt</t>
  </si>
  <si>
    <t>10.4TO2RD-B1-B</t>
  </si>
  <si>
    <t>10.4 TO 29/25 Rnd Nova Blue  J/C(P plt</t>
  </si>
  <si>
    <t>10.4TO2RD-B4-A</t>
  </si>
  <si>
    <t>10.4 TO 29/25 Rnd Arwa Blue J/C(W plt</t>
  </si>
  <si>
    <t>10.4TO2RD-B4-AH</t>
  </si>
  <si>
    <t>10.4 TO 29/25Rnd Arwa Blue J/C(W plt HDG</t>
  </si>
  <si>
    <t>10.4TO2RD-B8-A</t>
  </si>
  <si>
    <t>10.4 TO 29/25 Rnd Blue HAYAT J/C(W Plt</t>
  </si>
  <si>
    <t>10.4TO2RD-BH-A</t>
  </si>
  <si>
    <t>10.4 TO 29/25 Rnd L.Blue Hilwa J/C(W plt</t>
  </si>
  <si>
    <t>10.4TO2RD-BS1-B</t>
  </si>
  <si>
    <t>10.4 TO 29/25 Rnd Nova Blue (CB-602A)</t>
  </si>
  <si>
    <t>10.4TO2RD-BS2-B</t>
  </si>
  <si>
    <t>10.4 TO 29/25 Rnd Nova Blue-PET YS-W01 L</t>
  </si>
  <si>
    <t>10.4TO2RD-BS3-B</t>
  </si>
  <si>
    <t>10.4 TO 29/25 Rnd Nova Blue (PET G5761)</t>
  </si>
  <si>
    <t>10.4TO2RD-BS4-B</t>
  </si>
  <si>
    <t>10.4 TO 29/25 Rnd Nova Blue  (PET WG02)</t>
  </si>
  <si>
    <t>10.4TO2RD-BS5-B</t>
  </si>
  <si>
    <t>10.4 TO29/25 Rd Nova Blue-PET RAMAPET N2</t>
  </si>
  <si>
    <t>10.4TO2RD-BS7-B</t>
  </si>
  <si>
    <t>10.4 TO 29/25 Rnd Nova Blue ( SABIC)</t>
  </si>
  <si>
    <t>10.4TO2RD-BS8-S</t>
  </si>
  <si>
    <t>10.4TO29/25Rnd NovaBlue-PET"YS-I"Steel C</t>
  </si>
  <si>
    <t>10.4TO2RD-BS9-B</t>
  </si>
  <si>
    <t>10.4TO29/25 Rnd Nova Blue(RELIANCE–SPPS)</t>
  </si>
  <si>
    <t>10.4TO2RD-BS-B</t>
  </si>
  <si>
    <t>10.4 TO 29/25 Rnd Nova Blue J/C(P- SIPA</t>
  </si>
  <si>
    <t>10.4TO2RD-BS-S</t>
  </si>
  <si>
    <t>10.4 TO 29/25 Rnd Nova Blue Steel C SIPA</t>
  </si>
  <si>
    <t>10.4TO2RD-C8-A</t>
  </si>
  <si>
    <t>10.4 TO 29/25 Rnd Clear HAYAT J/C(W plt</t>
  </si>
  <si>
    <t>10.4TO2RD-CA-B</t>
  </si>
  <si>
    <t>10.4 29/25 Rnd Clear AA Reducer J/C(Pplt</t>
  </si>
  <si>
    <t>10.4TO2RD-CA-BH</t>
  </si>
  <si>
    <t>10.4 29/25RndCLR AA Rdcer MenaB PP HDG</t>
  </si>
  <si>
    <t>10.4TO2RD-CA-BH2</t>
  </si>
  <si>
    <t>10.4 29/25Rnd CLR AA Rdcer(P Plt JOM HDG</t>
  </si>
  <si>
    <t>10.4TO2RD-CL-AH</t>
  </si>
  <si>
    <t>10.4 TO 29/25 Rnd Clear J/C(W plt HDG</t>
  </si>
  <si>
    <t>10.4TO2RD-CL-AH1</t>
  </si>
  <si>
    <t>10.4 29/25 Rnd Clear  J/C(W plt-NTBC HDG</t>
  </si>
  <si>
    <t>10.4TO2RD-CL-AH5</t>
  </si>
  <si>
    <t>10.4 TO 29/25 Rnd CLR ORC J/C(W plt HDG5</t>
  </si>
  <si>
    <t>10.4TO2RD-CL-AS</t>
  </si>
  <si>
    <t>10.4 TO 29/25 Rnd Clear AS J/C(W Plt</t>
  </si>
  <si>
    <t>10.4TO2RD-CL-DH</t>
  </si>
  <si>
    <t>10.4 TO 29/25 Rnd Clear DRC J/C(W pt HDG</t>
  </si>
  <si>
    <t>10.4TO2RD-CL-P</t>
  </si>
  <si>
    <t>10.4 TO29/25 Rnd Clear Plain OCJ/C(W plt</t>
  </si>
  <si>
    <t>10.4TO2RD-CLS-B</t>
  </si>
  <si>
    <t>10.4 TO 29/25 Rnd Clear J/C(P plt</t>
  </si>
  <si>
    <t>10.4TO2RD-CL-Z</t>
  </si>
  <si>
    <t>10.4 TO 29/25 Rnd Clear EXP/C (W Plt</t>
  </si>
  <si>
    <t>10.4TO2RD-DB-A</t>
  </si>
  <si>
    <t>10.4 TO 29/25 Rnd D.Blue J/C(W plt</t>
  </si>
  <si>
    <t>10.4TO2RD-GB-A</t>
  </si>
  <si>
    <t>10.4 TO 29/25 Rnd GNRL BLUE J/C(W Plt</t>
  </si>
  <si>
    <t>10.4TO2RD-GB-S</t>
  </si>
  <si>
    <t>10.4 TO 29/25 Rnd GNRL Blue Steel c.</t>
  </si>
  <si>
    <t>10.4TO2RD-LB-AM</t>
  </si>
  <si>
    <t>10.4TO29/25Rnd L.BLUE"MARINA Trd."J/C-WP</t>
  </si>
  <si>
    <t>10.4TO2RD-LB-AS</t>
  </si>
  <si>
    <t>10.4 TO 29/25 Rnd L.BLUE AS J/C(W Pt</t>
  </si>
  <si>
    <t>10.4TO2RD-LB-P</t>
  </si>
  <si>
    <t>10.4 TO29/25 Rnd LBLUE Plain OCJ/C(W plt</t>
  </si>
  <si>
    <t>10.4TO2RD-LB-S</t>
  </si>
  <si>
    <t>10.4 TO 29/25 Rnd Light Blue Steel C</t>
  </si>
  <si>
    <t>10.4TO2RD-NB-A</t>
  </si>
  <si>
    <t>10.4TO 29/25 Rnd Najran L.BLUE J/C(W Plt</t>
  </si>
  <si>
    <t>10.4TO2RD-RB-A</t>
  </si>
  <si>
    <t>10.4 TO 29/25 Rd REST WATER BLUE J/C(Wpt</t>
  </si>
  <si>
    <t>10.5TO2RD-CL-A</t>
  </si>
  <si>
    <t>10.5 29/25 Rnd Clear W</t>
  </si>
  <si>
    <t>10.5TO2RD-CL-B</t>
  </si>
  <si>
    <t>10.5 29/25 Rnd Clear W RPP</t>
  </si>
  <si>
    <t>10.5TO2RD-CL-JA1-B</t>
  </si>
  <si>
    <t>10.5 TO 29/25 Rnd Clear Jade W RPP</t>
  </si>
  <si>
    <t>10.5TO2RD-DB-A</t>
  </si>
  <si>
    <t>10.5 29/25 Rnd Dark Blue J/C(W plt</t>
  </si>
  <si>
    <t>10.5TO2RD-DB-BC1-A</t>
  </si>
  <si>
    <t>10.5 TO 29/25 Rnd Dark Blue BC111</t>
  </si>
  <si>
    <t>1000-1C34.0-TAI-P</t>
  </si>
  <si>
    <t>BM</t>
  </si>
  <si>
    <t>1 LTR Clear PET Bottle 34.0g</t>
  </si>
  <si>
    <t>0</t>
  </si>
  <si>
    <t>11.1TO2RD-CL-G</t>
  </si>
  <si>
    <t>11.1 TO 29/25 Rnd Clear J/C(P Plt</t>
  </si>
  <si>
    <t>11.1TO2RD-CL-S</t>
  </si>
  <si>
    <t>11.1 TO 29/25 Rnd Clear Steel C</t>
  </si>
  <si>
    <t>11.25TO2RD-CLS1-A</t>
  </si>
  <si>
    <t>11.25 TO29/25Rd Clear(?2ppm)J/C(WP-SIPA</t>
  </si>
  <si>
    <t>11.25TO2RD-CLS-A</t>
  </si>
  <si>
    <t>11.25 TO29/25Rd Clear J/C(WP-SIPA)</t>
  </si>
  <si>
    <t>11.25TO2RD-LBS1-A</t>
  </si>
  <si>
    <t>11.25 TO29/25Rd L.Blue(?2ppm)J/C(WP-SIPA</t>
  </si>
  <si>
    <t>11.25TO2RD-LBS-A</t>
  </si>
  <si>
    <t>11.25 TO29/25Rd L.Blue J/C(WP-SIPA)</t>
  </si>
  <si>
    <t>11.4TO1RD-CL-A</t>
  </si>
  <si>
    <t>11.4 30/25 Rnd CLEAR J/C(W Plt</t>
  </si>
  <si>
    <t>11.4TO1RD-CL-BC1-A</t>
  </si>
  <si>
    <t>11.4 TO 30/25 Rnd CLEAR BC111</t>
  </si>
  <si>
    <t>11.4TO1RD-LB-A</t>
  </si>
  <si>
    <t>11.4 30/25 Rnd light blue J/C(W Plt</t>
  </si>
  <si>
    <t>11.5TO29/25 Rnd'AJLAN'BLUE J/C(P pt-SIPA</t>
  </si>
  <si>
    <t>11.5TO2RD-CLS1-A</t>
  </si>
  <si>
    <t>11.5 TO29/25Rd Clear(?2ppm)J/C(WP-SIPA</t>
  </si>
  <si>
    <t>11.5 TO29/25Rd L.Blue(?2ppm)J/C(WP-SIPA</t>
  </si>
  <si>
    <t>11.7TO1RD-B1-A</t>
  </si>
  <si>
    <t>11.7 TO 30/25 Rnd Nova Blue J/C(W plt</t>
  </si>
  <si>
    <t>11.7TO1RD-B1-B</t>
  </si>
  <si>
    <t>11.7 TO 30/25 Rnd Nova Blue J/C(Pplt</t>
  </si>
  <si>
    <t>11.7TO1RD-B1-N</t>
  </si>
  <si>
    <t>11.7 TO 30/25 Rnd Nova Blue OCJ/C(P plt</t>
  </si>
  <si>
    <t>11.7TO1RD-B1-S</t>
  </si>
  <si>
    <t>11.7 TO 30/25 Rnd Nova Blue Steel crate</t>
  </si>
  <si>
    <t>11.7TO1RD-CH-A</t>
  </si>
  <si>
    <t>11.7 30/25 Rd Clear for Helwa J/C(W plt</t>
  </si>
  <si>
    <t>11.7TO1RD-CL-A</t>
  </si>
  <si>
    <t>11.7 TO 30/25 Rnd Clear J/C(W plt</t>
  </si>
  <si>
    <t>11.7TO1RD-CL-Z</t>
  </si>
  <si>
    <t>11.7 TO 30/25 Rnd Clear EXP/C(W Plt</t>
  </si>
  <si>
    <t>11.7TO1RD-LB-A</t>
  </si>
  <si>
    <t>11.7 TO 30/25 Rnd Light Blue J/C(W plt</t>
  </si>
  <si>
    <t>11.7TO1RD-LB-Z</t>
  </si>
  <si>
    <t>11.7 TO 30/25 Rnd Light Blue EXP/C(W plt</t>
  </si>
  <si>
    <t>11.9TO1RD-CL-A</t>
  </si>
  <si>
    <t>11.9 TO 30/25 Rnd Clear J/C(W plt</t>
  </si>
  <si>
    <t>11.9TO1RD-LB-A</t>
  </si>
  <si>
    <t>11.9 TO 30/25 Rnd L.Blue J/C(W Plt</t>
  </si>
  <si>
    <t>12.25TO2RD-CLS1-A</t>
  </si>
  <si>
    <t>12.25 TO29/25Rd Clear(?2ppm)J/C(WP-SIPA</t>
  </si>
  <si>
    <t>12.25TO2RD-CLS-A</t>
  </si>
  <si>
    <t>12.25 TO29/25Rd Clear J/C(WP-SIPA)</t>
  </si>
  <si>
    <t>12.25TO2RD-LBS1-A</t>
  </si>
  <si>
    <t>12.25 TO29/25Rd L.Blue(?2ppm)J/C(WP-SIPA</t>
  </si>
  <si>
    <t>12.25TO2RD-LBS-A</t>
  </si>
  <si>
    <t>12.25 TO29/25Rd L.Blue J/C(WP-SIPA)</t>
  </si>
  <si>
    <t>12.5TO1RD-CL-A</t>
  </si>
  <si>
    <t>12.5 30/25 Rnd Clear J/C(W Plt</t>
  </si>
  <si>
    <t>12.5TO1RD-CL-JA1-A</t>
  </si>
  <si>
    <t>12.5 TO 30/25 Rnd Clear Jade W</t>
  </si>
  <si>
    <t>12.5TO1RD-NB-A</t>
  </si>
  <si>
    <t>12.5 30/25 Rnd NV Blue J/C(W plt</t>
  </si>
  <si>
    <t>12.5TO1RD-NB-BC1-A</t>
  </si>
  <si>
    <t>12.5 TO 30/25 Rnd NV Blue BC111</t>
  </si>
  <si>
    <t>12.5TO2RD-B4-A</t>
  </si>
  <si>
    <t>12.5 TO 29/25 Rnd Arwa Blue J/C(W plt</t>
  </si>
  <si>
    <t>12.5TO2RD-B4-AH</t>
  </si>
  <si>
    <t>12.5 TO 29/25Rnd Arwa Blue J/C(W plt HDG</t>
  </si>
  <si>
    <t>12.5TO2RD-B4S-A</t>
  </si>
  <si>
    <t>12.5 TO 29/25Rnd Arwa Blue J/C(W pt-SIPA</t>
  </si>
  <si>
    <t>12.5TO2RD-BH-A</t>
  </si>
  <si>
    <t>12.5 29/25 Rnd L.Blue HILWA J/C(W Plt</t>
  </si>
  <si>
    <t>12.5TO2RD-BHS-A</t>
  </si>
  <si>
    <t>XXX</t>
  </si>
  <si>
    <t>12.5TO2RD-BMS-A</t>
  </si>
  <si>
    <t>12.5 TO 29/25Mawared Blue AA J/C(WP-SIPA</t>
  </si>
  <si>
    <t>12.5TO2RD-CA-B</t>
  </si>
  <si>
    <t>12.5 29/25 Rnd Clear AA Reducer J/C(Pplt</t>
  </si>
  <si>
    <t>12.5TO2RD-CA-BH2</t>
  </si>
  <si>
    <t>12.5 29/25Rnd CLR AA Rdcer(P Plt JOM HDG</t>
  </si>
  <si>
    <t>12.5TO2RD-CA-DH</t>
  </si>
  <si>
    <t>12.5 29/25 CLR AA Rdcer DRC WP.HDG</t>
  </si>
  <si>
    <t>12.5TO2RD-CAS-B</t>
  </si>
  <si>
    <t>12.5 29/25Rnd CLR AA Reducer J/C(PP JOM</t>
  </si>
  <si>
    <t>12.5TO2RD-CA-V</t>
  </si>
  <si>
    <t>12.5 29/25 Clear AA Reducer MenaBev Spec</t>
  </si>
  <si>
    <t>12.5TO2RD-CA-VH</t>
  </si>
  <si>
    <t>12.5 29/25 CLR AA Rdcer MenaBev PP.HDG</t>
  </si>
  <si>
    <t>12.5TO2RD-CH-A</t>
  </si>
  <si>
    <t>12.5 29/25 Rnd Clear for HILWA J/C(W Plt</t>
  </si>
  <si>
    <t>12.5TO2RD-CHS-A</t>
  </si>
  <si>
    <t>12.5TO2RD-CL-A</t>
  </si>
  <si>
    <t>12.5 29/25 Rnd Clear J/C(W plt</t>
  </si>
  <si>
    <t>12.5TO2RD-CL-AH</t>
  </si>
  <si>
    <t>12.5 29/25 Rnd Clear J/C(W plt HDG</t>
  </si>
  <si>
    <t>12.5TO2RD-CL-AH1</t>
  </si>
  <si>
    <t>12.5 29/25 Rnd Clear  J/C(W plt-NTBC HDG</t>
  </si>
  <si>
    <t>12.5TO2RD-CL-AH5</t>
  </si>
  <si>
    <t>12.5 29/25 Rnd Clear ORC J/C(W plt HDG5</t>
  </si>
  <si>
    <t>12.5TO2RD-CL-B</t>
  </si>
  <si>
    <t>12.5 29/25 Rnd Clear J/C(P Plt</t>
  </si>
  <si>
    <t>12.5 29/25 Rnd Clear (? 2ppm)J/C(WP-SIPA</t>
  </si>
  <si>
    <t>12.5TO2RD-CLS2-A</t>
  </si>
  <si>
    <t>12.5TO2RD-CLS3-A</t>
  </si>
  <si>
    <t>12.5 29/25 Rnd Clear (? 4ppm)J/C(WP-SIPA</t>
  </si>
  <si>
    <t>12.5 29/25 Rnd Clear J/C(PP JOM</t>
  </si>
  <si>
    <t>12.5TO2RD-CL-Z</t>
  </si>
  <si>
    <t>12.5 TO 29/25 Rnd Clear EXP/C(W Plt</t>
  </si>
  <si>
    <t>12.5TO2RD-DB-A</t>
  </si>
  <si>
    <t>12.5 29/25 Rnd Dark Blue J/C(W plt</t>
  </si>
  <si>
    <t>12.5 29/25 Rd D.Blue(? 2ppm) J/C(WP-SIPA</t>
  </si>
  <si>
    <t>12.5TO2RD-DBS2-A</t>
  </si>
  <si>
    <t>12.5 29/25 Rd D.Blue (? 4ppm)J/C(WP-SIPA</t>
  </si>
  <si>
    <t>12.5TO2RD-DBS-A</t>
  </si>
  <si>
    <t>12.5 29/25 Rd D.Blue J/C(WP-SIPA</t>
  </si>
  <si>
    <t>12.5TO2RD-GB-A</t>
  </si>
  <si>
    <t>12.5 TO 29/25 Rnd GNRL BLUE J/C(W plt</t>
  </si>
  <si>
    <t>12.5TO2RD-GB-S</t>
  </si>
  <si>
    <t>12.5 29/25 Rnd GNRL Blue Steel C.</t>
  </si>
  <si>
    <t>12.5TO2RD-LB-A</t>
  </si>
  <si>
    <t>12.5 TO 29/25 Rnd L.Blue J/C(W plt</t>
  </si>
  <si>
    <t>12.5 TO29/25Rd L.Blue(? 2ppm)J/C(WP-SIPA</t>
  </si>
  <si>
    <t>12.5TO2RD-LBS2-A</t>
  </si>
  <si>
    <t>12.5TO2RD-LBS3-A</t>
  </si>
  <si>
    <t>12.5 TO 29/25Rd L.Blue(?4ppm)J/C(WP-SIPA</t>
  </si>
  <si>
    <t>12.5TO2RD-LB-Z</t>
  </si>
  <si>
    <t>12.5 TO 29/25 Rnd Light Blue EXP/C(W Plt</t>
  </si>
  <si>
    <t>12.5TO2RD-NB-A</t>
  </si>
  <si>
    <t>12.5TO 29/25 Rnd Najran L.Blue J/C(W plt</t>
  </si>
  <si>
    <t>12.6TO2RD-DB-JA1-A</t>
  </si>
  <si>
    <t>12.6 TO 29/25 Rnd Dark Blue Jade W</t>
  </si>
  <si>
    <t>12.7BC1EC-CL-CR2-A</t>
  </si>
  <si>
    <t>12.7 BC38mm 3 ECO Clear CRCSD</t>
  </si>
  <si>
    <t>12.7BC1EC-CL-G</t>
  </si>
  <si>
    <t>12.7 BC38mm 3 ECO Clear OJ/C(p plt</t>
  </si>
  <si>
    <t>12.7BC1EC-CL-JA2-A</t>
  </si>
  <si>
    <t>12.7 BC38mm 3 ECO Clear JadCSD</t>
  </si>
  <si>
    <t>12.7BC1EC-NC-G</t>
  </si>
  <si>
    <t>Nada 12.7 BC38mm 3 ECO Clear OJ/C(p plt</t>
  </si>
  <si>
    <t>12.7BC1EC-NC-S</t>
  </si>
  <si>
    <t>Nada 12.7 BC38mm 3 ECO Clear Steel C</t>
  </si>
  <si>
    <t>12.7BC1RD-CL-A</t>
  </si>
  <si>
    <t>12.7 BC38mm 3 Rnd Clear J/C(W plt</t>
  </si>
  <si>
    <t>12.7BC1RD-CL-P</t>
  </si>
  <si>
    <t>12.7 BC38mm 3Rnd Clear Plain OCJ/C(W plt</t>
  </si>
  <si>
    <t>12.7TO1RD-CL-Z</t>
  </si>
  <si>
    <t>12.7 TO 30/25 Rnd Clear EXP/C(W Plt</t>
  </si>
  <si>
    <t>12.7TO1RD-DB-A</t>
  </si>
  <si>
    <t>12.7 30/25 Rnd Dark BLUE J/C(W plt</t>
  </si>
  <si>
    <t>12.7TO1RD-GB-A</t>
  </si>
  <si>
    <t>12.7 30/25 Rnd General BLUE J/C(W plt</t>
  </si>
  <si>
    <t>12.7TO1RD-LB-A</t>
  </si>
  <si>
    <t>12.7 TO 30/25 Rnd Light Blue J/C(W plt</t>
  </si>
  <si>
    <t>12.7TO1RD-LB-B</t>
  </si>
  <si>
    <t>12.7 TO 30/25 Rnd BLUE  J/C(P plt</t>
  </si>
  <si>
    <t>12.7TO1RD-LB-BC1-B</t>
  </si>
  <si>
    <t>12.7 TO 30/25 Rnd BLUE BC111</t>
  </si>
  <si>
    <t>12.7TO1RD-LB-SHW-A</t>
  </si>
  <si>
    <t>12.7 TO 30/25 Rnd BLUE SHPET J/C(W plt</t>
  </si>
  <si>
    <t>13.3BC1EC-CL-A</t>
  </si>
  <si>
    <t>13.3 BC38mm 3 ECO Clear W/Plt</t>
  </si>
  <si>
    <t>13.3BC1EC-CL-BC2-A</t>
  </si>
  <si>
    <t>13.3 BC38mm 3 ECO Clear BC112</t>
  </si>
  <si>
    <t>13.3BC1EC-CL-CR2-A</t>
  </si>
  <si>
    <t>13.3 BC38mm 3 ECO Clear CRCSD</t>
  </si>
  <si>
    <t>13.3BC1EC-CL-G</t>
  </si>
  <si>
    <t>13.3 BC38mm 3 ECO Clear OJ/C(p plt</t>
  </si>
  <si>
    <t>13.3BC1EC-CL-JA2-A</t>
  </si>
  <si>
    <t>13.3 BC38mm 3 ECO Clear JADE CSD</t>
  </si>
  <si>
    <t>13.3BC1EC-CL-S</t>
  </si>
  <si>
    <t>13.3 BC38mm 3 ECO Clear CSD steel C.</t>
  </si>
  <si>
    <t>13.5BC1RD-CL-A</t>
  </si>
  <si>
    <t>13.5 BC38mm 3 Rnd Clear J/C (W plt</t>
  </si>
  <si>
    <t>13.5BC1RD-CL-B</t>
  </si>
  <si>
    <t>13.5 BC 38mm 3 Rnd Clear J/C(P plt</t>
  </si>
  <si>
    <t>13.5BC1RD-CL-BC2-B</t>
  </si>
  <si>
    <t>13.5 BC38mm 3 Rnd Clear BC112 J/C(P Plt</t>
  </si>
  <si>
    <t>13.5BC1RD-O1-S</t>
  </si>
  <si>
    <t>13.5 BC38mm 3 Rnd Orange W steel c.</t>
  </si>
  <si>
    <t>13.5BC1RD-W1-A</t>
  </si>
  <si>
    <t>13.5 BC38mm 3 Rnd White J/C (W plt</t>
  </si>
  <si>
    <t>13.5BC1RD-W1-G</t>
  </si>
  <si>
    <t>13.5 BC38mm 3 Rnd White OJ/C(p plt</t>
  </si>
  <si>
    <t>13.5BC1RD-W1-S</t>
  </si>
  <si>
    <t>13.5 BC38mm 3 Rnd White W steel c.</t>
  </si>
  <si>
    <t>13.5TO2RD-DB-A</t>
  </si>
  <si>
    <t>13.5 TO29/25 Rnd Arwa D.Blue J/C(W Plt)</t>
  </si>
  <si>
    <t>1300C46.5-SFI-1P</t>
  </si>
  <si>
    <t>Safi 1.3L PET Clear Plain Bottle</t>
  </si>
  <si>
    <t>1300C51-NDA-1APJ</t>
  </si>
  <si>
    <t>Nada 1.3L PET CL BT- Apple-(9.5SR)</t>
  </si>
  <si>
    <t>1300C51-NDA-1APJ2</t>
  </si>
  <si>
    <t>Nada 1.3L PET CL BT- Apple-(8.5SR)</t>
  </si>
  <si>
    <t>1300C51-NDA-1APJ3</t>
  </si>
  <si>
    <t>Nada 1.3L PET CL BT- Apple-(7.95 SR)-PP</t>
  </si>
  <si>
    <t>1300C51-NDA-1APJ4</t>
  </si>
  <si>
    <t>Nada 1.30L PET CL BT- Apple-(11 SR)</t>
  </si>
  <si>
    <t>1300C51-NDA-1APJ5</t>
  </si>
  <si>
    <t>Nada 1.30L PET CL BT- Apple-24D</t>
  </si>
  <si>
    <t>1300C51-NDA-1GVJ</t>
  </si>
  <si>
    <t>Nada 1.3L PET CL BT- Guava-(9.5SR)</t>
  </si>
  <si>
    <t>1300C51-NDA-1GVJ2</t>
  </si>
  <si>
    <t>Nada 1.3L PET CL BT- Guava-(8.5SR)</t>
  </si>
  <si>
    <t>1300C51-NDA-1GVJ3</t>
  </si>
  <si>
    <t>Nada 1.3L PET CL BT- Guava-(7.95SR)-PP</t>
  </si>
  <si>
    <t>1300C51-NDA-1GVJ4</t>
  </si>
  <si>
    <t>Nada 1.3L PET CL BT- Guava-8.5SR PP</t>
  </si>
  <si>
    <t>1300C51-NDA-1GVJ5</t>
  </si>
  <si>
    <t>Nada 1.3L PET CL BT- Guava-8.5SR-24D</t>
  </si>
  <si>
    <t>1300C51-NDA-1GVJ6</t>
  </si>
  <si>
    <t>Nada 1.3L PET CL BT- Guava-8.95SR-24D</t>
  </si>
  <si>
    <t>1300C51-NDA-1GVJ7</t>
  </si>
  <si>
    <t>Nada 1.3L PET CL BT- Guava-8.95SR-25D</t>
  </si>
  <si>
    <t>1300C51-NDA-1KLJ</t>
  </si>
  <si>
    <t>Nada 1.3L PET CL BT-Kiwi &amp; Lime-(9.5SR)</t>
  </si>
  <si>
    <t>1300C51-NDA-1KLJ2</t>
  </si>
  <si>
    <t>Nada 1.3L PET CL BT-Kiwi &amp; Lime-(8.5SR)</t>
  </si>
  <si>
    <t>1300C51-NDA-1KLJ3</t>
  </si>
  <si>
    <t>Nada 1.3L PET CL BT-Kiwi&amp;Lime-(7.95SR-PP</t>
  </si>
  <si>
    <t>1300C51-NDA-1KLJ4</t>
  </si>
  <si>
    <t>Nada1.3L PET CL BT-Kiwi&amp;Lime(7.95SR)-24D</t>
  </si>
  <si>
    <t>1300C51-NDA-1KLJ5</t>
  </si>
  <si>
    <t>Nada1.3L PET CL BT-Kiwi&amp;Lime 8.95SR-24D</t>
  </si>
  <si>
    <t>1300C51-NDA-1KLJ7</t>
  </si>
  <si>
    <t>Nada1.3L PET CL BT-Kiwi&amp;Lime 8.95SR-25D</t>
  </si>
  <si>
    <t>1300C51-NDA-1LMJ</t>
  </si>
  <si>
    <t>Nada 1.3L PET CL BT-Lemon W/Mint-9.5SR</t>
  </si>
  <si>
    <t>1300C51-NDA-1LMJ2</t>
  </si>
  <si>
    <t>Nada 1.3L PET CL BT-Lemon W/Mint-8.5SR</t>
  </si>
  <si>
    <t>1300C51-NDA-1LMJ3</t>
  </si>
  <si>
    <t>Nada 1.3L PET CL-Lemon W/Mint-(7.95SR-PP</t>
  </si>
  <si>
    <t>1300C51-NDA-1LMJ4</t>
  </si>
  <si>
    <t>Nada 1.3L PET CL-LemonW/Mint(7.95SR)-24D</t>
  </si>
  <si>
    <t>1300C51-NDA-1LMJ5</t>
  </si>
  <si>
    <t>Nada 1.3L PET CL-LemonWMint 8.95SR-24D</t>
  </si>
  <si>
    <t>1300C51-NDA-1LMJ6</t>
  </si>
  <si>
    <t>Nada 1.3L PET CL-LemonWMint 8.95SR-25D</t>
  </si>
  <si>
    <t>1300C51-NDA-1MFJ</t>
  </si>
  <si>
    <t>Nada 1.3L PET CL BT- Mixed Fruit-(9.5SR)</t>
  </si>
  <si>
    <t>1300C51-NDA-1MFJ2</t>
  </si>
  <si>
    <t>Nada 1.3L PET CL BT-Mixed Fruit-(8.5 SR)</t>
  </si>
  <si>
    <t>1300C51-NDA-1MFJ3</t>
  </si>
  <si>
    <t>Nada 1.3L PET CL -Mix Fruit-(7.95 SR)-PP</t>
  </si>
  <si>
    <t>1300C51-NDA-1MFJ4</t>
  </si>
  <si>
    <t>Nada 1.3L PET CL BT-Mixed Fruit-8.5 SRPP</t>
  </si>
  <si>
    <t>1300C51-NDA-1MFJ5</t>
  </si>
  <si>
    <t>Nada1.3L PET CL BT-Mixed Fruit-8.5SR-24D</t>
  </si>
  <si>
    <t>1300C51-NDA-1MFJ6</t>
  </si>
  <si>
    <t>Nada1.3LPET CL BT-MixedFruit-8.95SR-24D</t>
  </si>
  <si>
    <t>1300C51-NDA-1MFJ7</t>
  </si>
  <si>
    <t>Nada1.3LPET CL BT-MixedFruit-8.95SR-25D</t>
  </si>
  <si>
    <t>1300C51-NDA-1MGJ</t>
  </si>
  <si>
    <t>Nada 1.3L PET CL BT- Mango -(9.5SR)</t>
  </si>
  <si>
    <t>1300C51-NDA-1MGJ1</t>
  </si>
  <si>
    <t>Nada Mango 1.3L -10 SR 22D</t>
  </si>
  <si>
    <t>1300C51-NDA-1MGJ2</t>
  </si>
  <si>
    <t>Nada 1.3L PET CL BT- Mango -(8.5SR)</t>
  </si>
  <si>
    <t>1300C51-NDA-1MGJ4</t>
  </si>
  <si>
    <t>Nada 1.3L PET CL BT- Mango 8.5SR PP</t>
  </si>
  <si>
    <t>1300C51-NDA-1MGR</t>
  </si>
  <si>
    <t>Nada 1.3L PET CL BT- Mango W/ Grape</t>
  </si>
  <si>
    <t>1300C51-NDA-1MGR2</t>
  </si>
  <si>
    <t>Nada 1.30L PET CL BT-Mango W/Grape(11SR)</t>
  </si>
  <si>
    <t>1300C51-NDA-1MGR3</t>
  </si>
  <si>
    <t>Nada1.30L PET CLBT-MangoW/Grape 24D</t>
  </si>
  <si>
    <t>1300C51-NDA-1MMF</t>
  </si>
  <si>
    <t>Nada 1.3L PET CL BT-Mango W/ Mixed Fruit</t>
  </si>
  <si>
    <t>1300C51-NDA-1MMF2</t>
  </si>
  <si>
    <t>Nada 1.30L PET CLBT-Mango Mix Fruit-11SR</t>
  </si>
  <si>
    <t>1300C51-NDA-1MMF3</t>
  </si>
  <si>
    <t>Nada1.30L PET CLBT-MangoMixFruit-24D</t>
  </si>
  <si>
    <t>1300C51-NDA-1OCJ</t>
  </si>
  <si>
    <t>Nada 1.3L PET CL BT-Orrange-Carrot Juice</t>
  </si>
  <si>
    <t>1300C51-NDA-1OCJ2</t>
  </si>
  <si>
    <t>Nada1.30L PETCL-Orrange-Carrot Juic-11SR</t>
  </si>
  <si>
    <t>1300C51-NDA-1OCJ3</t>
  </si>
  <si>
    <t>Nada1.30L PETCL-OrrangeCarrot Juic 24D</t>
  </si>
  <si>
    <t>1300C51-NDA-1ONC</t>
  </si>
  <si>
    <t>Nada1.30L PETCL-OrangeNectarCocktail</t>
  </si>
  <si>
    <t>1300C51-NDA-1ORJ</t>
  </si>
  <si>
    <t>Nada 1.3L PET CL BT- Orange-(9.5SR)</t>
  </si>
  <si>
    <t>1300C51-NDA-1ORJ2</t>
  </si>
  <si>
    <t>Nada 1.3L PET CL BT- Orange-(8.5SR)</t>
  </si>
  <si>
    <t>1300C51-NDA-1ORJ3</t>
  </si>
  <si>
    <t xml:space="preserve"> Nada 1.3L PET CL BT-Orange-(7.95SR)-PP</t>
  </si>
  <si>
    <t>1300C51-NDA-1ORJ4</t>
  </si>
  <si>
    <t>Nada 1.3L PET CL BT-Orange(W/o Price)-PP</t>
  </si>
  <si>
    <t>1300C51-NDA-1ORJ5</t>
  </si>
  <si>
    <t>Nada 1.3L PET CL BT- Orange-8.5SR PP</t>
  </si>
  <si>
    <t>1300C51-NDA-1ORJ6</t>
  </si>
  <si>
    <t>Nada 1.30L CL BT- Orange ( 11 SR)</t>
  </si>
  <si>
    <t>1300C51-NDA-1ORJ7</t>
  </si>
  <si>
    <t>Nada 1.30L CL BT- Orange-24D</t>
  </si>
  <si>
    <t>1300C51-NDA-1PAJ</t>
  </si>
  <si>
    <t>Nada 1.3L PET CL BT- Pineapple-(9.5SR)</t>
  </si>
  <si>
    <t>1300C51-NDA-1PAJ2</t>
  </si>
  <si>
    <t>Nada 1.3L PET CL BT- Pineapple-(8.5SR)</t>
  </si>
  <si>
    <t>1300C51-NDA-1PAJ3</t>
  </si>
  <si>
    <t>Nada 1.3L PET CL BT-Pineapple-(7.95SR-PP</t>
  </si>
  <si>
    <t>1300C51-NDA-1PAJ4</t>
  </si>
  <si>
    <t>Nada1.3L PET CL BT-Pineapple(7.95SR)-24D</t>
  </si>
  <si>
    <t>1300C51-NDA-1PAJ5</t>
  </si>
  <si>
    <t>Nada1.3L PET CL BT-Pineapple 8.95-24D</t>
  </si>
  <si>
    <t>1300C51-NDA-1PAJ7</t>
  </si>
  <si>
    <t>Nada1.3L PET CL BT-Pineapple 8.95-25D</t>
  </si>
  <si>
    <t>1300C51-NDA-1PGJ</t>
  </si>
  <si>
    <t>Nada 1.3L PET CL BT-Pomegranate-(9.5SR)</t>
  </si>
  <si>
    <t>1300C51-NDA-1PGJ1</t>
  </si>
  <si>
    <t>Nada Pomegrnte 1.3L 10.5 SR 22D</t>
  </si>
  <si>
    <t>1300C51-NDA-1PGJ2</t>
  </si>
  <si>
    <t>Nada 1.3L PET CL BT-Pomegranate-(8.5SR)</t>
  </si>
  <si>
    <t>1300C51-NDA-1PGJ3</t>
  </si>
  <si>
    <t>Nada 1.3L PET CL -Pomegranate-(7.95SR-PP</t>
  </si>
  <si>
    <t>1300C51-NDA-1PGJ4</t>
  </si>
  <si>
    <t>Nada 1.3L PET CL BT-Pomegranate-8.5SR PP</t>
  </si>
  <si>
    <t>1300C51-NDA-1PGJ5</t>
  </si>
  <si>
    <t>Nada1.3L PET CL BT-Pomegranate-8.5SR-24D</t>
  </si>
  <si>
    <t>1300C51-NDA-1PGJ6</t>
  </si>
  <si>
    <t>Nada1.3L PET CL BT-Pomgranate-8.95-24D</t>
  </si>
  <si>
    <t>1300C51-NDA-1PGJ7</t>
  </si>
  <si>
    <t>Nada1.3L PET CL BT-Pomgranate-8.95-25D</t>
  </si>
  <si>
    <t>1300C51-NDA-1RBJ</t>
  </si>
  <si>
    <t>Nada 1.3L PET CL BT- Raspberry-(9.5SR)</t>
  </si>
  <si>
    <t>1300C51-NDA-1RBJ1</t>
  </si>
  <si>
    <t>Nada Raspberry 1.3L 10.5 SR 22D</t>
  </si>
  <si>
    <t>1300C51-NDA-1RBJ2</t>
  </si>
  <si>
    <t>Nada 1.3L PET CL BT- Raspberry-(8.5SR)</t>
  </si>
  <si>
    <t>1300C51-NDA-1RBJ3</t>
  </si>
  <si>
    <t>Nada 1.3L PET CL BT-Raspberry-(7.95SR-PP</t>
  </si>
  <si>
    <t>1300C51-NDA-1RBJ4</t>
  </si>
  <si>
    <t>Nada 1.3L PET CL BT- Raspberry-8.5SR-PP</t>
  </si>
  <si>
    <t>1300C51-NDA-1RBJ5</t>
  </si>
  <si>
    <t>Nada 1.3L PET CL BT- Raspberry-8.5SR-24D</t>
  </si>
  <si>
    <t>1300C51-NDA-1RBJ6</t>
  </si>
  <si>
    <t>Nada 1.3L PET CL BT-Raspberry-8.95-24D</t>
  </si>
  <si>
    <t>1300C51-NDA-1RBJ7</t>
  </si>
  <si>
    <t>Nada 1.3L PET CL BT-Raspberry-8.95-25D</t>
  </si>
  <si>
    <t>1300C51-NDA-1SBJ</t>
  </si>
  <si>
    <t>Nada 1.3L PET CL BT- Strawberry-(9.5SR)</t>
  </si>
  <si>
    <t>1300C51-NDA-1SBJ2</t>
  </si>
  <si>
    <t>Nada 1.3L PET CL BT- Strawberry-(8.5SR)</t>
  </si>
  <si>
    <t>1300C51-NDA-1SBJ3</t>
  </si>
  <si>
    <t>Nada 1.3L PET CL BT-St'berry(7.95 SR)-PP</t>
  </si>
  <si>
    <t>1300C51-NDA-1SBJ4</t>
  </si>
  <si>
    <t>Nada 1.3L PET CL BT- Strawberry-8.5SR PP</t>
  </si>
  <si>
    <t>1300C51-NDA-1SBJ5</t>
  </si>
  <si>
    <t>Nada 1.3L PET CL BT-Strawberry-8.5SR-24D</t>
  </si>
  <si>
    <t>1300C51-NDA-1SBJ6</t>
  </si>
  <si>
    <t>Nada1.3LPET CL BT-Strawberry-8.95 SR-24D</t>
  </si>
  <si>
    <t>1300C51-NDA-1SBJN</t>
  </si>
  <si>
    <t>Nada 1.3L PET CL BT-Strawberry Nectar</t>
  </si>
  <si>
    <t>1300C51-NDA-1TCJ</t>
  </si>
  <si>
    <t>Nada 1.3L PET CLBT-Trpcal Cocktail9.5SR</t>
  </si>
  <si>
    <t>1300C51-NDA-1TCJ2</t>
  </si>
  <si>
    <t>Nada 1.3L PET CLBT-Trpcal Cocktail8.5SR</t>
  </si>
  <si>
    <t>1300C51-NDA-1TCJ3</t>
  </si>
  <si>
    <t>Nada 1.3L PET CL-TRPCL Cocktail7.95SR-PP</t>
  </si>
  <si>
    <t>1300C51-NDA-1TCJ4</t>
  </si>
  <si>
    <t>Nada 1.3L PET CLBTTrpcal Cocktail8.5SRPP</t>
  </si>
  <si>
    <t>1300C51-NDA-1TCJ5</t>
  </si>
  <si>
    <t>Nada1.3L PET CLBTTrpcalCocktail8.5SR-24D</t>
  </si>
  <si>
    <t>1300C51-NDA-1TCJ6</t>
  </si>
  <si>
    <t>Nada1.3L PET CLBTTrpcalCocktail 8.95-24D</t>
  </si>
  <si>
    <t>1300C51-NDA-1TCJ7</t>
  </si>
  <si>
    <t>Nada1.3L PET CLBTTrpcalCocktail 8.95-25D</t>
  </si>
  <si>
    <t>1340C51-NDA-1APJ</t>
  </si>
  <si>
    <t>Nada 1.34L PET CL BT- Apple (VP)</t>
  </si>
  <si>
    <t>1340C51-NDA-1APJ2</t>
  </si>
  <si>
    <t>Nada 1.34L PET CL BT- Apple-(8SR)</t>
  </si>
  <si>
    <t>1340C51-NDA-1APJ3</t>
  </si>
  <si>
    <t>Nada 1.34L PET CL BT- Apple-21D V3</t>
  </si>
  <si>
    <t>1340C51-NDA-1APJ4</t>
  </si>
  <si>
    <t>Nada 1.34L PET CL BT- Apple-(9SR)</t>
  </si>
  <si>
    <t>1340C51-NDA-1GVJ</t>
  </si>
  <si>
    <t>Nada 1.34L PET CL BT- Guava (VP)</t>
  </si>
  <si>
    <t>1340C51-NDA-1GVJ2</t>
  </si>
  <si>
    <t>Nada 1.34L PET CL BT- Guava-(8SR)</t>
  </si>
  <si>
    <t>1340C51-NDA-1GVJ3</t>
  </si>
  <si>
    <t>Nada 1.34L PET CL BT- Guava-21D V3</t>
  </si>
  <si>
    <t>1340C51-NDA-1GVJ4</t>
  </si>
  <si>
    <t>Nada 1.34L PET CL BT- Guava-(9SR)</t>
  </si>
  <si>
    <t>1340C51-NDA-1KLJ</t>
  </si>
  <si>
    <t>Nada 1.34L PET CL BT- Kiwi &amp; Lime (VP)</t>
  </si>
  <si>
    <t>1340C51-NDA-1KLJ2</t>
  </si>
  <si>
    <t>Nada 1.34L PET CL BT- Kiwi &amp; Lime-(8SR)</t>
  </si>
  <si>
    <t>1340C51-NDA-1KLJ3</t>
  </si>
  <si>
    <t>Nada 1.34L PET CL BT- Kiwi &amp; Lime-21D V3</t>
  </si>
  <si>
    <t>1340C51-NDA-1KLJ4</t>
  </si>
  <si>
    <t>Nada 1.34L PET CL BT- Kiwi &amp; Lime-(9SR)</t>
  </si>
  <si>
    <t>1340C51-NDA-1LMJ</t>
  </si>
  <si>
    <t>Nada 1.34L PET CL BT-Lemon with Mint(VP)</t>
  </si>
  <si>
    <t>1340C51-NDA-1LMJ2</t>
  </si>
  <si>
    <t>Nada 1.34L PET CL BT-Lemon with Mint-8SR</t>
  </si>
  <si>
    <t>1340C51-NDA-1LMJ3</t>
  </si>
  <si>
    <t>Nada Full SLV Lemon wth Mint 1.34L-21DV3</t>
  </si>
  <si>
    <t>1340C51-NDA-1LMJ4</t>
  </si>
  <si>
    <t>Nada 1.34L PET CL BT-Lemon with Mint-9SR</t>
  </si>
  <si>
    <t>1340C51-NDA-1MBR</t>
  </si>
  <si>
    <t>Nada 1.34L PET CL BT-Mixed Berry-(VP 9SR</t>
  </si>
  <si>
    <t>1340C51-NDA-1MFJ</t>
  </si>
  <si>
    <t>Nada 1.34L PET CL BT- Mixed Fruit (VP)</t>
  </si>
  <si>
    <t>1340C51-NDA-1MFJ2</t>
  </si>
  <si>
    <t>Nada 1.34L PET CL BT- Mixed Fruit-(8SR)</t>
  </si>
  <si>
    <t>1340C51-NDA-1MFJ3</t>
  </si>
  <si>
    <t>Nada 1.34L PET CL BT- Mixed Fruit-21D V3</t>
  </si>
  <si>
    <t>1340C51-NDA-1MGJ</t>
  </si>
  <si>
    <t>Nada 1.34L PET CL BT- Mango (VP)</t>
  </si>
  <si>
    <t>1340C51-NDA-1MGJ2</t>
  </si>
  <si>
    <t>Nada 1.34L PET CL BT- Mango -(8SR)</t>
  </si>
  <si>
    <t>1340C51-NDA-1MGJ3</t>
  </si>
  <si>
    <t>Nada 1.34L PET CL BT- Mango -21D V3</t>
  </si>
  <si>
    <t>1340C51-NDA-1MGJ4</t>
  </si>
  <si>
    <t>Nada 1.34L PET CL BT- Mango -(9SR)</t>
  </si>
  <si>
    <t>1340C51-NDA-1ORJ</t>
  </si>
  <si>
    <t>Nada 1.34L PET CL BT- Orange (VP)</t>
  </si>
  <si>
    <t>1340C51-NDA-1ORJ2</t>
  </si>
  <si>
    <t>Nada 1.34L PET CL BT- Orange-(8SR)</t>
  </si>
  <si>
    <t>1340C51-NDA-1ORJ3</t>
  </si>
  <si>
    <t>Nada 1.34L PET CL BT- Orange-21D V3</t>
  </si>
  <si>
    <t>1340C51-NDA-1ORJ4</t>
  </si>
  <si>
    <t>Nada 1.34L PET CL BT- Orange-(9SR)</t>
  </si>
  <si>
    <t>1340C51-NDA-1PAJ</t>
  </si>
  <si>
    <t>Nada 1.34L PET CL BT- Pineapple (VP)</t>
  </si>
  <si>
    <t>1340C51-NDA-1PAJ2</t>
  </si>
  <si>
    <t>Nada 1.34L PET CL BT- Pineapple-(8SR)</t>
  </si>
  <si>
    <t>1340C51-NDA-1PAJ3</t>
  </si>
  <si>
    <t>Nada 1.34L PET CL BT- Pineapple-21D V3</t>
  </si>
  <si>
    <t>1340C51-NDA-1PAJ4</t>
  </si>
  <si>
    <t>Nada 1.34L PET CL BT- Pineapple-(9SR)</t>
  </si>
  <si>
    <t>1340C51-NDA-1PGJ</t>
  </si>
  <si>
    <t>Nada 1.34L PET CL BT- Pomegranate (VP)</t>
  </si>
  <si>
    <t>1340C51-NDA-1PGJ2</t>
  </si>
  <si>
    <t>Nada 1.34L PET CL BT- Pomegranate-(9SR)</t>
  </si>
  <si>
    <t>1340C51-NDA-1PGJ3</t>
  </si>
  <si>
    <t>Nada 1.34L PET CL BT- Pomegranate-21D V3</t>
  </si>
  <si>
    <t>1340C51-NDA-1RBJ</t>
  </si>
  <si>
    <t>Nada 1.34L PET CL BT- Raspberry (VP)</t>
  </si>
  <si>
    <t>1340C51-NDA-1RBJ2</t>
  </si>
  <si>
    <t>Nada 1.34L PET CL BT- Raspberry-(8SR)</t>
  </si>
  <si>
    <t>1340C51-NDA-1RBJ3</t>
  </si>
  <si>
    <t>Nada 1.34L PET CL BT- Raspberry-21D V3</t>
  </si>
  <si>
    <t>1340C51-NDA-1RBJ4</t>
  </si>
  <si>
    <t>Nada 1.34L PET CL BT- Raspberry-(9SR)</t>
  </si>
  <si>
    <t>1340C51-NDA-1SBJ</t>
  </si>
  <si>
    <t>Nada 1.34L PET CL BT- Strawberry (VP)</t>
  </si>
  <si>
    <t>1340C51-NDA-1SBJ2</t>
  </si>
  <si>
    <t>Nada 1.34L PET CL BT- Strawberry -(8SR)</t>
  </si>
  <si>
    <t>1340C51-NDA-1SBJ3</t>
  </si>
  <si>
    <t>Nada 1.34L PET CL BT- Strawberry -21D V3</t>
  </si>
  <si>
    <t>1340C51-NDA-1SBJ4</t>
  </si>
  <si>
    <t>Nada 1.34L PET CL BT- Strawberry -(9SR)</t>
  </si>
  <si>
    <t>1340C51-NDA-1TCJ</t>
  </si>
  <si>
    <t>Nada 1.34L PET CLBT-Tropical Cocktail-VP</t>
  </si>
  <si>
    <t>1340C51-NDA-1TCJ2</t>
  </si>
  <si>
    <t>Nada 1.34L PET CLBT-Tropical Cocktail8SR</t>
  </si>
  <si>
    <t>1340C51-NDA-1TCJ3</t>
  </si>
  <si>
    <t>Nada 1.34L PET CL BT-Tr'pcal Cocktail-21</t>
  </si>
  <si>
    <t>1340C51-NDA-1TCJ4</t>
  </si>
  <si>
    <t>Nada 1.34L PET CLBT-Tropical Cocktail9SR</t>
  </si>
  <si>
    <t>1350C51-NDA-1APJ4</t>
  </si>
  <si>
    <t>Nada 1.35L PET CL BT- Apple -19D</t>
  </si>
  <si>
    <t>1350C51-NDA-1APJ5</t>
  </si>
  <si>
    <t>Nada 1.35L PET CL BT- Apple -20D</t>
  </si>
  <si>
    <t>1350C51-NDA-1APJ6</t>
  </si>
  <si>
    <t>Nada 1.35L PET CL BT- Apple -22D</t>
  </si>
  <si>
    <t>1350C51-NDA-1APJ7</t>
  </si>
  <si>
    <t>Nada 1.35L CL BT- Apple - New Mold</t>
  </si>
  <si>
    <t>1350C51-NDA-1APJ8</t>
  </si>
  <si>
    <t>Nada 1.35L CL BT- Apple - New Mold-PP</t>
  </si>
  <si>
    <t>1350C51-NDA-1APJ9</t>
  </si>
  <si>
    <t>Nada 1.35L CL BT- Apple - 24D</t>
  </si>
  <si>
    <t>1350C51-NDA-1APP</t>
  </si>
  <si>
    <t>Nada 1.35L PET CLBT-Apple W/Pulp Premium</t>
  </si>
  <si>
    <t>1350C51-NDA-1APP1</t>
  </si>
  <si>
    <t>Nada1.35LPET CLBT-Apple W/PulpPremium24D</t>
  </si>
  <si>
    <t>1350C51-NDA-1BAB</t>
  </si>
  <si>
    <t>Nada 1.35L PET CL-BTROOT,APPL&amp;BLKcurrant</t>
  </si>
  <si>
    <t>1350C51-NDA-1BAB2</t>
  </si>
  <si>
    <t>Nada1.35L PET CL-BTROOT,APPL&amp;BLKCRNT-21D</t>
  </si>
  <si>
    <t>1350C51-NDA-1BRB2</t>
  </si>
  <si>
    <t>Nada 1.35L CL BT-BROT&amp;BLK CRNT -New Mold</t>
  </si>
  <si>
    <t>1350C51-NDA-1BRB3</t>
  </si>
  <si>
    <t>Nada1.35L CLBT-BROT&amp;BLK CRNT-New Mold-PP</t>
  </si>
  <si>
    <t>1350C51-NDA-1BRB4</t>
  </si>
  <si>
    <t>Nada1.35L CLBT-BROT&amp;BLK CRNT-24D</t>
  </si>
  <si>
    <t>1350C51-NDA-1BRBR</t>
  </si>
  <si>
    <t>Nada 1.35L CL BT-BTROOT&amp;BLK CRNT-RAMADAN</t>
  </si>
  <si>
    <t>1350C51-NDA-1BRP</t>
  </si>
  <si>
    <t>Nada 1.35L PET CL BT - BTROOT&amp;Raspberry</t>
  </si>
  <si>
    <t>1350C51-NDA-1BRP2</t>
  </si>
  <si>
    <t>Nada 1.35L PET CL BT-BTROOT&amp;R'berry-21D</t>
  </si>
  <si>
    <t>1350C51-NDA-1BRP3</t>
  </si>
  <si>
    <t>Nada 1.35L CL BT-BROOT&amp;R'berry -New Mold</t>
  </si>
  <si>
    <t>1350C51-NDA-1BRP4</t>
  </si>
  <si>
    <t>Nada1.35L CLBT-BROOT&amp;R'berry-New Mold-PP</t>
  </si>
  <si>
    <t>1350C51-NDA-1BRP5</t>
  </si>
  <si>
    <t>Nada1.35L CLBT-BROOT&amp;R'berry-24D</t>
  </si>
  <si>
    <t>1350C51-NDA-1BRPR</t>
  </si>
  <si>
    <t>Nada 1.35L CL BT-BTROOT&amp;R'berry-(RAMADAN</t>
  </si>
  <si>
    <t>1350C51-NDA-1GPJ5</t>
  </si>
  <si>
    <t>Nada 1.35L PET CL BT- Guava &amp; Grape -20D</t>
  </si>
  <si>
    <t>1350C51-NDA-1GVJ4</t>
  </si>
  <si>
    <t>Nada 1.35L PET CL BT- Guava -19D</t>
  </si>
  <si>
    <t>1350C51-NDA-1GVJ5</t>
  </si>
  <si>
    <t>Nada 1.35L PET CL BT- Guava -21D</t>
  </si>
  <si>
    <t>1350C51-NDA-1GVJ6</t>
  </si>
  <si>
    <t>Nada 1.35L PET CL BT- Guava -22D</t>
  </si>
  <si>
    <t>1350C51-NDA-1GVJ7</t>
  </si>
  <si>
    <t>Nada 1.35L CL BT- Guava - New Mold</t>
  </si>
  <si>
    <t>1350C51-NDA-1GVJ8</t>
  </si>
  <si>
    <t>Nada 1.35L CL BT- Guava - New Mold-PP</t>
  </si>
  <si>
    <t>1350C51-NDA-1GVJ9</t>
  </si>
  <si>
    <t>Nada 1.35L CL BT- Guava - 24D</t>
  </si>
  <si>
    <t>1350C51-NDA-1KLJ4</t>
  </si>
  <si>
    <t>Nada 1.35L PET CL BT- Kiwi&amp;Lime -19D</t>
  </si>
  <si>
    <t>1350C51-NDA-1KLJ5</t>
  </si>
  <si>
    <t>Nada 1.35L PET CL BT- Kiwi &amp; Lime -20D</t>
  </si>
  <si>
    <t>1350C51-NDA-1KLJ6</t>
  </si>
  <si>
    <t>Nada 1.35L PET CL BT- Kiwi &amp; Lime -22D</t>
  </si>
  <si>
    <t>1350C51-NDA-1KLJ7</t>
  </si>
  <si>
    <t>Nada 1.35L CL BT- Kiwi &amp; Lime - New Mold</t>
  </si>
  <si>
    <t>1350C51-NDA-1KLJ8</t>
  </si>
  <si>
    <t>Nada 1.35L CL BT-Kiwi &amp; Lime-New Mold-PP</t>
  </si>
  <si>
    <t>1350C51-NDA-1KLJ9</t>
  </si>
  <si>
    <t>Nada 1.35L CL BT-Kiwi &amp; Lime-24D</t>
  </si>
  <si>
    <t>1350C51-NDA-1LMJ3</t>
  </si>
  <si>
    <t>Nada 1.35L PET CL BT-Lemon with Mint-19D</t>
  </si>
  <si>
    <t>1350C51-NDA-1LMJ4</t>
  </si>
  <si>
    <t>Nada 1.35L PET CL BT-Lemon with Mint-20D</t>
  </si>
  <si>
    <t>1350C51-NDA-1LMJ5</t>
  </si>
  <si>
    <t>Nada 1.35L PET CL BT-Lemon with Mint-22D</t>
  </si>
  <si>
    <t>1350C51-NDA-1LMJ6</t>
  </si>
  <si>
    <t>Nada 1.35L CL BT-Lemon W/Mint - New Mold</t>
  </si>
  <si>
    <t>1350C51-NDA-1LMJ7</t>
  </si>
  <si>
    <t>Nada 1.35L CLBT-Lemon W/Mint-New Mold-PP</t>
  </si>
  <si>
    <t>1350C51-NDA-1LMJ8</t>
  </si>
  <si>
    <t>Nada 1.35L CLBT-Lemon W/Mint-24D</t>
  </si>
  <si>
    <t>1350C51-NDA-1MBJ4</t>
  </si>
  <si>
    <t>Nada 1.35L PET CL BT- Mixed Berry -19D</t>
  </si>
  <si>
    <t>1350C51-NDA-1MFJ4</t>
  </si>
  <si>
    <t>Nada 1.35L PET CL BT- Mixed Fruit -19D</t>
  </si>
  <si>
    <t>1350C51-NDA-1MFJ5</t>
  </si>
  <si>
    <t>Nada 1.35L PET CL BT- Mixed Fruit -20D</t>
  </si>
  <si>
    <t>1350C51-NDA-1MFJ6</t>
  </si>
  <si>
    <t>Nada 1.35L PET CL BT- Mixed Fruit -22D</t>
  </si>
  <si>
    <t>1350C51-NDA-1MFJ7</t>
  </si>
  <si>
    <t>Nada 1.35L PET CL BT-Mixed Fruit -22D-PP</t>
  </si>
  <si>
    <t>1350C51-NDA-1MFJ8</t>
  </si>
  <si>
    <t>Nada 1.35L PET CL BT-Mixed Fruit -24D</t>
  </si>
  <si>
    <t>1350C51-NDA-1MFJ9</t>
  </si>
  <si>
    <t>Nada 1.35L PET CL BT-Mixed Fruit -24D V2</t>
  </si>
  <si>
    <t>1350C51-NDA-1MGJ4</t>
  </si>
  <si>
    <t>Nada 1.35L PET CL BT- Mango -19D</t>
  </si>
  <si>
    <t>1350C51-NDA-1MGJ5</t>
  </si>
  <si>
    <t>Nada 1.35L PET CL BT- Mango -21D</t>
  </si>
  <si>
    <t>1350C51-NDA-1MGJ6</t>
  </si>
  <si>
    <t>Nada 1.35L PET CL BT- Mango -22D</t>
  </si>
  <si>
    <t>1350C51-NDA-1MGJ7</t>
  </si>
  <si>
    <t>Nada 1.35L CL BT- Mango - New Mold</t>
  </si>
  <si>
    <t>1350C51-NDA-1MGJ8</t>
  </si>
  <si>
    <t>Nada 1.35L CL BT- Mango - New Mold-PP</t>
  </si>
  <si>
    <t>1350C51-NDA-1MGR</t>
  </si>
  <si>
    <t>Nada1.35L CLBT-Mango W/Grape Juce-23D-PP</t>
  </si>
  <si>
    <t>1350C51-NDA-1MGR1</t>
  </si>
  <si>
    <t>Nada1.35L CLBT-Mango W/Grape Juce-24D</t>
  </si>
  <si>
    <t>1350C51-NDA-1MMF</t>
  </si>
  <si>
    <t>Nada1.35L CLBT-Mango W/Mixed Frut-23D-PP</t>
  </si>
  <si>
    <t>1350C51-NDA-1MMF1</t>
  </si>
  <si>
    <t>Nada1.35L CLBT-Mango W/Mixed Frut-24D</t>
  </si>
  <si>
    <t>1350C51-NDA-1MPJ5</t>
  </si>
  <si>
    <t>Nada 1.35L PET CL BT- Mango &amp; Grape -20D</t>
  </si>
  <si>
    <t>1350C51-NDA-1OCJ</t>
  </si>
  <si>
    <t>Nada1.35L CLBT-Orange-Carrot Juce-23D-PP</t>
  </si>
  <si>
    <t>1350C51-NDA-1OCJ1</t>
  </si>
  <si>
    <t>Nada1.35L CLBT-Orange-Carrot Juce-24D</t>
  </si>
  <si>
    <t>1350C51-NDA-1ONC</t>
  </si>
  <si>
    <t>Nada 1.35L CL BT- Orange Nectar Cocktail</t>
  </si>
  <si>
    <t>1350C51-NDA-1ORJ4</t>
  </si>
  <si>
    <t>Nada 1.35L PET CL BT- Orange -19D</t>
  </si>
  <si>
    <t>1350C51-NDA-1ORJ5</t>
  </si>
  <si>
    <t>Nada 1.35L PET CL BT- Orange -20D</t>
  </si>
  <si>
    <t>1350C51-NDA-1ORJ6</t>
  </si>
  <si>
    <t>Nada 1.35L PET CL BT- Orange -22D</t>
  </si>
  <si>
    <t>1350C51-NDA-1ORJ7</t>
  </si>
  <si>
    <t>Nada 1.35L CL BT- Orange - New Mold</t>
  </si>
  <si>
    <t>1350C51-NDA-1ORJ8</t>
  </si>
  <si>
    <t>Nada 1.35L CL BT- Orange - New Mold-PP</t>
  </si>
  <si>
    <t>1350C51-NDA-1ORJ9</t>
  </si>
  <si>
    <t>Nada 1.35L CL BT- Orange - 24D</t>
  </si>
  <si>
    <t>1350C51-NDA-1PAJ0</t>
  </si>
  <si>
    <t>Nada 1.35L CL BT- Pineapple -24D</t>
  </si>
  <si>
    <t>1350C51-NDA-1PAJ1</t>
  </si>
  <si>
    <t>Nada 1.35L CL BT- Pineapple -24D V2</t>
  </si>
  <si>
    <t>1350C51-NDA-1PAJ4</t>
  </si>
  <si>
    <t>Nada 1.35L PET CL BT- Pineapple -19D</t>
  </si>
  <si>
    <t>1350C51-NDA-1PAJ5</t>
  </si>
  <si>
    <t>Nada 1.35L PET CL BT- Pineapple -20D</t>
  </si>
  <si>
    <t>1350C51-NDA-1PAJ6</t>
  </si>
  <si>
    <t>Nada 1.35L PET CL BT- Pineapple -20D V2</t>
  </si>
  <si>
    <t>1350C51-NDA-1PAJ7</t>
  </si>
  <si>
    <t>Nada 1.35L PET CL BT- Pineapple -22D</t>
  </si>
  <si>
    <t>1350C51-NDA-1PAJ8</t>
  </si>
  <si>
    <t>Nada 1.35L CL BT- Pineapple - New Mold</t>
  </si>
  <si>
    <t>1350C51-NDA-1PAJ9</t>
  </si>
  <si>
    <t>Nada 1.35L CL BT- Pineapple -New Mold-PP</t>
  </si>
  <si>
    <t>1350C51-NDA-1PGJ4</t>
  </si>
  <si>
    <t>Nada 1.35L PET CL BT- Pomegranate-19D</t>
  </si>
  <si>
    <t>1350C51-NDA-1PGJ5</t>
  </si>
  <si>
    <t>Nada 1.35L PET CL BT- Pomegranate-21D</t>
  </si>
  <si>
    <t>1350C51-NDA-1PGJ6</t>
  </si>
  <si>
    <t>Nada 1.35L PET CL BT- Pomegranate-22D</t>
  </si>
  <si>
    <t>1350C51-NDA-1PGJ7</t>
  </si>
  <si>
    <t>Nada 1.35L CL BT- Pomegranate - New Mold</t>
  </si>
  <si>
    <t>1350C51-NDA-1PGJ8</t>
  </si>
  <si>
    <t>Nada 1.35L CLBT- Pomegranate-New Mold-PP</t>
  </si>
  <si>
    <t>1350C51-NDA-1PGJ9</t>
  </si>
  <si>
    <t>Nada 1.35L CLBT- Pomegranate-24D</t>
  </si>
  <si>
    <t>1350C51-NDA-1PPJ5</t>
  </si>
  <si>
    <t>Nada 1.35L PET CL BT-PMgranate&amp;Grape-20D</t>
  </si>
  <si>
    <t>1350C51-NDA-1RBJ4</t>
  </si>
  <si>
    <t>Nada 1.35L PET CL BT- Raspberry -19D</t>
  </si>
  <si>
    <t>1350C51-NDA-1RBJ5</t>
  </si>
  <si>
    <t>Nada 1.35L PET CL BT- Raspberry -21D</t>
  </si>
  <si>
    <t>1350C51-NDA-1RBJ6</t>
  </si>
  <si>
    <t>Nada 1.35L PET CL BT- Raspberry -22D</t>
  </si>
  <si>
    <t>1350C51-NDA-1RBJ7</t>
  </si>
  <si>
    <t>Nada 1.35L CL BT- Raspberry - New Mold</t>
  </si>
  <si>
    <t>1350C51-NDA-1RBJ8</t>
  </si>
  <si>
    <t>Nada 1.35L CL BT- Raspberry -New Mold-PP</t>
  </si>
  <si>
    <t>1350C51-NDA-1RBJ9</t>
  </si>
  <si>
    <t>Nada 1.35L CL BT- Raspberry -24D</t>
  </si>
  <si>
    <t>1350C51-NDA-1SBJ4</t>
  </si>
  <si>
    <t>Nada 1.35L PET CL BT- Strawberry -19D</t>
  </si>
  <si>
    <t>1350C51-NDA-1SBJ5</t>
  </si>
  <si>
    <t>Nada 1.35L PET CL BT- Strawberry -21D</t>
  </si>
  <si>
    <t>1350C51-NDA-1SBJ6</t>
  </si>
  <si>
    <t>Nada 1.35L PET CL BT- Strawberry -22D</t>
  </si>
  <si>
    <t>1350C51-NDA-1SBJ7</t>
  </si>
  <si>
    <t>Nada 1.35L CL BT- Strawberry - New Mold</t>
  </si>
  <si>
    <t>1350C51-NDA-1SBJ8</t>
  </si>
  <si>
    <t>Nada 1.35L CL BT- Strawberry-New Mold-PP</t>
  </si>
  <si>
    <t>1350C51-NDA-1SBJ9</t>
  </si>
  <si>
    <t>Nada 1.35L CL BT- Strawberry-24D</t>
  </si>
  <si>
    <t>1350C51-NDA-1SBJN</t>
  </si>
  <si>
    <t>Nada 1.35L CL BT- Strawberry Nectar</t>
  </si>
  <si>
    <t>1350C51-NDA-1SMG</t>
  </si>
  <si>
    <t>Nada 1.35L PET CL BT-SmoothieMF Green</t>
  </si>
  <si>
    <t>1350C51-NDA-1SMR</t>
  </si>
  <si>
    <t>Nada 1.35L PET CL BT-Smoothie MF Red</t>
  </si>
  <si>
    <t>1350C51-NDA-1SMY</t>
  </si>
  <si>
    <t>Nada 1.35L PET CL BT-SmoothieMF Yellow</t>
  </si>
  <si>
    <t>1350C51-NDA-1SPJ5</t>
  </si>
  <si>
    <t>Nada 1.35L PET CL BT- St'berry&amp;Grape-20D</t>
  </si>
  <si>
    <t>1350C51-NDA-1TCJ0</t>
  </si>
  <si>
    <t>Nada 1.35L CLBT-Trpcl Cocktl-24D V2</t>
  </si>
  <si>
    <t>1350C51-NDA-1TCJ4</t>
  </si>
  <si>
    <t>Nada 1.35L PET CL BT-Tropical Cocktl-19D</t>
  </si>
  <si>
    <t>1350C51-NDA-1TCJ5</t>
  </si>
  <si>
    <t>Nada 1.35L PET CL BT-Tropical Cocktl-20D</t>
  </si>
  <si>
    <t>1350C51-NDA-1TCJ6</t>
  </si>
  <si>
    <t>Nada 1.35L PET CL BT-Tropical Cocktl-22D</t>
  </si>
  <si>
    <t>1350C51-NDA-1TCJ7</t>
  </si>
  <si>
    <t>Nada 1.35L CL BT-Trpcl Cocktl - New Mold</t>
  </si>
  <si>
    <t>1350C51-NDA-1TCJ8</t>
  </si>
  <si>
    <t>Nada 1.35L CLBT-Trpcl Cocktl-New Mold-PP</t>
  </si>
  <si>
    <t>1350C51-NDA-1TCJ9</t>
  </si>
  <si>
    <t>Nada 1.35L CLBT-Trpcl Cocktl-24D</t>
  </si>
  <si>
    <t>14.0BC1EC-CL-A</t>
  </si>
  <si>
    <t>14.0 BC38mm 3 ECO Clear J/C(W plt</t>
  </si>
  <si>
    <t>14.0BC1EC-CL-AR2-A</t>
  </si>
  <si>
    <t>14.0 BC38mm 3 ECO Clear Arya CSD</t>
  </si>
  <si>
    <t>14.0BC1EC-CL-BC2-A</t>
  </si>
  <si>
    <t>14.0 BC38mm 3 ECO Clear BC112</t>
  </si>
  <si>
    <t>14.0BC1EC-CL-S</t>
  </si>
  <si>
    <t>14.0 BC38mm 3 ECO Clear steel C.</t>
  </si>
  <si>
    <t>14.0BC1RD-CL-S</t>
  </si>
  <si>
    <t>14.0 BC38mm 3 Rnd Clear W steel c.</t>
  </si>
  <si>
    <t>14.0TO1RD-B4-A</t>
  </si>
  <si>
    <t>14.0 TO 30/25 Rnd Arwa Blue J/C(W plt</t>
  </si>
  <si>
    <t>14.0TO1RD-CL-A</t>
  </si>
  <si>
    <t>14.0 30/25 Rnd Clear J/C(W plt</t>
  </si>
  <si>
    <t>14.0TO1RD-CL-JA1-A</t>
  </si>
  <si>
    <t>14.0 TO 30/25 Rnd Clear Jade W</t>
  </si>
  <si>
    <t>14.0TO1RD-CL-X</t>
  </si>
  <si>
    <t>14.0 30/25 Rnd Clear-EXP/C(W/O Plt</t>
  </si>
  <si>
    <t>14.0TO1RD-GB-A</t>
  </si>
  <si>
    <t>14.0 30/25 Rnd GNRL Blue J/C(W plt</t>
  </si>
  <si>
    <t>14.0TO1RD-GB-BC1-A</t>
  </si>
  <si>
    <t>14.0 TO 30/25 Rnd GNRL Blue BC111</t>
  </si>
  <si>
    <t>14.0TO2RD-B1-A</t>
  </si>
  <si>
    <t>14.0 TO 29/25 Rnd Nova Blue  J/C(W plt</t>
  </si>
  <si>
    <t>14.0TO2RD-B1-B</t>
  </si>
  <si>
    <t>14.0 TO 29/25 Rnd Nova Blue  J/C(P plt</t>
  </si>
  <si>
    <t xml:space="preserve">14.0 TO 29/25 Rnd Arwa Blue J/C(W plt)  </t>
  </si>
  <si>
    <t>14.1BC1RD-CL-AR2-B</t>
  </si>
  <si>
    <t>14.1 BC38mm 3 Rnd Clear AeyaC J/C(P Plt</t>
  </si>
  <si>
    <t>15.0BC1RD-CL-A</t>
  </si>
  <si>
    <t>15.0 BC 38 mm 3 Rnd Clear J/C(W Plt</t>
  </si>
  <si>
    <t>15.0BC1RD-CL-M</t>
  </si>
  <si>
    <t>15.0 BC 38 mm 3 Rnd Clear OCJ/C(W plt</t>
  </si>
  <si>
    <t>15.0BC1RD-W1-A</t>
  </si>
  <si>
    <t>15.0 BC 38 mm 3 Rnd White J/C(W Plt</t>
  </si>
  <si>
    <t>15.0BC1RD-W1-M</t>
  </si>
  <si>
    <t>15.0 BC 38 mm 3 Rnd White OCJ/C(W plt</t>
  </si>
  <si>
    <t>15.5BC1RD-CLA-S</t>
  </si>
  <si>
    <t>15.5BC38mm 3Start Rnd CLR W/Additive Stc</t>
  </si>
  <si>
    <t>15.5BC1RD-CL-G</t>
  </si>
  <si>
    <t>15.5 BC38mm 3 Start Rnd Clear OJ/C(p plt</t>
  </si>
  <si>
    <t>15.5BC1RD-CL-P</t>
  </si>
  <si>
    <t>15.5 BC38mm 3Rnd Clear Plain OCJ/C(W plt</t>
  </si>
  <si>
    <t>15.5BC1RD-CL-Z</t>
  </si>
  <si>
    <t>15.5 BC38mm 3 Start Rd Clear EXP/C(W plt</t>
  </si>
  <si>
    <t>15.5BC1RD-IRQ-CL-A</t>
  </si>
  <si>
    <t>15.5 BC38mm 3Start Rd CLR IRAQ J/C(W Plt</t>
  </si>
  <si>
    <t>15.5BC1RD-IRQ-W1-A</t>
  </si>
  <si>
    <t>15.5 BC38mm 3Start Rd WHT IRAQ J/C(W Plt</t>
  </si>
  <si>
    <t>15.5BC1RD-W1-A</t>
  </si>
  <si>
    <t>15.5 BC38mm 3 Start Rnd White J/C(W plt</t>
  </si>
  <si>
    <t>15.5BC1RD-W1-G</t>
  </si>
  <si>
    <t>15.5 BC38mm 3 Start Rnd White OJ/C(p plt</t>
  </si>
  <si>
    <t>15.5BC1RD-W1-S</t>
  </si>
  <si>
    <t>15.5 BC38mm 3 Start Rnd White W Steel c.</t>
  </si>
  <si>
    <t>15.5TO1RD-B4-A</t>
  </si>
  <si>
    <t>15.5 TO 30/25 Rnd Arwa Blue J/C(W Plt</t>
  </si>
  <si>
    <t>15.5TO1RD-B7-A</t>
  </si>
  <si>
    <t>15.5 TO 30/25 Rnd SAQI Blue J/C(W Plt</t>
  </si>
  <si>
    <t>15.5TO1RD-CL-A</t>
  </si>
  <si>
    <t>15.5 TO 30/25 Rnd CLEAR J/C(W Plt</t>
  </si>
  <si>
    <t>15.5TO1RD-CL-B</t>
  </si>
  <si>
    <t>15.5 TO 30/25 Rnd Clear J/C(P plt</t>
  </si>
  <si>
    <t>15.5TO1RD-CL-BH1</t>
  </si>
  <si>
    <t>15.5 TO 30/25 Rnd Clear J/C(P AQS HDG</t>
  </si>
  <si>
    <t>15.5TO1RD-CL-Z</t>
  </si>
  <si>
    <t>15.5 TO 30/25 Rnd CLEAR EXP/C(W Plt</t>
  </si>
  <si>
    <t>15.5TO1RD-GB-A</t>
  </si>
  <si>
    <t>15.5 TO 30/25 Rnd General Blue J/C(W Plt</t>
  </si>
  <si>
    <t>15.5TO1RD-RB-A</t>
  </si>
  <si>
    <t>15.5 TO 30/25 Rnd Rest Blue J/C(W Plt</t>
  </si>
  <si>
    <t>1500-1C51.0-NDA-P</t>
  </si>
  <si>
    <t>Nada 1.5L PET CLR PLAIN BTL 51.0G</t>
  </si>
  <si>
    <t>1500AC51-SFI-1O8SR</t>
  </si>
  <si>
    <t>Safi 1.5 LT PET Clr BTL-ORANGE 8 SR TAG</t>
  </si>
  <si>
    <t>1500AC51-SFI-1ORJ</t>
  </si>
  <si>
    <t>Safi 1.5 LT PET Clr BTL-ORANGE JUICE  AS</t>
  </si>
  <si>
    <t>1500AC51-SFI-SFG1</t>
  </si>
  <si>
    <t>AL Safi 1.5 Ltr - SFG</t>
  </si>
  <si>
    <t>1500C51.0-NDA-1GVJ</t>
  </si>
  <si>
    <t>Nada 1.5 LT PET CLR BTL-GUAVA JUICE</t>
  </si>
  <si>
    <t>1500C51.0-NDA-1LMJ</t>
  </si>
  <si>
    <t>Nada 1.5 LT PET CLR BTL-LEMON WITH MINT</t>
  </si>
  <si>
    <t>1500C51.0-NDA-1WMJ</t>
  </si>
  <si>
    <t>Nada 1.5L PET CL BT-Watermelon J-17D</t>
  </si>
  <si>
    <t>1500C51-NDA-1APJ2</t>
  </si>
  <si>
    <t>Nada 1.5L PET CL BT- Apple Juice-17D</t>
  </si>
  <si>
    <t>1500C51-NDA-1APJ3</t>
  </si>
  <si>
    <t>Nada 1.5L PET CL BT- Apple Juice-18D</t>
  </si>
  <si>
    <t>1500C51-NDA-1APJX</t>
  </si>
  <si>
    <t>Nada 1.5L PET CL BT- Apple Juice-XPT</t>
  </si>
  <si>
    <t>1500C51-NDA-1APJX2</t>
  </si>
  <si>
    <t>Nada 1.5L PET CL BT- Apple Juice XPT-19D</t>
  </si>
  <si>
    <t>1500C51-NDA-1GVJ2</t>
  </si>
  <si>
    <t>Nada 1.5L PET CL BT-Guava Juice-17D</t>
  </si>
  <si>
    <t>1500C51-NDA-1GVJ3</t>
  </si>
  <si>
    <t>Nada 1.5L PET CL BT-Guava Juice-18D</t>
  </si>
  <si>
    <t>1500C51-NDA-1GVJX</t>
  </si>
  <si>
    <t>Nada 1.5L PET CL BT-Guava Juice-XPT</t>
  </si>
  <si>
    <t>1500C51-NDA-1KLJ2</t>
  </si>
  <si>
    <t>Nada 1.5L PET CL BT- Kiwi Lime J-17D</t>
  </si>
  <si>
    <t>1500C51-NDA-1KLJ3</t>
  </si>
  <si>
    <t>Nada 1.5L PET CL BT- Kiwi Lime Juice-18D</t>
  </si>
  <si>
    <t>1500C51-NDA-1KLJX</t>
  </si>
  <si>
    <t>Nada 1.5L PET CL BT- Kiwi Lime J-XPT</t>
  </si>
  <si>
    <t>1500C51-NDA-1KLJX2</t>
  </si>
  <si>
    <t>Nada 1.5L PET CL BT- Kiwi Lime J XPT-19D</t>
  </si>
  <si>
    <t>1500C51-NDA-1LMJ2</t>
  </si>
  <si>
    <t>Nada 1.5L PET CL BT-Lemon W/Mint J -18D</t>
  </si>
  <si>
    <t>1500C51-NDA-1LMJX</t>
  </si>
  <si>
    <t>Nada 1.5L PET CL BT- Lemon W/mint J-XPT</t>
  </si>
  <si>
    <t>1500C51-NDA-1LMJX2</t>
  </si>
  <si>
    <t>Nada 1.5L PET CL BT-Lemon W/mint XPT-19D</t>
  </si>
  <si>
    <t>1500C51-NDA-1MFJ2</t>
  </si>
  <si>
    <t>Nada 1.5L PET CL BT- Mixed Fruit J-17D</t>
  </si>
  <si>
    <t>1500C51-NDA-1MFJ3</t>
  </si>
  <si>
    <t>Nada 1.5L PET CL BT- Mixed Fruit J-18D</t>
  </si>
  <si>
    <t>1500C51-NDA-1MFJX</t>
  </si>
  <si>
    <t>Nada 1.5L PET CL BT- Mixed Fruit J-XPT</t>
  </si>
  <si>
    <t>1500C51-NDA-1MGJ2</t>
  </si>
  <si>
    <t>Nada 1.5L PET CL BT-Mango Juice-17D</t>
  </si>
  <si>
    <t>1500C51-NDA-1MGJ3</t>
  </si>
  <si>
    <t>Nada 1.5L PET CL BT-Mango Juice-18D</t>
  </si>
  <si>
    <t>1500C51-NDA-1MGJX</t>
  </si>
  <si>
    <t>Nada 1.5L PET CL BT-Mango Juice-XPT</t>
  </si>
  <si>
    <t>1500C51-NDA-1MGJX2</t>
  </si>
  <si>
    <t>Nada 1.5L PET CL BT-Mango Juice XPT-19D</t>
  </si>
  <si>
    <t>1500C51-NDA-1MGP2</t>
  </si>
  <si>
    <t>Nada 1.5L PET CL BT-Mango W/Pulp J-17D</t>
  </si>
  <si>
    <t>1500C51-NDA-1MGP3</t>
  </si>
  <si>
    <t>Nada 1.5L PET CL BT-Mango W/Pulp J-18D</t>
  </si>
  <si>
    <t>1500C51-NDA-1MGPX</t>
  </si>
  <si>
    <t>Nada 1.5L PET CL BT-Mango W/Pulp J-XPT</t>
  </si>
  <si>
    <t>1500C51-NDA-1ORJ2</t>
  </si>
  <si>
    <t>Nada 1.5L PET CL BT- Orange Juice-17D</t>
  </si>
  <si>
    <t>1500C51-NDA-1ORJ3</t>
  </si>
  <si>
    <t>Nada 1.5L PET CL BT- Orange Juice-18D</t>
  </si>
  <si>
    <t>1500C51-NDA-1ORJX</t>
  </si>
  <si>
    <t>Nada 1.5L PET CL BT- Orange Juice-XPT</t>
  </si>
  <si>
    <t>1500C51-NDA-1ORJX2</t>
  </si>
  <si>
    <t>Nada 1.5L PET CL BT-Orange Juice XPT-19D</t>
  </si>
  <si>
    <t>1500C51-NDA-1PAJ2</t>
  </si>
  <si>
    <t>Nada 1.5L PET CL BT- Pineaple J-17D</t>
  </si>
  <si>
    <t>1500C51-NDA-1PAJ3</t>
  </si>
  <si>
    <t>Nada 1.5L PET CL BT- Pineapple Juice-18D</t>
  </si>
  <si>
    <t>1500C51-NDA-1PAJX</t>
  </si>
  <si>
    <t>Nada 1.5L PET CL BT- Pineaple J-XPT</t>
  </si>
  <si>
    <t>1500C51-NDA-1PGJ2</t>
  </si>
  <si>
    <t>Nada 1.5L PET CL BT- Pomegranate J -17D</t>
  </si>
  <si>
    <t>1500C51-NDA-1PGJ3</t>
  </si>
  <si>
    <t>Nada 1.5L PET CL BT- Pomegranate J -18D</t>
  </si>
  <si>
    <t>1500C51-NDA-1PGJX</t>
  </si>
  <si>
    <t>Nada 1.5L PET CL BT- Pomegranate J -XPT</t>
  </si>
  <si>
    <t>1500C51-NDA-1PGP</t>
  </si>
  <si>
    <t>Nada 1.5L PET CL BT-Pink Grape Juice-18D</t>
  </si>
  <si>
    <t>1500C51-NDA-1POJ2</t>
  </si>
  <si>
    <t>Nada 1.5L PET CL BT-Pineaple Orange-17D</t>
  </si>
  <si>
    <t>1500C51-NDA-1POJ3</t>
  </si>
  <si>
    <t>Nada 1.5L PET CL BT-Pineapple Orange-18D</t>
  </si>
  <si>
    <t>1500C51-NDA-1RBJ2</t>
  </si>
  <si>
    <t>Nada 1.5L PET CL BT-Raspberry J-17D</t>
  </si>
  <si>
    <t>1500C51-NDA-1RBJ3</t>
  </si>
  <si>
    <t>Nada 1.5L PET CL BT-Raspberry Juice-18D</t>
  </si>
  <si>
    <t>1500C51-NDA-1RBJX</t>
  </si>
  <si>
    <t>Nada 1.5L PET CL BT-Raspberry J-XPT</t>
  </si>
  <si>
    <t>1500C51-NDA-1RBJX2</t>
  </si>
  <si>
    <t>Nada 1.5L PET CL BT-Raspberry J XPT-19D</t>
  </si>
  <si>
    <t>1500C51-NDA-1SBJ2</t>
  </si>
  <si>
    <t>Nada 1.5L PET CL BT-Strawberry J-17D</t>
  </si>
  <si>
    <t>1500C51-NDA-1SBJ3</t>
  </si>
  <si>
    <t>Nada 1.5L PET CL BT-Strawberry Juice-18D</t>
  </si>
  <si>
    <t>1500C51-NDA-1SBJX</t>
  </si>
  <si>
    <t>Nada 1.5L PET CL BT-Strawberry J-XPT</t>
  </si>
  <si>
    <t>1500C51-NDA-1SBJX2</t>
  </si>
  <si>
    <t>Nada 1.5L PET CL BT-Strawberry J XPT-19D</t>
  </si>
  <si>
    <t>1500C51-NDA-1SMG</t>
  </si>
  <si>
    <t>Nada 1.5L PET CL BT-SmoothieMF Green</t>
  </si>
  <si>
    <t>1500C51-NDA-1SMR</t>
  </si>
  <si>
    <t>Nada 1.5L PET CL BT-Smoothie MF Red</t>
  </si>
  <si>
    <t>1500C51-NDA-1SMY</t>
  </si>
  <si>
    <t>Nada 1.5L PET CL BT-SmoothieMF Yellow</t>
  </si>
  <si>
    <t>1500C51-NDA-1TCJ2</t>
  </si>
  <si>
    <t>Nada 1.5L PET CL BT-Tropical Cocktl-17D</t>
  </si>
  <si>
    <t>1500C51-NDA-1TCJ3</t>
  </si>
  <si>
    <t>Nada1.5L PET CL BT-Tropical Cocktail-18D</t>
  </si>
  <si>
    <t>1500C51-NDA-1TCJX</t>
  </si>
  <si>
    <t>Nada 1.5L PET CL BT-Tropical Cocktl-XPT</t>
  </si>
  <si>
    <t>1500C51-SFI-1APJ</t>
  </si>
  <si>
    <t>Safi 1.5 LT PET Clr BT-APPLE JUICE AS</t>
  </si>
  <si>
    <t>1500C51-SFI-1APJ2</t>
  </si>
  <si>
    <t>Safi 1.5L PET CLR BT-Apple-N.Des-02</t>
  </si>
  <si>
    <t>1500C51-SFI-1APJ3</t>
  </si>
  <si>
    <t>Safi 1.5L PET Clear BTL-Apple -21D</t>
  </si>
  <si>
    <t>1500C51-SFI-1APJ4</t>
  </si>
  <si>
    <t>Safi 1.5L PET Clear BTL-Apple -22D</t>
  </si>
  <si>
    <t>1500C51-SFI-1APJ5</t>
  </si>
  <si>
    <t>Safi 1.5L PET Clear BTL W plt-Apple -22D</t>
  </si>
  <si>
    <t>1500C51-SFI-1APJR</t>
  </si>
  <si>
    <t>Safi 1.5L PET Clr BT- Apple J-Rmdn</t>
  </si>
  <si>
    <t>1500C51-SFI-1KLJ</t>
  </si>
  <si>
    <t>Safi 1.5L PET CLR BTL-Kiwi Lemon - D18</t>
  </si>
  <si>
    <t>1500C51-SFI-1LEJ</t>
  </si>
  <si>
    <t>Safi 1.5 LT PET Clr BT-LEMON JUICE AS</t>
  </si>
  <si>
    <t>1500C51-SFI-1LEJ2</t>
  </si>
  <si>
    <t>Safi 1.5L PET CLR BT-Lemon-N.Des-02</t>
  </si>
  <si>
    <t>1500C51-SFI-1LEJ3</t>
  </si>
  <si>
    <t>Safi 1.5L PET Clear BTL-Lemon -21D</t>
  </si>
  <si>
    <t>1500C51-SFI-1LEJ4</t>
  </si>
  <si>
    <t>Safi 1.5L PET Clear BTL-Lemon W/Mint-22D</t>
  </si>
  <si>
    <t>1500C51-SFI-1LEJ5</t>
  </si>
  <si>
    <t>Safi 1.5L PET Clear BTL W plt -Lemon-22D</t>
  </si>
  <si>
    <t>1500C51-SFI-1LEJR</t>
  </si>
  <si>
    <t>Safi 1.5L PET Clr BT- Lemon J-Rmdn</t>
  </si>
  <si>
    <t>1500C51-SFI-1MBJ</t>
  </si>
  <si>
    <t>Safi 1.5 LT PET Clr BT-MIXED BERRIES AS</t>
  </si>
  <si>
    <t>1500C51-SFI-1MBJ2</t>
  </si>
  <si>
    <t>Safi1.5L PET CL BT-Mixed BERI's-N.Des-02</t>
  </si>
  <si>
    <t>1500C51-SFI-1MBJ3</t>
  </si>
  <si>
    <t>Safi1.5L PET CLR BTL- Mixed Berries -D18</t>
  </si>
  <si>
    <t>1500C51-SFI-1MFJ</t>
  </si>
  <si>
    <t>Safi 1.5 LT PET Clr BT-MULTI FRUIT J AS</t>
  </si>
  <si>
    <t>1500C51-SFI-1MFJ2</t>
  </si>
  <si>
    <t>Safi 1.5L PET CL BT-Multi Fruit-N.Des-02</t>
  </si>
  <si>
    <t>1500C51-SFI-1MFJ3</t>
  </si>
  <si>
    <t>Safi 1.5L PET Clear BTL-Multi Fruit -21D</t>
  </si>
  <si>
    <t>1500C51-SFI-1MFJ4</t>
  </si>
  <si>
    <t>Safi 1.5L PET Clear BTL-Multi Fruit -22D</t>
  </si>
  <si>
    <t>1500C51-SFI-1MFJ5</t>
  </si>
  <si>
    <t>Safi 1.5L PET CLR  W plt-Multi Fruit-22D</t>
  </si>
  <si>
    <t>1500C51-SFI-1MFJR</t>
  </si>
  <si>
    <t>Safi 1.5L PET Clr BT- Multi Fruit J-Rmdn</t>
  </si>
  <si>
    <t>1500C51-SFI-1MGJ</t>
  </si>
  <si>
    <t>Safi 1.5 LT PET Clr BT-MANGO JUICE AS</t>
  </si>
  <si>
    <t>1500C51-SFI-1MGJ2</t>
  </si>
  <si>
    <t>Safi 1.5L PET CLR BT-Mango-N.Des-02</t>
  </si>
  <si>
    <t>1500C51-SFI-1MGJ3</t>
  </si>
  <si>
    <t>Safi 1.5L PET Clear BTL-Mango -21D</t>
  </si>
  <si>
    <t>1500C51-SFI-1MGJ4</t>
  </si>
  <si>
    <t>Safi 1.5L PET Clear BTL-Mango -22D</t>
  </si>
  <si>
    <t>1500C51-SFI-1MGJ5</t>
  </si>
  <si>
    <t>Safi 1.5L PET Clear BTL W plt-Mango -22D</t>
  </si>
  <si>
    <t>1500C51-SFI-1MGJR</t>
  </si>
  <si>
    <t>Safi 1.5L PET Clr BT- Mango J-Rmdn</t>
  </si>
  <si>
    <t>1500C51-SFI-1MMF</t>
  </si>
  <si>
    <t>Safi1.5L PET CLR BTL-Mango Mix Fruit-22D</t>
  </si>
  <si>
    <t>1500C51-SFI-1MMF2</t>
  </si>
  <si>
    <t>Safi1.5LPET CLR W plt-Mango MixFruit-22D</t>
  </si>
  <si>
    <t>1500C51-SFI-1MMF3</t>
  </si>
  <si>
    <t>Safi1.5L PET CLR BTL-Mango Mix Fruit-24D</t>
  </si>
  <si>
    <t>1500C51-SFI-1MMF4</t>
  </si>
  <si>
    <t>Safi1.5LPET CLR W plt-Mango MixFruit-24D</t>
  </si>
  <si>
    <t>1500C51-SFI-1OCJ</t>
  </si>
  <si>
    <t>Safi 1.5L PET CLR BTL-Orange Carrot -D18</t>
  </si>
  <si>
    <t>1500C51-SFI-1ORJ2</t>
  </si>
  <si>
    <t>Safi 1.5L PET CLR BT-Orange-N.Des-02</t>
  </si>
  <si>
    <t>1500C51-SFI-1ORJ3</t>
  </si>
  <si>
    <t>Safi 1.5L PET Clear BTL-Orange -21D</t>
  </si>
  <si>
    <t>1500C51-SFI-1ORJ4</t>
  </si>
  <si>
    <t>Safi 1.5L PET Clear BTL-Orange -22D</t>
  </si>
  <si>
    <t>1500C51-SFI-1ORJ5</t>
  </si>
  <si>
    <t>Safi 1.5L PET Clear BTL W plt-Orange-22D</t>
  </si>
  <si>
    <t>1500C51-SFI-1ORJ6</t>
  </si>
  <si>
    <t>Safi 1.5L PET Clear BTL-Orange -24D</t>
  </si>
  <si>
    <t>1500C51-SFI-1ORJ7</t>
  </si>
  <si>
    <t>Safi 1.5L PET Clear BTL W plt-Orange-24D</t>
  </si>
  <si>
    <t>1500C51-SFI-1ORJR</t>
  </si>
  <si>
    <t>Safi 1.5L PET Clr BT- Orang J-Rmdn</t>
  </si>
  <si>
    <t>1500C51-SFI-1ORN</t>
  </si>
  <si>
    <t>Safi 1.5L PET CLR BTL-Orange  Nectar-24D</t>
  </si>
  <si>
    <t>1500C51-SFI-1ORN2</t>
  </si>
  <si>
    <t>Safi1.5LPET CLR BTLW/p-Orange Nectar-24D</t>
  </si>
  <si>
    <t>1500C51-SFI-1PGJ</t>
  </si>
  <si>
    <t>Safi 1.5L PET CLR BTL-Pomegranate - D18</t>
  </si>
  <si>
    <t>1500C51-SFI-1PGJ2</t>
  </si>
  <si>
    <t>Safi 1.5L PET Clear BTL-Pomegranate -21D</t>
  </si>
  <si>
    <t>1500C51-SFI-1PGJ4</t>
  </si>
  <si>
    <t>Safi 1.5L PET CLR W plt-Pomegranate-22D</t>
  </si>
  <si>
    <t>1500C51-SFI-1RCJ</t>
  </si>
  <si>
    <t>Safi 1.5 LT PET Clr BT-RED COCKT'L J AS</t>
  </si>
  <si>
    <t>1500C51-SFI-1RCJ2</t>
  </si>
  <si>
    <t>Safi 1.5L PET CLR BT-Red COKT'L-N.Des-02</t>
  </si>
  <si>
    <t>1500C51-SFI-1RCJ3</t>
  </si>
  <si>
    <t>Safi 1.5L PET CLR BTL- Red Cocktail -D18</t>
  </si>
  <si>
    <t>1500C51-SFI-1SBJ</t>
  </si>
  <si>
    <t>Safi 1.5 LT PET Clr BT-STRAWBERRY J AS</t>
  </si>
  <si>
    <t>1500C51-SFI-1SBJ2</t>
  </si>
  <si>
    <t>Safi 1.5L PET CLR BT-Strawberry-N.Des-02</t>
  </si>
  <si>
    <t>1500C51-SFI-1SBJ3</t>
  </si>
  <si>
    <t>Safi 1.5L PET Clear BTL-Strawberry -21D</t>
  </si>
  <si>
    <t>1500C51-SFI-1SBJ4</t>
  </si>
  <si>
    <t>Safi 1.5L PET Clear BTL-Strawberry -22D</t>
  </si>
  <si>
    <t>1500C51-SFI-1SBJ5</t>
  </si>
  <si>
    <t>Safi 1.5L PET CLR BTL W plt-Strberry-22D</t>
  </si>
  <si>
    <t>1500C51-SFI-1SBJ6</t>
  </si>
  <si>
    <t>Safi 1.5L PET Clear BTL-Strawberry -NAS</t>
  </si>
  <si>
    <t>1500C51-SFI-1SBJ7</t>
  </si>
  <si>
    <t>Safi 1.5L PET CLR BTL W plt-Strberry-NAS</t>
  </si>
  <si>
    <t>1500C51-SFI-1SBJR</t>
  </si>
  <si>
    <t>Safi 1.5L PET Clr BT- Strawberry J-Rmdn</t>
  </si>
  <si>
    <t>1500C51-SFI-1SC</t>
  </si>
  <si>
    <t>Safi 1.5L PET Clear BTL-APSaudi Cocktail</t>
  </si>
  <si>
    <t>1500C51-SFI-1SFJ</t>
  </si>
  <si>
    <t>(X)Safi 1.5 LT PET Clr BT-SUPER FRUIT J</t>
  </si>
  <si>
    <t>1500C51-SFI-1WCJ</t>
  </si>
  <si>
    <t>(X)Safi 1.5 LT PET Clr BT-WHITE COCKT'L</t>
  </si>
  <si>
    <t>16.0TO1RD-GB-BC1-D</t>
  </si>
  <si>
    <t>16.0 TO 30/25 Rnd BLUE BC111 Crate</t>
  </si>
  <si>
    <t>16.7PC2RD-CL-V</t>
  </si>
  <si>
    <t>16.7 PCO 1881 Rnd Clear MenaBev Spec</t>
  </si>
  <si>
    <t>16.7PC2RD-IG-V</t>
  </si>
  <si>
    <t>16.7 PCO 1881 Rnd ICI Green MenaBev Spec</t>
  </si>
  <si>
    <t>165C12.7-NDA-1CCM</t>
  </si>
  <si>
    <t>Nada165mlPETCLBT-CottonCandyFLAV MLK-24D</t>
  </si>
  <si>
    <t>165C12.7-NDA-1CPR</t>
  </si>
  <si>
    <t>Nada 165mlPET CL-Choco PRM MLK-24D</t>
  </si>
  <si>
    <t>165C12.7-NDA-1CPR1</t>
  </si>
  <si>
    <t>Nada 165mlPET CL-Choco PRM MLK-24D.V1</t>
  </si>
  <si>
    <t>165C12.7-NDA-1GPR</t>
  </si>
  <si>
    <t>Nada 165mlPET CL-Guava PRM MLK-24D</t>
  </si>
  <si>
    <t>165C12.7-NDA-1GPR1</t>
  </si>
  <si>
    <t>Nada 165mlPET CL-Guava PRM MLK-24D.V1</t>
  </si>
  <si>
    <t>165C12.7-NDA-1MPR</t>
  </si>
  <si>
    <t>Nada 165mlPET CL-Mango PRM MLK-24D</t>
  </si>
  <si>
    <t>165C12.7-NDA-1MPR1</t>
  </si>
  <si>
    <t>Nada 165mlPET CL-Mango PRM MLK-24D.V1</t>
  </si>
  <si>
    <t>165C12.7-NDA-1PPM</t>
  </si>
  <si>
    <t>Nada165mlPET CLBT-PistachioFLAV Milk-24D</t>
  </si>
  <si>
    <t>165C12.7-NDA-1SPR</t>
  </si>
  <si>
    <t>Nada 165mlPET CL-STBRY PRM MLK-24D</t>
  </si>
  <si>
    <t>165C12.7-NDA-1SPR1</t>
  </si>
  <si>
    <t>Nada 165mlPET CL-STBRY PRM MLK-24D.V1</t>
  </si>
  <si>
    <t>18.0BC1RD-CJ-S</t>
  </si>
  <si>
    <t>18.0 BC38mm 3 Rnd Clear Steel c-(Aujan)</t>
  </si>
  <si>
    <t>18.0BC1RD-CL-A</t>
  </si>
  <si>
    <t>18.0 BC38mm 3 Rnd Clear J/C(W Plt</t>
  </si>
  <si>
    <t>18.0BC1RD-CL-B</t>
  </si>
  <si>
    <t>18.0 BC38mm 3 Rnd Clear J/C(P Plt</t>
  </si>
  <si>
    <t>18.0BC1RD-CL-G</t>
  </si>
  <si>
    <t>18.0BC1RD-CL-P</t>
  </si>
  <si>
    <t>18.0 BC38mm 3Rnd Clear Plain OCJ/C(W plt</t>
  </si>
  <si>
    <t>18.0BC1RD-NC-S</t>
  </si>
  <si>
    <t>Nada 18.0 BC 38mm 3 Rnd Clear steel C</t>
  </si>
  <si>
    <t>18.0BC1RD-W1-A</t>
  </si>
  <si>
    <t>18.0 BC38mm 3 Rnd White J/C(W Plt</t>
  </si>
  <si>
    <t>18.0BC1RD-W1-P</t>
  </si>
  <si>
    <t>18.0 BC38mm 3Rnd White Plain OCJ/C(W plt</t>
  </si>
  <si>
    <t>18.0BC1RD-W1-S</t>
  </si>
  <si>
    <t>18.0 BC38mm 3 Rnd White Steel C</t>
  </si>
  <si>
    <t>18.0PC2RD-CL-A</t>
  </si>
  <si>
    <t>18.0 PCO 1881 Rnd Clear J/C(W Plt</t>
  </si>
  <si>
    <t>18.0PC2RD-CL-B</t>
  </si>
  <si>
    <t>18.0 PCO 1881 Rnd Clear J/C(P Plt</t>
  </si>
  <si>
    <t xml:space="preserve">18.0 PCO 1881 Rnd Clear MenaBev Spec    </t>
  </si>
  <si>
    <t>18.0PC2RD-IG-A</t>
  </si>
  <si>
    <t>18.0 PCO 1881 Rnd ICI Green J/C(W Plt</t>
  </si>
  <si>
    <t>18.0PC2RD-IG-B</t>
  </si>
  <si>
    <t>18.0 PCO 1881 Rnd Green J/C(P Plt</t>
  </si>
  <si>
    <t>18.0PC2RD-IG-V</t>
  </si>
  <si>
    <t>18.0 PCO 1881 Rnd ICI Green MenaBev Spec</t>
  </si>
  <si>
    <t>18.0TO1RD-CL-A</t>
  </si>
  <si>
    <t>18.0 30/25 Rnd Clear J/C(W Plt</t>
  </si>
  <si>
    <t>18.0TO1RD-CL-BC1-A</t>
  </si>
  <si>
    <t>18.0 TO 30/25 Rnd Clear BC111</t>
  </si>
  <si>
    <t>18.0TO1RD-GB-A</t>
  </si>
  <si>
    <t>18.0 TO 30/25 Rnd GNRL BLUE J/C(W plt</t>
  </si>
  <si>
    <t>18.0TO1RL-LB-B</t>
  </si>
  <si>
    <t>18.0 30/25 Rnd Long-95 L.BLUE-J/C(P plt</t>
  </si>
  <si>
    <t>18.0TO1RS-LB-A</t>
  </si>
  <si>
    <t>18.0 30/25 Short-90.4 L.BLUE-J/C(W plt</t>
  </si>
  <si>
    <t>180-1C13.5-NDA-P</t>
  </si>
  <si>
    <t>Nada 180ml PET Clear Plain Bottles</t>
  </si>
  <si>
    <t>180AC13.5-SFI-1ORJ</t>
  </si>
  <si>
    <t>Safi 180ml PET Clr BTL-ORANGE JUICE  AS</t>
  </si>
  <si>
    <t>180C12.7-NDA-1CCM</t>
  </si>
  <si>
    <t xml:space="preserve"> Nada180ml PET-Cotton Candy Flav Milk-PP</t>
  </si>
  <si>
    <t>180C12.7-NDA-1CPM1</t>
  </si>
  <si>
    <t>Nada 180ml PET Clr BT-Choc Premium 1 SR</t>
  </si>
  <si>
    <t>180C12.7-NDA-1CPM2</t>
  </si>
  <si>
    <t>Nada 180ml PET CL BT-Choco P.MLK-1.05SR</t>
  </si>
  <si>
    <t>180C12.7-NDA-1CPM3</t>
  </si>
  <si>
    <t>Nada 180ml PET CL BT-Choco PRM MLK-21D</t>
  </si>
  <si>
    <t>180C12.7-NDA-1CPM4</t>
  </si>
  <si>
    <t>Nada 180ml PET CLBT-Choco PRM MLK-22D</t>
  </si>
  <si>
    <t>180C12.7-NDA-1CPM5</t>
  </si>
  <si>
    <t>Nada 180ml PET CL BT-Choco PRM MLK-SM</t>
  </si>
  <si>
    <t>180C12.7-NDA-1CPM6</t>
  </si>
  <si>
    <t>Nada 180ml PET CLBT-Choco PRM MLK-23D</t>
  </si>
  <si>
    <t>180C12.7-NDA-1CPM7</t>
  </si>
  <si>
    <t>Nada 180ml PET CLBT-Choco PRM MLK-23D V2</t>
  </si>
  <si>
    <t>180C12.7-NDA-1CPM8</t>
  </si>
  <si>
    <t>Nada 180ml PET CLBT-Choco PRM MLK-23D-PP</t>
  </si>
  <si>
    <t>180C12.7-NDA-1CPM9</t>
  </si>
  <si>
    <t>Nada 180mlPET CL-Choco PRM MLK-23D V2-PP</t>
  </si>
  <si>
    <t>180C12.7-NDA-1CPP2</t>
  </si>
  <si>
    <t>180C12.7-NDA-1CWC1</t>
  </si>
  <si>
    <t>Nada 180ml PET Clr BT-Choc W/Caraml 1 SR</t>
  </si>
  <si>
    <t>180C12.7-NDA-1FFM2</t>
  </si>
  <si>
    <t>Nada 180ml PET Clr BTL-Full Fat Milk-21D</t>
  </si>
  <si>
    <t>180C12.7-NDA-1FFM3</t>
  </si>
  <si>
    <t>Nada180ml PET CL BTL-F.F Milk-Saudi Made</t>
  </si>
  <si>
    <t>180C12.7-NDA-1FFM4</t>
  </si>
  <si>
    <t>Nada180ml PET CL BTL-F.F Milk SM-PP</t>
  </si>
  <si>
    <t>180C12.7-NDA-1FFM5</t>
  </si>
  <si>
    <t>Nada 180ml PET Clr BTL-Full Fat Milk-24D</t>
  </si>
  <si>
    <t>180C12.7-NDA-1GPM1</t>
  </si>
  <si>
    <t>Nada 180ml PET Clr BT-Guava Premium 1 SR</t>
  </si>
  <si>
    <t>180C12.7-NDA-1GPM2</t>
  </si>
  <si>
    <t>Nada 180ml PET CL BT-Guava P.MLK-1.05SR</t>
  </si>
  <si>
    <t>180C12.7-NDA-1GPM3</t>
  </si>
  <si>
    <t>Nada 180ml PET CL BT- Guava PRM MLK-21D</t>
  </si>
  <si>
    <t>180C12.7-NDA-1GPM4</t>
  </si>
  <si>
    <t>Nada 180ml PET CLBT-Guava PRM MLK-22D</t>
  </si>
  <si>
    <t>180C12.7-NDA-1GPM5</t>
  </si>
  <si>
    <t>Nada 180ml PET CL BT- Guava PRM MLK-SM</t>
  </si>
  <si>
    <t>180C12.7-NDA-1GPM6</t>
  </si>
  <si>
    <t>Nada 180ml PET CLBT-Guava PRM MLK-23D</t>
  </si>
  <si>
    <t>180C12.7-NDA-1GPM7</t>
  </si>
  <si>
    <t>Nada 180ml PET CLBT-Guava PRM MLK-23D V2</t>
  </si>
  <si>
    <t>180C12.7-NDA-1GPM8</t>
  </si>
  <si>
    <t>Nada 180ml PET CLBT-Guava PRM MLK-23D-PP</t>
  </si>
  <si>
    <t>180C12.7-NDA-1GPM9</t>
  </si>
  <si>
    <t>Nada 180mlPET CL-Guava PRM MLK-23D V2-PP</t>
  </si>
  <si>
    <t>180C12.7-NDA-1GPP2</t>
  </si>
  <si>
    <t>Nada 180ml PET CL BT-Guava P MLK 1SR-21D</t>
  </si>
  <si>
    <t>180C12.7-NDA-1LFM2</t>
  </si>
  <si>
    <t>Nada 180ml PET Clr BTL-Low Fat Milk-21D</t>
  </si>
  <si>
    <t>180C12.7-NDA-1LFM3</t>
  </si>
  <si>
    <t>Nada180ml PET CL BTL-L.F Milk-Saudi Made</t>
  </si>
  <si>
    <t>180C12.7-NDA-1LFM4</t>
  </si>
  <si>
    <t>Nada180ml PET CL BTL-L.F Milk SM-PP</t>
  </si>
  <si>
    <t>180C12.7-NDA-1LFM5</t>
  </si>
  <si>
    <t>Nada 180ml PET Clr BTL-Low Fat Milk-24D</t>
  </si>
  <si>
    <t>180C12.7-NDA-1MPM1</t>
  </si>
  <si>
    <t>Nada 180ml PET Clr BT-Mango Premium 1 SR</t>
  </si>
  <si>
    <t>180C12.7-NDA-1MPM2</t>
  </si>
  <si>
    <t>Nada 180ml PET CL BT-Mango P.MLK-1.05SR</t>
  </si>
  <si>
    <t>180C12.7-NDA-1MPM3</t>
  </si>
  <si>
    <t>Nada 180ml PET CL BT- Mango PRM MLK-21D</t>
  </si>
  <si>
    <t>180C12.7-NDA-1MPM4</t>
  </si>
  <si>
    <t>Nada 180ml PET CLBT-Mango PRM MLK-22D</t>
  </si>
  <si>
    <t>180C12.7-NDA-1MPM5</t>
  </si>
  <si>
    <t>Nada 180ml PET CL BT- Mango PRM MLK-SM</t>
  </si>
  <si>
    <t>180C12.7-NDA-1MPM6</t>
  </si>
  <si>
    <t>Nada 180ml PET CLBT-Mango PRM MLK-23D</t>
  </si>
  <si>
    <t>180C12.7-NDA-1MPM7</t>
  </si>
  <si>
    <t>Nada 180ml PET CLBT-Mango PRM MLK-23D V2</t>
  </si>
  <si>
    <t>180C12.7-NDA-1MPM9</t>
  </si>
  <si>
    <t>Nada 180mlPET CL-Mango PRM MLK-23D V2-PP</t>
  </si>
  <si>
    <t>180C12.7-NDA-1MPP2</t>
  </si>
  <si>
    <t>Nada 180ml PET CL BT-Mango P MLK 1SR-21D</t>
  </si>
  <si>
    <t>180C12.7-NDA-1PAM1</t>
  </si>
  <si>
    <t>Nada 180ml PET Clr BT-Pineaple Milk 1SR</t>
  </si>
  <si>
    <t>180C12.7-NDA-1PAPM</t>
  </si>
  <si>
    <t>Nada 180ml PET Clr BT-Pineapple Premium</t>
  </si>
  <si>
    <t>180C12.7-NDA-1PPM</t>
  </si>
  <si>
    <t xml:space="preserve"> Nada 180ml PET CL-Pistachio FLAV MLK-PP</t>
  </si>
  <si>
    <t>180C12.7-NDA-1PPM2</t>
  </si>
  <si>
    <t>Nada 180ml PET CL BT-P'pple P.MLK-1.05SR</t>
  </si>
  <si>
    <t>180C12.7-NDA-1SKM2</t>
  </si>
  <si>
    <t>Nada 180ml PET Clr BTL-Skimmed Milk-21D</t>
  </si>
  <si>
    <t>180C12.7-NDA-1SKM3</t>
  </si>
  <si>
    <t>Nada 180ml PET CL-Skimmed MLK-Saudi Made</t>
  </si>
  <si>
    <t>180C12.7-NDA-1SKM4</t>
  </si>
  <si>
    <t>Nada 180ml PET CL-Skimmed MLK SM-PP</t>
  </si>
  <si>
    <t>180C12.7-NDA-1SKM5</t>
  </si>
  <si>
    <t>Nada 180ml PET Clr BTL-Skimmed Milk-24D</t>
  </si>
  <si>
    <t>180C12.7-NDA-1SPM1</t>
  </si>
  <si>
    <t>Nada 180ml PET Clr BT-S'Berry Prem 1 SR</t>
  </si>
  <si>
    <t>180C12.7-NDA-1SPM2</t>
  </si>
  <si>
    <t>Nada180ml PET CL BT-S'Berry P.MLK-1.05SR</t>
  </si>
  <si>
    <t>180C12.7-NDA-1SPM3</t>
  </si>
  <si>
    <t>Nada 180ml PET CL BT-STBRY PRM MLK-21D</t>
  </si>
  <si>
    <t>180C12.7-NDA-1SPM4</t>
  </si>
  <si>
    <t>Nada 180ml PET CLBT-STBRY PRM MLK-22D</t>
  </si>
  <si>
    <t>180C12.7-NDA-1SPM5</t>
  </si>
  <si>
    <t>Nada 180ml PET CL BT-STBRY PRM MLK-SM</t>
  </si>
  <si>
    <t>180C12.7-NDA-1SPM6</t>
  </si>
  <si>
    <t>Nada 180ml PET CLBT-STBRY PRM MLK-23D</t>
  </si>
  <si>
    <t>180C12.7-NDA-1SPM7</t>
  </si>
  <si>
    <t>Nada 180ml PET CLBT-STBRY PRM MLK-23D V2</t>
  </si>
  <si>
    <t>180C12.7-NDA-1SPM8</t>
  </si>
  <si>
    <t>Nada 180ml PET CLBT-STBRY PRM MLK-23D-PP</t>
  </si>
  <si>
    <t>180C12.7-NDA-1SPM9</t>
  </si>
  <si>
    <t>Nada 180mlPET CL-STBRY PRM MLK-23D V2-PP</t>
  </si>
  <si>
    <t>180C12.7-NDA-1SPP2</t>
  </si>
  <si>
    <t>Nada 180ml PET CL BT-STBRY P MLK 1SR-21D</t>
  </si>
  <si>
    <t>180C13.3-NDA-1CPM1</t>
  </si>
  <si>
    <t>180C13.3-NDA-1CWC1</t>
  </si>
  <si>
    <t>180C13.3-NDA-1GPM1</t>
  </si>
  <si>
    <t>180C13.3-NDA-1MPM1</t>
  </si>
  <si>
    <t>180C13.3-NDA-1SPM1</t>
  </si>
  <si>
    <t>180C13.5-SFI-1APJ</t>
  </si>
  <si>
    <t>Safi 180ml PET Clr BT-APPLE JUICE AS</t>
  </si>
  <si>
    <t>180C13.5-SFI-1APJ2</t>
  </si>
  <si>
    <t>Safi 180ml PET CL BT-Apple J- D18</t>
  </si>
  <si>
    <t>180C13.5-SFI-1APJ3</t>
  </si>
  <si>
    <t>Safi 180ml PET CL BT-Apple J- 22D</t>
  </si>
  <si>
    <t>180C13.5-SFI-1APJ4</t>
  </si>
  <si>
    <t>Safi 180ml PET CL BT-Apple J-22D (TMPRY)</t>
  </si>
  <si>
    <t>180C13.5-SFI-1DOM</t>
  </si>
  <si>
    <t>Safi 180ml PET CL BT- Danao Orange-Mango</t>
  </si>
  <si>
    <t>180C13.5-SFI-1DPA</t>
  </si>
  <si>
    <t>Safi 180ml PET CL BT-Danao Peach Apricot</t>
  </si>
  <si>
    <t>180C13.5-SFI-1DVM</t>
  </si>
  <si>
    <t>Safi 180ml PET CL BT- Danao 5 Vitamins</t>
  </si>
  <si>
    <t>180C13.5-SFI-1KLJ</t>
  </si>
  <si>
    <t>Safi 180ml PET Clr BT-KIWI LIME  J AS</t>
  </si>
  <si>
    <t>180C13.5-SFI-1LEJ</t>
  </si>
  <si>
    <t>Safi 180ml PET Clr BT-LEMON JUICE AS</t>
  </si>
  <si>
    <t>180C13.5-SFI-1LEJ2</t>
  </si>
  <si>
    <t>Safi 180ml PET CL BT-Lemon J- D18</t>
  </si>
  <si>
    <t>180C13.5-SFI-1LEJ3</t>
  </si>
  <si>
    <t>Safi 180ml PET CL BT-Lemon W/Mint J-22D</t>
  </si>
  <si>
    <t>180C13.5-SFI-1MFJ</t>
  </si>
  <si>
    <t>Safi 180ml PET Clr BT-MULTI FRUIT J AS</t>
  </si>
  <si>
    <t>180C13.5-SFI-1MFJ2</t>
  </si>
  <si>
    <t>Safi 180ml PET CL BT-Multi-Fruit J- D18</t>
  </si>
  <si>
    <t>180C13.5-SFI-1MFJ3</t>
  </si>
  <si>
    <t>Safi 180ml PET CL BT-Multi-Fruit J- 22D</t>
  </si>
  <si>
    <t>180C13.5-SFI-1MGJ</t>
  </si>
  <si>
    <t>Safi 180ml PET Clr BT-MANGO JUICE AS</t>
  </si>
  <si>
    <t>180C13.5-SFI-1MGJ2</t>
  </si>
  <si>
    <t>Safi 180ml PET CL BT-Mango J- D18</t>
  </si>
  <si>
    <t>180C13.5-SFI-1MGJ3</t>
  </si>
  <si>
    <t>Safi 180ml PET CL BT-Mango J- 22D</t>
  </si>
  <si>
    <t>180C13.5-SFI-1MGJ4</t>
  </si>
  <si>
    <t>Safi 180mlPET CL-Mango W/Mixed fruit-23D</t>
  </si>
  <si>
    <t>180C13.5-SFI-1MGJ5</t>
  </si>
  <si>
    <t>Safi 180mlPET CL-Mango W/Mixed fruit-24D</t>
  </si>
  <si>
    <t>180C13.5-SFI-1OBS</t>
  </si>
  <si>
    <t>Safi 180ml PET CL BT-Danao ORG-BNA-STBRY</t>
  </si>
  <si>
    <t>180C13.5-SFI-1OCJ</t>
  </si>
  <si>
    <t>Safi 180ml PET Clr BT-ORANGE CARROT J AS</t>
  </si>
  <si>
    <t>180C13.5-SFI-1ORJ2</t>
  </si>
  <si>
    <t>Safi 180ml PET CL BT-Orange J- D18</t>
  </si>
  <si>
    <t>180C13.5-SFI-1ORJ3</t>
  </si>
  <si>
    <t>Safi 180ml PET CL BT-Orange J- 22D</t>
  </si>
  <si>
    <t>180C13.5-SFI-1ORJ4</t>
  </si>
  <si>
    <t>Safi 180ml PET CL BT-Orange J-22D(TMPRY)</t>
  </si>
  <si>
    <t>180C13.5-SFI-1ORJ5</t>
  </si>
  <si>
    <t>Safi 180ml PET CL BTL-Orange J- 24D</t>
  </si>
  <si>
    <t>180C13.5-SFI-1ORN</t>
  </si>
  <si>
    <t>Safi 180ml PET CL BT-Orange Nectar- 24D</t>
  </si>
  <si>
    <t>180C13.5-SFI-1P</t>
  </si>
  <si>
    <t>Safi 180ml PET Clear Plain Bottle</t>
  </si>
  <si>
    <t>180C13.5-SFI-1SBJ</t>
  </si>
  <si>
    <t>Safi 180ml PET Clr BT-STRAWBERRY J AS</t>
  </si>
  <si>
    <t>180C13.5-SFI-1SBJ2</t>
  </si>
  <si>
    <t>Safi 180ml PET CL BT-Strawberry J- D18</t>
  </si>
  <si>
    <t>180C13.5-SFI-1SBJ3</t>
  </si>
  <si>
    <t>Safi 180ml PET CL BT-Strawberry J- 22D</t>
  </si>
  <si>
    <t>180C13.5-SFI-1SBJ4</t>
  </si>
  <si>
    <t>Safi 180ml PET CL BT-Strawberry J- NAS</t>
  </si>
  <si>
    <t>180W12.7-NDA-1FFL</t>
  </si>
  <si>
    <t>Nada 180ml PET WHT BTL-Full Fat Laban</t>
  </si>
  <si>
    <t>180W12.7-NDA-1FFL2</t>
  </si>
  <si>
    <t>Nada180ml PET WHT BTL-Full Fat Laban-D21</t>
  </si>
  <si>
    <t>180W12.7-NDA-1FFL3</t>
  </si>
  <si>
    <t>Nada180ml PET WHT BTL-Full Fat Laban-SM</t>
  </si>
  <si>
    <t>180W12.7-NDA-1FFL4</t>
  </si>
  <si>
    <t>Nada180mlPET WHT-F.F Laban(NEW LOGO)-25D</t>
  </si>
  <si>
    <t>180X-1C12.7-NDA-P</t>
  </si>
  <si>
    <t>Nada 180 ml PET CLR BTL PET38mm 12.7g</t>
  </si>
  <si>
    <t>180X-1C13.3-NDA-P</t>
  </si>
  <si>
    <t>Nada 180ml PET Bottle CLEAR PET38mm13.3g</t>
  </si>
  <si>
    <t>180XC12.7-NDA-1CPM</t>
  </si>
  <si>
    <t>Nada 180ml PET Clr BTL-Choco Premium M</t>
  </si>
  <si>
    <t>180XC12.7-NDA-1CWC</t>
  </si>
  <si>
    <t>Nada 180ml PET Clr BTL-Choco W/ Caramel</t>
  </si>
  <si>
    <t>180XC12.7-NDA-1FFM</t>
  </si>
  <si>
    <t>Nada 180ml PET Clear BTL-Full Fat Milk</t>
  </si>
  <si>
    <t>180XC12.7-NDA-1GPM</t>
  </si>
  <si>
    <t>Nada 180ml PET Clr BTL- Guava Premium M</t>
  </si>
  <si>
    <t>180XC12.7-NDA-1LFM</t>
  </si>
  <si>
    <t>Nada 180ml PET Clear BTL-Low Fat Milk</t>
  </si>
  <si>
    <t>180XC12.7-NDA-1MPM</t>
  </si>
  <si>
    <t>Nada 180ml PET Clr BTL- Mango Premium M</t>
  </si>
  <si>
    <t>180XC12.7-NDA-1SKM</t>
  </si>
  <si>
    <t>Nada 180ml PET Clear BTL-Skimmed Milk</t>
  </si>
  <si>
    <t>180XC12.7-NDA-1SPM</t>
  </si>
  <si>
    <t>Nada 180ml PET Clr BTL-S'Berry Premium M</t>
  </si>
  <si>
    <t>180XC13.3-NDA-1CPM</t>
  </si>
  <si>
    <t>180XC13.3-NDA-1CWC</t>
  </si>
  <si>
    <t>180XC13.3-NDA-1GPM</t>
  </si>
  <si>
    <t>180XC13.3-NDA-1MPM</t>
  </si>
  <si>
    <t>180XC13.3-NDA-1SPM</t>
  </si>
  <si>
    <t>19.0BC1EC-CL-A</t>
  </si>
  <si>
    <t>19.0 BC38mm 3 ECO Clear J/C(W plt</t>
  </si>
  <si>
    <t>19.0BC1EC-CLA-S</t>
  </si>
  <si>
    <t>19.0 BC38mm 3 ECO CLR W/Additive Steel C</t>
  </si>
  <si>
    <t>19.0BC1EC-CL-BC2-A</t>
  </si>
  <si>
    <t>19.0 BC38mm 3 ECO Clear BC112</t>
  </si>
  <si>
    <t>19.0BC1EC-CL-G</t>
  </si>
  <si>
    <t>19.0 BC38mm 3 ECO Clear OJ/C(p plt</t>
  </si>
  <si>
    <t>19.0BC1EC-CL-JA2-A</t>
  </si>
  <si>
    <t>19.0 BC38mm 3 ECO Clear JadCSD J/C(W plt</t>
  </si>
  <si>
    <t>19.0BC1EC-CL-M</t>
  </si>
  <si>
    <t>19.0 BC38mm 3 ECO Clear OCJ/C(W plt</t>
  </si>
  <si>
    <t>19.0BC1EC-CL-S</t>
  </si>
  <si>
    <t>19.0 BC38mm 3 ECO Clear Steel C.</t>
  </si>
  <si>
    <t>19.0BC1EC-NC-G</t>
  </si>
  <si>
    <t>Nada 19.0 BC38mm 3 ECO Clear OJ/C(p plt</t>
  </si>
  <si>
    <t>19.0BC1EC-NC-S</t>
  </si>
  <si>
    <t>Nada 19.0 BC38mm 3 ECO Clear Steel C</t>
  </si>
  <si>
    <t>19.0BC1EC-W1-S</t>
  </si>
  <si>
    <t>19.0 BC 38mm 3 ECO White Steel C.</t>
  </si>
  <si>
    <t>19.0BC1RO-CL-S</t>
  </si>
  <si>
    <t>19.0 BC38mm Round Base Clear Steel C.</t>
  </si>
  <si>
    <t>19.6TO1RD-CL-A</t>
  </si>
  <si>
    <t>19.6 30/25 Rnd Clear J/C(W plt</t>
  </si>
  <si>
    <t>19.6TO1RD-CL-Z</t>
  </si>
  <si>
    <t>19.6 TO 30/25 Rnd Clear - EXP/C(W plt</t>
  </si>
  <si>
    <t>19.6TO1RD-LB-B</t>
  </si>
  <si>
    <t>19.6 30/25 Rnd Light Blue J/C(P plt</t>
  </si>
  <si>
    <t>19.8PC3RD-CL-A</t>
  </si>
  <si>
    <t>19.8 PCO 1816 Rnd Clear - J/C(W plt</t>
  </si>
  <si>
    <t>200-1C12.7-NDA-P</t>
  </si>
  <si>
    <t>Nada 200ml Clear PET Bottle 12.7g</t>
  </si>
  <si>
    <t>200C12.7-NDA-1APJ2</t>
  </si>
  <si>
    <t>Nada 200ml PET CL BT 12.7g-Apple-17D</t>
  </si>
  <si>
    <t>200C12.7-NDA-1APJ3</t>
  </si>
  <si>
    <t>Nada 200ml PET CL BT-Apple -19D</t>
  </si>
  <si>
    <t>200C12.7-NDA-1APJ4</t>
  </si>
  <si>
    <t>Nada 200ml PET CL BT-Apple -20D</t>
  </si>
  <si>
    <t>200C12.7-NDA-1APJ5</t>
  </si>
  <si>
    <t>Nada 200ml PET CL BT-Apple -22D</t>
  </si>
  <si>
    <t>200C12.7-NDA-1APJ6</t>
  </si>
  <si>
    <t>Nada 200ml PET CL BT-Apple -22D V2</t>
  </si>
  <si>
    <t>200C12.7-NDA-1APJ7</t>
  </si>
  <si>
    <t>Nada 200ml PET CL BT-Apple --PP</t>
  </si>
  <si>
    <t>200C12.7-NDA-1APJ8</t>
  </si>
  <si>
    <t>Nada 200ml PET CL BT-Apple- 24D</t>
  </si>
  <si>
    <t>200C12.7-NDA-1KLJ2</t>
  </si>
  <si>
    <t>Nada 200ml PET CL BT 12.7g-Kiwi Lime-17D</t>
  </si>
  <si>
    <t>200C12.7-NDA-1KLJ3</t>
  </si>
  <si>
    <t>Nada 200ml PET CL BT-Kiwi&amp;Lime -19D</t>
  </si>
  <si>
    <t>200C12.7-NDA-1KLJ4</t>
  </si>
  <si>
    <t>Nada 200ml PET CL BT-Kiwi &amp; Lime -20D</t>
  </si>
  <si>
    <t>200C12.7-NDA-1KLJ5</t>
  </si>
  <si>
    <t>Nada 200ml PET CL BT-Kiwi &amp; Lime -22D</t>
  </si>
  <si>
    <t>200C12.7-NDA-1KLJ6</t>
  </si>
  <si>
    <t>Nada 200ml PET CL BT-Kiwi &amp; Lime -22D V2</t>
  </si>
  <si>
    <t>200C12.7-NDA-1KLJ7</t>
  </si>
  <si>
    <t>Nada 200ml PET CL BT-Kiwi &amp; Lime --PP</t>
  </si>
  <si>
    <t>200C12.7-NDA-1KLJ8</t>
  </si>
  <si>
    <t>Nada 200ml PET CL BT-Kiwi &amp; Lime- 24D</t>
  </si>
  <si>
    <t>200C12.7-NDA-1LMJ2</t>
  </si>
  <si>
    <t>Nada 200ml PET CL 12.7g-Lemon Mint-17D</t>
  </si>
  <si>
    <t>200C12.7-NDA-1LMJ3</t>
  </si>
  <si>
    <t>Nada 200ml PET CL BT-Lemon with Mint-19D</t>
  </si>
  <si>
    <t>200C12.7-NDA-1LMJ4</t>
  </si>
  <si>
    <t>Nada 200ml PET CL BT-Lemon with Mint-20D</t>
  </si>
  <si>
    <t>200C12.7-NDA-1LMJ5</t>
  </si>
  <si>
    <t>Nada 200ml PET CL BT-Lemon with Mint-22D</t>
  </si>
  <si>
    <t>200C12.7-NDA-1LMJ6</t>
  </si>
  <si>
    <t>Nada 200ml PET CL BT-Lemon W Mint-22D V2</t>
  </si>
  <si>
    <t>200C12.7-NDA-1LMJ7</t>
  </si>
  <si>
    <t>Nada 200ml PET CL BT-Lemon W Mint- PP</t>
  </si>
  <si>
    <t>200C12.7-NDA-1LMJ8</t>
  </si>
  <si>
    <t>Nada 200ml PET CL BT-Lemon W Mint-24D</t>
  </si>
  <si>
    <t>200C12.7-NDA-1MBJ3</t>
  </si>
  <si>
    <t>Nada 200ml PET CL BT- Mixed Berry -19D</t>
  </si>
  <si>
    <t>200C12.7-NDA-1MFJ2</t>
  </si>
  <si>
    <t>Nada 200ml PET CL 12.7g-Mixed Fruit-17D</t>
  </si>
  <si>
    <t>200C12.7-NDA-1MFJ3</t>
  </si>
  <si>
    <t>Nada 200ml PET CL-Mixed Fruit-20D</t>
  </si>
  <si>
    <t>200C12.7-NDA-1MFJ4</t>
  </si>
  <si>
    <t>Nada 200ml PET CL-Mixed Fruit-22D</t>
  </si>
  <si>
    <t>200C12.7-NDA-1MFJ5</t>
  </si>
  <si>
    <t>Nada 200ml PET CL-Mixed Fruit-22D V2</t>
  </si>
  <si>
    <t>200C12.7-NDA-1MFJ6</t>
  </si>
  <si>
    <t>Nada 200ml PET CL-Mixed Fruit--PP</t>
  </si>
  <si>
    <t>200C12.7-NDA-1MFJ7</t>
  </si>
  <si>
    <t>Nada 200ml PET CL-Mixed Fruit- 24D</t>
  </si>
  <si>
    <t>200C12.7-NDA-1MFJ8</t>
  </si>
  <si>
    <t>Nada 200ml PET CL-Mixed Fruit- 24D V2</t>
  </si>
  <si>
    <t>200C12.7-NDA-1MGJ</t>
  </si>
  <si>
    <t>Nada 200ml PET CL BT-Mango W/ Grape-PP</t>
  </si>
  <si>
    <t>200C12.7-NDA-1MGJ2</t>
  </si>
  <si>
    <t>Nada 200ml PET CL BT 12.7g-Mango-17D</t>
  </si>
  <si>
    <t>200C12.7-NDA-1MGJ3</t>
  </si>
  <si>
    <t>Nada 200ml PET CL BT-Mango -21D</t>
  </si>
  <si>
    <t>200C12.7-NDA-1MGJ4</t>
  </si>
  <si>
    <t>Nada 200ml PET CL BT-Mango -22D</t>
  </si>
  <si>
    <t>200C12.7-NDA-1MGJ5</t>
  </si>
  <si>
    <t>Nada 200ml PET CL BT-Mango -22D V2</t>
  </si>
  <si>
    <t>200C12.7-NDA-1MGJ6</t>
  </si>
  <si>
    <t>Nada 200ml PET CL BT-Mango --PP</t>
  </si>
  <si>
    <t>200C12.7-NDA-1MGJ7</t>
  </si>
  <si>
    <t>Nada 200ml PET CL BT-Mango W/ Grape-24D</t>
  </si>
  <si>
    <t>200C12.7-NDA-1MMF</t>
  </si>
  <si>
    <t xml:space="preserve"> Nada 200ml PET -Mango W/Mixed Fruit-PP</t>
  </si>
  <si>
    <t>200C12.7-NDA-1MMF2</t>
  </si>
  <si>
    <t> Nada 200ml PET -Mango W/Mixed Fruit-24D</t>
  </si>
  <si>
    <t>200C12.7-NDA-1MPJ3</t>
  </si>
  <si>
    <t>Nada 200ml PET CL BT-Mango &amp; Grape-20D</t>
  </si>
  <si>
    <t>200C12.7-NDA-1OCJ</t>
  </si>
  <si>
    <t xml:space="preserve"> Nada 200ml PET CL BT-Orange-Carrot-PP</t>
  </si>
  <si>
    <t>200C12.7-NDA-1OCJ2</t>
  </si>
  <si>
    <t>Nada 200ml PET CL BT-Orange-Carrot- 24D</t>
  </si>
  <si>
    <t>200C12.7-NDA-1OGJ</t>
  </si>
  <si>
    <t>Nada 200ml PET CL BT-Orange &amp;Grape-24D</t>
  </si>
  <si>
    <t>200C12.7-NDA-1OGJ1</t>
  </si>
  <si>
    <t> Nada 200ml PET CL BT-Orange-Grape-24DV1</t>
  </si>
  <si>
    <t>200C12.7-NDA-1ONC</t>
  </si>
  <si>
    <t>Nada200ml PET CL BT-OrangeNectarCocktail</t>
  </si>
  <si>
    <t>200C12.7-NDA-1ORJ2</t>
  </si>
  <si>
    <t>Nada 200ml PET CL BT 12.7g-Orange-17D</t>
  </si>
  <si>
    <t>200C12.7-NDA-1ORJ3</t>
  </si>
  <si>
    <t>Nada 200ml PET CL BT-Orange -19D</t>
  </si>
  <si>
    <t>200C12.7-NDA-1ORJ4</t>
  </si>
  <si>
    <t>Nada 200ml PET CL BT-Orange -20D</t>
  </si>
  <si>
    <t>200C12.7-NDA-1ORJ5</t>
  </si>
  <si>
    <t>Nada 200ml PET CL BT-Orange -22D</t>
  </si>
  <si>
    <t>200C12.7-NDA-1ORJ6</t>
  </si>
  <si>
    <t>Nada 200ml PET CL BT-Orange -22D V2</t>
  </si>
  <si>
    <t>200C12.7-NDA-1ORJ7</t>
  </si>
  <si>
    <t>Nada 200ml PET CL BT-Orange --PP</t>
  </si>
  <si>
    <t>200C12.7-NDA-1PAJ1</t>
  </si>
  <si>
    <t>Nada 200ml PET CL BT-Pineapple-24D V2</t>
  </si>
  <si>
    <t>200C12.7-NDA-1PAJ2</t>
  </si>
  <si>
    <t>Nada 200ml PET CL BT 12.7g-Pineaple-17D</t>
  </si>
  <si>
    <t>200C12.7-NDA-1PAJ3</t>
  </si>
  <si>
    <t>Nada 200ml PET CL BT-Pineaple -19D</t>
  </si>
  <si>
    <t>200C12.7-NDA-1PAJ4</t>
  </si>
  <si>
    <t>Nada 200ml PET CL BT-Pineapple -20D</t>
  </si>
  <si>
    <t>200C12.7-NDA-1PAJ5</t>
  </si>
  <si>
    <t>Nada 200ml PET CL BT-Pineapple -20D V2</t>
  </si>
  <si>
    <t>200C12.7-NDA-1PAJ6</t>
  </si>
  <si>
    <t>Nada 200ml PET CL BT-Pineapple -22D</t>
  </si>
  <si>
    <t>200C12.7-NDA-1PAJ7</t>
  </si>
  <si>
    <t>Nada 200ml PET CL BT-Pineapple -22D V2</t>
  </si>
  <si>
    <t>200C12.7-NDA-1PAJ8</t>
  </si>
  <si>
    <t>Nada 200ml PET CL BT-Pineapple --PP</t>
  </si>
  <si>
    <t>200C12.7-NDA-1PAJ9</t>
  </si>
  <si>
    <t>Nada 200ml PET CL BT-Pineapple-24D</t>
  </si>
  <si>
    <t>200C12.7-NDA-1PGJ2</t>
  </si>
  <si>
    <t>Nada 200ml PET CL 12.7g-Pomegranate -17D</t>
  </si>
  <si>
    <t>200C12.7-NDA-1PGJ3</t>
  </si>
  <si>
    <t>Nada 200ml PET CL BT-Pomegranate -21D</t>
  </si>
  <si>
    <t>200C12.7-NDA-1PGJ4</t>
  </si>
  <si>
    <t>Nada 200ml PET CL BT-Pomegranate -22D</t>
  </si>
  <si>
    <t>200C12.7-NDA-1PGJ5</t>
  </si>
  <si>
    <t>Nada 200ml PET CL BT-Pomegranate -22D V2</t>
  </si>
  <si>
    <t>200C12.7-NDA-1PGJ6</t>
  </si>
  <si>
    <t>Nada 200ml PET CL BT-Pomegranate --PP</t>
  </si>
  <si>
    <t>200C12.7-NDA-1PGJ7</t>
  </si>
  <si>
    <t>Nada 200ml PET CL BT-Pomegranate-24D</t>
  </si>
  <si>
    <t>200C12.7-NDA-1PPJ3</t>
  </si>
  <si>
    <t>Nada 200ml PET CL-Pomegranate&amp;Grape -20D</t>
  </si>
  <si>
    <t>200C12.7-NDA-1RBJ2</t>
  </si>
  <si>
    <t>Nada 200ml PET CL BT 12.7g-Raspberry-17D</t>
  </si>
  <si>
    <t>200C12.7-NDA-1RBJ3</t>
  </si>
  <si>
    <t>Nada 200ml PET CL BT-Rasberry -21D</t>
  </si>
  <si>
    <t>200C12.7-NDA-1RBJ4</t>
  </si>
  <si>
    <t>Nada 200ml PET CL BT-Rasberry -22D</t>
  </si>
  <si>
    <t>200C12.7-NDA-1RBJ5</t>
  </si>
  <si>
    <t>Nada 200ml PET CL BT-Rasberry -22D V2</t>
  </si>
  <si>
    <t>200C12.7-NDA-1RBJ6</t>
  </si>
  <si>
    <t>Nada 200ml PET CL BT-Rasberry --PP</t>
  </si>
  <si>
    <t>200C12.7-NDA-1RBJ7</t>
  </si>
  <si>
    <t>Nada 200ml PET CL BT-Rasberry -24D</t>
  </si>
  <si>
    <t>200C12.7-NDA-1SBJ2</t>
  </si>
  <si>
    <t>Nada 200ml PET CL 12.7g-Strawberry-17D</t>
  </si>
  <si>
    <t>200C12.7-NDA-1SBJ3</t>
  </si>
  <si>
    <t>Nada 200ml PET CL BT-Strawberry -21D</t>
  </si>
  <si>
    <t>200C12.7-NDA-1SBJ4</t>
  </si>
  <si>
    <t>Nada 200ml PET CL BT-Strawberry -22D</t>
  </si>
  <si>
    <t>200C12.7-NDA-1SBJ5</t>
  </si>
  <si>
    <t>Nada 200ml PET CL BT-Strawberry -22D V2</t>
  </si>
  <si>
    <t>200C12.7-NDA-1SBJ6</t>
  </si>
  <si>
    <t>Nada 200ml PET CL BT-Strawberry --PP</t>
  </si>
  <si>
    <t>200C12.7-NDA-1SBJ7</t>
  </si>
  <si>
    <t>Nada 200ml PET CL BT-Strawberry -24D</t>
  </si>
  <si>
    <t>200C12.7-NDA-1SBJN</t>
  </si>
  <si>
    <t>Nada 200ml PET CL BT-Strawberry Nectar</t>
  </si>
  <si>
    <t>200C12.7-NDA-1SPJ3</t>
  </si>
  <si>
    <t>Nada 200mlPET CL Strawberry&amp;Grape-20D</t>
  </si>
  <si>
    <t>200C12.7-NDA-1TCJ2</t>
  </si>
  <si>
    <t>Nada 200ml PET CL 12.7g-TRPCL Cocktl-17D</t>
  </si>
  <si>
    <t>200C12.7-NDA-1TCJ3</t>
  </si>
  <si>
    <t>Nada 200ml PET CL-Tropical Cocktail-20D</t>
  </si>
  <si>
    <t>200C12.7-NDA-1TCJ4</t>
  </si>
  <si>
    <t>Nada 200ml PET CL-Tropical Cocktail-22D</t>
  </si>
  <si>
    <t>200C12.7-NDA-1TCJ5</t>
  </si>
  <si>
    <t>Nada 200ml PET CL-TRpical Cocktail-22DV2</t>
  </si>
  <si>
    <t>200C12.7-NDA-1TCJ6</t>
  </si>
  <si>
    <t>Nada 200ml PET CL-TRpical Cocktail-PP</t>
  </si>
  <si>
    <t>200C12.7-NDA-1TCJ7</t>
  </si>
  <si>
    <t>Nada 200ml PET CL-TRpical Cocktail-24</t>
  </si>
  <si>
    <t>200C12.7-NDA-1TCJ8</t>
  </si>
  <si>
    <t>Nada 200ml PET CL-TRpical Cocktail-24DV2</t>
  </si>
  <si>
    <t>200C13.3-NDA-1APJ2</t>
  </si>
  <si>
    <t>Nada 200ml PET CL BT- Apple Juice-17D</t>
  </si>
  <si>
    <t>200C13.3-NDA-1KLJ2</t>
  </si>
  <si>
    <t>Nada 200ml PET CL BT- Kiwi Lime J-17D</t>
  </si>
  <si>
    <t>200C13.3-NDA-1LMJ2</t>
  </si>
  <si>
    <t>Nada 200ml PET CL BT- Lemon Mint J-17D</t>
  </si>
  <si>
    <t>200C13.3-NDA-1MFJ2</t>
  </si>
  <si>
    <t>Nada 200ml PET CL BT- Mixed Fruit J-17D</t>
  </si>
  <si>
    <t>200C13.3-NDA-1MGJ2</t>
  </si>
  <si>
    <t>Nada 200 ml PET CL BT-Mango Juice-17D</t>
  </si>
  <si>
    <t>200C13.3-NDA-1ORJ2</t>
  </si>
  <si>
    <t>Nada 200ml PET CL BT- Orange Juice-17D</t>
  </si>
  <si>
    <t>200C13.3-NDA-1PAJ2</t>
  </si>
  <si>
    <t>Nada 200ml PET CL BT- Pineaple J-17D</t>
  </si>
  <si>
    <t>200C13.3-NDA-1PGJ2</t>
  </si>
  <si>
    <t>Nada 200ml PET CL BT- Pomegranate J -17D</t>
  </si>
  <si>
    <t>200C13.3-NDA-1RBJ2</t>
  </si>
  <si>
    <t>Nada 200 ml PET CL BT-Raspberry J-17D</t>
  </si>
  <si>
    <t>200C13.3-NDA-1SBJ2</t>
  </si>
  <si>
    <t>Nada 200 ml PET CL BT-Strawberry J-17D</t>
  </si>
  <si>
    <t>200C13.3-NDA-1TCJ2</t>
  </si>
  <si>
    <t>Nada 200ml PET CL BT-Tropical Cocktl-17D</t>
  </si>
  <si>
    <t>200X-1C13.3-NDA-P</t>
  </si>
  <si>
    <t>Nada 200 ml PET CLR BTL PET38mm 13.3g</t>
  </si>
  <si>
    <t>200X-1C14.0-MRI-P</t>
  </si>
  <si>
    <t>MRI 200ml PET Bottle CLEAR PET38mm14g</t>
  </si>
  <si>
    <t>200X-1C14.0-RBI-P</t>
  </si>
  <si>
    <t>Rabie 200ml PET CLR Bottle PET38mm 14g</t>
  </si>
  <si>
    <t>200XC13.3-NDA-1APD</t>
  </si>
  <si>
    <t>Nada 200ml PET Clear BTL- Apple Drink</t>
  </si>
  <si>
    <t>200XC13.3-NDA-1GVD</t>
  </si>
  <si>
    <t>Nada 200ml PET Clear BTL- Guava Drink</t>
  </si>
  <si>
    <t>200XC13.3-NDA-1KLD</t>
  </si>
  <si>
    <t>Nada 200ml PET Clear BTL- Kiwi Lime Drin</t>
  </si>
  <si>
    <t>200XC13.3-NDA-1LMD</t>
  </si>
  <si>
    <t>Nada 200ml PET Clear BTL- Lemom Mint Dri</t>
  </si>
  <si>
    <t>200XC13.3-NDA-1MFD</t>
  </si>
  <si>
    <t>Nada 200ml PET Clear BTL- Mixed Fruit D</t>
  </si>
  <si>
    <t>200XC13.3-NDA-1MGD</t>
  </si>
  <si>
    <t>Nada 200 ml PET Clear BTL-Mango Drinks</t>
  </si>
  <si>
    <t>200XC13.3-NDA-1ORD</t>
  </si>
  <si>
    <t>Nada 200ml PET Clear BTL- Orange Drink</t>
  </si>
  <si>
    <t>200XC13.3-NDA-1PAD</t>
  </si>
  <si>
    <t>Nada 200ml PET Clear BTL- Pineaple Drink</t>
  </si>
  <si>
    <t>200XC13.3-NDA-1PGD</t>
  </si>
  <si>
    <t>Nada 200ml PET Clear BTL- Pomegranate Dk</t>
  </si>
  <si>
    <t>200XC13.3-NDA-1RBD</t>
  </si>
  <si>
    <t>Nada 200 ml PET Clear BTL-Raspberry D</t>
  </si>
  <si>
    <t>200XC13.3-NDA-1SBD</t>
  </si>
  <si>
    <t>Nada 200 ml PET Clear BTL-Strawberry D</t>
  </si>
  <si>
    <t>200XC13.3-NDA-1TCK</t>
  </si>
  <si>
    <t>Nada 200ml PET Clear BTL-TropicalCocktal</t>
  </si>
  <si>
    <t>21.0PC2RD-IGS-V</t>
  </si>
  <si>
    <t>21.0PCO1881Rnd ICI Green MenaBev SIPA</t>
  </si>
  <si>
    <t>21.5BC1RD-CL-A</t>
  </si>
  <si>
    <t>21.5 BC38mm 3 Rnd Clear J/C(W plt</t>
  </si>
  <si>
    <t>21.5BC1RD-CL-P</t>
  </si>
  <si>
    <t>21.5 BC38mm 3Rnd Clear Plain OCJ/C(W plt</t>
  </si>
  <si>
    <t>21.5BC1RD-W1-G</t>
  </si>
  <si>
    <t>21.5 BC 38mm 3 Rnd White OJ/C(p plt</t>
  </si>
  <si>
    <t>22.0PC2RD-CL-JA2-A</t>
  </si>
  <si>
    <t>22.0 PCO 1881 Rnd Clear JadCSD</t>
  </si>
  <si>
    <t>22.0TO1R-CL-A</t>
  </si>
  <si>
    <t>****** Don't Use This Material ********</t>
  </si>
  <si>
    <t>22.0TO1R-DC-A</t>
  </si>
  <si>
    <t>******DO NOT USE THIS MATERIAL**********</t>
  </si>
  <si>
    <t>22.0TO1RD-CB-A</t>
  </si>
  <si>
    <t>22.0 30/25 Rnd CC Blue J/C(W Plt</t>
  </si>
  <si>
    <t>22.0TO1RD-CB-BC1-A</t>
  </si>
  <si>
    <t>22.0 TO 30/25 Rnd CC Blue BC111</t>
  </si>
  <si>
    <t>22.0TO1RD-CL-A</t>
  </si>
  <si>
    <t>22.0 TO 30/25 Rnd Clear J/C(W Plt</t>
  </si>
  <si>
    <t>22.0TO1RD-CL-JA1-A</t>
  </si>
  <si>
    <t>22.0 TO 30/25 Rnd Clear Jade W</t>
  </si>
  <si>
    <t>22.0TO1RD-CL-Z</t>
  </si>
  <si>
    <t>22.0 TO 30/25 Rnd Clear EXP/C(W Plt</t>
  </si>
  <si>
    <t>22.0TO1RD-GB-A</t>
  </si>
  <si>
    <t>22.0 30/25 Rnd GNRL Blue J/C(W Plt</t>
  </si>
  <si>
    <t>22.0TO1RD-GB-BC1-A</t>
  </si>
  <si>
    <t>22.0 TO 30/25 Rnd Gnrl Blue BC111</t>
  </si>
  <si>
    <t>22.0TO1RD-GB-JA1-A</t>
  </si>
  <si>
    <t>22.0 TO 30/25 Rnd GNRL Blue Jade W</t>
  </si>
  <si>
    <t>22.0TO1RD-LB-Z</t>
  </si>
  <si>
    <t>22.0 TO 30/25 Rnd Light Blue EXP/C(W Plt</t>
  </si>
  <si>
    <t>22.3PC2RD-IGS-A</t>
  </si>
  <si>
    <t>22.3PCO 1881 Rnd ICI Green J/C(W pt SIPA</t>
  </si>
  <si>
    <t>22.8PC3RD-CL-A</t>
  </si>
  <si>
    <t>22.8 PCO 1816 Rnd Clear - J/C(W plt</t>
  </si>
  <si>
    <t>22.8PC3RD-CLS-A</t>
  </si>
  <si>
    <t>22.8 PCO 1816 Rnd Clear - J/C(W plt SIPA</t>
  </si>
  <si>
    <t>23.0BC1EC-CL-A</t>
  </si>
  <si>
    <t>23.0 BC38mm 3 ECO Clear J/C(W plt</t>
  </si>
  <si>
    <t>23.0BC1EC-CL-Z</t>
  </si>
  <si>
    <t>23.0 BC38mm 3 ECO Clear EXP/C (W Plt</t>
  </si>
  <si>
    <t>23.0BC1EC-LB-Z</t>
  </si>
  <si>
    <t>23.0 BC38mm 3 ECO L.Blue EXP/C (W Plt</t>
  </si>
  <si>
    <t>23.0BC1EC-W1-A</t>
  </si>
  <si>
    <t>23.0 BC38mm 3 ECO White J/C(W plt</t>
  </si>
  <si>
    <t>24.0BC1RD-CL-A</t>
  </si>
  <si>
    <t>24.0 BC38mm 3 Rnd Clear J/C(W plt</t>
  </si>
  <si>
    <t>24.0BC1RD-CL-P</t>
  </si>
  <si>
    <t>24.0 BC38mm 3Rnd Clear Plain OCJ/C(W plt</t>
  </si>
  <si>
    <t>24.0BC1RD-LB-A</t>
  </si>
  <si>
    <t>24.0 BC38mm 3 Rnd L.Blue J/C(W plt</t>
  </si>
  <si>
    <t>24.0BC1RD-W1-A</t>
  </si>
  <si>
    <t>24.0 BC38mm 3 Rnd White J/C(W Plt</t>
  </si>
  <si>
    <t>24.0BC1RD-W1-E</t>
  </si>
  <si>
    <t>24.0 BC38mm 3 Rnd White B CUP</t>
  </si>
  <si>
    <t>24.0BC1RD-W1-P</t>
  </si>
  <si>
    <t>24.0 BC38mm 3Rnd White Plain OCJ/C(W plt</t>
  </si>
  <si>
    <t>24.0BC1RD-W1-S</t>
  </si>
  <si>
    <t>24.0 BC38mm 3 Rnd White W steel c.</t>
  </si>
  <si>
    <t>240.0BC3RD-CL-A</t>
  </si>
  <si>
    <t>240.0 55MM Rnd Clear J/C(W plt</t>
  </si>
  <si>
    <t>240.0BC3RD-DB-A</t>
  </si>
  <si>
    <t>240.0 55MM Rnd Dark BLUE J/C(W plt</t>
  </si>
  <si>
    <t>240.0BC3RD-GB-A</t>
  </si>
  <si>
    <t>240.0 55MM Rnd GNRL BLUE J/C(W plt</t>
  </si>
  <si>
    <t>250-1C15.5-NDA-P</t>
  </si>
  <si>
    <t>Nada 250ml PET Clear Plain Bottles</t>
  </si>
  <si>
    <t>250C15.5-MRI-1DCG</t>
  </si>
  <si>
    <t>MRI 250ml PET CL BT -Double Choco-GULF</t>
  </si>
  <si>
    <t>250C15.5-MRI-1DCG2</t>
  </si>
  <si>
    <t>MRI250ml PET CL BT-Double Choco GULF-20D</t>
  </si>
  <si>
    <t>250C15.5-MRI-1DCM2</t>
  </si>
  <si>
    <t>MRI 250ml PET CL BT - DBL Choco Milk-20D</t>
  </si>
  <si>
    <t>250C15.5-MRI-1DCM4</t>
  </si>
  <si>
    <t>MRI250ml PET CL BT-D.CHOCO MLK KSA-45mic</t>
  </si>
  <si>
    <t>250C15.5-MRI-1DMG2</t>
  </si>
  <si>
    <t>MRI 250ml PET CL BT- Date Milk GULF- 20D</t>
  </si>
  <si>
    <t>250C15.5-MRI-1DMS</t>
  </si>
  <si>
    <t>MRI 250ml PET CL BT - Date Milk (KSA)</t>
  </si>
  <si>
    <t>250C15.5-MRI-1DMS3</t>
  </si>
  <si>
    <t>MRI 250ml PET CL BT-Date Milk KSA-45mic</t>
  </si>
  <si>
    <t>250C15.5-MRI-1DMU</t>
  </si>
  <si>
    <t>MRI 250ml PET CL BT - Date Milk (UAE)</t>
  </si>
  <si>
    <t>250C15.5-MRI-1FFM</t>
  </si>
  <si>
    <t>MARAI 250ml PET CLR BTL - Full Fat Milk</t>
  </si>
  <si>
    <t>250C15.5-MRI-1FFM2</t>
  </si>
  <si>
    <t>MRI 250ml PET CL BT- Full Fat Milk - 20D</t>
  </si>
  <si>
    <t>250C15.5-MRI-1FFMK</t>
  </si>
  <si>
    <t>MRI 250ml PET CL BTL- Full F Milk Kuwait</t>
  </si>
  <si>
    <t>250C15.5-MRI-1FMKP</t>
  </si>
  <si>
    <t>MRI 250ml PET CL BT-FF Milk (KUWA) PROMO</t>
  </si>
  <si>
    <t>250C15.5-MRI-1LFM</t>
  </si>
  <si>
    <t>MARAI 250ml PET CLR BTL - Low Fat Milk</t>
  </si>
  <si>
    <t>250C15.5-MRI-1LFM3</t>
  </si>
  <si>
    <t>MRI 250ml PET CL BT- Low Fat Milk-45 mic</t>
  </si>
  <si>
    <t>250C15.5-MRI-1LFMK</t>
  </si>
  <si>
    <t>MRI 250ml PET CL BTL - Low F Milk Kuwait</t>
  </si>
  <si>
    <t>250C15.5-MRI-1MGG</t>
  </si>
  <si>
    <t>MRI 250ml PET CL BT - Mango - GULF</t>
  </si>
  <si>
    <t>250C15.5-MRI-1MGG2</t>
  </si>
  <si>
    <t>MRI 250ml PET CL BT- Mango GULF-20D</t>
  </si>
  <si>
    <t>250C15.5-MRI-1MGM4</t>
  </si>
  <si>
    <t>MRI 250ml PET CL BT-Mango MLK KSA-45 mic</t>
  </si>
  <si>
    <t>250C15.5-MRI-1SBG</t>
  </si>
  <si>
    <t>MRI 250ml PET CL BT - Strawberry - GULF</t>
  </si>
  <si>
    <t>250C15.5-MRI-1SBG2</t>
  </si>
  <si>
    <t>MRI 250ml PET CL BT- Strawberry GULF-20D</t>
  </si>
  <si>
    <t>250C15.5-MRI-1SBG3</t>
  </si>
  <si>
    <t>MRI 250ml PET CL BT-Str'bryGLF-20D 45mic</t>
  </si>
  <si>
    <t>250C15.5-MRI-1SBM4</t>
  </si>
  <si>
    <t>MRI250ml PET CL BT-S'berry MLK KSA-45mic</t>
  </si>
  <si>
    <t>250C15.5-NDA-1FLE3</t>
  </si>
  <si>
    <t> Nada 250ml PET CL BT-FL Lemonade-24D</t>
  </si>
  <si>
    <t>250C15.5-NDA-1FLE4</t>
  </si>
  <si>
    <t> Nada 250ml PET CL BT-FL Lemonade-25D</t>
  </si>
  <si>
    <t>250C15.5-NDA-1FOL3</t>
  </si>
  <si>
    <t> Nada 250ml PET CL BT-FL Orange Pulp-24D</t>
  </si>
  <si>
    <t>250C15.5-NDA-1FOL4</t>
  </si>
  <si>
    <t>Nada 250ml PET CL BT-FL Orange Pulp-25D</t>
  </si>
  <si>
    <t>250C15.5-NDA-1FOP3</t>
  </si>
  <si>
    <t> Nada250ml PET CL BT-FL ORG&amp;Pinapple-24D</t>
  </si>
  <si>
    <t>250C15.5-NDA-1FOP4</t>
  </si>
  <si>
    <t> Nada250ml PET CL BT-FL ORG&amp;Pinapple-25D</t>
  </si>
  <si>
    <t>250C15.5-NDA-1FOW3</t>
  </si>
  <si>
    <t>Nada250mlPET CLBT-FL Orange W/O Pulp-24D</t>
  </si>
  <si>
    <t>250C15.5-NDA-1FOW4</t>
  </si>
  <si>
    <t>Nada250mlPET CLBT-FL Orange W/O Pulp-25D</t>
  </si>
  <si>
    <t>250C15.5-NDA-1FPG3</t>
  </si>
  <si>
    <t> Nada 250ml PET CL BT-FL Pomegranate-24D</t>
  </si>
  <si>
    <t>250C15.5-NDA-1FPG4</t>
  </si>
  <si>
    <t>Nada 250ml PET CL BT-FL Pomegranate-25D</t>
  </si>
  <si>
    <t>250C15.5-NDA-1PMC</t>
  </si>
  <si>
    <t> Nada 250ml PET CL BT-ProMilk Carmel-22D</t>
  </si>
  <si>
    <t>250C15.5-NDA-1PMC2</t>
  </si>
  <si>
    <t> Nada 250ml PET CL BT-ProMilk Carmel-23D</t>
  </si>
  <si>
    <t>250C15.5-NDA-1PMC3</t>
  </si>
  <si>
    <t>Nada250ml PET CLBT-ProMilk Carmel-23D-PP</t>
  </si>
  <si>
    <t>250C15.5-NDA-1PMM</t>
  </si>
  <si>
    <t> Nada 250ml PET CL BT-ProMilk Mocha-22D</t>
  </si>
  <si>
    <t>250C15.5-NDA-1PMM2</t>
  </si>
  <si>
    <t> Nada 250ml PET CL BT-ProMilk Mocha-23D</t>
  </si>
  <si>
    <t>250C15.5-NDA-1PMM3</t>
  </si>
  <si>
    <t>Nada250ml PET CL BT-ProMilk Mocha-23D-PP</t>
  </si>
  <si>
    <t>250C15.5-NDA-1PMO</t>
  </si>
  <si>
    <t> Nada 250ml PET CL BT-ProMilk Orgnal-22D</t>
  </si>
  <si>
    <t>250C15.5-NDA-1PMO2</t>
  </si>
  <si>
    <t> Nada 250ml PET CL BT-ProMilk Orgnal-23D</t>
  </si>
  <si>
    <t>250C15.5-NDA-1PMO3</t>
  </si>
  <si>
    <t>Nada250ml PET CLBT-ProMilk Orgnal-23D-PP</t>
  </si>
  <si>
    <t>250C15.5-NDA-WAD</t>
  </si>
  <si>
    <t> Nada 250ml PET CL BT W/Additive.</t>
  </si>
  <si>
    <t>250C18.0-MRI-1DCM4</t>
  </si>
  <si>
    <t>250C18.0-MRI-1DMG3</t>
  </si>
  <si>
    <t>MRI 250ml PET CL BT-Date Milk GULF-45mic</t>
  </si>
  <si>
    <t>250C18.0-MRI-1DMS3</t>
  </si>
  <si>
    <t>250C18.0-MRI-1FFM4</t>
  </si>
  <si>
    <t>MRI 250ml PET CL BT- F. F Milk (KWT)-21D</t>
  </si>
  <si>
    <t>250C18.0-MRI-1LFM3</t>
  </si>
  <si>
    <t>250C18.0-MRI-1MGM4</t>
  </si>
  <si>
    <t>250C18.0-MRI-1SBM4</t>
  </si>
  <si>
    <t>250C18-NDA-1FGB</t>
  </si>
  <si>
    <t> Nada 250ml PET CL BT-FL Grape &amp; Berries</t>
  </si>
  <si>
    <t>250C18-NDA-1FGB2</t>
  </si>
  <si>
    <t> Nada 250ml PET CLBT-FL Grape&amp;Berries-PP</t>
  </si>
  <si>
    <t>250C18-NDA-1FGF</t>
  </si>
  <si>
    <t> Nada 250ml PET CL BT-FL Grape Fruit</t>
  </si>
  <si>
    <t>250C18-NDA-1FGF2</t>
  </si>
  <si>
    <t> Nada 250ml PET CL BT-FL Grape Fruit-PP</t>
  </si>
  <si>
    <t>250C18-NDA-1FLE</t>
  </si>
  <si>
    <t> Nada 250ml PET CL BT-FL Lemonade</t>
  </si>
  <si>
    <t>250C18-NDA-1FLE2</t>
  </si>
  <si>
    <t> Nada 250ml PET CL BT-FL Lemonade-PP</t>
  </si>
  <si>
    <t>250C18-NDA-1FLK</t>
  </si>
  <si>
    <t> Nada 250ml PET CL BT-FL Lemonade (KSA)</t>
  </si>
  <si>
    <t>250C18-NDA-1FLK2</t>
  </si>
  <si>
    <t> Nada 250ml PET CLBT-FL Lemonade(KSA)-PP</t>
  </si>
  <si>
    <t>250C18-NDA-1FOL</t>
  </si>
  <si>
    <t> Nada 250ml PET CL BT-FL Orange Pulp</t>
  </si>
  <si>
    <t>250C18-NDA-1FOL2</t>
  </si>
  <si>
    <t> Nada 250ml PET CL BT-FL Orange Pulp-PP</t>
  </si>
  <si>
    <t>250C18-NDA-1FOP</t>
  </si>
  <si>
    <t> Nada 250ml PET CL BT-FL ORG &amp; Pineapple</t>
  </si>
  <si>
    <t>250C18-NDA-1FOP2</t>
  </si>
  <si>
    <t> Nada 250ml PET CL BT-FL ORG&amp;Pinapple-PP</t>
  </si>
  <si>
    <t>250C18-NDA-1FOW</t>
  </si>
  <si>
    <t> Nada 250ml PET CL BT-FL Orange W/O Pulp</t>
  </si>
  <si>
    <t>250C18-NDA-1FOW2</t>
  </si>
  <si>
    <t> Nada250mlPET CLBT-FL Orange W/O Pulp-PP</t>
  </si>
  <si>
    <t>250C18-NDA-1FPA</t>
  </si>
  <si>
    <t> Nada 250ml PET CL BT-FL Pineapple</t>
  </si>
  <si>
    <t>250C18-NDA-1FPA2</t>
  </si>
  <si>
    <t> Nada 250ml PET CL BT-FL Pineapple-PP</t>
  </si>
  <si>
    <t>250C18-NDA-1FPG</t>
  </si>
  <si>
    <t> Nada 250ml PET CL BT-FL Pomegranate</t>
  </si>
  <si>
    <t>250C18-NDA-1FPG2</t>
  </si>
  <si>
    <t> Nada 250ml PET CL BT-FL Pomegranate-PP</t>
  </si>
  <si>
    <t>250C18-NDA-1FPG3</t>
  </si>
  <si>
    <t>250W15.5-MRI-1GMB</t>
  </si>
  <si>
    <t>MRI 250ml PET WHT BT - GRK YOG MXBRY-20D</t>
  </si>
  <si>
    <t>250W15.5-MRI-1GMB2</t>
  </si>
  <si>
    <t>MRI 250ml PET WHT BT - GY MXBRY-20D V2</t>
  </si>
  <si>
    <t>250W15.5-MRI-1GMB3</t>
  </si>
  <si>
    <t>MRI 250ml PET WHT BT-GY MXBRY-20D 45 mic</t>
  </si>
  <si>
    <t>250W15.5-MRI-1GSB</t>
  </si>
  <si>
    <t>MRI 250ml PET WHT BT - GRK YOG STBRY-20D</t>
  </si>
  <si>
    <t>250W18.0-MRI-1GMB3</t>
  </si>
  <si>
    <t>250W18.0-MRI-1GMP</t>
  </si>
  <si>
    <t>MRI 250ml PET WHT BT-GY MXBRY PROTEIN</t>
  </si>
  <si>
    <t>250W18.0-MRI-1GSP</t>
  </si>
  <si>
    <t>MRI 250mlPET WHT BT-GY STR'BRY PROTEIN</t>
  </si>
  <si>
    <t>250W18.0-MRI-1MPDY</t>
  </si>
  <si>
    <t>MRI 250ml PET WHT BT-MANGO PROTEIN DY</t>
  </si>
  <si>
    <t>250W18.0-MRI-1SPDY</t>
  </si>
  <si>
    <t>MRI 250mlPET WHT BT-STROBERRY PROTEIN DY</t>
  </si>
  <si>
    <t>26.0BC1RD-CL-A</t>
  </si>
  <si>
    <t>26.0 BC38mm 3 Rnd Clear J/C(W Plt</t>
  </si>
  <si>
    <t>26.6TO1RD-CJ-A</t>
  </si>
  <si>
    <t>26.6TO2RD-AB-A</t>
  </si>
  <si>
    <t>26.6 29/25 Rnd D.Blue'Abar Water'J/C(W p</t>
  </si>
  <si>
    <t>26.6TO2RD-AJB-A</t>
  </si>
  <si>
    <t>26.6TO 29/25 Rnd 'AJLAN' BLUE  J/C(W plt</t>
  </si>
  <si>
    <t>26.6TO2RD-AJB-B</t>
  </si>
  <si>
    <t>26.6TO 29/25 Rnd 'AJLAN' BLUE  J/C(P plt</t>
  </si>
  <si>
    <t>26.6TO29/25 Rd 'AJLAN' BLUE  J/C(PP-HDG</t>
  </si>
  <si>
    <t>26.6TO2RD-B4-A</t>
  </si>
  <si>
    <t>26.6 TO 29/25 Rnd Arwa Blue J/C(W plt</t>
  </si>
  <si>
    <t>26.6TO2RD-B4-AH</t>
  </si>
  <si>
    <t>26.6 TO 29/25Rnd Arwa Blue J/C(W plt HDG</t>
  </si>
  <si>
    <t>26.6TO2RD-CL-AH</t>
  </si>
  <si>
    <t>26.6 TO 29/25 Rnd Clear J/C(P Plt HDG</t>
  </si>
  <si>
    <t>26.6TO2RD-CL-AH1</t>
  </si>
  <si>
    <t>26.6 29/25 Rnd Clear  J/C(W plt-NTBC HDG</t>
  </si>
  <si>
    <t>26.6TO2RD-CL-AH5</t>
  </si>
  <si>
    <t>26.6 29/25 Rnd Clear  ORC J/C(W Plt HDG5</t>
  </si>
  <si>
    <t>26.6TO2RD-CL-AR1-A</t>
  </si>
  <si>
    <t>26.6 TO 29/25 Rnd Clear Arya W</t>
  </si>
  <si>
    <t>26.6TO2RD-CL-BH2</t>
  </si>
  <si>
    <t>26.6 TO 29/25 Rnd CLR J/C(P Plt JOM HDG</t>
  </si>
  <si>
    <t>26.6TO2RD-CL-DH</t>
  </si>
  <si>
    <t>26.6 29/25 Rnd Clear DRC J/C(W Plt HDG</t>
  </si>
  <si>
    <t>26.6TO2RD-CL-JA1-A</t>
  </si>
  <si>
    <t>26.6 TO 29/25 Rnd Clear Jade W</t>
  </si>
  <si>
    <t>26.6TO2RD-CL-Z</t>
  </si>
  <si>
    <t>26.6 TO 29/25 Rnd Clear EXP/C(W Plt</t>
  </si>
  <si>
    <t>26.6TO2RD-DB-A</t>
  </si>
  <si>
    <t>26.6 29/25 Rnd Dark Blue J/C(W plt</t>
  </si>
  <si>
    <t>26.6TO2RD-GB-A</t>
  </si>
  <si>
    <t>26.6 29/25 Rnd Gnrl Blue J/C(W Plt</t>
  </si>
  <si>
    <t>26.6TO2RD-GB-JA1-A</t>
  </si>
  <si>
    <t>26.6 TO 29/25 Rnd Gnrl Blue Jade Water</t>
  </si>
  <si>
    <t>26.6TO2RD-GB-S</t>
  </si>
  <si>
    <t>26.6 29/25 Rnd Gnrl Blue Steel C.</t>
  </si>
  <si>
    <t>26.6TO2RD-LB-AM</t>
  </si>
  <si>
    <t>26.6TO29/25Rnd L.Blue"MARINA Trd."J/C-WP</t>
  </si>
  <si>
    <t>26.6TO2RD-LB-P</t>
  </si>
  <si>
    <t>26.6 29/25 Rnd L Blue Plain OCJ/C(W plt</t>
  </si>
  <si>
    <t>26.6TO2RD-LB-Z</t>
  </si>
  <si>
    <t>26.6 TO 29/25 Rnd Light Blue EXP/C(W Plt</t>
  </si>
  <si>
    <t>26.6TO2RD-P1-A</t>
  </si>
  <si>
    <t>26.6 29/25 Rnd Pink J/C(W Plt</t>
  </si>
  <si>
    <t>26.6TO2RD-SB-A</t>
  </si>
  <si>
    <t>26.6 29/25 RD Spring Water Blue J/C(Wplt</t>
  </si>
  <si>
    <t>26.6TO2RD-SB-S</t>
  </si>
  <si>
    <t>26.6 29/25 Rnd Spring Water Blue Steel C</t>
  </si>
  <si>
    <t>28.0BC1RD-CL-A</t>
  </si>
  <si>
    <t>28.0 BC38mm 3 Rnd Clear J/C(W plt</t>
  </si>
  <si>
    <t>28.0BC1RD-CL-JA1-A</t>
  </si>
  <si>
    <t>28.0 BC38mm 3 Rnd Clear Jade W</t>
  </si>
  <si>
    <t>28.0BC1RD-CL-S</t>
  </si>
  <si>
    <t>28.0 BC38mm 3 Rnd Clear Steel c.</t>
  </si>
  <si>
    <t>28.0BC1RD-CL-SH</t>
  </si>
  <si>
    <t>28.0 BC38mm 3 Rnd Clear steel C. HDG</t>
  </si>
  <si>
    <t>28.0TO1RD-B4-A</t>
  </si>
  <si>
    <t>28.0 TO 30/25 Rnd Arwa Blue J/C(W Plt</t>
  </si>
  <si>
    <t>28.0TO1RD-B4-AH</t>
  </si>
  <si>
    <t>28.0 TO 30/25 Rnd Arwa BlueJ/C(W Plt HDG</t>
  </si>
  <si>
    <t>28.0TO1RD-B4-M</t>
  </si>
  <si>
    <t>28.0 TO 30/25 Rnd Arwa Blue OCJ/C(W plt</t>
  </si>
  <si>
    <t>28.0TO1RD-B4-Z</t>
  </si>
  <si>
    <t>28.0 TO 30/25 Rnd Arwa Blue EXP/C(W Plt</t>
  </si>
  <si>
    <t>28.0TO1RD-CL-A</t>
  </si>
  <si>
    <t>28.0 TO 30/25 Rnd Clear J/C(W Plt</t>
  </si>
  <si>
    <t>28.0TO1RD-CL-AM</t>
  </si>
  <si>
    <t>28.0 TO 30/25 Rnd CLR"MARINA Trd."J/C-WP</t>
  </si>
  <si>
    <t>28.0TO1RD-CL-B</t>
  </si>
  <si>
    <t>28.0 TO 30/25 Rnd Clear J/C(P  plt</t>
  </si>
  <si>
    <t>28.0TO1RD-CL-BH1</t>
  </si>
  <si>
    <t>28.0 TO 30/25 Rnd Clear J/C(P AQS HDG</t>
  </si>
  <si>
    <t>28.0TO1RD-CL-S</t>
  </si>
  <si>
    <t>28.0 TO 30/25 Rnd Clear W Steel C.</t>
  </si>
  <si>
    <t>28.0TO1RD-CL-S2</t>
  </si>
  <si>
    <t>28.0TO30/25 Rnd CLR Steel C-Biodegrdable</t>
  </si>
  <si>
    <t>28.0TO1RD-CL-Z</t>
  </si>
  <si>
    <t>28.0 TO 30/25 Rnd Clear EXP/C(W Plt</t>
  </si>
  <si>
    <t>28.0TO1RD-DB-P</t>
  </si>
  <si>
    <t>28.0 30/25 Rnd D.Blue Plain OCJ/C(W plt</t>
  </si>
  <si>
    <t>28.0TO1RD-DB-Z</t>
  </si>
  <si>
    <t>28.0 30/25 Rnd Dark Blue EXP/C(W Plt</t>
  </si>
  <si>
    <t>28.0TO1RD-GB-A</t>
  </si>
  <si>
    <t>28.0 TO 30/25 Rnd General Blue J/C(W Plt</t>
  </si>
  <si>
    <t>28.0TO1RD-GB-AM</t>
  </si>
  <si>
    <t>28.0TO30/25Rnd GNRL BLUE"MARINA"J/C(W Pt</t>
  </si>
  <si>
    <t>28.0TO1RD-GB-Z</t>
  </si>
  <si>
    <t>28.0 30/25 Rnd General Blue EXP/C(W Plt</t>
  </si>
  <si>
    <t>29.3 TO 29/25 Rnd Nova Blue J/C(P plt</t>
  </si>
  <si>
    <t>29.3TO2RD-BS1-B</t>
  </si>
  <si>
    <t>29.3 TO 29/25 Rnd Nova Blue (CB-602A)</t>
  </si>
  <si>
    <t>29.3TO2RD-BS2-B</t>
  </si>
  <si>
    <t>29.3 TO 29/25 Rnd Nova Blue-PET YS-W01 L</t>
  </si>
  <si>
    <t>29.3TO2RD-BS3-B</t>
  </si>
  <si>
    <t>29.3 TO 29/25 Rnd Nova Blue (PET G5761)</t>
  </si>
  <si>
    <t>29.3TO2RD-BS7-B</t>
  </si>
  <si>
    <t>29.3 TO 29/25 Rnd Nova Blue ( SABIC)</t>
  </si>
  <si>
    <t>29.3TO2RD-BS8-B</t>
  </si>
  <si>
    <t>29.3 TO 29/25 Rnd Nova Blue-PET "YS-I"</t>
  </si>
  <si>
    <t>29.3TO2RD-CL-B</t>
  </si>
  <si>
    <t>29.3 TO 29/25 Rnd Clear J/C(P Plt</t>
  </si>
  <si>
    <t>29-1.15-2TP-HG-A</t>
  </si>
  <si>
    <t>CAP</t>
  </si>
  <si>
    <t>29/25 1.15g Cap TP Horna Green-WP</t>
  </si>
  <si>
    <t>HDPE</t>
  </si>
  <si>
    <t>29-1.15-2TP-NB-A</t>
  </si>
  <si>
    <t>29/25 1.15g CAP T PROOF "Nestle"Blue WP</t>
  </si>
  <si>
    <t>29-1.25-2TP-B4-A</t>
  </si>
  <si>
    <t>29/25 1.25g CAP TP Nova Blue (=2%) -WP</t>
  </si>
  <si>
    <t>29-1.25-2TP-CL-A</t>
  </si>
  <si>
    <t>29 /25 1.25g CAP T PROOF CLEAR -WP</t>
  </si>
  <si>
    <t>29-1.25-2TP-DB-A</t>
  </si>
  <si>
    <t>29 /25 1.25g CAP TP D.Blue Mawared-WP</t>
  </si>
  <si>
    <t>29-1.25-2TP-HG-A</t>
  </si>
  <si>
    <t>29 /25 1.25g CAP T PROOF Horna Green -WP</t>
  </si>
  <si>
    <t>29-1.25-2TP-NB-A</t>
  </si>
  <si>
    <t>29/25 1.25g CAP T PROOF "Nestle"Blue WP</t>
  </si>
  <si>
    <t>29-1.25-2TP-W1-A</t>
  </si>
  <si>
    <t>29 /25 1.25g CAP T PROOF WHITE -WP</t>
  </si>
  <si>
    <t>29-1.32-2TP-CLWL-A</t>
  </si>
  <si>
    <t>29 /25 1.32g Aquafina logo Cap NATURAL</t>
  </si>
  <si>
    <t>29-1.35-2TP-CL-A</t>
  </si>
  <si>
    <t>29/251.35g High Ribs CAP TP Clear-WP</t>
  </si>
  <si>
    <t>29-1.35-2TP-DB-A</t>
  </si>
  <si>
    <t>29/25 1.35g High Ribs CAP TP D. Blue-WP</t>
  </si>
  <si>
    <t>29-1.35-2TP-HG-A</t>
  </si>
  <si>
    <t>29/25 1.35g High RBS CAP TP HornaGreenWP</t>
  </si>
  <si>
    <t>29-1.35-2TP-W1-A</t>
  </si>
  <si>
    <t>29/25 1.35g High Ribs CAP T.P White-WP</t>
  </si>
  <si>
    <t>29-1.35-2TPWL-AB-A</t>
  </si>
  <si>
    <t>29/25 1.35g H.Ribs CAP/LOGO Alain BlueWP</t>
  </si>
  <si>
    <t>29-1.35-2TWOL-AB-A</t>
  </si>
  <si>
    <t>29/25 H.Ribs CAP W/O LOGO Alain Blue-WP</t>
  </si>
  <si>
    <t>29-TH-2TP1-HG-A</t>
  </si>
  <si>
    <t>29/25 1.15g Cap TP Horna Green</t>
  </si>
  <si>
    <t>29-TH-2TP2-NB-B</t>
  </si>
  <si>
    <t>29/25 1.15g CAP T PROOF "Nestle"Blue LWP</t>
  </si>
  <si>
    <t>30.5PC2RD-CL-A</t>
  </si>
  <si>
    <t>30.5 PCO 1881 Rnd Clear J/C(W plt</t>
  </si>
  <si>
    <t>30.5PC2RD-CL-AH</t>
  </si>
  <si>
    <t>30.5 PCO 1881 Rnd Clear J/C(W plt HDG</t>
  </si>
  <si>
    <t>30.5PC2RD-CL-AH3</t>
  </si>
  <si>
    <t>30.5 PCO 1881 Rnd CLR J/C(W pt/Arrow HDG</t>
  </si>
  <si>
    <t>30.5PC2RD-CL-AH5</t>
  </si>
  <si>
    <t>30.5 PCO 1881 Rnd CLR ORC J/C(W plt HDG5</t>
  </si>
  <si>
    <t>30.5PC2RD-CL-B</t>
  </si>
  <si>
    <t>30.5 PCO 1881 Rnd Clear J/C(P plt</t>
  </si>
  <si>
    <t>30.5PC2RD-CL-BH1</t>
  </si>
  <si>
    <t>30.5 PCO 1881 Rnd CLR J/C(P plt AQS HDG</t>
  </si>
  <si>
    <t>30.5PC2RD-CL-BH2</t>
  </si>
  <si>
    <t>30.5 PCO 1881 Rnd CLR J/C(P plt JOM HDG</t>
  </si>
  <si>
    <t>30.5PC2RD-CLS-BH1</t>
  </si>
  <si>
    <t>30.5 PCO 1881Rnd CLR J/C(PP AQS HDG-SIPA</t>
  </si>
  <si>
    <t>30.5PC2RD-CL-V</t>
  </si>
  <si>
    <t>30.5 PCO 1881 Rnd Clear MenaBev Spec</t>
  </si>
  <si>
    <t>30.5PC2RD-CL-VH</t>
  </si>
  <si>
    <t>30.5 PCO 1881 Rnd Clear MenaBev PP HDG</t>
  </si>
  <si>
    <t>30.5PC2RD-IG-A</t>
  </si>
  <si>
    <t>30.5 PCO 1881 Rnd ICI Green J/C(W plt</t>
  </si>
  <si>
    <t>30.5PC2RD-IG-AH</t>
  </si>
  <si>
    <t>30.5 PCO 1881 Rnd ICI GreenJ/C(W plt HDG</t>
  </si>
  <si>
    <t>30.5PC2RD-IG-AH5</t>
  </si>
  <si>
    <t>30.5 PCO 1881 Rnd ICI Green ORC Wpt HDG5</t>
  </si>
  <si>
    <t>30.5PC2RD-IG-B</t>
  </si>
  <si>
    <t>30.5 PCO 1881 Rnd ICI Green J/C(P plt</t>
  </si>
  <si>
    <t>30.5PC2RD-IG-BH1</t>
  </si>
  <si>
    <t>30.5 PCO 1881 ICI GreenJ/C(P plt AQS HDG</t>
  </si>
  <si>
    <t>30.5PC2RD-IG-BH2</t>
  </si>
  <si>
    <t>30.5 PCO 1881 ICI Green J/C(P Pt JOM HDG</t>
  </si>
  <si>
    <t>30.5PC2RD-IG-V</t>
  </si>
  <si>
    <t>30.5 PCO 1881 Rnd ICI Green MenaBev Spec</t>
  </si>
  <si>
    <t>30.5PC2RD-IG-VH</t>
  </si>
  <si>
    <t>30.5 PCO 1881 Rd ICI Green MenaBevPP HDG</t>
  </si>
  <si>
    <t>300-1C19.0-NDA-P</t>
  </si>
  <si>
    <t>300ml Clear PET Bottle 19.0g</t>
  </si>
  <si>
    <t>300-1C19.0-TAI-P</t>
  </si>
  <si>
    <t>300C19.0-NDA-1APJ2</t>
  </si>
  <si>
    <t>Nada 300ml PET CL BT- Apple Juice-17D</t>
  </si>
  <si>
    <t>300C19.0-NDA-1APJ3</t>
  </si>
  <si>
    <t>Nada 300ml PET CL BT- Apple Juice-18D</t>
  </si>
  <si>
    <t>300C19.0-NDA-1APJ4</t>
  </si>
  <si>
    <t>Nada 300ml PET CL BT- Apple -19D</t>
  </si>
  <si>
    <t>300C19.0-NDA-1APJ5</t>
  </si>
  <si>
    <t>Nada 300ml PET CL BT- Apple -20D</t>
  </si>
  <si>
    <t>300C19.0-NDA-1APJ6</t>
  </si>
  <si>
    <t>Nada 300ml PET CL BT- Apple -22D</t>
  </si>
  <si>
    <t>300C19.0-NDA-1APJ7</t>
  </si>
  <si>
    <t>Nada 300ml PET CL BT- Apple -22D V2</t>
  </si>
  <si>
    <t>300C19.0-NDA-1APJ8</t>
  </si>
  <si>
    <t>Nada 300ml PET CL BT- Apple -22D V2-PP</t>
  </si>
  <si>
    <t>300C19.0-NDA-1APJ9</t>
  </si>
  <si>
    <t>Nada 300ml PET CL BT- Apple -24D</t>
  </si>
  <si>
    <t>300C19.0-NDA-1BAB</t>
  </si>
  <si>
    <t>Nada 300ml PET CL-BTROOT,APPL&amp;BLKcurrant</t>
  </si>
  <si>
    <t>300C19.0-NDA-1BRP</t>
  </si>
  <si>
    <t>Nada 300ml PET CL BT-Beetroot&amp;Raspberry</t>
  </si>
  <si>
    <t>300C19.0-NDA-1CCM</t>
  </si>
  <si>
    <t>Nada 300ml PET CL-Coton Candy Milk-24D</t>
  </si>
  <si>
    <t>300C19.0-NDA-1CCM1</t>
  </si>
  <si>
    <t>Nada 300ml PET CL-Coton Candy Milk-24DV1</t>
  </si>
  <si>
    <t>300C19.0-NDA-1CPR</t>
  </si>
  <si>
    <t>Nada 300ml PET CL BT-Choco PRM Milk-24D</t>
  </si>
  <si>
    <t>300C19.0-NDA-1CPR1</t>
  </si>
  <si>
    <t>Nada300ml PET CL BT-Choco PRM Milk-24DV1</t>
  </si>
  <si>
    <t>300C19.0-NDA-1GPJ4</t>
  </si>
  <si>
    <t>Nada 300ml PET CL BT-Guava &amp; Grape -20D</t>
  </si>
  <si>
    <t>300C19.0-NDA-1GPR</t>
  </si>
  <si>
    <t>Nada 300ml PET CL BT-Guava PRM Milk-24D</t>
  </si>
  <si>
    <t>300C19.0-NDA-1GPR1</t>
  </si>
  <si>
    <t>Nada300ml PET CL BT-Guava PRM Milk-24DV1</t>
  </si>
  <si>
    <t>300C19.0-NDA-1GVJ3</t>
  </si>
  <si>
    <t>Nada 300ml PET CL BT-Guava Juice-18D</t>
  </si>
  <si>
    <t>300C19.0-NDA-1GVJ4</t>
  </si>
  <si>
    <t>Nada 300ml PET CL BT- Guava -21D</t>
  </si>
  <si>
    <t>300C19.0-NDA-1GVJ5</t>
  </si>
  <si>
    <t>Nada 300ml PET CL BT- Guava -22D</t>
  </si>
  <si>
    <t>300C19.0-NDA-1GVJ6</t>
  </si>
  <si>
    <t>Nada 300ml PET CL BT- Guava -22D V2</t>
  </si>
  <si>
    <t>300C19.0-NDA-1GVJ7</t>
  </si>
  <si>
    <t>Nada 300ml PET CL BT- Guava -22D V2-PP</t>
  </si>
  <si>
    <t>300C19.0-NDA-1GVJ8</t>
  </si>
  <si>
    <t>Nada 300ml PET CL BT- Guava -24D</t>
  </si>
  <si>
    <t>300C19.0-NDA-1GVN2</t>
  </si>
  <si>
    <t>Nada 300ml PET CL BT-Guava Nectar J-17D</t>
  </si>
  <si>
    <t>300C19.0-NDA-1KLJ2</t>
  </si>
  <si>
    <t>Nada 300ml PET CL BT- Kiwi Lime J-17D</t>
  </si>
  <si>
    <t>300C19.0-NDA-1KLJ3</t>
  </si>
  <si>
    <t>Nada 300ml PET CL BT-Kiwi Lime Juice-18D</t>
  </si>
  <si>
    <t>300C19.0-NDA-1KLJ4</t>
  </si>
  <si>
    <t>Nada 300ml PET CL BT- Kiwi&amp;Lime -19D</t>
  </si>
  <si>
    <t>300C19.0-NDA-1KLJ5</t>
  </si>
  <si>
    <t>Nada 300ml PET CL BT- Kiwi&amp;Lime -20D</t>
  </si>
  <si>
    <t>300C19.0-NDA-1KLJ6</t>
  </si>
  <si>
    <t>Nada 300ml PET CL BT- Kiwi&amp;Lime -22D</t>
  </si>
  <si>
    <t>300C19.0-NDA-1KLJ7</t>
  </si>
  <si>
    <t>Nada 300ml PET CL BT- Kiwi&amp;Lime -22D V2</t>
  </si>
  <si>
    <t>300C19.0-NDA-1KLJ8</t>
  </si>
  <si>
    <t>Nada 300ml PET CL BT-Kiwi&amp;Lime-22D V2-PP</t>
  </si>
  <si>
    <t>300C19.0-NDA-1KLJ9</t>
  </si>
  <si>
    <t>Nada 300ml PET CL BT-Kiwi&amp;Lime-24D</t>
  </si>
  <si>
    <t>300C19.0-NDA-1LMJ2</t>
  </si>
  <si>
    <t>Nada 300ml PET CL BT- Lemon Mint J-17D</t>
  </si>
  <si>
    <t>300C19.0-NDA-1LMJ3</t>
  </si>
  <si>
    <t>Nada 300ml PET CL BT- Lemon W/Mint J-18D</t>
  </si>
  <si>
    <t>300C19.0-NDA-1LMJ4</t>
  </si>
  <si>
    <t>Nada 300ml PET CL BT-Lemon with Mint-19D</t>
  </si>
  <si>
    <t>300C19.0-NDA-1LMJ5</t>
  </si>
  <si>
    <t>Nada 300ml PET CL BT-Lemon with Mint-20D</t>
  </si>
  <si>
    <t>300C19.0-NDA-1LMJ6</t>
  </si>
  <si>
    <t>Nada 300ml PET CL BT-Lemon with Mint-22D</t>
  </si>
  <si>
    <t>300C19.0-NDA-1LMJ7</t>
  </si>
  <si>
    <t>300C19.0-NDA-1LMJ8</t>
  </si>
  <si>
    <t>Nada 300ml PET CL BT-LemonW/Mint-22D-PP</t>
  </si>
  <si>
    <t>300C19.0-NDA-1LMJ9</t>
  </si>
  <si>
    <t>Nada 300ml PET CL BT-LemonW/Mint-24D</t>
  </si>
  <si>
    <t>300C19.0-NDA-1MBJ4</t>
  </si>
  <si>
    <t>Nada 300ml PET CL BT- Mixed Berry -19D</t>
  </si>
  <si>
    <t>300C19.0-NDA-1MFJ2</t>
  </si>
  <si>
    <t>Nada 300ml PET CL BT- Mixed Fruit J-17D</t>
  </si>
  <si>
    <t>300C19.0-NDA-1MFJ3</t>
  </si>
  <si>
    <t>Nada 300ml PET CL BT- Mixed Fruit J-18D</t>
  </si>
  <si>
    <t>300C19.0-NDA-1MFJ4</t>
  </si>
  <si>
    <t>Nada 300ml PET CL BT- Mixed Fruit -20D</t>
  </si>
  <si>
    <t>300C19.0-NDA-1MFJ5</t>
  </si>
  <si>
    <t>Nada 300ml PET CL BT- Mixed Fruit -22D</t>
  </si>
  <si>
    <t>300C19.0-NDA-1MFJ6</t>
  </si>
  <si>
    <t>Nada 300ml PET CL BT-Mixed Fruit -22D V2</t>
  </si>
  <si>
    <t>300C19.0-NDA-1MFJ7</t>
  </si>
  <si>
    <t>Nada 300ml PET CL -Mixed Fruit-22D V2-PP</t>
  </si>
  <si>
    <t>300C19.0-NDA-1MFJ8</t>
  </si>
  <si>
    <t>Nada 300ml PET CL -Mixed Fruit-24D</t>
  </si>
  <si>
    <t>300C19.0-NDA-1MFJ9</t>
  </si>
  <si>
    <t>Nada 300ml PET CL -Mixed Fruit-24D V2</t>
  </si>
  <si>
    <t>300C19.0-NDA-1MGJ</t>
  </si>
  <si>
    <t xml:space="preserve"> Nada 300ml PET CL BT-MangoW/Grape-PP</t>
  </si>
  <si>
    <t>300C19.0-NDA-1MGJ1</t>
  </si>
  <si>
    <t>Nada 300ml PET CL BT-MangoW/Grape-24D</t>
  </si>
  <si>
    <t>300C19.0-NDA-1MGJ2</t>
  </si>
  <si>
    <t>Nada 300ml PET CL BT-Mango Juice-17D</t>
  </si>
  <si>
    <t>300C19.0-NDA-1MGJ3</t>
  </si>
  <si>
    <t>Nada 300ml PET CL BT-Mango Juice-18D</t>
  </si>
  <si>
    <t>300C19.0-NDA-1MGJ4</t>
  </si>
  <si>
    <t>Nada 300ml PET CL BT-Mango -21D</t>
  </si>
  <si>
    <t>300C19.0-NDA-1MGJ5</t>
  </si>
  <si>
    <t>Nada 300ml PET CL BT-Mango -22D</t>
  </si>
  <si>
    <t>300C19.0-NDA-1MGJ6</t>
  </si>
  <si>
    <t>Nada 300ml PET CL BT-Mango -22D V2</t>
  </si>
  <si>
    <t>300C19.0-NDA-1MGJ7</t>
  </si>
  <si>
    <t>Nada 300ml PET CL BT-Mango -22D V2-PP</t>
  </si>
  <si>
    <t>300C19.0-NDA-1MGP2</t>
  </si>
  <si>
    <t>Nada 300ml PET CL BT-Mango W/Pulp J-17D</t>
  </si>
  <si>
    <t>300C19.0-NDA-1MGP3</t>
  </si>
  <si>
    <t>Nada 300ml PET CL BT-Mango W/Pulp J-18D</t>
  </si>
  <si>
    <t>300C19.0-NDA-1MMF</t>
  </si>
  <si>
    <t xml:space="preserve"> Nada 300ml PET CL-MangoW/Mixed Fruit-PP</t>
  </si>
  <si>
    <t>300C19.0-NDA-1MMF1</t>
  </si>
  <si>
    <t>Nada 300ml PET CL-MangoW/Mixed Fruit-24D</t>
  </si>
  <si>
    <t>300C19.0-NDA-1MPJ4</t>
  </si>
  <si>
    <t>Nada 300ml PET CL BT- Mango &amp; Grape -20D</t>
  </si>
  <si>
    <t>300C19.0-NDA-1MPR</t>
  </si>
  <si>
    <t>Nada 300ml PET CL BT-Mango PRM Milk-24D</t>
  </si>
  <si>
    <t>300C19.0-NDA-1MPR1</t>
  </si>
  <si>
    <t>Nada300ml PET CL BT-Mango Prm Milk-24DV1</t>
  </si>
  <si>
    <t>300C19.0-NDA-1OCJ</t>
  </si>
  <si>
    <t xml:space="preserve"> Nada 300ml PET CL BT- Orange Carrot-PP</t>
  </si>
  <si>
    <t>300C19.0-NDA-1OCJ1</t>
  </si>
  <si>
    <t>Nada 300ml PET CL BT- Orange Carrot-24D</t>
  </si>
  <si>
    <t>300C19.0-NDA-1OGJ</t>
  </si>
  <si>
    <t>Nada 300ml PET CL BT-Orange &amp;Grape-24D</t>
  </si>
  <si>
    <t>300C19.0-NDA-1OGJ1</t>
  </si>
  <si>
    <t>Nada 300ml PET CL BT-Orange&amp;Grape-24D V2</t>
  </si>
  <si>
    <t>300C19.0-NDA-1ONC</t>
  </si>
  <si>
    <t>Nada300ml PET CL BT-OrangeNectarCocktail</t>
  </si>
  <si>
    <t>300C19.0-NDA-1ORJ3</t>
  </si>
  <si>
    <t>Nada 300ml PET CL BT- Orange Juice-18D</t>
  </si>
  <si>
    <t>300C19.0-NDA-1ORJ4</t>
  </si>
  <si>
    <t>Nada 300ml PET CL BT- Orange -19D</t>
  </si>
  <si>
    <t>300C19.0-NDA-1ORJ5</t>
  </si>
  <si>
    <t>Nada 300ml PET CL BT- Orange -20D</t>
  </si>
  <si>
    <t>300C19.0-NDA-1ORJ6</t>
  </si>
  <si>
    <t>Nada 300ml PET CL BT- Orange -22D</t>
  </si>
  <si>
    <t>300C19.0-NDA-1ORJ7</t>
  </si>
  <si>
    <t>Nada 300ml PET CL BT- Orange -22D V2</t>
  </si>
  <si>
    <t>300C19.0-NDA-1ORJ8</t>
  </si>
  <si>
    <t>Nada 300ml PET CL BT- Orange -22D V2-PP</t>
  </si>
  <si>
    <t>300C19.0-NDA-1PAJ0</t>
  </si>
  <si>
    <t>Nada 300ml PET CL BT-Pineapple-24D</t>
  </si>
  <si>
    <t>300C19.0-NDA-1PAJ1</t>
  </si>
  <si>
    <t>Nada 300ml PET CL BT-Pineapple-24D V2</t>
  </si>
  <si>
    <t>300C19.0-NDA-1PAJ2</t>
  </si>
  <si>
    <t>Nada 300ml PET CL BT- Pineaple J-17D</t>
  </si>
  <si>
    <t>300C19.0-NDA-1PAJ3</t>
  </si>
  <si>
    <t>Nada 300ml PET CL BT- Pineaple Juice-18D</t>
  </si>
  <si>
    <t>300C19.0-NDA-1PAJ4</t>
  </si>
  <si>
    <t>Nada 300ml PET CL BT- Pineaple -19D</t>
  </si>
  <si>
    <t>300C19.0-NDA-1PAJ5</t>
  </si>
  <si>
    <t>Nada 300ml PET CL BT- Pineapple -20D</t>
  </si>
  <si>
    <t>300C19.0-NDA-1PAJ6</t>
  </si>
  <si>
    <t>Nada 300ml PET CL BT- Pineapple -20D V2</t>
  </si>
  <si>
    <t>300C19.0-NDA-1PAJ7</t>
  </si>
  <si>
    <t>Nada 300ml PET CL BT- Pineapple -22D</t>
  </si>
  <si>
    <t>300C19.0-NDA-1PAJ8</t>
  </si>
  <si>
    <t>Nada 300ml PET CL BT- Pineapple -22D V2</t>
  </si>
  <si>
    <t>300C19.0-NDA-1PAJ9</t>
  </si>
  <si>
    <t>Nada 300ml PET CL BT-Pineapple-22D V2-PP</t>
  </si>
  <si>
    <t>300C19.0-NDA-1PGJ2</t>
  </si>
  <si>
    <t>Nada 300ml PET CL BT- Pomegranate J -17D</t>
  </si>
  <si>
    <t>300C19.0-NDA-1PGJ3</t>
  </si>
  <si>
    <t>Nada 300ml PET CL BT- Pomegranate J-18D</t>
  </si>
  <si>
    <t>300C19.0-NDA-1PGJ4</t>
  </si>
  <si>
    <t>Nada 300ml PET CL BT- Pomegranate-21D</t>
  </si>
  <si>
    <t>300C19.0-NDA-1PGJ5</t>
  </si>
  <si>
    <t>Nada 300ml PET CL BT- Pomegranate-22D</t>
  </si>
  <si>
    <t>300C19.0-NDA-1PGJ6</t>
  </si>
  <si>
    <t>Nada 300ml PET CL BT- Pomegranate-22D V2</t>
  </si>
  <si>
    <t>300C19.0-NDA-1PGJ7</t>
  </si>
  <si>
    <t>Nada 300ml PET CL-Pomegranate-22D V2-PP</t>
  </si>
  <si>
    <t>300C19.0-NDA-1PGJ8</t>
  </si>
  <si>
    <t>Nada 300ml PET CL-Pomegranate-24D</t>
  </si>
  <si>
    <t>300C19.0-NDA-1PJG</t>
  </si>
  <si>
    <t>Nada 300ml PET CL BT-Protein Juice Green</t>
  </si>
  <si>
    <t>300C19.0-NDA-1PJO</t>
  </si>
  <si>
    <t>Nada300ml PET CL BT-Protein Juice Orange</t>
  </si>
  <si>
    <t>300C19.0-NDA-1PJR</t>
  </si>
  <si>
    <t>Nada 300ml PET CL BT- Protein Juice Red</t>
  </si>
  <si>
    <t>300C19.0-NDA-1POJ2</t>
  </si>
  <si>
    <t>Nada 300ml PET CL BT-Pineaple Orange-17D</t>
  </si>
  <si>
    <t>300C19.0-NDA-1POJ3</t>
  </si>
  <si>
    <t>Nada 300ml PET CL BT-Pineaple Orange-18D</t>
  </si>
  <si>
    <t>300C19.0-NDA-1PPJ4</t>
  </si>
  <si>
    <t>Nada 300ml PET CL BT-PMgranate&amp;Grape-20D</t>
  </si>
  <si>
    <t>300C19.0-NDA-1PPM</t>
  </si>
  <si>
    <t>Nada 300ml PETCLBT-PistachioFLAV MLK-24D</t>
  </si>
  <si>
    <t>300C19.0-NDA-1PPM1</t>
  </si>
  <si>
    <t>Nada300ml PETCLBT-Pistach Flv Milk-24DV1</t>
  </si>
  <si>
    <t>300C19.0-NDA-1RBJ2</t>
  </si>
  <si>
    <t>Nada 300ml PET CL BT-Raspberry J-17D</t>
  </si>
  <si>
    <t>300C19.0-NDA-1RBJ3</t>
  </si>
  <si>
    <t>Nada 300ml PET CL BT-Raspberry Juice-18D</t>
  </si>
  <si>
    <t>300C19.0-NDA-1RBJ4</t>
  </si>
  <si>
    <t>Nada 300ml PET CL BT- Rasberry-21D</t>
  </si>
  <si>
    <t>300C19.0-NDA-1RBJ5</t>
  </si>
  <si>
    <t>Nada 300ml PET CL BT- Rasberry-22D</t>
  </si>
  <si>
    <t>300C19.0-NDA-1RBJ6</t>
  </si>
  <si>
    <t>Nada 300ml PET CL BT- Rasberry-22D V2</t>
  </si>
  <si>
    <t>300C19.0-NDA-1RBJ7</t>
  </si>
  <si>
    <t>Nada 300ml PET CL BT- Rasberry-22D V2-PP</t>
  </si>
  <si>
    <t>300C19.0-NDA-1RBJ8</t>
  </si>
  <si>
    <t>Nada 300ml PET CL BT- Rasberry-24D</t>
  </si>
  <si>
    <t>300C19.0-NDA-1SBJ2</t>
  </si>
  <si>
    <t>Nada 300ml PET CL BT-Strawberry J-17D</t>
  </si>
  <si>
    <t>300C19.0-NDA-1SBJ3</t>
  </si>
  <si>
    <t>Nada 300ml PET CL BT-Strawberry J-18D</t>
  </si>
  <si>
    <t>300C19.0-NDA-1SBJ4</t>
  </si>
  <si>
    <t>Nada 300ml PET CL BT- Strawberry -21D</t>
  </si>
  <si>
    <t>300C19.0-NDA-1SBJ5</t>
  </si>
  <si>
    <t>Nada 300ml PET CL BT- Strawberry -22D</t>
  </si>
  <si>
    <t>300C19.0-NDA-1SBJ6</t>
  </si>
  <si>
    <t>Nada 300ml PET CL BT- Strawberry -22D V2</t>
  </si>
  <si>
    <t>300C19.0-NDA-1SBJ7</t>
  </si>
  <si>
    <t>Nada 300ml PET CL BT-St'berry-22D V2-PP</t>
  </si>
  <si>
    <t>300C19.0-NDA-1SBJ8</t>
  </si>
  <si>
    <t>Nada 300ml PET CL BT-St'berry-24D</t>
  </si>
  <si>
    <t>300C19.0-NDA-1SBJN</t>
  </si>
  <si>
    <t>Nada 300ml PET CL BT-Strawberry Nectar</t>
  </si>
  <si>
    <t>300C19.0-NDA-1SMG</t>
  </si>
  <si>
    <t>Nada 300ml PET CL BT- Smoothie MF Green</t>
  </si>
  <si>
    <t>300C19.0-NDA-1SMR</t>
  </si>
  <si>
    <t>Nada 300ml PET CL BT- Smoothie MF Red</t>
  </si>
  <si>
    <t>300C19.0-NDA-1SMY</t>
  </si>
  <si>
    <t>Nada 300ml PET CL BT- Smoothie MF Yellow</t>
  </si>
  <si>
    <t>300C19.0-NDA-1SPJ4</t>
  </si>
  <si>
    <t>Nada 300ml PET CL BT-St'berry&amp;Grape-20D</t>
  </si>
  <si>
    <t>300C19.0-NDA-1SPR</t>
  </si>
  <si>
    <t>Nada 300ml PET CL BT-STBRY PRM Milk-24D</t>
  </si>
  <si>
    <t>300C19.0-NDA-1SPR1</t>
  </si>
  <si>
    <t>Nada300ml PET CL BT-STBRY PRM Milk-24DV1</t>
  </si>
  <si>
    <t>300C19.0-NDA-1TCJ2</t>
  </si>
  <si>
    <t>Nada 300ml PET CL BT-Tropical Cocktl-17D</t>
  </si>
  <si>
    <t>300C19.0-NDA-1TCJ3</t>
  </si>
  <si>
    <t>Nada 300ml PET CL BT-Tropical Cocktl-18D</t>
  </si>
  <si>
    <t>300C19.0-NDA-1TCJ4</t>
  </si>
  <si>
    <t>Nada 300ml PET CL BT-Tropical Cocktl-20D</t>
  </si>
  <si>
    <t>300C19.0-NDA-1TCJ5</t>
  </si>
  <si>
    <t>Nada 300ml PET CL BT-Tropical Cocktl-22D</t>
  </si>
  <si>
    <t>300C19.0-NDA-1TCJ6</t>
  </si>
  <si>
    <t>300C19.0-NDA-1TCJ7</t>
  </si>
  <si>
    <t>Nada 300ml PET CL-Tropical Cocktl-22D-PP</t>
  </si>
  <si>
    <t>300C19.0-NDA-1TCJ8</t>
  </si>
  <si>
    <t>Nada 300ml PET CL-Tropical Cocktl-24D</t>
  </si>
  <si>
    <t>300C19.0-NDA-1TCJ9</t>
  </si>
  <si>
    <t>Nada 300ml PET CL-Tropical Cocktl-24D V2</t>
  </si>
  <si>
    <t>300C19-NDA-1FGF2</t>
  </si>
  <si>
    <t>Nada 300ml PET CL BT-FL Grape Fruit-D17</t>
  </si>
  <si>
    <t>300C19-NDA-1FGF3</t>
  </si>
  <si>
    <t>Nada 300ml PET CL BT-FL Grape Fruit-20D</t>
  </si>
  <si>
    <t>300C19-NDA-1FLE2</t>
  </si>
  <si>
    <t>Nada 300ml PET CL BT-Flo.Lemonade N-Des2</t>
  </si>
  <si>
    <t>300C19-NDA-1FLE3</t>
  </si>
  <si>
    <t>Nada 300ml PET CL BT-FL Lemonade-20D</t>
  </si>
  <si>
    <t>300C19-NDA-1FOP2</t>
  </si>
  <si>
    <t>Nada 300ml PET CL BT- FL ORG P'apple-D17</t>
  </si>
  <si>
    <t>300C19-NDA-1FOP3</t>
  </si>
  <si>
    <t>Nada 300ml PET CL BT-FL ORG&amp;P'apple-20D</t>
  </si>
  <si>
    <t>300C19-NDA-1FOR2</t>
  </si>
  <si>
    <t>Nada 300ml PET CL BT-Florida Orange-D17</t>
  </si>
  <si>
    <t>300C19-NDA-1FOR3</t>
  </si>
  <si>
    <t>Nada 300ml PET CL BT-FL ORG Grower-20D</t>
  </si>
  <si>
    <t>300C19-NDA-1FOW2</t>
  </si>
  <si>
    <t>Nada 300ml PET CL BT-FL ORG W/O Plp-D17</t>
  </si>
  <si>
    <t>300C19-NDA-1FOW3</t>
  </si>
  <si>
    <t>Nada 300ml PET CL BT-FL ORG W/O Pulp-20D</t>
  </si>
  <si>
    <t>300X-1C19.0-RBI-P</t>
  </si>
  <si>
    <t>Rabie 300ml PET CLR Bottle PET38mm 19g</t>
  </si>
  <si>
    <t>300XC19.0-NDA-1FOP</t>
  </si>
  <si>
    <t>Nada 300ml PET Clear BTL-Orange P'apple</t>
  </si>
  <si>
    <t>300XC19.0-NDA-1FOW</t>
  </si>
  <si>
    <t>Nada 300ml PET Clear BTL-Orange W/O Pulp</t>
  </si>
  <si>
    <t>32.5PC2RD-CL-A</t>
  </si>
  <si>
    <t>32.5 PCO 1881 Rnd Clear J/C(W plt</t>
  </si>
  <si>
    <t>32.5PC2RD-CL-AH</t>
  </si>
  <si>
    <t>32.5 PCO 1881 Rnd Clear J/C(W plt HDG</t>
  </si>
  <si>
    <t>32.5PC2RD-CL-AH1</t>
  </si>
  <si>
    <t>32.5 PCO 1881 Rnd CLR J/C(W plt -HDGUBEV</t>
  </si>
  <si>
    <t>32.5PC2RD-CL-AH3</t>
  </si>
  <si>
    <t>32.5 PCO 1881 Rnd CLR J/C(W pt/Arrow HDG</t>
  </si>
  <si>
    <t>32.5PC2RD-CL-B</t>
  </si>
  <si>
    <t>32.5 PCO 1881 Rnd Clear J/C(P plt</t>
  </si>
  <si>
    <t>32.5PC2RD-CL-BC2-A</t>
  </si>
  <si>
    <t>32.5 PCO 1881 Rnd Clear BC112</t>
  </si>
  <si>
    <t>32.5PC2RD-CL-BC2-B</t>
  </si>
  <si>
    <t>32.5 PCO 1881 Rnd Clear BC112 RPP</t>
  </si>
  <si>
    <t>32.5PC2RD-CL-BH2</t>
  </si>
  <si>
    <t>32.5 PCO 1881 Rnd CLR J/C(P plt JOM HDG</t>
  </si>
  <si>
    <t>32.5PC2RD-CL-JA2-A</t>
  </si>
  <si>
    <t>32.5 PCO 1881 Rnd Clear JadCSD</t>
  </si>
  <si>
    <t>32.5PC2RD-CL-P</t>
  </si>
  <si>
    <t>32.5 PCO1881 Rnd Clear Plain OCJ/C(W plt</t>
  </si>
  <si>
    <t>32.5PC2RD-DG-A</t>
  </si>
  <si>
    <t>32.5 PCO 1881 Rnd Dut Green J/C(W plt</t>
  </si>
  <si>
    <t>32.5PC2RD-DG-B</t>
  </si>
  <si>
    <t>32.5 PCO 1881 Rnd Dut Green RPP</t>
  </si>
  <si>
    <t>32.5PC2RD-DG-JA2-B</t>
  </si>
  <si>
    <t>32.5 PCO 1881 Rnd Dut Green JadCSD RPP</t>
  </si>
  <si>
    <t>32.5PC2RD-IG-A</t>
  </si>
  <si>
    <t>32.5 PCO 1881 Rnd ICI Green J/C(W plt</t>
  </si>
  <si>
    <t>32.5PC2RD-IG-AH</t>
  </si>
  <si>
    <t>32.5 PCO 1881 Rnd ICI GreenJ/C(W plt HDG</t>
  </si>
  <si>
    <t>32.5PC2RD-IG-AH1</t>
  </si>
  <si>
    <t>32.5 PCO 1881 Rnd ICI Green(W pt HDGUBEV</t>
  </si>
  <si>
    <t>32.5PC2RD-IG-B</t>
  </si>
  <si>
    <t>32.5 PCO 1881 Rnd ICI Green J/C(P plt</t>
  </si>
  <si>
    <t>32.5PC2RD-IG-BH2</t>
  </si>
  <si>
    <t>32.5 PCO 1881 ICI Green J/C(P Pt JOM HDG</t>
  </si>
  <si>
    <t>32.5PC2RD-IG-JA2-A</t>
  </si>
  <si>
    <t>32.5 PCO 1881 Rnd ICI Green JadCSD</t>
  </si>
  <si>
    <t>32.5PC2RD-IG-JA2-B</t>
  </si>
  <si>
    <t>32.5 PCO 1881 Rnd ICI Green Jade CSD</t>
  </si>
  <si>
    <t>320C18.0-NDA-1APP</t>
  </si>
  <si>
    <t>Nada 320ml PET CLBT-Apple J.W/pulp -24D</t>
  </si>
  <si>
    <t>320C18.0-NDA-1APP1</t>
  </si>
  <si>
    <t>Nada 320ml PET CLBT-Apple J.W/pulp-24DV2</t>
  </si>
  <si>
    <t>320C18.0-NDA-1BAB</t>
  </si>
  <si>
    <t>Nada 320ml PET CL-BTROOT,APPL&amp;BLKcurrant</t>
  </si>
  <si>
    <t>320C18.0-NDA-1BAB2</t>
  </si>
  <si>
    <t>Nada320ml PET CL-BTROOT,APPL&amp;BLKCRNT-21D</t>
  </si>
  <si>
    <t>320C18.0-NDA-1BAB3</t>
  </si>
  <si>
    <t>Nada 320ml PET-BTROOT,APPL&amp;BLKcurrant-SM</t>
  </si>
  <si>
    <t>320C18.0-NDA-1BAB4</t>
  </si>
  <si>
    <t>Nada320mlPET-BTROOT,APPL&amp;BLKcurrantSM-PP</t>
  </si>
  <si>
    <t>320C18.0-NDA-1BAB5</t>
  </si>
  <si>
    <t>Nada320mlPET-BTROOT,APPL&amp;BLKcurrant-24D</t>
  </si>
  <si>
    <t>320C18.0-NDA-1BRP</t>
  </si>
  <si>
    <t>Nada 320ml PET CL BT - BTROOT&amp;Raspberry</t>
  </si>
  <si>
    <t>320C18.0-NDA-1BRP2</t>
  </si>
  <si>
    <t>Nada 320ml PET CL BT-BTROOT&amp; R'berry-21D</t>
  </si>
  <si>
    <t>320C18.0-NDA-1BRP3</t>
  </si>
  <si>
    <t>Nada 320ml PET CL BT-BTROOT&amp;R'spberry-SM</t>
  </si>
  <si>
    <t>320C18.0-NDA-1BRP4</t>
  </si>
  <si>
    <t>Nada 320ml PET CL-BTROOT&amp;R'spberry-SM-PP</t>
  </si>
  <si>
    <t>320C18.0-NDA-1BRP5</t>
  </si>
  <si>
    <t>Nada 320ml PET CL-BTROOT&amp;R'spberry-24D</t>
  </si>
  <si>
    <t>320C18.0-NDA-1PJG</t>
  </si>
  <si>
    <t>Nada 320ml PET CL BT - Protein Green</t>
  </si>
  <si>
    <t>320C18.0-NDA-1PJG2</t>
  </si>
  <si>
    <t>Nada 320ml PET CL BT - Protein Green-21D</t>
  </si>
  <si>
    <t>320C18.0-NDA-1PJO</t>
  </si>
  <si>
    <t>Nada 320ml PET CL BT - Protein Orange</t>
  </si>
  <si>
    <t>320C18.0-NDA-1PJO2</t>
  </si>
  <si>
    <t>Nada 320ml PET CL BT -Protein Orange-21D</t>
  </si>
  <si>
    <t>320C18.0-NDA-1PJR</t>
  </si>
  <si>
    <t>Nada 320ml PET CL BT - Protein Red</t>
  </si>
  <si>
    <t>320C18.0-NDA-1PJR2</t>
  </si>
  <si>
    <t>Nada 320ml PET CL BT - Protein Red-21D</t>
  </si>
  <si>
    <t>320C18.0-NDA-1SMG2</t>
  </si>
  <si>
    <t>Nada 320mlPET CL BT-SmoothieMF Green-20D</t>
  </si>
  <si>
    <t>320C18.0-NDA-1SMR2</t>
  </si>
  <si>
    <t>Nada 320ml PET CL BT-Smoothie MF Red-20D</t>
  </si>
  <si>
    <t>320C18.0-NDA-1SMY2</t>
  </si>
  <si>
    <t>Nada320mlPET CL BT-SmoothieMF Yellow-20D</t>
  </si>
  <si>
    <t>320C18.0-NDA-P</t>
  </si>
  <si>
    <t>Nada 320ml PET Clear Plain Bottles</t>
  </si>
  <si>
    <t>320C18-NDA-1FGF</t>
  </si>
  <si>
    <t xml:space="preserve"> Nada 320ml PET CL BT-FL Grape Fruit-21D</t>
  </si>
  <si>
    <t>320C18-NDA-1FLE</t>
  </si>
  <si>
    <t xml:space="preserve"> Nada 320ml PET CL BT-FL Lemonade-21D</t>
  </si>
  <si>
    <t>320C18-NDA-1FOP</t>
  </si>
  <si>
    <t xml:space="preserve"> Nada 320ml PET CL BT-FL ORG&amp;P'apple-21D</t>
  </si>
  <si>
    <t>320C18-NDA-1FOR</t>
  </si>
  <si>
    <t xml:space="preserve"> Nada 320ml PET CL BT-FL ORG Grower-21D</t>
  </si>
  <si>
    <t>320C18-NDA-1FOW</t>
  </si>
  <si>
    <t xml:space="preserve"> Nada 320ml PET CL BT-FL ORG W/O Pulp-21</t>
  </si>
  <si>
    <t>320C19.0-NDA-WAD</t>
  </si>
  <si>
    <t>Nada 320ml PET CL BT W/Additive.</t>
  </si>
  <si>
    <t>33.0TO1RD-CB-A</t>
  </si>
  <si>
    <t>33.0 30/25 Rnd Blue  J/C(W plt</t>
  </si>
  <si>
    <t>33.0TO1RD-CB-JA1-A</t>
  </si>
  <si>
    <t>33.0 TO 30/25 Rnd Blue Jade302</t>
  </si>
  <si>
    <t>33.0TO1RD-CL-A</t>
  </si>
  <si>
    <t>33.0 30/25 Rnd Clear J/C(W Plt</t>
  </si>
  <si>
    <t>33.0TO1RD-CL-BC1-A</t>
  </si>
  <si>
    <t>33.0 TO 30/25 Rnd Clear BC111</t>
  </si>
  <si>
    <t>33.0TO1RD-CL-JA1-A</t>
  </si>
  <si>
    <t>33.0 TO 30/25 Rnd Clear Jade W</t>
  </si>
  <si>
    <t>33.0TO1RD-CL-Z</t>
  </si>
  <si>
    <t>33.0 TO 30/25 Rnd Clear EXP/C(W plt</t>
  </si>
  <si>
    <t>33.0TO1RD-DB-Z</t>
  </si>
  <si>
    <t>33.0 TO 30/25 Rnd dark blue EXP/C(W plt</t>
  </si>
  <si>
    <t>33.0TO1RD-GB-JA1-A</t>
  </si>
  <si>
    <t>33.0 TO 30/25 Rnd GNRL Blue Jade W</t>
  </si>
  <si>
    <t>33.0TO1RD-LB-A</t>
  </si>
  <si>
    <t>33.0 30/25 Rnd Light Blue J/C(W Plt</t>
  </si>
  <si>
    <t>34.0BC1EC-CL-A</t>
  </si>
  <si>
    <t>34.0 BC 38mm 3 ECO Clear J/C(W plt</t>
  </si>
  <si>
    <t>34.0BC1EC-CL-BC2-A</t>
  </si>
  <si>
    <t>34.0 BC38mm 3 ECO Clear BC112</t>
  </si>
  <si>
    <t>34.0BC1EC-CL-G</t>
  </si>
  <si>
    <t>34.0 BC38mm 3 ECO Clear OJ/C(p plt</t>
  </si>
  <si>
    <t>34.0BC1EC-CL-JA2-A</t>
  </si>
  <si>
    <t>34.0 BC38mm 3 ECO Clear JadCSD</t>
  </si>
  <si>
    <t>34.0BC1EC-CL-P</t>
  </si>
  <si>
    <t>34.0 BC38mm 3ECO Clear Plain OCJ/C(W plt</t>
  </si>
  <si>
    <t>34.0BC1EC-CL-S</t>
  </si>
  <si>
    <t>34.0 BC38mm 3 ECO Clear steel C.</t>
  </si>
  <si>
    <t>34.0BC1EC-NC-G</t>
  </si>
  <si>
    <t>Nada 34.0 BC38mm 3 ECO Clear OJ/C(p plt</t>
  </si>
  <si>
    <t>34.0BC1EC-NC-S</t>
  </si>
  <si>
    <t>Nada 34.0 BC38mm 3 ECO Clear steel C</t>
  </si>
  <si>
    <t>34.0BC1EC-W1-S</t>
  </si>
  <si>
    <t>34.0 BC38mm 3 ECO White Steel C.</t>
  </si>
  <si>
    <t>34.5BC1RD-CL-A</t>
  </si>
  <si>
    <t>34.5 BC38mm 3 Rnd Clear J/C(W Plt</t>
  </si>
  <si>
    <t>340C19.0-NDA-1CLM2</t>
  </si>
  <si>
    <t>Nada 340ml PET C BT-Coffee Latte Mlk-17D</t>
  </si>
  <si>
    <t>340C19.0-NDA-1COM2</t>
  </si>
  <si>
    <t>Nada 340ml PET C BT-Cappuccino Mlk-17D</t>
  </si>
  <si>
    <t>340C19-NDA-1ICECLT</t>
  </si>
  <si>
    <t>Nada 340ml PET Clr BT-Ice Coffee Latte</t>
  </si>
  <si>
    <t>340C19-NDA-1ICECNO</t>
  </si>
  <si>
    <t>Nada 340ml PET Clr BT-Ice Coffe Capucino</t>
  </si>
  <si>
    <t>36.0BC1RD-CJ-A</t>
  </si>
  <si>
    <t>36.0 BC38mm 3Rnd Clear J/C(W Plt-(AUJAN)</t>
  </si>
  <si>
    <t>36.0BC1RD-CJ-SH</t>
  </si>
  <si>
    <t>36.0 BC 38mm 3 Rnd Clear Steel C. HDG</t>
  </si>
  <si>
    <t>36.0BC1RD-CL-S</t>
  </si>
  <si>
    <t>36.0 BC38mm 3 Rnd Clear W Steel c.</t>
  </si>
  <si>
    <t>36.0BC1RD-IRQ-CL-A</t>
  </si>
  <si>
    <t>36.0 BC38mm 3Start Rd CLR IRAQ J/C(W Plt</t>
  </si>
  <si>
    <t>36.0BC1RD-IRQ-W1-A</t>
  </si>
  <si>
    <t>36.0 BC38mm 3Start Rd WHT IRAQ J/C(W Plt</t>
  </si>
  <si>
    <t>36.0BC1RD-W1-A</t>
  </si>
  <si>
    <t>36.0 BC38mm 3 Rnd White J/C(W Plt</t>
  </si>
  <si>
    <t>36.0BC1RD-W1-S</t>
  </si>
  <si>
    <t>36.0 BC38mm 3 Rnd White W Steel c.</t>
  </si>
  <si>
    <t>36.5PC1RD-B4-A</t>
  </si>
  <si>
    <t>36.5 PCO 1810 Rnd Arwa Blue J/C(W Plt</t>
  </si>
  <si>
    <t>36.5PC1RD-CL-A</t>
  </si>
  <si>
    <t>36.5 PCO 1810 Rnd Clear J/C(W plt</t>
  </si>
  <si>
    <t>36.5PC1RD-CL-AH</t>
  </si>
  <si>
    <t>36.5 PCO 1810 Rnd Clear J/C(W plt  HDG</t>
  </si>
  <si>
    <t>36.5PC1RD-CL-BC2-A</t>
  </si>
  <si>
    <t>36.5 PCO 1810 Rnd Clear BC112</t>
  </si>
  <si>
    <t>36.5PC1RD-CL-P</t>
  </si>
  <si>
    <t>36.5 PCO1810 Rnd Clear Plain OCJ/C(W plt</t>
  </si>
  <si>
    <t>36.5PC1RD-IG-A</t>
  </si>
  <si>
    <t>36.5 PCO 1810 Rnd ICI Green J/C(W plt</t>
  </si>
  <si>
    <t>36.5PC1RD-IG-AH</t>
  </si>
  <si>
    <t>36.5 PCO 1810 Rnd ICI GreenJ/C(W plt HDG</t>
  </si>
  <si>
    <t>36.5PC1RD-IG-BC2-A</t>
  </si>
  <si>
    <t>36.5 PCO 1810 Rnd ICI Green BC112</t>
  </si>
  <si>
    <t>36.5PC1RD-W1-A</t>
  </si>
  <si>
    <t>36.5 PCO 1810 Rnd White J/C(W plt</t>
  </si>
  <si>
    <t>36.5PC1RD-W1-P</t>
  </si>
  <si>
    <t>36.5 PCO1810 Rnd White Plain OCJ/C(W plt</t>
  </si>
  <si>
    <t>360-1C19.0-NDA-P</t>
  </si>
  <si>
    <t>Nada 360 ml PET Clear Plain Bottles</t>
  </si>
  <si>
    <t>360-1W19.0-NDA-P</t>
  </si>
  <si>
    <t>Nada 360ml White PET Bottle 19.0g</t>
  </si>
  <si>
    <t>360C19.0-NDA-1CCM</t>
  </si>
  <si>
    <t>Nada 360ml PET CL-Cotton Candy FLVRD MLK</t>
  </si>
  <si>
    <t>360C19.0-NDA-1CCM2</t>
  </si>
  <si>
    <t>Nada360mlPET CL-Coton Candy FLVD MLK-23D</t>
  </si>
  <si>
    <t>360C19.0-NDA-1CPM3</t>
  </si>
  <si>
    <t>Nada 360ml PET CL BT-Choco PRM MLK-21D</t>
  </si>
  <si>
    <t>360C19.0-NDA-1CPM4</t>
  </si>
  <si>
    <t>Nada 360ml PET CLBT-Choco PRM MLK-22D</t>
  </si>
  <si>
    <t>360C19.0-NDA-1CPM5</t>
  </si>
  <si>
    <t>Nada 360ml PET CL BT-Choco PRM MLK-SM</t>
  </si>
  <si>
    <t>360C19.0-NDA-1CPM6</t>
  </si>
  <si>
    <t>Nada 360ml PET CL BT-Choco PRM MLK-23D</t>
  </si>
  <si>
    <t>360C19.0-NDA-1CPM7</t>
  </si>
  <si>
    <t>Nada360ml PET CL BT-Choco PRM MLK-23D V2</t>
  </si>
  <si>
    <t>360C19.0-NDA-1CPM8</t>
  </si>
  <si>
    <t>Nada360mlPET CLBT-Choco PRM MLK-23DV2-PP</t>
  </si>
  <si>
    <t>360C19.0-NDA-1CPM9</t>
  </si>
  <si>
    <t>Nada360ml PET CL BT-Choco PRM MLK(VP)-PP</t>
  </si>
  <si>
    <t>360C19.0-NDA-1CPP2</t>
  </si>
  <si>
    <t>Nada 360ml PET CL BT-Choc P MLK 2SR-21D</t>
  </si>
  <si>
    <t>360C19.0-NDA-1FFM3</t>
  </si>
  <si>
    <t>Nada 360ml PET CL BT-Full Fat Milk-21D</t>
  </si>
  <si>
    <t>360C19.0-NDA-1FFM4</t>
  </si>
  <si>
    <t>Nada 360ml PET CL BT-Full Fat Milk-SM</t>
  </si>
  <si>
    <t>360C19.0-NDA-1FFM5</t>
  </si>
  <si>
    <t>Nada 360ml PET CL BT-F. Fat Milk (SM)-PP</t>
  </si>
  <si>
    <t>360C19.0-NDA-1FFM6</t>
  </si>
  <si>
    <t>Nada 360ml PET CL BT-Full Fat Milk-24D</t>
  </si>
  <si>
    <t>360C19.0-NDA-1GPM3</t>
  </si>
  <si>
    <t>Nada 360ml PET CL BT- Guava PRM MLK-21D</t>
  </si>
  <si>
    <t>360C19.0-NDA-1GPM4</t>
  </si>
  <si>
    <t>Nada 360ml PET CLBT-Guava PRM MLK-22D</t>
  </si>
  <si>
    <t>360C19.0-NDA-1GPM6</t>
  </si>
  <si>
    <t>Nada 360ml PET CL BT- Guava PRM MLK-SM</t>
  </si>
  <si>
    <t>360C19.0-NDA-1GPM7</t>
  </si>
  <si>
    <t>Nada 360ml PET CL BT- Guava PRM MLK-23D</t>
  </si>
  <si>
    <t>360C19.0-NDA-1GPM8</t>
  </si>
  <si>
    <t>Nada360ml PET CL BT-Guava PRM MLK-23D V2</t>
  </si>
  <si>
    <t>360C19.0-NDA-1GPM9</t>
  </si>
  <si>
    <t>Nada360mlPET CLBT-Guava PRM MLK-23DV2-PP</t>
  </si>
  <si>
    <t>360C19.0-NDA-1GPMP</t>
  </si>
  <si>
    <t>Nada360ml PET CL BT-Guava PRM MLK(VP)-PP</t>
  </si>
  <si>
    <t>360C19.0-NDA-1GPP2</t>
  </si>
  <si>
    <t>Nada 360ml PET CL BT-Guava P MLK 2SR-21D</t>
  </si>
  <si>
    <t>360C19.0-NDA-1MPM3</t>
  </si>
  <si>
    <t>Nada 360ml PET CL BT- Mango PRM MLK-21D</t>
  </si>
  <si>
    <t>360C19.0-NDA-1MPM4</t>
  </si>
  <si>
    <t>Nada 360ml PET CLBT-Mango PRM MLK-22D</t>
  </si>
  <si>
    <t>360C19.0-NDA-1MPM5</t>
  </si>
  <si>
    <t>Nada 360ml PET CL BT- Mango PRM MLK-SM</t>
  </si>
  <si>
    <t>360C19.0-NDA-1MPM6</t>
  </si>
  <si>
    <t>Nada 360ml PET CL BT- Mango PRM MLK-23D</t>
  </si>
  <si>
    <t>360C19.0-NDA-1MPM7</t>
  </si>
  <si>
    <t>Nada360ml PET CL BT-Mango PRM MLK-23D V2</t>
  </si>
  <si>
    <t>360C19.0-NDA-1MPM8</t>
  </si>
  <si>
    <t>Nada360mlPET CLBT-Mango PRM MLK-23DV2-PP</t>
  </si>
  <si>
    <t>360C19.0-NDA-1MPM9</t>
  </si>
  <si>
    <t>Nada360ml PET CL BT-Mango PRM MLK(VP)-PP</t>
  </si>
  <si>
    <t>360C19.0-NDA-1MPP2</t>
  </si>
  <si>
    <t>Nada 360ml PET CL BT-Mango P MLK 2SR-21D</t>
  </si>
  <si>
    <t>360C19.0-NDA-1PPM</t>
  </si>
  <si>
    <t>Nada360mlPETCLBT-PistachioFLAV MLK23D-VP</t>
  </si>
  <si>
    <t>360C19.0-NDA-1SPM3</t>
  </si>
  <si>
    <t>Nada 360ml PET CL BT-STBRY PRM MLK-21D</t>
  </si>
  <si>
    <t>360C19.0-NDA-1SPM4</t>
  </si>
  <si>
    <t>Nada 360ml PET CLBT-STBRY PRM MLK-22D</t>
  </si>
  <si>
    <t>360C19.0-NDA-1SPM5</t>
  </si>
  <si>
    <t>Nada 360ml PET CL BT-STBRY PRM MLK-SM</t>
  </si>
  <si>
    <t>360C19.0-NDA-1SPM6</t>
  </si>
  <si>
    <t>Nada 360ml PET CL BT-STBRY PRM MLK-23D</t>
  </si>
  <si>
    <t>360C19.0-NDA-1SPM7</t>
  </si>
  <si>
    <t>Nada360ml PET CL BT-STBRY PRM MLK-23D V2</t>
  </si>
  <si>
    <t>360C19.0-NDA-1SPM8</t>
  </si>
  <si>
    <t>Nada360mlPET CLBT-STBRY PRM MLK-23DV2-PP</t>
  </si>
  <si>
    <t>360C19.0-NDA-1SPM9</t>
  </si>
  <si>
    <t>Nada360ml PET CL BT-STBRY PRM MLK(VP)-PP</t>
  </si>
  <si>
    <t>360C19.0-NDA-1SPP2</t>
  </si>
  <si>
    <t>Nada 360ml PET CL BT-STBRY P MLK 2SR-21D</t>
  </si>
  <si>
    <t>360C19-NDA-1CPM2</t>
  </si>
  <si>
    <t>Nada 360ml PET CL BT-Choco P.MLK-2.1SR</t>
  </si>
  <si>
    <t>360C19-NDA-1CPM2SR</t>
  </si>
  <si>
    <t>Nada 360ml PET Clr BT-Choc Premium 2 SR</t>
  </si>
  <si>
    <t>360C19-NDA-1GPM2</t>
  </si>
  <si>
    <t>Nada 360ml PET CL BT-Guava P.MLK-2.1SR</t>
  </si>
  <si>
    <t>360C19-NDA-1GPM2SR</t>
  </si>
  <si>
    <t>Nada 360ml PET Clr BT-Guava Premium 2 SR</t>
  </si>
  <si>
    <t>360C19-NDA-1MPM2</t>
  </si>
  <si>
    <t>Nada 360ml PET CL BT-Mango P.MLK-2.1SR</t>
  </si>
  <si>
    <t>360C19-NDA-1MPM2SR</t>
  </si>
  <si>
    <t>Nada 360ml PET Clr BT-Mango Premium 2 SR</t>
  </si>
  <si>
    <t>360C19-NDA-1PAM2SR</t>
  </si>
  <si>
    <t>Nada 360ml PET Clr BT-Pineapple Prem 2SR</t>
  </si>
  <si>
    <t>360C19-NDA-1PAPM</t>
  </si>
  <si>
    <t>Nada 360ml PET Clr BT-Pineapple Premium</t>
  </si>
  <si>
    <t>360C19-NDA-1PPM2</t>
  </si>
  <si>
    <t>Nada 360ml PET CL BT-P'pple P.MLK-2.1SR</t>
  </si>
  <si>
    <t>360C19-NDA-1SPM2</t>
  </si>
  <si>
    <t>Nada 360ml PET CL BT-S'Berry P.MLK-2.1SR</t>
  </si>
  <si>
    <t>360C19-NDA-1SPM2SR</t>
  </si>
  <si>
    <t>Nada 360ml PET Clr BT-S'Berry Prem 2 SR</t>
  </si>
  <si>
    <t>360XC19.0-NDA-1CPM</t>
  </si>
  <si>
    <t>Nada 360ml PET Clr BTL-Choco Premium M</t>
  </si>
  <si>
    <t>360XC19.0-NDA-1FFM</t>
  </si>
  <si>
    <t>Nada 360ml PET Clear BTL-Full Fat Milk</t>
  </si>
  <si>
    <t>360XC19.0-NDA-1GPM</t>
  </si>
  <si>
    <t>Nada 360ml PET Clr BTL- Guava Premium M</t>
  </si>
  <si>
    <t>360XC19.0-NDA-1MPM</t>
  </si>
  <si>
    <t>Nada 360ml PET Clr BTL- Mango Premium M</t>
  </si>
  <si>
    <t>360XC19.0-NDA-1SPM</t>
  </si>
  <si>
    <t>Nada 360ml PET Clr BTL-S'Berry Premium M</t>
  </si>
  <si>
    <t>38.0BC1RD-CL-A</t>
  </si>
  <si>
    <t>38.0BC1RD-CL-JA1-A</t>
  </si>
  <si>
    <t>38.0 BC38mm 3 Rnd Clear Jade W</t>
  </si>
  <si>
    <t>38.0BC1RL-CL-S</t>
  </si>
  <si>
    <t>38.0 BC38mm Rd Long122.5mm Clear Steel C</t>
  </si>
  <si>
    <t>38.0BC1RL-CL-Z</t>
  </si>
  <si>
    <t>38.0BC38mm Rd Long122.5mm CLR EXP/C(W Pt</t>
  </si>
  <si>
    <t>38.0BC1RL-LB-Z</t>
  </si>
  <si>
    <t>38.0BC38mmRd Long122.5mm L.Blue EXP/C-WP</t>
  </si>
  <si>
    <t>38.0BC1RS-CL-M</t>
  </si>
  <si>
    <t>38 BC 38mm short 112.7mm CLR OCJ/C(W plt</t>
  </si>
  <si>
    <t>38.0BC1RS-CL-S</t>
  </si>
  <si>
    <t>38.0 BC38mm short 112.7mm Clear Steel.c</t>
  </si>
  <si>
    <t>38.0BC1RS-LB-A</t>
  </si>
  <si>
    <t>38.0 BC 38mm short 112.7mm L.BlueJ/C(Wpt</t>
  </si>
  <si>
    <t>38.0BC1RS-W1-A</t>
  </si>
  <si>
    <t>38.0 BC 38mm short 112.7mm White J/C(Wpt</t>
  </si>
  <si>
    <t>38.4TO1RD-CL-A</t>
  </si>
  <si>
    <t>38.4 30/25 Rnd Clear J/C(W Plt</t>
  </si>
  <si>
    <t>38.4TO1RD-CL-M</t>
  </si>
  <si>
    <t>38.4 30/25 Rnd Clear OCJ/C(W plt</t>
  </si>
  <si>
    <t>38.4TO1RD-CL-Z</t>
  </si>
  <si>
    <t>38.4 30/25 Rnd Clear EXP/C ( W Plt</t>
  </si>
  <si>
    <t>38.4TO1RD-LB-A</t>
  </si>
  <si>
    <t>38.4 30/25 Rnd Light Blue J/C(W Plt</t>
  </si>
  <si>
    <t>38.4TO1RD-LB-Z</t>
  </si>
  <si>
    <t>38.4 30/25 Rnd L.Blue EXP/C ( W Plt</t>
  </si>
  <si>
    <t>39.5PC1RD-CL-A</t>
  </si>
  <si>
    <t>39.5 PCO 1810 Rnd Clear J/C(W plt</t>
  </si>
  <si>
    <t>39.5PC1RD-CL-AH</t>
  </si>
  <si>
    <t>39.5 PCO 1810 Rnd Clear J/C(W plt HDG</t>
  </si>
  <si>
    <t>39.5PC1RD-CL-BC2-A</t>
  </si>
  <si>
    <t>39.5 PCO 1810 Rnd Clear BC112</t>
  </si>
  <si>
    <t>39.5PC1RD-CL-JA2-A</t>
  </si>
  <si>
    <t>39.5 PCO 1810 Rnd Clear JadCSD</t>
  </si>
  <si>
    <t>39.5PC1RD-CL-P</t>
  </si>
  <si>
    <t>39.5 PCO1810 Rnd Clear Plain OCJ/C(W plt</t>
  </si>
  <si>
    <t>39.5PC1RD-IG-A</t>
  </si>
  <si>
    <t>39.5 PCO 1810 Rnd ICI Green J/C(W plt</t>
  </si>
  <si>
    <t>39.5PC1RD-IG-AH</t>
  </si>
  <si>
    <t>39.5 PCO 1810 Rnd ICI GreenJ/C(W plt HDG</t>
  </si>
  <si>
    <t>39.5PC1RD-IG-JA2-A</t>
  </si>
  <si>
    <t>39.5 PCO 1810 Rnd ICI Green JadCSD</t>
  </si>
  <si>
    <t>39.5PC1RD-W1-A</t>
  </si>
  <si>
    <t>39.5 PCO 1810 Rnd White J/C(W plt</t>
  </si>
  <si>
    <t>44.0GV1RD-CL-A</t>
  </si>
  <si>
    <t>44.0 GV34.2mm Rnd Clear J/C(W plt</t>
  </si>
  <si>
    <t>45.0PC2RD-CL-AH5</t>
  </si>
  <si>
    <t>45.0 PCO 1881 Rnd CLR ORC J/C(W plt HDG5</t>
  </si>
  <si>
    <t>45.0PC2RD-CL-BH2</t>
  </si>
  <si>
    <t>45.0 PCO 1881Rd Clear J/C(P Pt JOM</t>
  </si>
  <si>
    <t>45.0PC2RD-CL-Z</t>
  </si>
  <si>
    <t>45.0 PCO 1881Rd Clear EXP/C(W plt</t>
  </si>
  <si>
    <t>45.0 PCO 1881 Rnd ICI Green J/C(W plt </t>
  </si>
  <si>
    <t>45.0PC2RD-IG-AH</t>
  </si>
  <si>
    <t>45.0 PCO 1881 Rnd ICI Green J/C(W plt HD</t>
  </si>
  <si>
    <t>45.0PC2RD-IG-AH5</t>
  </si>
  <si>
    <t>45.0 PCO 1881 Rnd ICI Green ORC Wpt HDG5</t>
  </si>
  <si>
    <t>45.0PC2RD-IG-BH2</t>
  </si>
  <si>
    <t>45.0 PCO 1881 ICI Green J/C(P Pt JOM</t>
  </si>
  <si>
    <t>45.0PC2RD-IG-Z</t>
  </si>
  <si>
    <t>45.0 PCO 1881 ICI Green EXP/C(W plt</t>
  </si>
  <si>
    <t>45PC2RD-CL-AH</t>
  </si>
  <si>
    <t>45 PCO 1881 Rnd Clear J/C(W plt HDG</t>
  </si>
  <si>
    <t>46.5BC1RD-CL-S</t>
  </si>
  <si>
    <t>46.5 BC 38mm 3 Rnd Clear steel c</t>
  </si>
  <si>
    <t>46.5PC2RD-CL-S</t>
  </si>
  <si>
    <t>46.5 PCO 1881 Rnd Clear Steel C</t>
  </si>
  <si>
    <t>47.5PC2RD-CL-A</t>
  </si>
  <si>
    <t>47.5 PCO 1881 Rnd Clear J/C(W Plt</t>
  </si>
  <si>
    <t>47.5PC2RD-CL-B</t>
  </si>
  <si>
    <t>47.5 PCO 1881 Rnd Clear J/C(P Plt</t>
  </si>
  <si>
    <t>47.5PC2RD-IG-A</t>
  </si>
  <si>
    <t>47.5 PCO 1881 Rnd ICI Green J/C(W Plt</t>
  </si>
  <si>
    <t>475-1C34.0-CGW-P</t>
  </si>
  <si>
    <t>Cleanse &amp; Glow 475ml PET Clear Bottle</t>
  </si>
  <si>
    <t>48.0BC1RD-CL-G</t>
  </si>
  <si>
    <t>48.0 BC 38mm 3 Rnd Clear OJ/C(W plt</t>
  </si>
  <si>
    <t>48.0BC1RD-CL-S</t>
  </si>
  <si>
    <t>48.0 BC 38mm 3 Rnd Clear W steel c</t>
  </si>
  <si>
    <t>49.5BC1RD-CL-G</t>
  </si>
  <si>
    <t>49.5 BC 38mm 3 Rnd Clear OJ/C(W plt</t>
  </si>
  <si>
    <t>50.0PC2RD-CL-A</t>
  </si>
  <si>
    <t>50.0 PCO 1881 Rnd Clear J/C(W plt</t>
  </si>
  <si>
    <t>50.0PC2RD-CL-V</t>
  </si>
  <si>
    <t>50.0 PCO 1881 Rnd Clear MenaBev Spec</t>
  </si>
  <si>
    <t>50.0PC2RD-CL-VH</t>
  </si>
  <si>
    <t>50.0 PCO 1881 Rnd ClearR MenaBev PP HDG</t>
  </si>
  <si>
    <t>50.0PC2RD-G1-B</t>
  </si>
  <si>
    <t>50.0 PCO 1881 Rnd Green J/C(P Plt</t>
  </si>
  <si>
    <t>50.0PC2RD-IG-V</t>
  </si>
  <si>
    <t>50.0 PCO 1881 Rnd ICI Green MenaBev Spec</t>
  </si>
  <si>
    <t>50.0PC2RD-IG-VH</t>
  </si>
  <si>
    <t>50.0 PCO 1881 Rd ICI Green MenaBevPP HDG</t>
  </si>
  <si>
    <t>50.1PC2RD-CL-AH1</t>
  </si>
  <si>
    <t>50.1 PCO 1881 Rnd CLR J/C(W Plt HDGUBEV</t>
  </si>
  <si>
    <t>50.1PC2RD-CL-AH5</t>
  </si>
  <si>
    <t>50.1 PCO 1881 Rnd CLR ORC J/C(W plt HDG5</t>
  </si>
  <si>
    <t>50.1PC2RD-CL-BH1</t>
  </si>
  <si>
    <t>50.1 PCO 1881 CLR J/C(P Plt AQS HDG</t>
  </si>
  <si>
    <t>50.1PC2RD-CL-BH2</t>
  </si>
  <si>
    <t>50.1 PCO 1881Rd Clear J/C(P Pt JOM HDG</t>
  </si>
  <si>
    <t>50.1PC2RD-CL-JA2-A</t>
  </si>
  <si>
    <t>50.1 PCO 1881 Rnd Clear JadCSD</t>
  </si>
  <si>
    <t>50.1PC2RD-CL-JA2-B</t>
  </si>
  <si>
    <t>50.1 PCO 1881 Rnd Clear JadCSD RPP</t>
  </si>
  <si>
    <t>50.1PC2RD-CL-V</t>
  </si>
  <si>
    <t>50.1 PCO 1881 Rnd Clear MenaBev Spec</t>
  </si>
  <si>
    <t>50.1PC2RD-IC-JA2-A</t>
  </si>
  <si>
    <t>50.1 PCO 1881 Rnd ICI Clear JadCSD</t>
  </si>
  <si>
    <t>50.1PC2RD-IG-AH1</t>
  </si>
  <si>
    <t>50.1 PCO 1881 Rnd ICI Green(W pt HDGUBEV</t>
  </si>
  <si>
    <t>50.1PC2RD-IG-AH5</t>
  </si>
  <si>
    <t>50.1 PCO 1881 Rnd ICI Green ORC Wpt HDG5</t>
  </si>
  <si>
    <t>50.1PC2RD-IG-BC2-A</t>
  </si>
  <si>
    <t>50.1 PCO 1881 Rnd ICI Green BC112</t>
  </si>
  <si>
    <t>50.1PC2RD-IG-BC2-B</t>
  </si>
  <si>
    <t>50.1 PCO 1881 Rnd ICI Green BC112 RPP</t>
  </si>
  <si>
    <t>50.1PC2RD-IG-BH1</t>
  </si>
  <si>
    <t>50.1 PCO 1881 ICI GreenJ/C(P Plt AQS HDG</t>
  </si>
  <si>
    <t>50.1PC2RD-IG-BH2</t>
  </si>
  <si>
    <t>50.1 PCO 1881 ICI Green J/C(P Pt JOM HDG</t>
  </si>
  <si>
    <t>50.1PC2RD-IG-JA2-A</t>
  </si>
  <si>
    <t>50.1 PCO 1881 Rnd ICI Green JadCSD</t>
  </si>
  <si>
    <t>50.1PC2RD-IG-JA2-B</t>
  </si>
  <si>
    <t>50.1 PCO 1881 Rnd ICI Green JadCSD RPP</t>
  </si>
  <si>
    <t>50.1PC2RD-IG-V</t>
  </si>
  <si>
    <t>50.1 PCO 1881 Rnd ICI Green MenaBev Spec</t>
  </si>
  <si>
    <t>50.1PC2RD-W1-A</t>
  </si>
  <si>
    <t>50.1 PCO 1881 Rnd White J/C(W plt</t>
  </si>
  <si>
    <t>500-1C28.0-TAI-P</t>
  </si>
  <si>
    <t>500ml Clear PET Bottle 28.0g</t>
  </si>
  <si>
    <t>51.0BC1RD-CL-A</t>
  </si>
  <si>
    <t>51.0 BC38mm 3 Rnd Clear J/C(W plt</t>
  </si>
  <si>
    <t>51.0BC1RD-CL-BC2-A</t>
  </si>
  <si>
    <t>51.0 BC38mm 3 Rnd Clear BC112</t>
  </si>
  <si>
    <t>51.0BC1RD-CL-G</t>
  </si>
  <si>
    <t>51.0 BC38mm 3 Rnd Clear OJ/C(p plt</t>
  </si>
  <si>
    <t>51.0BC1RD-CL-JA2-A</t>
  </si>
  <si>
    <t>51.0 BC38mm 3 Rnd Clear JadCSD</t>
  </si>
  <si>
    <t>51.0BC1RD-CL-P</t>
  </si>
  <si>
    <t>51.0 BC38mm 3Rnd Clear Plain OCJ/C(W plt</t>
  </si>
  <si>
    <t>51.0BC1RD-CL-Z</t>
  </si>
  <si>
    <t>51.0 BC 38mm 3 Rnd Clear EXP/C(W Plt</t>
  </si>
  <si>
    <t>51.0BC1RD-LB-S</t>
  </si>
  <si>
    <t>51.0 BC 38mm 3 Rnd Light Blue steel C</t>
  </si>
  <si>
    <t>51.0BC1RD-NC-G</t>
  </si>
  <si>
    <t>Nada 51.0 BC38mm 3 Rnd Clear OJ/C(p plt</t>
  </si>
  <si>
    <t>51.0BC1RD-NC-S</t>
  </si>
  <si>
    <t>Nada 51.0 BC 38mm 3 Rnd Clear steel C</t>
  </si>
  <si>
    <t>52.0BC1RD-CL-A</t>
  </si>
  <si>
    <t>52.0 BC38mm 3 Rnd Clear J/C(W plt</t>
  </si>
  <si>
    <t>52.0BC1RD-CL-S</t>
  </si>
  <si>
    <t>52.0 BC 38mm 3 Rnd Clear W steel c</t>
  </si>
  <si>
    <t>52.0BC1RD-CL-Z</t>
  </si>
  <si>
    <t>52.0 BC38mm 3 Rnd Clear EXP/C(W Plt</t>
  </si>
  <si>
    <t>52.0BC1RD-DB-Z</t>
  </si>
  <si>
    <t>52.0 BC38mm 3 Rnd Dark Blue EXP/C(W Plt</t>
  </si>
  <si>
    <t>52.0BC1RD-LB-A</t>
  </si>
  <si>
    <t>52.0 BC 38mm 3 Rnd Light Blue J/C(W plt</t>
  </si>
  <si>
    <t>52.0BC1RD-RB-A</t>
  </si>
  <si>
    <t>52.0BC38mm 3Rnd REST WATER BLUE J/C(W pt</t>
  </si>
  <si>
    <t>52.0BC1RD-RB-Z</t>
  </si>
  <si>
    <t>52.0BC38mm3Rd REST WATER BLUE EXP/C(W Pt</t>
  </si>
  <si>
    <t>52.0BC1RD-W1-A</t>
  </si>
  <si>
    <t>52.0 BC38mm 3 Rnd White J/C(W plt</t>
  </si>
  <si>
    <t>53.5PC1RD-CL-A</t>
  </si>
  <si>
    <t>53.5 PCO 1810 Rnd Clear J/C(W plt</t>
  </si>
  <si>
    <t>54.3PC1RD-CL-A</t>
  </si>
  <si>
    <t>54.3 PCO 1810 Rnd Clear J/C(W plt</t>
  </si>
  <si>
    <t>54.3PC1RD-CL-AH</t>
  </si>
  <si>
    <t>54.3 PCO 1810 Rnd Clear J/C(W plt HDG</t>
  </si>
  <si>
    <t>54.3PC1RD-CL-JA2-A</t>
  </si>
  <si>
    <t>54.3 PCO 1810 Rnd Clear JadCSD</t>
  </si>
  <si>
    <t>54.3PC1RD-CL-P</t>
  </si>
  <si>
    <t>54.3 PCO1810 Rnd Clear Plain OCJ/C(W plt</t>
  </si>
  <si>
    <t>54.3PC1RD-DB-A</t>
  </si>
  <si>
    <t>54.3 PCO 1810 Rnd D.Blue J/C(W plt</t>
  </si>
  <si>
    <t>54.3PC1RD-DB-M</t>
  </si>
  <si>
    <t>54.3 PCO 1810 Rnd D.Blue OCJ/C(W plt</t>
  </si>
  <si>
    <t>54.3PC1RD-IG-A</t>
  </si>
  <si>
    <t>54.3 PCO 1810 Rnd Green J/C(W plt</t>
  </si>
  <si>
    <t>54.3PC1RD-IG-AH</t>
  </si>
  <si>
    <t>54.3 PCO 1810 Rnd Green J/C(W plt HDG</t>
  </si>
  <si>
    <t>54.3PC1RD-IG-JA2-A</t>
  </si>
  <si>
    <t>54.3 PCO 1810 Rnd ICI GREEN JadCSD</t>
  </si>
  <si>
    <t>54.3PC1RD-W1-A</t>
  </si>
  <si>
    <t>54.3 PCO 1810 Rnd White J/C(W plt</t>
  </si>
  <si>
    <t>54.3PC1RD-W1-P</t>
  </si>
  <si>
    <t>54.3 PCO1810 Rnd White Plain OCJ/C(W plt</t>
  </si>
  <si>
    <t>55.0BC1RD-CL-A</t>
  </si>
  <si>
    <t>55.0 BC38mm 3 Rnd Clear J/C(W plt</t>
  </si>
  <si>
    <t>58.0BC1RD-CL-G</t>
  </si>
  <si>
    <t>58.0 BC38mm 3 Rnd Clear OJ/C(W plt</t>
  </si>
  <si>
    <t>58.0BC1RD-CL-S</t>
  </si>
  <si>
    <t>58.0 BC38mm 3 Rnd Clear W steel c.</t>
  </si>
  <si>
    <t>58.0BC1RD-W1-G</t>
  </si>
  <si>
    <t>58.0 BC38mm 3 Rnd White OJ/C(W plt</t>
  </si>
  <si>
    <t>58.0BC1RD-W1-S</t>
  </si>
  <si>
    <t>58.0 BC38mm 3 Rnd White W steel c.</t>
  </si>
  <si>
    <t xml:space="preserve"> 60.0 BC 38mm Rnd Clear J/C(W plt</t>
  </si>
  <si>
    <t>60.0BC1RD-CL-Z</t>
  </si>
  <si>
    <t>60.0 BC 38mm Rnd Clear EXP/C(W Plt</t>
  </si>
  <si>
    <t>60.0BC1RD-DB-A</t>
  </si>
  <si>
    <t>60.0 BC 38mm Rnd Dark Blue J/C(W plt</t>
  </si>
  <si>
    <t>60.0BC1RD-DB-Z</t>
  </si>
  <si>
    <t>60.0 BC 38mm Rnd Dark Blue EXP/C(W Plt</t>
  </si>
  <si>
    <t>65.0BC1RD-CL-RP2-D</t>
  </si>
  <si>
    <t>65.0 BC38mm 3 Rnd Clear RelpC Crate</t>
  </si>
  <si>
    <t>65.0BC1RD-Y1-BC2-A</t>
  </si>
  <si>
    <t>65.0 BC38mm 3 Rnd Yellow BC112 J/C(W plt</t>
  </si>
  <si>
    <t>7.45TO2RD-CLS1-A</t>
  </si>
  <si>
    <t>7.45TO LW 29/25Rnd CLR(?2ppm)J/C(WP-SIPA</t>
  </si>
  <si>
    <t>7.45TO2RD-CLS2-A</t>
  </si>
  <si>
    <t>7.45TO2RD-CLS3-A</t>
  </si>
  <si>
    <t>7.45TO LW 29/25Rnd CLR(?4ppm)J/C(WP-SIPA</t>
  </si>
  <si>
    <t>7.45TO2RD-CLS-A</t>
  </si>
  <si>
    <t>7.45 TO LW 29/25 Rnd Clear J/C(WP- SIPA</t>
  </si>
  <si>
    <t>7.45TO LW 29/25 L.Blue(?2ppm)J/C(WP-SIPA</t>
  </si>
  <si>
    <t>7.45TO2RD-LBS-S</t>
  </si>
  <si>
    <t>7.45TO LW 29/25 L.Blue Steel C</t>
  </si>
  <si>
    <t>7.80TO29/25 Rnd'AJLAN'BLUE J/C(P pt-SIPA</t>
  </si>
  <si>
    <t>7.8TO2RD-BMS-A</t>
  </si>
  <si>
    <t>7.80 TO 29/25 Blue Mawared J/C(W pt-SIPA</t>
  </si>
  <si>
    <t>7.8TO2RD-CL1S-A</t>
  </si>
  <si>
    <t>7.80 TO 29/25 Rnd CLR AA(? 2)J/C(WP-SIPA</t>
  </si>
  <si>
    <t>7.8TO2RD-DB1S-A</t>
  </si>
  <si>
    <t>7.80TO 29/25 Rd D.BlueAA(? 2)J/C(WP-SIPA</t>
  </si>
  <si>
    <t>7.8TO2RD-DBS-A</t>
  </si>
  <si>
    <t>7.80 TO 29/25 Rnd D.Blue J/C(W plt-SIPA</t>
  </si>
  <si>
    <t>7.80TO 29/25 Rd L BlueAA(? 2)J/C(WP-SIPA</t>
  </si>
  <si>
    <t>7.8TO2RD-LB2S-A</t>
  </si>
  <si>
    <t>7.80TO 29/25 Rd L BlueAA(? 4)J/C(WP-SIPA</t>
  </si>
  <si>
    <t>7.8TO2RD-LBS-A</t>
  </si>
  <si>
    <t>7.80 TO 29/25 Rnd L Blue J/C(W Plt-SIPA</t>
  </si>
  <si>
    <t>8.30TO2RD-BS1-A</t>
  </si>
  <si>
    <t>8.30TO LW 29/25Rd NovaBlue J/C(Wplt-SIPA</t>
  </si>
  <si>
    <t>8.3TO2RD-CLS1-A</t>
  </si>
  <si>
    <t>8.30TO LW 29/25 Clear(?2ppm)J/C(WP)-SIPA</t>
  </si>
  <si>
    <t>8.3TO2RD-LB-A</t>
  </si>
  <si>
    <t>8.3 TO 29/25 Rnd Light Blue J/C(W plt</t>
  </si>
  <si>
    <t>8.30TOLW29/25 L.Blue(#2ppm)J/C(W pt-SIPA</t>
  </si>
  <si>
    <t>8.55TO2RD-CLS1-A</t>
  </si>
  <si>
    <t>8.55gm 29/25 Clear(?2ppm)J/C(WP)-SIPA</t>
  </si>
  <si>
    <t>8.55TO2RD-CLS-A</t>
  </si>
  <si>
    <t>8.55gm 29/25 Clear J/C(WP)-SIPA</t>
  </si>
  <si>
    <t>8.55TO2RD-DBS1-A</t>
  </si>
  <si>
    <t>8.55gm 29/25 D.Blue(?2ppm)J/C(WP)-SIPA</t>
  </si>
  <si>
    <t>8.55TO2RD-DBS-A</t>
  </si>
  <si>
    <t>8.55gm 29/25 D.Blue J/C(WP)-SIPA</t>
  </si>
  <si>
    <t>8.55TO2RD-LBS1-A</t>
  </si>
  <si>
    <t>8.55gm 29/25 L.Blue(?2ppm)J/C(WP)-SIPA</t>
  </si>
  <si>
    <t>8.55TO2RD-LBS-A</t>
  </si>
  <si>
    <t>8.55gm 29/25 L.Blue J/C(WP)-SIPA</t>
  </si>
  <si>
    <t>8.80TO2RD-CLS1-A</t>
  </si>
  <si>
    <t>8.80gm 29/25 Clear(?2ppm)J/C(WP)-SIPA</t>
  </si>
  <si>
    <t>8.80TO2RD-CLS-A</t>
  </si>
  <si>
    <t>8.80gm 29/25 Clear J/C(WP)-SIPA</t>
  </si>
  <si>
    <t>8.80TO2RD-DBS1-A</t>
  </si>
  <si>
    <t>8.80gm 29/25 D.Blue(?2ppm)J/C(WP)-SIPA</t>
  </si>
  <si>
    <t>8.80TO2RD-DBS-A</t>
  </si>
  <si>
    <t>8.80gm 29/25 D.Blue J/C(WP)-SIPA</t>
  </si>
  <si>
    <t>8.80TO2RD-LBS1-A</t>
  </si>
  <si>
    <t>8.80gm 29/25 L.Blue(?2ppm)J/C(WP)-SIPA</t>
  </si>
  <si>
    <t>8.80TO2RD-LBS-A</t>
  </si>
  <si>
    <t>8.80gm 29/25 L.Blue J/C(WP)-SIPA</t>
  </si>
  <si>
    <t>8.8TO2RD-CLS-A</t>
  </si>
  <si>
    <t>8.80 TO LW 29/25 Clear J/C(W plt-SIPA</t>
  </si>
  <si>
    <t>800-1C34.0-NDA-P</t>
  </si>
  <si>
    <t>Nada 800 ml PET Clear Plain Bottles</t>
  </si>
  <si>
    <t>800C34.0-NDA-1FFM2</t>
  </si>
  <si>
    <t>Nada 800 ml PET CL BTL-Full Fat Milk-21D</t>
  </si>
  <si>
    <t>800C34.0-NDA-1FFM3</t>
  </si>
  <si>
    <t>Nada 800 ml PET CL BTL-Full Fat Milk-SM</t>
  </si>
  <si>
    <t>800C34.0-NDA-1FFM4</t>
  </si>
  <si>
    <t>Nada 800 ml PET CL BTL-F.Fat Milk-SM-PP</t>
  </si>
  <si>
    <t>800C34.0-NDA-1FFM5</t>
  </si>
  <si>
    <t>Nada 800 ml PET CL BTL-F.Fat Milk - D24</t>
  </si>
  <si>
    <t>800C34.0-NDA-1LFM2</t>
  </si>
  <si>
    <t>Nada 800 ml PET CL BTL-Low Fat Milk-21D</t>
  </si>
  <si>
    <t>800C34.0-NDA-1LFM3</t>
  </si>
  <si>
    <t>Nada 800 ml PET CL BTL-Low Fat Milk-SM</t>
  </si>
  <si>
    <t>800C34.0-NDA-1LFM4</t>
  </si>
  <si>
    <t>Nada 800 ml PET CL BTL- L.Fat Milk-SM-PP</t>
  </si>
  <si>
    <t>800C34.0-NDA-1LFM5</t>
  </si>
  <si>
    <t>Nada 800 ml PET CL BTL- L.Fat Milk -D24</t>
  </si>
  <si>
    <t>800C34.5-NDA-1F3-2</t>
  </si>
  <si>
    <t>Nada 800ml PET CLR BT-FF Milk 3SR-N TXT</t>
  </si>
  <si>
    <t>800C34.5-NDA-1KLJ2</t>
  </si>
  <si>
    <t>Nada 800ml PET CL BT-Kiwi Lime Juice-D17</t>
  </si>
  <si>
    <t>800C34.5-NDA-1MFJ2</t>
  </si>
  <si>
    <t>Nada 800ml PET CL BT-Mixed Fruit J-D17</t>
  </si>
  <si>
    <t>800C34.5-NDA-1MGJ2</t>
  </si>
  <si>
    <t>Nada 800ml PET CL BT-Mango Juice-D17</t>
  </si>
  <si>
    <t>800C34.5-NDA-1ORJ2</t>
  </si>
  <si>
    <t>Nada 800ml PET CL BT-Orange Juice-D17</t>
  </si>
  <si>
    <t>800C34.5-NDA-1PAJ2</t>
  </si>
  <si>
    <t>Nada 800ml PET CL BT-Pineapple Juice-D17</t>
  </si>
  <si>
    <t>800C34.5-NDA-1SBJ2</t>
  </si>
  <si>
    <t>Nada 800ml PET CL BT-Strawberry J-D17</t>
  </si>
  <si>
    <t>800C34-NDA-1APJ</t>
  </si>
  <si>
    <t>Nada 800ml PET CL BT- Apple -19D</t>
  </si>
  <si>
    <t>800C34-NDA-1APJ2</t>
  </si>
  <si>
    <t>Nada 800ml PET CL BT- Apple -20D</t>
  </si>
  <si>
    <t>800C34-NDA-1KLJ3</t>
  </si>
  <si>
    <t>Nada 800ml PET CL BT-Kiwi Lime Juice-18D</t>
  </si>
  <si>
    <t>800C34-NDA-1KLJ4</t>
  </si>
  <si>
    <t>Nada 800ml PET CL BT-Kiwi&amp;Lime -19D</t>
  </si>
  <si>
    <t>800C34-NDA-1KLJ5</t>
  </si>
  <si>
    <t>Nada 800ml PET CL BT-Kiwi&amp;Lime -20D</t>
  </si>
  <si>
    <t>800C34-NDA-1LMJ</t>
  </si>
  <si>
    <t>Nada 800ml PET CL BT-Lemon W/Mint J-18D</t>
  </si>
  <si>
    <t>800C34-NDA-1LMJ2</t>
  </si>
  <si>
    <t>Nada 800ml PET CL BT-Lemon with Mint-19D</t>
  </si>
  <si>
    <t>800C34-NDA-1LMJ3</t>
  </si>
  <si>
    <t>Nada 800ml PET CL BT-Lemon with Mint-20D</t>
  </si>
  <si>
    <t>800C34-NDA-1MFJ3</t>
  </si>
  <si>
    <t>Nada 800ml PET CL BT-Mixed Fruit J-18D</t>
  </si>
  <si>
    <t>800C34-NDA-1MFJ4</t>
  </si>
  <si>
    <t>Nada 800ml PET CL BT-Mixed Fruit -20D</t>
  </si>
  <si>
    <t>800C34-NDA-1MGJ3</t>
  </si>
  <si>
    <t>Nada 800ml PET CL BT-Mango Juice-18D</t>
  </si>
  <si>
    <t>800C34-NDA-1MGJ4</t>
  </si>
  <si>
    <t>Nada 800ml PET CL BT-Mango -21D</t>
  </si>
  <si>
    <t>800C34-NDA-1MPJ4</t>
  </si>
  <si>
    <t>Nada 800ml PET CL BT- Mango &amp; Grape -20D</t>
  </si>
  <si>
    <t>800C34-NDA-1ORJ3</t>
  </si>
  <si>
    <t>Nada 800ml PET CL BT-Orange Juice-18D</t>
  </si>
  <si>
    <t>800C34-NDA-1ORJ4</t>
  </si>
  <si>
    <t>Nada 800ml PET CL BT-Orange -19D</t>
  </si>
  <si>
    <t>800C34-NDA-1ORJ5</t>
  </si>
  <si>
    <t>Nada 800ml PET CL BT-Orange -20D</t>
  </si>
  <si>
    <t>800C34-NDA-1PAJ3</t>
  </si>
  <si>
    <t>Nada 800ml PET CL BT-Pineapple Juice-18D</t>
  </si>
  <si>
    <t>800C34-NDA-1PAJ4</t>
  </si>
  <si>
    <t>Nada 800ml PET CL BT-Pineapple -19D</t>
  </si>
  <si>
    <t>800C34-NDA-1PAJ5</t>
  </si>
  <si>
    <t>Nada 800ml PET CL BT-Pineapple -20D</t>
  </si>
  <si>
    <t>800C34-NDA-1PAJ6</t>
  </si>
  <si>
    <t>Nada 800ml PET CL BT-Pineapple -20D V2</t>
  </si>
  <si>
    <t>800C34-NDA-1PGJ</t>
  </si>
  <si>
    <t>Nada 800ml PET CL BT-Pomegranate J-18D</t>
  </si>
  <si>
    <t>800C34-NDA-1PGJ2</t>
  </si>
  <si>
    <t>Nada 800ml PET CL BT-Pomegranate -21D</t>
  </si>
  <si>
    <t>800C34-NDA-1PPJ2</t>
  </si>
  <si>
    <t>Nada 800ml PET CL BT-PMgranate&amp;Grape-20D</t>
  </si>
  <si>
    <t>800C34-NDA-1SBJ3</t>
  </si>
  <si>
    <t>Nada 800ml PET CL BT-Strawberry J-18D</t>
  </si>
  <si>
    <t>800C34-NDA-1SBJ4</t>
  </si>
  <si>
    <t>Nada 800ml PET CL BT-Strawberry -21D</t>
  </si>
  <si>
    <t>800C34-NDA-1SPJ4</t>
  </si>
  <si>
    <t>Nada 800ml PET CL BT-St'berry&amp;Grape-20D</t>
  </si>
  <si>
    <t>800C34-SFW-1GM</t>
  </si>
  <si>
    <t>SAFWA 800ml PET CL BT- Goat Milk</t>
  </si>
  <si>
    <t>800XC34.5-NDA-1FFM</t>
  </si>
  <si>
    <t>Nada 800 ml PET Clear BTL-Full Fat Milk</t>
  </si>
  <si>
    <t>800XC34.5-NDA-1FM3</t>
  </si>
  <si>
    <t>Nada 800 ml PET Clear BTL-FF Milk 3SR</t>
  </si>
  <si>
    <t>800XC34.5-NDA-1FMB</t>
  </si>
  <si>
    <t>Nada 800ml PET Clear BTL-FF Milk BAHRAIN</t>
  </si>
  <si>
    <t>800XC34.5-NDA-1KLJ</t>
  </si>
  <si>
    <t>Nada 800ml PET Clear BTL-Kiwi Lime Juice</t>
  </si>
  <si>
    <t>800XC34.5-NDA-1LFM</t>
  </si>
  <si>
    <t>Nada 800 ml PET Clear BTL-Low Fat Milk</t>
  </si>
  <si>
    <t>800XC34.5-NDA-1LM3</t>
  </si>
  <si>
    <t>Nada 800 ml PET Clear BTL-LF  Milk 3SR</t>
  </si>
  <si>
    <t>800XC34.5-NDA-1MFJ</t>
  </si>
  <si>
    <t>Nada 800ml PET Clear BTL-Mixed Fruit J</t>
  </si>
  <si>
    <t>800XC34.5-NDA-1MGJ</t>
  </si>
  <si>
    <t>Nada 800ml PET Clear BTL-Mango Juice</t>
  </si>
  <si>
    <t>800XC34.5-NDA-1ORJ</t>
  </si>
  <si>
    <t>Nada 800ml PET Clear BTL-Orange Juice</t>
  </si>
  <si>
    <t>800XC34.5-NDA-1PAJ</t>
  </si>
  <si>
    <t>Nada 800ml PET Clear BTL-Pineapple Juice</t>
  </si>
  <si>
    <t>800XC34.5-NDA-1SBJ</t>
  </si>
  <si>
    <t>Nada 800ml PET Clear BTL-Strawberry Juic</t>
  </si>
  <si>
    <t>82.5BC2RD-CL-A</t>
  </si>
  <si>
    <t>82.5 48MM Rnd Clear J/C(W plt</t>
  </si>
  <si>
    <t>82.5BC2RD-DB-A</t>
  </si>
  <si>
    <t>82.5 48MM Rnd Dark Blue J/C(W plt</t>
  </si>
  <si>
    <t>82.5BC2RD-LB-A</t>
  </si>
  <si>
    <t>82.5 48MM Rnd L.Blue J/C(W plt</t>
  </si>
  <si>
    <t>85.0BC2RD-CL-A</t>
  </si>
  <si>
    <t>85.0 48MM Rnd Clear J/C(W plt</t>
  </si>
  <si>
    <t>85.0BC2RD-CL-Z</t>
  </si>
  <si>
    <t>85.0 48MM Rnd Clear EXP/C(W Plt</t>
  </si>
  <si>
    <t>85.0BC2RD-DB-Z</t>
  </si>
  <si>
    <t>85.0 48MM Rnd Dark Blue EXP/C(W Plt</t>
  </si>
  <si>
    <t>85.0BC2RD-LB-A</t>
  </si>
  <si>
    <t>85.0 48MM Rnd L.Blue J/C(W plt</t>
  </si>
  <si>
    <t>850C34-SFI-1FFM</t>
  </si>
  <si>
    <t>Safi 850ml PET Clear BTL Full Fat Milk</t>
  </si>
  <si>
    <t>850C34-SFI-1FFM10</t>
  </si>
  <si>
    <t>Safi 850ml PET CL-F.Fat Milk(SAUDI LOGO)</t>
  </si>
  <si>
    <t>850C34-SFI-1FFM2</t>
  </si>
  <si>
    <t>Safi 850ml PET CL BTL-Full F Milk-D18-V2</t>
  </si>
  <si>
    <t>850C34-SFI-1FFM5</t>
  </si>
  <si>
    <t>Safi 850ml PET CL BTL- F.F Milk-21D V2</t>
  </si>
  <si>
    <t>850C34-SFI-1FFM6</t>
  </si>
  <si>
    <t>Safi 850ml PET CL BTL- F.F Milk-21D V3</t>
  </si>
  <si>
    <t>850C34-SFI-1FFM7</t>
  </si>
  <si>
    <t>Safi 850ml PET CL BTL-Full Fat Milk-22D</t>
  </si>
  <si>
    <t>850C34-SFI-1FFM8</t>
  </si>
  <si>
    <t>Safi 850ml PET CL BTL-F.F Milk W plt-22D</t>
  </si>
  <si>
    <t>850C34-SFI-1FFM9</t>
  </si>
  <si>
    <t>Safi 850ml PET CL BTL-Full Fat Milk-25D</t>
  </si>
  <si>
    <t>850W34-SFI-1FFL</t>
  </si>
  <si>
    <t>Safi 850ml PET White BTL Full Fat Laban</t>
  </si>
  <si>
    <t>850W34-SFI-1FFL2</t>
  </si>
  <si>
    <t>Safi850ml PET WHT BT-Full F Laban-D18-V2</t>
  </si>
  <si>
    <t>850W34-SFI-1FFL3</t>
  </si>
  <si>
    <t>Safi 850ml PET WHT BT-Full Fat Laban-20D</t>
  </si>
  <si>
    <t>850W34-SFI-1FFL4</t>
  </si>
  <si>
    <t>Safi 850ml PET WHT BT-F.Fat Laban-21DV1</t>
  </si>
  <si>
    <t>850W34-SFI-1FFL5</t>
  </si>
  <si>
    <t>Safi 850ml PET WHT BT-F.F Laban-21D V2</t>
  </si>
  <si>
    <t>850W34-SFI-1FFL7</t>
  </si>
  <si>
    <t>Safi 850ml PET WHT -F.F LBN W plt-21D V2</t>
  </si>
  <si>
    <t>850W34-SFI-1FFL8</t>
  </si>
  <si>
    <t>Safi 850ml PET WHT BT-F.F Laban-25D</t>
  </si>
  <si>
    <t>850W34-SFI-1FFL9</t>
  </si>
  <si>
    <t>Safi 850ml PET WHT BT-F.F LBN-SAUDI LOGO</t>
  </si>
  <si>
    <t>9.1TO2RD-CLS-A</t>
  </si>
  <si>
    <t>9.10 TO LW 29/25 Clear J/C(W plt-SIPA</t>
  </si>
  <si>
    <t>9.1TO2RD-LBS-A</t>
  </si>
  <si>
    <t>9.10 TO LW 29/25Rd L.Blue J/C(W plt-SIPA</t>
  </si>
  <si>
    <t>9.4TO2RD-AJB-A</t>
  </si>
  <si>
    <t>9.4 TO 29/25 Rnd 'AJLAN' BLUE J/C(W plt</t>
  </si>
  <si>
    <t>9.4TO2RD-AJB-B</t>
  </si>
  <si>
    <t>9.4 TO 29/25 Rnd 'AJLAN' BLUE J/C(P plt</t>
  </si>
  <si>
    <t>9.4 TO 29/25 Rnd Nova Blue J/C(P plt</t>
  </si>
  <si>
    <t>9.4TO2RD-CL-A</t>
  </si>
  <si>
    <t>9.4 TO LW 29/25 Rnd Clear J/C(W plt</t>
  </si>
  <si>
    <t>9.4TO2RD-CLHS-A</t>
  </si>
  <si>
    <t>9.4TO 29/25Rnd Clear Hilwa J/C(Wplt)SIPA</t>
  </si>
  <si>
    <t>9.4TO2RD-CLS1-A</t>
  </si>
  <si>
    <t>9.4TO LW 29/25Rnd CLR J/CWplt(?2ppm)SIPA</t>
  </si>
  <si>
    <t>9.4TO2RD-CLS-A</t>
  </si>
  <si>
    <t>9.4TO LW 29/25Rnd Clear J/CWplt SIPA</t>
  </si>
  <si>
    <t xml:space="preserve">9.4 29/25RndCLR AA Rdcer MenaB PP       </t>
  </si>
  <si>
    <t>9.4TO2RD-DBS1-A</t>
  </si>
  <si>
    <t>9.4TO LW 29/25Rd D.Blue J/CWP(?2ppm)SIPA</t>
  </si>
  <si>
    <t>9.4TO2RD-DBS-A</t>
  </si>
  <si>
    <t>9.4TO LW 29/25Rnd D.Blue J/CWplt SIPA</t>
  </si>
  <si>
    <t>9.4TO2RD-LBHS-A</t>
  </si>
  <si>
    <t>9.4TO 29/25Rnd L.Blue Hilwa J/C(Wpt)SIPA</t>
  </si>
  <si>
    <t>9.4TO 29/25Rnd L.Blue J/CWplt(?2ppm)SIPA</t>
  </si>
  <si>
    <t>9.70TO2RD-AB-B</t>
  </si>
  <si>
    <t>9.70TO 29/25Rnd AA Rdcer L.BLUE J/C(P Pt</t>
  </si>
  <si>
    <t>9.70TO2RD-CA-B</t>
  </si>
  <si>
    <t>9.70 29/25 Rnd Clear AA Reducer J/C(Pplt</t>
  </si>
  <si>
    <t>9.7TO2RD-CLS1-A</t>
  </si>
  <si>
    <t>9.70TO 29/25Rnd Clear(? 2)J/C(Wplt)SIPA</t>
  </si>
  <si>
    <t>9.7TO2RD-CLS-A</t>
  </si>
  <si>
    <t>9.70TO 29/25Rnd Clear J/C(Wplt)SIPA</t>
  </si>
  <si>
    <t>9.7TO2RD-DBS1-A</t>
  </si>
  <si>
    <t xml:space="preserve"> 9.70TO 29/25Rnd D.Blue(? 2)J/C(Wplt)SIP</t>
  </si>
  <si>
    <t>9.7TO2RD-DBS-A</t>
  </si>
  <si>
    <t xml:space="preserve"> 9.70TO 29/25Rnd D.Blue J/C(Wplt)SIPA</t>
  </si>
  <si>
    <t>9.7TO2RD-LBS1-A</t>
  </si>
  <si>
    <t>9.70TO 29/25Rnd L.Blue(? 2)J/C(Wplt)SIPA</t>
  </si>
  <si>
    <t>9.7TO2RD-LBS-A</t>
  </si>
  <si>
    <t>9.70TO 29/25Rnd L.Blue J/C(Wplt)SIPA</t>
  </si>
  <si>
    <t>34.0 BC38mm 3 ECO HUAYAN Clear steel C.</t>
  </si>
  <si>
    <t>34.0 BC38mm 3 ECO HUAYAN White Steel C.</t>
  </si>
  <si>
    <t>1400C51-SFI-1APJ</t>
  </si>
  <si>
    <t>Safi 1.4L PET Clear BTL-Apple -25D</t>
  </si>
  <si>
    <t>1400C51-SFI-1APMJ</t>
  </si>
  <si>
    <t>Safi 1.4L PET Clear BTL-Apple Mint -25D</t>
  </si>
  <si>
    <t>1400C51-SFI-1LMJ</t>
  </si>
  <si>
    <t>Safi 1.4L PET Clear BTL-Lemon -25D</t>
  </si>
  <si>
    <t>1400C51-SFI-1MMFJ</t>
  </si>
  <si>
    <t>Safi 1.4L PET ClearBTL-MangoMixFruit-25D</t>
  </si>
  <si>
    <t>1400C51-SFI-1ORMNJ</t>
  </si>
  <si>
    <t>Safi 1.4L PET ClearBTL-OrangeM'Fruit NEC</t>
  </si>
  <si>
    <t>850C34-SFI-1FFM11</t>
  </si>
  <si>
    <t>Safi 850ml PET CL-F.Fat Milk-25D V2</t>
  </si>
  <si>
    <t>850W34-SFI-2AFF11</t>
  </si>
  <si>
    <t>SAFI KEFIR-850ml PET WHT BT-25D</t>
  </si>
  <si>
    <t>1300C51-NDA-1GVN2</t>
  </si>
  <si>
    <t>Nada 1.3L PET CL BT- Guava Nectar8.95SR</t>
  </si>
  <si>
    <t>1300C51-NDA-1KLN2</t>
  </si>
  <si>
    <t>Nada1.3L PET CL BT-KiwiLime Nectar8.95SR</t>
  </si>
  <si>
    <t>1300C51-NDA-1LMN2</t>
  </si>
  <si>
    <t>Nada 1.3L PET CL-LemonWMint Nectar8.95SR</t>
  </si>
  <si>
    <t>1300C51-NDA-1MFN2</t>
  </si>
  <si>
    <t>Nada1.3LPET CL BT-MixedFruitNectar8.95SR</t>
  </si>
  <si>
    <t>1300C51-NDA-1PGN2</t>
  </si>
  <si>
    <t>Nada1.3L PET CL BT-Pomgranate Nectar8.95</t>
  </si>
  <si>
    <t>1300C51-NDA-1RBN2</t>
  </si>
  <si>
    <t>Nada 1.3L PET CL BT-Raspbery Nectar-8.95</t>
  </si>
  <si>
    <t>1300C51-NDA-1SBN3</t>
  </si>
  <si>
    <t>Nada 1.3L CL BT- Strawberry Nectar-26Y</t>
  </si>
  <si>
    <t>1300C51-NDA-1TCN2</t>
  </si>
  <si>
    <t>Nada1.3L PET CL BT-Tropical Nectar8.95</t>
  </si>
  <si>
    <t>1350C51-NDA-1GVN</t>
  </si>
  <si>
    <t>Nada 1.35L CL BT- Guava Nectar</t>
  </si>
  <si>
    <t>1350C51-NDA-1KLN</t>
  </si>
  <si>
    <t>Nada 1.35L CL BT-Kiwi &amp; Lime Nectar</t>
  </si>
  <si>
    <t>1350C51-NDA-1LMN</t>
  </si>
  <si>
    <t>Nada 1.35L CLBT-Lemon W/Mint Nectar</t>
  </si>
  <si>
    <t>1350C51-NDA-1MFN</t>
  </si>
  <si>
    <t>Nada 1.35L PET CL BT-Mixed Fruit  Nectar</t>
  </si>
  <si>
    <t>1350C51-NDA-1PGN</t>
  </si>
  <si>
    <t>Nada 1.35L CLBT- Pomegranate Nectar</t>
  </si>
  <si>
    <t>1350C51-NDA-1RBN</t>
  </si>
  <si>
    <t>Nada 1.35L CL BT- Raspberry Nectar</t>
  </si>
  <si>
    <t>1350C51-NDA-1SBN2</t>
  </si>
  <si>
    <t>Nada 1.35L CL BT- Strawberry Nectar-26Y</t>
  </si>
  <si>
    <t>1350C51-NDA-1TCN</t>
  </si>
  <si>
    <t>Nada 1.35L CLBT-Trpcl Cocktl Nectar</t>
  </si>
  <si>
    <t>200C12.7-NDA-1KLN</t>
  </si>
  <si>
    <t>Nada 200ml PET CL BT-Kiwi &amp; Lime Nectar</t>
  </si>
  <si>
    <t>200C12.7-NDA-1LMN</t>
  </si>
  <si>
    <t>Nada 200ml PET CL BT-Lemon W Mint Nectar</t>
  </si>
  <si>
    <t>200C12.7-NDA-1MFN</t>
  </si>
  <si>
    <t>Nada 200ml PET CL-Mixed Fruit Nectar</t>
  </si>
  <si>
    <t>200C12.7-NDA-1PGN</t>
  </si>
  <si>
    <t>Nada 200ml PET CL BT-Pomegranate Nectar</t>
  </si>
  <si>
    <t>200C12.7-NDA-1RBN</t>
  </si>
  <si>
    <t>Nada 200ml PET CL BT-Rasberry Nectar</t>
  </si>
  <si>
    <t>200C12.7-NDA-1SBN1</t>
  </si>
  <si>
    <t>Nada 200ml PET CL BT-StrawberyNectar 26Y</t>
  </si>
  <si>
    <t>200C12.7-NDA-1TCN</t>
  </si>
  <si>
    <t>Nada 200ml PET CL-TRpical Cocktail Necta</t>
  </si>
  <si>
    <t>300C19.0-NDA-1GVN</t>
  </si>
  <si>
    <t>Nada 300ml PET CL BT- Guava Nectar</t>
  </si>
  <si>
    <t>300C19.0-NDA-1KLN</t>
  </si>
  <si>
    <t>Nada 300ml PET CL BT-KiwiLime Necar</t>
  </si>
  <si>
    <t>300C19.0-NDA-1LMN</t>
  </si>
  <si>
    <t>Nada 300ml PET CL BT-LemonW Mint Nectar</t>
  </si>
  <si>
    <t>300C19.0-NDA-1MFN</t>
  </si>
  <si>
    <t>Nada 300ml PET CL -Mixed Fruit Nectar</t>
  </si>
  <si>
    <t>300C19.0-NDA-1PGN</t>
  </si>
  <si>
    <t>Nada 300ml PET CL-Pomegranate Nectar</t>
  </si>
  <si>
    <t>300C19.0-NDA-1RBN</t>
  </si>
  <si>
    <t>Nada 300ml PET CL BT- Rasbery Nectar</t>
  </si>
  <si>
    <t>300C19.0-NDA-1SBN</t>
  </si>
  <si>
    <t>Nada 300ml PET CL BT-St'berry Nectar 26Y</t>
  </si>
  <si>
    <t>300C19.0-NDA-1TCN</t>
  </si>
  <si>
    <t>Nada 300ml PET CL-Tropical Cocktl Nctar</t>
  </si>
  <si>
    <t>45.0PC2RD-IGS-A</t>
  </si>
  <si>
    <t>45.0PCO 1881 Rnd ICI Green J/C(Wplt)SIPA</t>
  </si>
  <si>
    <t>45PC2RD-CLS-A</t>
  </si>
  <si>
    <t>45 PCO 1881 Rnd Clear J/C(W plt)SIPA</t>
  </si>
  <si>
    <t>47.5PC2RD-CL?S-A</t>
  </si>
  <si>
    <t>47.5PC2RD-IGS-A</t>
  </si>
  <si>
    <t>47.5PCO 1881 Rnd ICI Green J/C(Wplt)SIPA</t>
  </si>
  <si>
    <t>52.0BC1RD-CLS-A</t>
  </si>
  <si>
    <t>52.0 BC38mm 3 Rnd Clear J/C(W plt)SIPA</t>
  </si>
  <si>
    <t>52.0BC1RD-DBSA</t>
  </si>
  <si>
    <t>52.0 BC38mm 3Rnd Dark Blue J/C(Wplt)SIPA</t>
  </si>
  <si>
    <t>11.25TO2RD-AJBS-B</t>
  </si>
  <si>
    <t>11.25TO29/25 Rnd'AJLAN'BLUE J/C(Ppt-SIPA</t>
  </si>
  <si>
    <t>8.8TO2RD-LBS1-A</t>
  </si>
  <si>
    <t>8.80TOLW29/25 L.Blue(?2ppm)J/C(W pt-SIPA</t>
  </si>
  <si>
    <t>30.5PC2RD-IGSK-B</t>
  </si>
  <si>
    <t>30.5PCO1881 Rnd ICI GreenJ/C PP</t>
  </si>
  <si>
    <t>30.5PC2RD-CLSK-B</t>
  </si>
  <si>
    <t>30.5PCO1881 Rnd Clear J/C PP</t>
  </si>
  <si>
    <t>47.5PC2RD-IGSK-B</t>
  </si>
  <si>
    <t>47.5 PCO 1881 Rnd ICI Green J/C PP</t>
  </si>
  <si>
    <t>47.5PC2RD-CLSK-B</t>
  </si>
  <si>
    <t>47.5PCO 1881 Rnd Clear J/C PP</t>
  </si>
  <si>
    <t xml:space="preserve">9.70 29/25 Rnd Clear J/C(P Plt)-SIPA    </t>
  </si>
  <si>
    <t>13.5 BC38mm 3 Rnd Green OJ/C(p plt</t>
  </si>
  <si>
    <t>13.5 BC38mm 3 Rnd Orange OJ/C(p plt</t>
  </si>
  <si>
    <t>13.5 BC38mm 3 Rnd Red OJ/C(p plt</t>
  </si>
  <si>
    <t>52.0BC1RD-CLS-G</t>
  </si>
  <si>
    <t>14.0PC2RD-CL-VH</t>
  </si>
  <si>
    <t>14.0 PCO 1881 Rnd CLR MenaBev (PP) HDG</t>
  </si>
  <si>
    <t>14.0PC2RD-IG-VH</t>
  </si>
  <si>
    <t>14.0 PCO 1881Rnd ICIGreen MenaBev(PP)HDG</t>
  </si>
  <si>
    <t>13.5BC1RD-G1-B</t>
  </si>
  <si>
    <t>13.5BC1RD-G1-S</t>
  </si>
  <si>
    <t>13.5 BC38mm 3 Rnd Green W steel c.</t>
  </si>
  <si>
    <t>13.5BC1RD-O1-B</t>
  </si>
  <si>
    <t>13.5BC1RD-R1-B</t>
  </si>
  <si>
    <t>13.5BC1RD-R1-S</t>
  </si>
  <si>
    <t>13.5 BC38mm 3 Rnd Red W steel c.</t>
  </si>
  <si>
    <t>7.8TO2RD-LBS2-A</t>
  </si>
  <si>
    <t>7.80TO 29/25 Rnd L.Blue (?1ppm) J/C Wplt</t>
  </si>
  <si>
    <t>26.6TO2RD-B1-B</t>
  </si>
  <si>
    <t>26.6TO29/25Rnd Nova Blue - (YISHENG)</t>
  </si>
  <si>
    <t>SCR</t>
  </si>
  <si>
    <t>7.45TO29/25Rd'AJLAN'BLUE J/C(PP-SIPA)</t>
  </si>
  <si>
    <t>200C12.7-NDA-1OCN</t>
  </si>
  <si>
    <t>Nada 200ml PET CL-Orange carrot Nectar</t>
  </si>
  <si>
    <t>300C19.0-NDA-1OCN</t>
  </si>
  <si>
    <t>Nada 300ml PET CL -Orange carrot Nectar</t>
  </si>
  <si>
    <t>200C12.7-NDA-1MMN</t>
  </si>
  <si>
    <t>Nada 200ml PET CL- Mango mixfruit-Nectar</t>
  </si>
  <si>
    <t>300C19.0-NDA-1MMN</t>
  </si>
  <si>
    <t>Nada 300ml PET CL- Mango mixfruit-Nectar</t>
  </si>
  <si>
    <t>21.0PC2RD-CLS-B</t>
  </si>
  <si>
    <t>21.0 PCO 1881 Rnd Clear Jomaih SIPA-PP</t>
  </si>
  <si>
    <t>21.0PC2RD-IGS-B</t>
  </si>
  <si>
    <t>21.0PCO 1881Rnd ICI Green Jomaih SIPA-PP</t>
  </si>
  <si>
    <t>1300C51-NDA-1OCN1</t>
  </si>
  <si>
    <t>Nada1.3L PET CL BT-Orange carrot Nectar</t>
  </si>
  <si>
    <t>850C34-SFI-1FFM12</t>
  </si>
  <si>
    <t>Safi 850ml PET CL-F.Fat Milk-26D</t>
  </si>
  <si>
    <t>12.5TO2RD-B12-B</t>
  </si>
  <si>
    <t>12.5TO29/25Rnd Nova Blue  J/C(P pt-SABIC</t>
  </si>
  <si>
    <t>7.45TO 29/25 Rnd L.Blue (?1ppm) J/C Wplt</t>
  </si>
  <si>
    <t>850W34-SFI-1FFL11</t>
  </si>
  <si>
    <t>Safi 850ml PET WHT BT-F.F Laban-26D</t>
  </si>
  <si>
    <t>1350C51-NDA-1MMFN</t>
  </si>
  <si>
    <t>Nada1.35L CLBT-MangoMixFruit-Nectar</t>
  </si>
  <si>
    <t>1400C51-SFI-1MIXBJ</t>
  </si>
  <si>
    <t>Safi 1.4L PET Clear BTL-Mix Berry-26D</t>
  </si>
  <si>
    <t>1300C51-NDA-1MMFN</t>
  </si>
  <si>
    <t>Nada1.30L PET CLBT-MangoMixFruit-Nectar</t>
  </si>
  <si>
    <t>1300C51-NDA-1MBR</t>
  </si>
  <si>
    <t>Nada 1.3L PET CL BT-Mixed Berries(9.5 SR</t>
  </si>
  <si>
    <t>1300C51-NDA-1PAJ6</t>
  </si>
  <si>
    <t>Nada1.3L PET CL BT-Pineapple 8.95 Juice</t>
  </si>
  <si>
    <t>1300C51-NDA-1PAJ8</t>
  </si>
  <si>
    <t>Nada1.3L PET CL BT-Pineapple 8.95-ABC</t>
  </si>
  <si>
    <t>1300C51-NDA-1PAN2</t>
  </si>
  <si>
    <t>Nada1.3L PET CL BT-Pineapple 8.95 26Y</t>
  </si>
  <si>
    <t>12.5TO29/25Rnd Nova Blue J/C(P pt-SABIC</t>
  </si>
  <si>
    <t>47.5PC2RD-CL#S-A</t>
  </si>
  <si>
    <t>47.5PC2RD-CL#S-A does not exist in plant 3200</t>
  </si>
  <si>
    <t>29-1.27-2TP-CL-A</t>
  </si>
  <si>
    <t>29/25 1.27g CAP T PROOF Clear -WP</t>
  </si>
  <si>
    <t>1300C48-NDA-1TCN2</t>
  </si>
  <si>
    <t>Nada 1.3L 48gm CL BT-Tropcal Nectar 8.95</t>
  </si>
  <si>
    <t>1350C48-NDA-1APJ9</t>
  </si>
  <si>
    <t>Nada 1.35L PET 48gm CL BT- Apple 24D</t>
  </si>
  <si>
    <t>1400C51-SFI-1LMJ2</t>
  </si>
  <si>
    <t>Safi 1.4L PET Clear BTL-Lemon -26D</t>
  </si>
  <si>
    <t>1400C51-SFI-1APMJ2</t>
  </si>
  <si>
    <t>Safi 1.4L PET Clear BTL-Apple Mint -26D</t>
  </si>
  <si>
    <t>30.5PCO 1881Rd Clear RPET J/C(P Pt JOM</t>
  </si>
  <si>
    <t>30.5PCO 1881 ICI Green RPET J/C(P Pt JOM</t>
  </si>
  <si>
    <t>45.0PC2RD-IGR-B</t>
  </si>
  <si>
    <t>45.0PCO 1881 ICI Green RPET J/C(PP)</t>
  </si>
  <si>
    <t>15.5PC2RD-CL-B</t>
  </si>
  <si>
    <t>15.5 PCO 1881 Rnd Clear PP</t>
  </si>
  <si>
    <t>48.0BC1RS-CL-S</t>
  </si>
  <si>
    <t>48.0 BC 38mm 3 Rnd short Clear steel c</t>
  </si>
  <si>
    <t>29.3TO2RD-LB-A</t>
  </si>
  <si>
    <t>29.3 TO 29/25 Rnd L.Blue J/C(W Plt)</t>
  </si>
  <si>
    <t>18.0PC2RD-CL-V2</t>
  </si>
  <si>
    <t>18.0PCO 1881 Rnd CLR MenaBev RPET J/C PP</t>
  </si>
  <si>
    <t>45.0BC1RS-CL-S</t>
  </si>
  <si>
    <t>45.0 BC 38mm 3 Rnd short Clear steel c</t>
  </si>
  <si>
    <t>850W34-SFI-1FFL12</t>
  </si>
  <si>
    <t>Safi 850ml PET WHT BT-F.F Laban-26D v2</t>
  </si>
  <si>
    <t>1300C51-SFI-1ORJ</t>
  </si>
  <si>
    <t>Safi 1.3L PET ClearBTL-Orange-26D</t>
  </si>
  <si>
    <t>250C15.5-NDA-1FLE5</t>
  </si>
  <si>
    <t> Nada 250ml PET CL BT-FL Lemonade-26D</t>
  </si>
  <si>
    <t>14.0PC2RD-RJ-S</t>
  </si>
  <si>
    <t>14.0 PCO 1881 Rnd Red Steel C-(Aujan)</t>
  </si>
  <si>
    <t>14.0TO2RD-NB-A</t>
  </si>
  <si>
    <t>14.0 TO 29/25 Rnd Nestle Blue J/C(WP)</t>
  </si>
  <si>
    <t>FG_</t>
  </si>
  <si>
    <t>Part_WT</t>
  </si>
  <si>
    <t>Reject PC</t>
  </si>
  <si>
    <t>Grand Total</t>
  </si>
  <si>
    <t>Sum of Reject PC</t>
  </si>
  <si>
    <t>Preform</t>
  </si>
  <si>
    <t>Preform Description</t>
  </si>
  <si>
    <t>#N/A</t>
  </si>
  <si>
    <t>600409</t>
  </si>
  <si>
    <t>52.0BC1RD-CLJ-B</t>
  </si>
  <si>
    <t>29.3 TO 29/25 Rnd L.Blue J/C(W Plt)</t>
  </si>
  <si>
    <t>7.80TO 29/25 Rnd L.Blue (≤1ppm) J/C Wplt</t>
  </si>
  <si>
    <t>PET BOTTLE SCRAP FOR SALE</t>
  </si>
  <si>
    <t>52.0 BC38mm 3Rnd Clear J/C-PP (ST-JADE)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</si>
</sst>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3" borderId="1" applyNumberFormat="0" applyFont="0" applyAlignment="0" applyProtection="0"/>
  </cellStyleXfs>
  <cellXfs count="12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3" fontId="0" fillId="0" borderId="0" xfId="1" applyFont="1" applyAlignment="1">
      <alignment vertical="top"/>
    </xf>
    <xf numFmtId="43" fontId="0" fillId="3" borderId="1" xfId="2" applyNumberFormat="1" applyFont="1" applyAlignment="1">
      <alignment vertical="top"/>
    </xf>
    <xf numFmtId="0" fontId="0" fillId="0" borderId="0" xfId="0" pivotButton="1" applyAlignment="1">
      <alignment vertical="top"/>
    </xf>
    <xf numFmtId="43" fontId="0" fillId="0" borderId="0" xfId="0" applyNumberFormat="1" applyAlignment="1">
      <alignment vertical="top"/>
    </xf>
  </cellXfs>
  <cellStyles count="3">
    <cellStyle name="Comma" xfId="1" builtinId="3"/>
    <cellStyle name="Normal" xfId="0" builtinId="0"/>
    <cellStyle name="Note" xfId="2" builtinId="10"/>
  </cellStyles>
  <dxfs count="4"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win Rodrigues" refreshedDate="46302.731257291663" createdVersion="8" refreshedVersion="8" minRefreshableVersion="3" recordCount="1792" xr:uid="{5CCA48ED-8BF2-47C3-8023-01171BCEA534}">
  <cacheSource type="worksheet">
    <worksheetSource ref="A1:J1793" sheet="Rejection_PC"/>
  </cacheSource>
  <cacheFields count="10">
    <cacheField name="Order" numFmtId="0">
      <sharedItems count="1390">
        <s v="3100007434"/>
        <s v="3100007499"/>
        <s v="3100007565"/>
        <s v="3100007566"/>
        <s v="3100007567"/>
        <s v="3100007568"/>
        <s v="3100007569"/>
        <s v="3100007570"/>
        <s v="3100007571"/>
        <s v="3100007572"/>
        <s v="3100007573"/>
        <s v="3100007574"/>
        <s v="3100007575"/>
        <s v="3100007576"/>
        <s v="3100007577"/>
        <s v="3100007578"/>
        <s v="3100007579"/>
        <s v="3100007580"/>
        <s v="3100007581"/>
        <s v="3100007582"/>
        <s v="3100007583"/>
        <s v="3100007584"/>
        <s v="3100007585"/>
        <s v="3100007586"/>
        <s v="3100007587"/>
        <s v="3100007588"/>
        <s v="3100007589"/>
        <s v="3100007590"/>
        <s v="3100007591"/>
        <s v="3100007592"/>
        <s v="3100007593"/>
        <s v="3100007594"/>
        <s v="3100007595"/>
        <s v="3100007596"/>
        <s v="3100007597"/>
        <s v="3100007598"/>
        <s v="3100007599"/>
        <s v="3100007600"/>
        <s v="3100007601"/>
        <s v="3100007602"/>
        <s v="3100007603"/>
        <s v="3100007604"/>
        <s v="3100007605"/>
        <s v="3100007606"/>
        <s v="3100007607"/>
        <s v="3100007608"/>
        <s v="3100007609"/>
        <s v="3100007610"/>
        <s v="3100007611"/>
        <s v="3100007612"/>
        <s v="3100007613"/>
        <s v="3100007614"/>
        <s v="3100007615"/>
        <s v="3100007616"/>
        <s v="3100007617"/>
        <s v="3100007618"/>
        <s v="3100007619"/>
        <s v="3100007620"/>
        <s v="3100007621"/>
        <s v="3100007622"/>
        <s v="3100007623"/>
        <s v="3100007624"/>
        <s v="3100007625"/>
        <s v="3100007626"/>
        <s v="3100007627"/>
        <s v="3100007628"/>
        <s v="3100007629"/>
        <s v="3100007630"/>
        <s v="3100007631"/>
        <s v="3100007632"/>
        <s v="3100007633"/>
        <s v="3100007634"/>
        <s v="3100007635"/>
        <s v="3100007636"/>
        <s v="3100007637"/>
        <s v="3100007638"/>
        <s v="3100007639"/>
        <s v="3100007640"/>
        <s v="3100007641"/>
        <s v="3100007642"/>
        <s v="3100007643"/>
        <s v="3100007644"/>
        <s v="3100007645"/>
        <s v="3100007646"/>
        <s v="3100007647"/>
        <s v="3100007648"/>
        <s v="3100007649"/>
        <s v="3100007650"/>
        <s v="3100007651"/>
        <s v="3100007652"/>
        <s v="3100007653"/>
        <s v="3100007654"/>
        <s v="3100007655"/>
        <s v="3100007656"/>
        <s v="3100007657"/>
        <s v="3100007658"/>
        <s v="3100007659"/>
        <s v="3100007660"/>
        <s v="3100007661"/>
        <s v="3100007662"/>
        <s v="3100007663"/>
        <s v="3100007664"/>
        <s v="3100007665"/>
        <s v="3100007666"/>
        <s v="3100007667"/>
        <s v="3100007668"/>
        <s v="3100007669"/>
        <s v="3100007670"/>
        <s v="3100007671"/>
        <s v="3100007672"/>
        <s v="3100007673"/>
        <s v="3100007674"/>
        <s v="3100007675"/>
        <s v="3100007676"/>
        <s v="3100007677"/>
        <s v="3100007678"/>
        <s v="3100007679"/>
        <s v="3100007680"/>
        <s v="3100007681"/>
        <s v="3100007682"/>
        <s v="3100007683"/>
        <s v="3100007684"/>
        <s v="3100007685"/>
        <s v="3100007686"/>
        <s v="3100007687"/>
        <s v="3100007688"/>
        <s v="3100007689"/>
        <s v="3100007690"/>
        <s v="3100007691"/>
        <s v="3100007692"/>
        <s v="3100007693"/>
        <s v="3100007694"/>
        <s v="3100007695"/>
        <s v="3100007696"/>
        <s v="3100007697"/>
        <s v="3100007698"/>
        <s v="3100007699"/>
        <s v="3100007700"/>
        <s v="3100007701"/>
        <s v="3100007702"/>
        <s v="3100007703"/>
        <s v="3100007704"/>
        <s v="3100007705"/>
        <s v="3100007706"/>
        <s v="3100007707"/>
        <s v="3100007708"/>
        <s v="3100007709"/>
        <s v="3100007710"/>
        <s v="3100007711"/>
        <s v="3100007712"/>
        <s v="3100007713"/>
        <s v="3100007714"/>
        <s v="3100007715"/>
        <s v="3100007716"/>
        <s v="3100007717"/>
        <s v="3100007718"/>
        <s v="3100007719"/>
        <s v="3100007720"/>
        <s v="3100007721"/>
        <s v="3100007722"/>
        <s v="3100007723"/>
        <s v="3100007724"/>
        <s v="3100007725"/>
        <s v="3100007726"/>
        <s v="3100007727"/>
        <s v="3100007728"/>
        <s v="3100007729"/>
        <s v="3100007730"/>
        <s v="3100007731"/>
        <s v="3100007732"/>
        <s v="3100007733"/>
        <s v="3100007734"/>
        <s v="3100007735"/>
        <s v="3100007736"/>
        <s v="3100007737"/>
        <s v="3100007738"/>
        <s v="3100007739"/>
        <s v="3100007740"/>
        <s v="3100007741"/>
        <s v="3100007742"/>
        <s v="3100007743"/>
        <s v="3100007744"/>
        <s v="3100007745"/>
        <s v="3100007746"/>
        <s v="3100007747"/>
        <s v="3100007748"/>
        <s v="3100007749"/>
        <s v="3100007750"/>
        <s v="3100007751"/>
        <s v="3100007752"/>
        <s v="3100007753"/>
        <s v="3100007754"/>
        <s v="3100007755"/>
        <s v="3100007756"/>
        <s v="3100007757"/>
        <s v="3100007758"/>
        <s v="3100007759"/>
        <s v="3100007760"/>
        <s v="3100007761"/>
        <s v="3100007762"/>
        <s v="3100007763"/>
        <s v="3100007764"/>
        <s v="3100007765"/>
        <s v="3100007766"/>
        <s v="3100007767"/>
        <s v="3100007768"/>
        <s v="3100007769"/>
        <s v="3100007770"/>
        <s v="3100007771"/>
        <s v="3100007772"/>
        <s v="3100007773"/>
        <s v="3100007774"/>
        <s v="3100007775"/>
        <s v="3100007776"/>
        <s v="3100007777"/>
        <s v="3100007778"/>
        <s v="3100007779"/>
        <s v="3100007780"/>
        <s v="3100007781"/>
        <s v="3100007782"/>
        <s v="3100007783"/>
        <s v="3100007784"/>
        <s v="3100007785"/>
        <s v="3100007786"/>
        <s v="3100007787"/>
        <s v="3100007788"/>
        <s v="3100007789"/>
        <s v="3100007790"/>
        <s v="3100007791"/>
        <s v="3100007792"/>
        <s v="3100007793"/>
        <s v="3100007794"/>
        <s v="3100007795"/>
        <s v="3100007796"/>
        <s v="3100007797"/>
        <s v="3100007798"/>
        <s v="3100007799"/>
        <s v="3100007800"/>
        <s v="3100007801"/>
        <s v="3100007802"/>
        <s v="3100007803"/>
        <s v="3100007804"/>
        <s v="3100007805"/>
        <s v="3100007806"/>
        <s v="3100007807"/>
        <s v="3100007808"/>
        <s v="3100007809"/>
        <s v="3100007810"/>
        <s v="3100007811"/>
        <s v="3100007812"/>
        <s v="3100007813"/>
        <s v="3100007814"/>
        <s v="3100007815"/>
        <s v="3100007816"/>
        <s v="3100007817"/>
        <s v="3100007818"/>
        <s v="3100007819"/>
        <s v="3100007820"/>
        <s v="3100007821"/>
        <s v="3100007822"/>
        <s v="3100007823"/>
        <s v="3100007824"/>
        <s v="3100007825"/>
        <s v="3100007826"/>
        <s v="3100007827"/>
        <s v="3100007828"/>
        <s v="3100007829"/>
        <s v="3100007830"/>
        <s v="3100007831"/>
        <s v="3100007832"/>
        <s v="3100007833"/>
        <s v="3100007834"/>
        <s v="3100007835"/>
        <s v="3100007836"/>
        <s v="3100007837"/>
        <s v="3100007838"/>
        <s v="3100007839"/>
        <s v="3100007840"/>
        <s v="3100007841"/>
        <s v="3100007842"/>
        <s v="3100007843"/>
        <s v="3100007844"/>
        <s v="3100007845"/>
        <s v="3100007846"/>
        <s v="3100007847"/>
        <s v="3100007848"/>
        <s v="3100007849"/>
        <s v="3100007850"/>
        <s v="3100007851"/>
        <s v="3100007852"/>
        <s v="3100007853"/>
        <s v="3100007854"/>
        <s v="3100007855"/>
        <s v="3100007856"/>
        <s v="3100007857"/>
        <s v="3100007858"/>
        <s v="3100007859"/>
        <s v="3100007860"/>
        <s v="3100007861"/>
        <s v="3100007862"/>
        <s v="3100007863"/>
        <s v="3100007864"/>
        <s v="3100007865"/>
        <s v="3100007866"/>
        <s v="3100007867"/>
        <s v="3100007868"/>
        <s v="3100007869"/>
        <s v="3100007870"/>
        <s v="3100007871"/>
        <s v="3100007872"/>
        <s v="3100007873"/>
        <s v="3100007874"/>
        <s v="3100007875"/>
        <s v="3100007876"/>
        <s v="3100007877"/>
        <s v="3100007878"/>
        <s v="3100007879"/>
        <s v="3100007880"/>
        <s v="3100007881"/>
        <s v="3100007882"/>
        <s v="3100007883"/>
        <s v="3100007884"/>
        <s v="3100007885"/>
        <s v="3100007886"/>
        <s v="3100007887"/>
        <s v="3100007888"/>
        <s v="3100007889"/>
        <s v="3100007890"/>
        <s v="3100007891"/>
        <s v="3100007892"/>
        <s v="3100007893"/>
        <s v="3100007894"/>
        <s v="3100007895"/>
        <s v="3100007896"/>
        <s v="3100007897"/>
        <s v="3100007898"/>
        <s v="3100007899"/>
        <s v="3100007900"/>
        <s v="3100007901"/>
        <s v="3100007903"/>
        <s v="3100007904"/>
        <s v="3100007905"/>
        <s v="3100007906"/>
        <s v="3100007907"/>
        <s v="3100007908"/>
        <s v="3100007909"/>
        <s v="3100007910"/>
        <s v="3100007911"/>
        <s v="3100007912"/>
        <s v="3100007913"/>
        <s v="3100007914"/>
        <s v="3100007915"/>
        <s v="3100007916"/>
        <s v="3100007917"/>
        <s v="3100007918"/>
        <s v="3100007919"/>
        <s v="3100007920"/>
        <s v="3100007921"/>
        <s v="3100007922"/>
        <s v="3100007923"/>
        <s v="3100007924"/>
        <s v="3100007925"/>
        <s v="3100007926"/>
        <s v="3100007927"/>
        <s v="3100007928"/>
        <s v="3100007929"/>
        <s v="3100007930"/>
        <s v="3100007931"/>
        <s v="3100007932"/>
        <s v="3100007933"/>
        <s v="3100007934"/>
        <s v="3100007935"/>
        <s v="3100007936"/>
        <s v="3100007937"/>
        <s v="3100007940"/>
        <s v="3100007941"/>
        <s v="3100007942"/>
        <s v="3100007943"/>
        <s v="3100007944"/>
        <s v="3100007945"/>
        <s v="3100007946"/>
        <s v="3100007947"/>
        <s v="3100007948"/>
        <s v="3100007949"/>
        <s v="3100007950"/>
        <s v="3100007951"/>
        <s v="3100007952"/>
        <s v="3100007953"/>
        <s v="3100007954"/>
        <s v="3100007955"/>
        <s v="3100007956"/>
        <s v="3100007957"/>
        <s v="3100007958"/>
        <s v="3100007959"/>
        <s v="3100007960"/>
        <s v="3100007961"/>
        <s v="3100007962"/>
        <s v="3100007963"/>
        <s v="3100007964"/>
        <s v="3100007965"/>
        <s v="3100007966"/>
        <s v="3100007967"/>
        <s v="3100007968"/>
        <s v="3100007969"/>
        <s v="3100007970"/>
        <s v="3100007971"/>
        <s v="3100007972"/>
        <s v="3100007973"/>
        <s v="3100007974"/>
        <s v="3100007975"/>
        <s v="3100007976"/>
        <s v="3100007977"/>
        <s v="3100007978"/>
        <s v="3100007980"/>
        <s v="3100007981"/>
        <s v="3100007982"/>
        <s v="3100007983"/>
        <s v="3100007984"/>
        <s v="3100007985"/>
        <s v="3100007986"/>
        <s v="3100007987"/>
        <s v="3100007988"/>
        <s v="3100007989"/>
        <s v="3100007990"/>
        <s v="3100007991"/>
        <s v="3100007992"/>
        <s v="3100007993"/>
        <s v="3100007994"/>
        <s v="3100007995"/>
        <s v="3100007996"/>
        <s v="3100007997"/>
        <s v="3100007998"/>
        <s v="3100007999"/>
        <s v="3100008000"/>
        <s v="3100008001"/>
        <s v="3100008002"/>
        <s v="3100008003"/>
        <s v="3100008004"/>
        <s v="3100008005"/>
        <s v="3100008006"/>
        <s v="3100008007"/>
        <s v="3100008008"/>
        <s v="3100008009"/>
        <s v="3100008010"/>
        <s v="3100008011"/>
        <s v="3100008012"/>
        <s v="3100008013"/>
        <s v="3100008014"/>
        <s v="3100008015"/>
        <s v="3100008016"/>
        <s v="3100008017"/>
        <s v="3100008018"/>
        <s v="3100008019"/>
        <s v="3100008020"/>
        <s v="3100008021"/>
        <s v="3100008022"/>
        <s v="3100008023"/>
        <s v="3100008024"/>
        <s v="3100008025"/>
        <s v="3100008026"/>
        <s v="3100008027"/>
        <s v="3100008028"/>
        <s v="3100008029"/>
        <s v="3100008030"/>
        <s v="3100008031"/>
        <s v="3100008032"/>
        <s v="3100008033"/>
        <s v="3100008034"/>
        <s v="3100008035"/>
        <s v="3100008036"/>
        <s v="3100008037"/>
        <s v="3100008038"/>
        <s v="3100008039"/>
        <s v="3100008040"/>
        <s v="3100008041"/>
        <s v="3100008042"/>
        <s v="3100008043"/>
        <s v="3100008044"/>
        <s v="3100008045"/>
        <s v="3100008046"/>
        <s v="3100008047"/>
        <s v="3100008048"/>
        <s v="3100008049"/>
        <s v="3100008050"/>
        <s v="3100008051"/>
        <s v="3100008052"/>
        <s v="3100008053"/>
        <s v="3100008054"/>
        <s v="3100008055"/>
        <s v="3100008056"/>
        <s v="3100008057"/>
        <s v="3100008058"/>
        <s v="3100008059"/>
        <s v="3100008060"/>
        <s v="3100008061"/>
        <s v="3100008062"/>
        <s v="3100008063"/>
        <s v="3100008064"/>
        <s v="3100008065"/>
        <s v="3100008066"/>
        <s v="3100008067"/>
        <s v="3100008068"/>
        <s v="3100008069"/>
        <s v="3100008070"/>
        <s v="3100008071"/>
        <s v="3100008072"/>
        <s v="3100008085"/>
        <s v="3100008086"/>
        <s v="3100008087"/>
        <s v="3100008088"/>
        <s v="3100008089"/>
        <s v="3100008090"/>
        <s v="3100008091"/>
        <s v="3100008092"/>
        <s v="3100008093"/>
        <s v="3100008094"/>
        <s v="3100008095"/>
        <s v="3100008096"/>
        <s v="3100008097"/>
        <s v="3100008098"/>
        <s v="3100008099"/>
        <s v="3100008100"/>
        <s v="3100008101"/>
        <s v="3100008102"/>
        <s v="3100008103"/>
        <s v="3100008104"/>
        <s v="3100008105"/>
        <s v="3100008106"/>
        <s v="3100008107"/>
        <s v="3100008108"/>
        <s v="3100008109"/>
        <s v="3100008110"/>
        <s v="3100008111"/>
        <s v="3100008112"/>
        <s v="3100008113"/>
        <s v="3100008114"/>
        <s v="3100008115"/>
        <s v="3100008116"/>
        <s v="3100008117"/>
        <s v="3100008118"/>
        <s v="3100008119"/>
        <s v="3100008120"/>
        <s v="3100008121"/>
        <s v="3100008122"/>
        <s v="3100008123"/>
        <s v="3100008124"/>
        <s v="3100008125"/>
        <s v="3100008126"/>
        <s v="3100008127"/>
        <s v="3100008128"/>
        <s v="3100008129"/>
        <s v="3100008130"/>
        <s v="3100008131"/>
        <s v="3100008132"/>
        <s v="3100008133"/>
        <s v="3100008134"/>
        <s v="3100008135"/>
        <s v="3100008136"/>
        <s v="3100008137"/>
        <s v="3100008138"/>
        <s v="3100008139"/>
        <s v="3100008140"/>
        <s v="3100008141"/>
        <s v="3100008142"/>
        <s v="3100008143"/>
        <s v="3100008144"/>
        <s v="3100008145"/>
        <s v="3100008146"/>
        <s v="3100008148"/>
        <s v="3100008149"/>
        <s v="3100008150"/>
        <s v="3100008151"/>
        <s v="3100008152"/>
        <s v="3100008153"/>
        <s v="3100008154"/>
        <s v="3100008155"/>
        <s v="3100008156"/>
        <s v="3100008157"/>
        <s v="3100008158"/>
        <s v="3100008159"/>
        <s v="3100008160"/>
        <s v="3100008161"/>
        <s v="3100008162"/>
        <s v="3100008163"/>
        <s v="3100008164"/>
        <s v="3100008165"/>
        <s v="3100008166"/>
        <s v="3100008167"/>
        <s v="3100008168"/>
        <s v="3100008169"/>
        <s v="3100008170"/>
        <s v="3100008171"/>
        <s v="3100008172"/>
        <s v="3100008173"/>
        <s v="3100008174"/>
        <s v="3100008175"/>
        <s v="3100008176"/>
        <s v="3100008177"/>
        <s v="3100008178"/>
        <s v="3100008179"/>
        <s v="3100008180"/>
        <s v="3100008181"/>
        <s v="3100008182"/>
        <s v="3100008183"/>
        <s v="3100008184"/>
        <s v="3100008185"/>
        <s v="3100008186"/>
        <s v="3100008187"/>
        <s v="3100008188"/>
        <s v="3100008189"/>
        <s v="3100008190"/>
        <s v="3100008191"/>
        <s v="3100008192"/>
        <s v="3100008193"/>
        <s v="3100008194"/>
        <s v="3100008195"/>
        <s v="3100008196"/>
        <s v="3100008197"/>
        <s v="3100008198"/>
        <s v="3100008199"/>
        <s v="3100008200"/>
        <s v="3100008201"/>
        <s v="3100008202"/>
        <s v="3100008203"/>
        <s v="3100008204"/>
        <s v="3100008205"/>
        <s v="3100008206"/>
        <s v="3100008207"/>
        <s v="3100008208"/>
        <s v="3100008209"/>
        <s v="3100008210"/>
        <s v="3100008211"/>
        <s v="3100008212"/>
        <s v="3100008213"/>
        <s v="3100008214"/>
        <s v="3100008215"/>
        <s v="3100008216"/>
        <s v="3100008217"/>
        <s v="3100008218"/>
        <s v="3100008219"/>
        <s v="3100008220"/>
        <s v="3100008221"/>
        <s v="3100008222"/>
        <s v="3100008223"/>
        <s v="3100008224"/>
        <s v="3100008225"/>
        <s v="3100008226"/>
        <s v="3100008227"/>
        <s v="3100008228"/>
        <s v="3100008229"/>
        <s v="3100008230"/>
        <s v="3100008231"/>
        <s v="3100008232"/>
        <s v="3100008233"/>
        <s v="3100008234"/>
        <s v="3100008235"/>
        <s v="3100008236"/>
        <s v="3100008237"/>
        <s v="3100008238"/>
        <s v="3100008239"/>
        <s v="3100008240"/>
        <s v="3100008241"/>
        <s v="3100008242"/>
        <s v="3100008243"/>
        <s v="3100008244"/>
        <s v="3100008245"/>
        <s v="3100008246"/>
        <s v="3100008247"/>
        <s v="3100008248"/>
        <s v="3100008249"/>
        <s v="3100008250"/>
        <s v="3100008251"/>
        <s v="3100008252"/>
        <s v="3100008253"/>
        <s v="3100008254"/>
        <s v="3100008255"/>
        <s v="3100008256"/>
        <s v="3100008257"/>
        <s v="3100008258"/>
        <s v="3100008259"/>
        <s v="3100008260"/>
        <s v="3100008261"/>
        <s v="3100008262"/>
        <s v="3100008263"/>
        <s v="3100008264"/>
        <s v="3100008265"/>
        <s v="3100008266"/>
        <s v="3100008267"/>
        <s v="3100008268"/>
        <s v="3100008269"/>
        <s v="3100008270"/>
        <s v="3100008271"/>
        <s v="3100008272"/>
        <s v="3100008273"/>
        <s v="3100008274"/>
        <s v="3100008275"/>
        <s v="3100008276"/>
        <s v="3100008277"/>
        <s v="3100008278"/>
        <s v="3100008279"/>
        <s v="3100008280"/>
        <s v="3100008281"/>
        <s v="3100008282"/>
        <s v="3100008283"/>
        <s v="3100008284"/>
        <s v="3100008285"/>
        <s v="3100008286"/>
        <s v="3100008287"/>
        <s v="3100008288"/>
        <s v="3100008289"/>
        <s v="3100008290"/>
        <s v="3100008291"/>
        <s v="3100008292"/>
        <s v="3100008293"/>
        <s v="3100008294"/>
        <s v="3100008295"/>
        <s v="3100008296"/>
        <s v="3100008297"/>
        <s v="3100008298"/>
        <s v="3100008299"/>
        <s v="3100008300"/>
        <s v="3100008301"/>
        <s v="3100008302"/>
        <s v="3100008303"/>
        <s v="3100008304"/>
        <s v="3100008305"/>
        <s v="3100008306"/>
        <s v="3100008307"/>
        <s v="3100008308"/>
        <s v="3100008309"/>
        <s v="3100008310"/>
        <s v="3100008311"/>
        <s v="3100008312"/>
        <s v="3100008313"/>
        <s v="3100008314"/>
        <s v="3100008315"/>
        <s v="3100008316"/>
        <s v="3100008317"/>
        <s v="3100008318"/>
        <s v="3100008319"/>
        <s v="3100008320"/>
        <s v="3100008321"/>
        <s v="3100008322"/>
        <s v="3100008323"/>
        <s v="3100008324"/>
        <s v="3100008325"/>
        <s v="3100008326"/>
        <s v="3100008345"/>
        <s v="3100008346"/>
        <s v="3100008347"/>
        <s v="3100008348"/>
        <s v="3100008349"/>
        <s v="3100008350"/>
        <s v="3100008351"/>
        <s v="3100008352"/>
        <s v="3100008353"/>
        <s v="3100008354"/>
        <s v="3100008355"/>
        <s v="3100008356"/>
        <s v="3100008357"/>
        <s v="3100008358"/>
        <s v="3100008359"/>
        <s v="3100008360"/>
        <s v="3100008361"/>
        <s v="3100008362"/>
        <s v="3100008363"/>
        <s v="3100008364"/>
        <s v="3100008365"/>
        <s v="3100008366"/>
        <s v="3100008367"/>
        <s v="3100008368"/>
        <s v="3100008369"/>
        <s v="3100008370"/>
        <s v="3100008371"/>
        <s v="3100008372"/>
        <s v="3100008373"/>
        <s v="3100008374"/>
        <s v="3100008375"/>
        <s v="3100008376"/>
        <s v="3100008377"/>
        <s v="3100008378"/>
        <s v="3100008379"/>
        <s v="3100008380"/>
        <s v="3100008381"/>
        <s v="3100008382"/>
        <s v="3100008383"/>
        <s v="3100008384"/>
        <s v="3100008385"/>
        <s v="3100008386"/>
        <s v="3100008387"/>
        <s v="3100008388"/>
        <s v="3100008389"/>
        <s v="3100008390"/>
        <s v="3100008391"/>
        <s v="3100008392"/>
        <s v="3100008393"/>
        <s v="3100008394"/>
        <s v="3100008395"/>
        <s v="3100008396"/>
        <s v="3100008397"/>
        <s v="3100008398"/>
        <s v="3100008399"/>
        <s v="3100008400"/>
        <s v="3100008401"/>
        <s v="3100008402"/>
        <s v="3100008403"/>
        <s v="3100008404"/>
        <s v="3100008405"/>
        <s v="3100008406"/>
        <s v="3100008407"/>
        <s v="3100008408"/>
        <s v="3100008409"/>
        <s v="3100008410"/>
        <s v="3100008411"/>
        <s v="3100008412"/>
        <s v="3100008413"/>
        <s v="3100008414"/>
        <s v="3100008415"/>
        <s v="3100008416"/>
        <s v="3100008417"/>
        <s v="3100008418"/>
        <s v="3100008419"/>
        <s v="3100008420"/>
        <s v="3100008421"/>
        <s v="3100008422"/>
        <s v="3100008423"/>
        <s v="3100008424"/>
        <s v="3100008425"/>
        <s v="3100008426"/>
        <s v="3100008427"/>
        <s v="3100008428"/>
        <s v="3100008429"/>
        <s v="3100008430"/>
        <s v="3100008431"/>
        <s v="3100008432"/>
        <s v="3100008433"/>
        <s v="3100008434"/>
        <s v="3100008435"/>
        <s v="3100008436"/>
        <s v="3100008437"/>
        <s v="3100008438"/>
        <s v="3100008439"/>
        <s v="3100008440"/>
        <s v="3100008441"/>
        <s v="3100008442"/>
        <s v="3100008443"/>
        <s v="3100008444"/>
        <s v="3100008445"/>
        <s v="3100008446"/>
        <s v="3100008447"/>
        <s v="3100008448"/>
        <s v="3100008449"/>
        <s v="3100008450"/>
        <s v="3100008451"/>
        <s v="3100008452"/>
        <s v="3100008453"/>
        <s v="3100008454"/>
        <s v="3100008455"/>
        <s v="3100008456"/>
        <s v="3100008457"/>
        <s v="3100008458"/>
        <s v="3100008459"/>
        <s v="3100008460"/>
        <s v="3100008461"/>
        <s v="3100008462"/>
        <s v="3100008463"/>
        <s v="3100008464"/>
        <s v="3100008465"/>
        <s v="3100008466"/>
        <s v="3100008467"/>
        <s v="3100008468"/>
        <s v="3100008469"/>
        <s v="3100008470"/>
        <s v="3100008471"/>
        <s v="3100008472"/>
        <s v="3100008473"/>
        <s v="3100008474"/>
        <s v="3100008475"/>
        <s v="3100008476"/>
        <s v="3100008477"/>
        <s v="3100008478"/>
        <s v="3100008479"/>
        <s v="3100008480"/>
        <s v="3100008481"/>
        <s v="3100008482"/>
        <s v="3100008483"/>
        <s v="3100008484"/>
        <s v="3100008485"/>
        <s v="3100008486"/>
        <s v="3100008487"/>
        <s v="3100008488"/>
        <s v="3100008489"/>
        <s v="3100008490"/>
        <s v="3100008491"/>
        <s v="3100008492"/>
        <s v="3100008493"/>
        <s v="3100008494"/>
        <s v="3100008495"/>
        <s v="3100008496"/>
        <s v="3100008497"/>
        <s v="3100008498"/>
        <s v="3100008499"/>
        <s v="3100008500"/>
        <s v="3100008501"/>
        <s v="3100008502"/>
        <s v="3100008503"/>
        <s v="3100008504"/>
        <s v="3100008505"/>
        <s v="3100008506"/>
        <s v="3100008507"/>
        <s v="3100008508"/>
        <s v="3100008509"/>
        <s v="3100008510"/>
        <s v="3100008511"/>
        <s v="3100008512"/>
        <s v="3100008513"/>
        <s v="3100008514"/>
        <s v="3100008515"/>
        <s v="3100008516"/>
        <s v="3100008517"/>
        <s v="3100008518"/>
        <s v="3100008519"/>
        <s v="3100008520"/>
        <s v="3100008521"/>
        <s v="3100008522"/>
        <s v="3100008523"/>
        <s v="3100008524"/>
        <s v="3100008525"/>
        <s v="3100008526"/>
        <s v="3100008527"/>
        <s v="3100008528"/>
        <s v="3100008529"/>
        <s v="3100008530"/>
        <s v="3100008531"/>
        <s v="3100008532"/>
        <s v="3100008533"/>
        <s v="3100008534"/>
        <s v="3100008535"/>
        <s v="3100008536"/>
        <s v="3100008537"/>
        <s v="3100008538"/>
        <s v="3100008539"/>
        <s v="3100008540"/>
        <s v="3100008541"/>
        <s v="3100008542"/>
        <s v="3100008543"/>
        <s v="3100008544"/>
        <s v="3100008545"/>
        <s v="3100008546"/>
        <s v="3100008547"/>
        <s v="3100008548"/>
        <s v="3100008549"/>
        <s v="3100008550"/>
        <s v="3100008551"/>
        <s v="3100008552"/>
        <s v="3100008553"/>
        <s v="3100008554"/>
        <s v="3100008555"/>
        <s v="3100008556"/>
        <s v="3100008557"/>
        <s v="3100008558"/>
        <s v="3100008559"/>
        <s v="3100008560"/>
        <s v="3100008561"/>
        <s v="3100008562"/>
        <s v="3100008563"/>
        <s v="3100008564"/>
        <s v="3100008565"/>
        <s v="3100008566"/>
        <s v="3100008567"/>
        <s v="3100008568"/>
        <s v="3100008569"/>
        <s v="3100008570"/>
        <s v="3100008571"/>
        <s v="3100008572"/>
        <s v="3100008573"/>
        <s v="3100008574"/>
        <s v="3100008575"/>
        <s v="3100008576"/>
        <s v="3100008577"/>
        <s v="3100008578"/>
        <s v="3100008579"/>
        <s v="3100008580"/>
        <s v="3100008581"/>
        <s v="3100008582"/>
        <s v="3100008583"/>
        <s v="3100008584"/>
        <s v="3100008585"/>
        <s v="3100008586"/>
        <s v="3100008587"/>
        <s v="3100008588"/>
        <s v="3100008589"/>
        <s v="3100008590"/>
        <s v="3100008591"/>
        <s v="3100008592"/>
        <s v="3100008593"/>
        <s v="3100008594"/>
        <s v="3100008595"/>
        <s v="3100008596"/>
        <s v="3100008597"/>
        <s v="3100008598"/>
        <s v="3100008599"/>
        <s v="3100008600"/>
        <s v="3100008601"/>
        <s v="3100008602"/>
        <s v="3100008603"/>
        <s v="3100008604"/>
        <s v="3100008605"/>
        <s v="3100008606"/>
        <s v="3100008607"/>
        <s v="3100008608"/>
        <s v="3100008609"/>
        <s v="3100008610"/>
        <s v="3100008611"/>
        <s v="3100008612"/>
        <s v="3100008613"/>
        <s v="3100008614"/>
        <s v="3100008615"/>
        <s v="3100008616"/>
        <s v="3100008617"/>
        <s v="3100008618"/>
        <s v="3100008619"/>
        <s v="3100008620"/>
        <s v="3100008621"/>
        <s v="3100008622"/>
        <s v="3100008623"/>
        <s v="3100008624"/>
        <s v="3100008625"/>
        <s v="3100008626"/>
        <s v="3100008627"/>
        <s v="3100008628"/>
        <s v="3100008629"/>
        <s v="3100008630"/>
        <s v="3100008631"/>
        <s v="3100008632"/>
        <s v="3100008633"/>
        <s v="3100008634"/>
        <s v="3100008635"/>
        <s v="3100008636"/>
        <s v="3100008637"/>
        <s v="3100008638"/>
        <s v="3100008639"/>
        <s v="3100008640"/>
        <s v="3100008641"/>
        <s v="3100008642"/>
        <s v="3100008643"/>
        <s v="3100008644"/>
        <s v="3100008645"/>
        <s v="3100008646"/>
        <s v="3100008647"/>
        <s v="3100008648"/>
        <s v="3100008649"/>
        <s v="3100008650"/>
        <s v="3100008651"/>
        <s v="3100008652"/>
        <s v="3100008653"/>
        <s v="3100008654"/>
        <s v="3100008655"/>
        <s v="3100008656"/>
        <s v="3100008657"/>
        <s v="3100008658"/>
        <s v="3100008659"/>
        <s v="3100008660"/>
        <s v="3100008661"/>
        <s v="3100008662"/>
        <s v="3100008663"/>
        <s v="3100008664"/>
        <s v="3100008665"/>
        <s v="3100008666"/>
        <s v="3100008667"/>
        <s v="3100008668"/>
        <s v="3100008669"/>
        <s v="3100008670"/>
        <s v="3100008671"/>
        <s v="3100008672"/>
        <s v="3100008673"/>
        <s v="3100008674"/>
        <s v="3100008675"/>
        <s v="3100008676"/>
        <s v="3100008677"/>
        <s v="3100008678"/>
        <s v="3100008679"/>
        <s v="3100008680"/>
        <s v="3100008681"/>
        <s v="3100008682"/>
        <s v="3100008683"/>
        <s v="3100008684"/>
        <s v="3100008685"/>
        <s v="3100008686"/>
        <s v="3100008687"/>
        <s v="3100008688"/>
        <s v="3100008705"/>
        <s v="3100008706"/>
        <s v="3100008707"/>
        <s v="3100008708"/>
        <s v="3100008709"/>
        <s v="3100008710"/>
        <s v="3100008711"/>
        <s v="3100008712"/>
        <s v="3100008713"/>
        <s v="3100008714"/>
        <s v="3100008715"/>
        <s v="3100008716"/>
        <s v="3100008717"/>
        <s v="3100008718"/>
        <s v="3100008719"/>
        <s v="3100008720"/>
        <s v="3100008721"/>
        <s v="3100008722"/>
        <s v="3100008723"/>
        <s v="3100008724"/>
        <s v="3100008725"/>
        <s v="3100008726"/>
        <s v="3100008727"/>
        <s v="3100008728"/>
        <s v="3100008729"/>
        <s v="3100008730"/>
        <s v="3100008731"/>
        <s v="3100008732"/>
        <s v="3100008733"/>
        <s v="3100008734"/>
        <s v="3100008735"/>
        <s v="3100008736"/>
        <s v="3100008737"/>
        <s v="3100008738"/>
        <s v="3100008739"/>
        <s v="3100008740"/>
        <s v="3100008744"/>
        <s v="3100008745"/>
        <s v="3100008746"/>
        <s v="3100008747"/>
        <s v="3100008748"/>
        <s v="3100008749"/>
        <s v="3100008750"/>
        <s v="3100008751"/>
        <s v="3100008752"/>
        <s v="3100008753"/>
        <s v="3100008754"/>
        <s v="3100008755"/>
        <s v="3100008756"/>
        <s v="3100008757"/>
        <s v="3100008758"/>
        <s v="3100008759"/>
        <s v="3100008760"/>
        <s v="3100008761"/>
        <s v="3100008762"/>
        <s v="3100008763"/>
        <s v="3100008764"/>
        <s v="3100008765"/>
        <s v="3100008766"/>
        <s v="3100008767"/>
        <s v="3100008768"/>
        <s v="3100008769"/>
        <s v="3100008770"/>
        <s v="3100008771"/>
        <s v="3100008772"/>
        <s v="3100008773"/>
        <s v="3100008774"/>
        <s v="3100008775"/>
        <s v="3100008776"/>
        <s v="3100008777"/>
        <s v="3100008778"/>
        <s v="3100008779"/>
        <s v="3100008780"/>
        <s v="3100008781"/>
        <s v="3100008782"/>
        <s v="3100008783"/>
        <s v="3100008784"/>
        <s v="3100008785"/>
        <s v="3100008786"/>
        <s v="3100008787"/>
        <s v="3100008788"/>
        <s v="3100008789"/>
        <s v="3100008790"/>
        <s v="3100008791"/>
        <s v="3100008792"/>
        <s v="3100008793"/>
        <s v="3100008794"/>
        <s v="3100008795"/>
        <s v="3100008796"/>
        <s v="3100008797"/>
        <s v="3100008798"/>
        <s v="3100008799"/>
        <s v="3100008800"/>
        <s v="3100008801"/>
        <s v="3100008802"/>
        <s v="3100008803"/>
        <s v="3100008804"/>
        <s v="3100008805"/>
        <s v="3100008806"/>
        <s v="3100008807"/>
        <s v="3100008808"/>
        <s v="3100008809"/>
        <s v="3100008810"/>
        <s v="3100008811"/>
        <s v="3100008812"/>
        <s v="3100008813"/>
        <s v="3100008814"/>
        <s v="3100008815"/>
        <s v="3100008816"/>
        <s v="3100008817"/>
        <s v="3100008818"/>
        <s v="3100008819"/>
        <s v="3100008820"/>
        <s v="3100008821"/>
        <s v="3100008822"/>
        <s v="3100008823"/>
        <s v="3100008824"/>
        <s v="3100008825"/>
        <s v="3100008826"/>
        <s v="3100008827"/>
        <s v="3100008828"/>
        <s v="3100008829"/>
        <s v="3100008830"/>
        <s v="3100008831"/>
        <s v="3100008832"/>
        <s v="3100008833"/>
        <s v="3100008834"/>
        <s v="3100008835"/>
        <s v="3100008836"/>
        <s v="3100008837"/>
        <s v="3100008838"/>
        <s v="3100008839"/>
        <s v="3100008840"/>
        <s v="3100008841"/>
        <s v="3100008842"/>
        <s v="3100008843"/>
        <s v="3100008844"/>
        <s v="3100008845"/>
        <s v="3100008846"/>
        <s v="3100008847"/>
        <s v="3100008848"/>
        <s v="3100008849"/>
        <s v="3100008850"/>
        <s v="3100008851"/>
        <s v="3100008852"/>
        <s v="3100008853"/>
        <s v="3100008854"/>
        <s v="3100008855"/>
        <s v="3100008856"/>
        <s v="3100008857"/>
        <s v="3100008858"/>
        <s v="3100008859"/>
        <s v="3100008860"/>
        <s v="3100008865"/>
        <s v="3100008866"/>
        <s v="3100008867"/>
        <s v="3100008868"/>
        <s v="3100008869"/>
        <s v="3100008870"/>
        <s v="3100008871"/>
        <s v="3100008885"/>
        <s v="3100008886"/>
        <s v="3100008887"/>
        <s v="3100008888"/>
        <s v="3100008889"/>
        <s v="3100008890"/>
        <s v="3100008891"/>
        <s v="3100008892"/>
        <s v="3100008893"/>
        <s v="3100008894"/>
        <s v="3100008895"/>
        <s v="3100008896"/>
        <s v="3100008897"/>
        <s v="3100008898"/>
        <s v="3100008899"/>
        <s v="3100008900"/>
        <s v="3100008901"/>
        <s v="3100008902"/>
        <s v="3100008903"/>
        <s v="3100008904"/>
        <s v="3100008905"/>
        <s v="3100008906"/>
        <s v="3100008907"/>
        <s v="3100008908"/>
        <s v="3100008909"/>
        <s v="3100008910"/>
        <s v="3100008911"/>
        <s v="3100008912"/>
        <s v="3100008913"/>
        <s v="3100008914"/>
        <s v="3100008915"/>
        <s v="3100008916"/>
        <s v="3100008917"/>
        <s v="3100008918"/>
        <s v="3100008919"/>
        <s v="3100008920"/>
        <s v="3100008921"/>
        <s v="3100008922"/>
        <s v="3100008923"/>
        <s v="3100008924"/>
        <s v="3100008925"/>
        <s v="3100008926"/>
        <s v="3100008927"/>
        <s v="3100008928"/>
        <s v="3100008929"/>
        <s v="3100008930"/>
        <s v="3100008931"/>
        <s v="3100008932"/>
        <s v="3100008933"/>
        <s v="3100008934"/>
        <s v="3100008935"/>
        <s v="3100008936"/>
        <s v="3100008937"/>
        <s v="3100008938"/>
        <s v="3100008939"/>
        <s v="3100008940"/>
        <s v="3100008941"/>
        <s v="3100008942"/>
        <s v="3100008943"/>
        <s v="3100008944"/>
        <s v="3100008945"/>
        <s v="3100008946"/>
        <s v="3100008947"/>
        <s v="3100008948"/>
        <s v="3100008949"/>
        <s v="3100008950"/>
        <s v="3100008951"/>
        <s v="3100008952"/>
        <s v="3100008953"/>
        <s v="3100008965"/>
        <s v="3100008966"/>
        <s v="3100008967"/>
        <s v="3100008968"/>
        <s v="3100008969"/>
        <s v="3100008970"/>
        <s v="3100008971"/>
        <s v="3100008972"/>
        <s v="3100008973"/>
        <s v="3100008974"/>
        <s v="3100008975"/>
        <s v="3100008976"/>
        <s v="3100008977"/>
        <s v="3100008978"/>
        <s v="3100008979"/>
        <s v="3100008980"/>
        <s v="3100008981"/>
        <s v="3100008982"/>
        <s v="3100008983"/>
        <s v="3100008984"/>
        <s v="3100008985"/>
        <s v="3100008986"/>
        <s v="3100008987"/>
        <s v="3100008988"/>
        <s v="3100008989"/>
        <s v="3100008990"/>
        <s v="3100008991"/>
        <s v="3100008992"/>
        <s v="3100008993"/>
        <s v="3100008994"/>
        <s v="3100008995"/>
        <s v="3100008996"/>
        <s v="3100008997"/>
        <s v="3100008998"/>
        <s v="3100008999"/>
        <s v="3100009000"/>
        <s v="3100009001"/>
        <s v="3100009002"/>
        <s v="3100009003"/>
        <s v="3100009004"/>
        <s v="3100009005"/>
        <s v="3100009006"/>
        <s v="3100009007"/>
        <s v="3100009008"/>
        <s v="3100009009"/>
        <s v="3100009010"/>
        <s v="3100009011"/>
        <s v="3100009012"/>
        <s v="3100009013"/>
        <s v="3100009014"/>
        <s v="3100009015"/>
        <s v="3100009016"/>
        <s v="3100009017"/>
        <s v="3100009018"/>
        <s v="3100009019"/>
        <s v="3100009020"/>
        <s v="3100009021"/>
        <s v="3100009022"/>
        <s v="3100009023"/>
        <s v="3100009024"/>
        <s v="3100009025"/>
        <s v="3100009026"/>
        <s v="3100009027"/>
        <s v="3100009028"/>
        <s v="3100009029"/>
        <s v="3100009030"/>
        <s v="3100009031"/>
        <s v="3100009032"/>
        <s v="3100009033"/>
        <s v="3100009034"/>
      </sharedItems>
    </cacheField>
    <cacheField name="Material" numFmtId="0">
      <sharedItems/>
    </cacheField>
    <cacheField name="Material Description" numFmtId="0">
      <sharedItems/>
    </cacheField>
    <cacheField name="Requirement Quantity (EINHEIT)" numFmtId="164">
      <sharedItems containsSemiMixedTypes="0" containsString="0" containsNumber="1" minValue="-3230" maxValue="4000000"/>
    </cacheField>
    <cacheField name="Quantity withdrawn (EINHEIT)" numFmtId="164">
      <sharedItems containsSemiMixedTypes="0" containsString="0" containsNumber="1" minValue="-3230" maxValue="4000000"/>
    </cacheField>
    <cacheField name="Base Unit of Measure (=EINHEIT)" numFmtId="0">
      <sharedItems/>
    </cacheField>
    <cacheField name="Part_WT" numFmtId="0">
      <sharedItems containsBlank="1" containsMixedTypes="1" containsNumber="1" minValue="0" maxValue="600.40899999999999"/>
    </cacheField>
    <cacheField name="Reject PC" numFmtId="43">
      <sharedItems containsSemiMixedTypes="0" containsString="0" containsNumber="1" minValue="-238974.358974359" maxValue="0"/>
    </cacheField>
    <cacheField name="Preform" numFmtId="0">
      <sharedItems count="133">
        <s v="45.0PC2RD-IG-B"/>
        <s v="29-1.27-2TP-CL-A"/>
        <s v="9.70TO2RD-CLS-B"/>
        <s v="36.0BC1RD-CL-G"/>
        <s v="9.4TO2RD-LBS-A"/>
        <s v="8.3TO2RD-LBS-A"/>
        <s v="52.0BC1RD-CL-B"/>
        <s v="30.5PC2RD-CLS-A"/>
        <s v="8.3TO2RD-CLS-A"/>
        <s v="21.0PC2RD-CLS-A"/>
        <e v="#N/A"/>
        <s v="29.3TO2RD-LB-A"/>
        <s v="51.0BC1RD-LB-A"/>
        <s v="45.0PC2RD-CL-VH"/>
        <s v="14.0TO2RD-B4-A"/>
        <s v="52.0BC1RD-CL-G"/>
        <s v="45.0PC2RD-CL-B"/>
        <s v="26.6TO2RD-CL-BH"/>
        <s v="14.0TO2RD-B3-B"/>
        <s v="21.0PC1RD-IGS-A"/>
        <s v="21.0PC2RD-CL-VS"/>
        <s v="30.5PC2RD-CLS-BH2"/>
        <s v="7.8TO2RD-CLS-A"/>
        <s v="10.4TO2RD-LB-A"/>
        <s v="7.45TO2RD-LBS-A"/>
        <s v="14.0PC2RD-CL-A"/>
        <s v="26.6TO2RD-CL-B"/>
        <s v="8.3TO2RD-LBS1-A"/>
        <s v="22.3PC2RD-CLS-A"/>
        <s v="45.0PC2RD-IG-A"/>
        <s v="30.5PC2RD-IGS-A"/>
        <s v="30.5PC2RD-IGS-BH2"/>
        <s v="13.5TO2RD-B3-B"/>
        <s v="9.4TO2RD-LBS2-A"/>
        <s v="45.0PC2RD-IG-VH"/>
        <s v="52.0BC1RD-DB-A"/>
        <s v="29.3TO2RD-CL-A"/>
        <s v="12.5TO2RD-LBS1-A"/>
        <s v="7.8TO2RD-LB1S-A"/>
        <s v="12.5TO2RD-CLS-B"/>
        <s v="11.5TO2RD-CLS-A"/>
        <s v="7.80TO2RD-AJBS-B"/>
        <s v="11.5TO2RD-AJBS-B"/>
        <s v="45PC2RD-CL-A"/>
        <s v="15.5BC1RD-CL-A"/>
        <s v="50.1PC2RD-CLR-B"/>
        <s v="13.5BC1RD-CL-G"/>
        <s v="14.0PC2RD-IG-A"/>
        <s v="36.0BC1RD-CJ-S"/>
        <s v="51.0BC1RD-CL-S"/>
        <s v="34.0BC1EC-W2-S"/>
        <s v="34.0BC1EC-CL2-S"/>
        <s v="1300C51-SFI-1MMFJ"/>
        <s v="10.4TO2RD-CL-A"/>
        <s v="15.5BC1RD-CL-S"/>
        <s v="13.5TO2RD-LB-A"/>
        <s v="FRG119"/>
        <s v="FRG161"/>
        <s v="12.7BC1EC-CL-S"/>
        <s v="7.8TO2RD-LBS2-A"/>
        <s v="9.4TO2RD-CLS-V"/>
        <s v="29.3TO2RD-B1-B"/>
        <s v="26.6TO2RD-LB-A"/>
        <s v="26.6TO2RD-AJB-BH"/>
        <s v="18.0BC1RD-CL-S"/>
        <s v="11.5TO2RD-CLS-V"/>
        <s v="50.1PC2RD-CL-B"/>
        <s v="10.4TO2RD-CLS-A"/>
        <s v="50.1PC2RD-IG-A"/>
        <s v="12.5TO2RD-CLS-A"/>
        <s v="9.4TO2RD-LBS1-A"/>
        <s v="30.5PC2RD-CLS-V"/>
        <s v="1300C51-SFI-1ORMNJ"/>
        <s v="1400C51-SFI-1MFJ"/>
        <s v="850W34-SFI-1FFL10"/>
        <s v="7.45TO2RD-AJBS-B"/>
        <s v="18.0PC2RD-CL-A"/>
        <s v="7.45TO2RD-LBS1-A"/>
        <s v="12.5TO2RD-CAS-V"/>
        <s v="45.0PC2RD-CLS-B"/>
        <s v="48.0BC1RD-CL-A"/>
        <s v="30.5PC2RD-IGS-V"/>
        <s v="30.5PC2RD-IGS-BH1"/>
        <s v="600409"/>
        <s v="13.5BC1RD-CL-S"/>
        <s v="26.6TO2RD-B2-B"/>
        <s v="45.0PC2RD-CLS-V"/>
        <s v="12.5TO2RD-LBS-A"/>
        <s v="45.0PC2RD-IGS-B"/>
        <s v="14.0TO2RD-CL-A"/>
        <s v="12.5TO2RD-DBS1-A"/>
        <s v="45.0PC2RD-IGS-V"/>
        <s v="9.4TO2RD-B1-B"/>
        <s v="50.1PC2RD-CL-A"/>
        <s v="47.5PC2RD-CLS-B"/>
        <s v="47.5PC2RD-IGS-B"/>
        <s v="50.1PC2RD-IG-B"/>
        <s v="16.7PC2RD-CL-A"/>
        <s v="12.5TO2RD-B14-B"/>
        <s v="26.6TO2RD-BS4-B"/>
        <s v="26.6TO2RD-CL-A"/>
        <s v="600321"/>
        <s v="11.5TO2RD-LBS-A"/>
        <s v="850W34-SFI-1FFL11"/>
        <s v="29-1.27-2TP-B4-A"/>
        <s v="9.4TO2RD-CLS-B"/>
        <s v="12.7BC1EC-W1-S"/>
        <s v="13.5TO1RD-CL-A"/>
        <s v="30.5PC2RD-CLR-V"/>
        <s v="30.5PC2RD-IGR-V"/>
        <s v="45.0PC2RD-CLR-V"/>
        <s v="45.0PC2RD-IGR-V"/>
        <s v="45.0PC2RD-IGR-B"/>
        <s v="45.0PC2RD-CLR-B"/>
        <s v="30.5PC2RD-CLR-B"/>
        <s v="26.6TO2RD-BS10-B"/>
        <s v="30.5PC2RD-IGR-B"/>
        <s v="12.5TO2RD-BS10-B"/>
        <s v="13.5BC1RD-R1-G"/>
        <s v="13.5BC1RD-G1-G"/>
        <s v="13.5BC1RD-O1-G"/>
        <s v="15.5PC2RD-CL-V"/>
        <s v="15.5PC2RD-CL-B"/>
        <s v="9.4TO2RD-BS10-B"/>
        <s v="52.0BC1RD-CLS-B"/>
        <s v="850W34-SFI-1FFL12"/>
        <s v="14.0PC2RD-CJA-S"/>
        <s v="11.5TO2RD-CLS-B"/>
        <s v="7.45TO2RD-LBS2-A"/>
        <s v="FRG160"/>
        <s v="38.0BC1RS-CL-A"/>
        <s v="36.0BC1RD-CL-A"/>
        <s v="52.0BC1RD-CLJ-B"/>
      </sharedItems>
    </cacheField>
    <cacheField name="Preform Description" numFmtId="0">
      <sharedItems count="132">
        <s v="45.0 PCO 1881 ICI Green J/C(P Plt "/>
        <s v="29/25 1.27g CAP T PROOF Clear -WP"/>
        <s v="9.70 29/25 Rnd Clear J/C(P Plt)-SIPA"/>
        <s v="36.0 BC38mm 3 Rnd Clear OJ/C(W plt"/>
        <s v="9.4 TO 29/25 Rnd L.Blue J/C (W plt- SIPA"/>
        <s v="8.30TO LW 29/25Rd L.Blue J/C(W plt)-SIPA"/>
        <s v="52.0 BC38mm 3 Rnd Clear J/C(P Plt"/>
        <s v="30.5 PCO 1881 Rnd Clear J/C(W plt-SIPA"/>
        <s v="8.30TO LW 29/25 Clear J/C(WP)-SIPA"/>
        <s v="21.0PCO1881Rnd Clear J/C(W/p-SIPA"/>
        <e v="#N/A"/>
        <s v="29.3 TO 29/25 Rnd L.Blue J/C(W Plt)"/>
        <s v="51.0 BC 38mm 3 Rnd Light Blue J/C(W plt"/>
        <s v="45.0 PCO 1881 Rnd Clear MenaBev PP HDG"/>
        <s v="14.0 TO 29/25 Rnd Arwa Blue J/C(W plt)"/>
        <s v="52.0 BC 38mm 3 Rnd Clear OJ/C(W plt"/>
        <s v="45.0 PCO 1881Rd Clear J/C(P Plt"/>
        <s v="26.6 TO 29/25 Rnd CLR MenaBev PP HDG"/>
        <s v="14.0 TO29/25Rd Nova Blue-PET&quot;ST-YISHENG&quot;"/>
        <s v="21.0PCO1881Rnd ICI Green J/C(W/p-SIPA"/>
        <s v="21.0 PCO 1881 Rnd CLR MenaBev Spec SIPA"/>
        <s v="30.5 PCO 1881Rnd CLR J/C(PP JOM HDG-SIPA"/>
        <s v="7.80 TO 29/25 Rnd Clear J/C(W Plt-SIPA"/>
        <s v="10.4 TO 29/25 Rnd Light BLUE J/C(W Plt"/>
        <s v="7.45TO LW 29/25 L.Blue J/C(WP-SIPA"/>
        <s v="14.0 PCO 1881 Rnd Clear J/C(W Plt"/>
        <s v="26.6 TO 29/25 Rnd Clear J/C(P Plt"/>
        <s v="8.30TOLW29/25 L.Blue(≤2ppm)J/C(W pt-SIPA"/>
        <s v="22.3PCO 1881 Rnd Clear(SIPA)"/>
        <s v="45.0 PCO 1881 Rnd ICI Green J/C(W plt"/>
        <s v="30.5 PCO 1881 Rnd ICI Green J/C(WP-SIPA"/>
        <s v="30.5PCO1881 ICI GreenJ/C(PP JOM HDG-SIPA"/>
        <s v="13.5 TO29/25Rnd Nova Blue J/C(P pltYISHN"/>
        <s v="9.4TO 29/25Rnd L.Blue J/CWplt(≤1ppm)SIPA"/>
        <s v="45.0 PCO 1881 Rd ICI Green MenaBevPP HDG"/>
        <s v="52.0 BC38mm 3Rnd Dark Blue J/C(W plt"/>
        <s v="29.3 TO 29/25 Rnd Clear J/C(W Plt"/>
        <s v="12.5 TO29/25Rd L.Blue(≤ 2ppm)J/C(WP-SIPA"/>
        <s v="7.80TO 29/25 Rd L BlueAA(≤ 2)J/C(WP-SIPA"/>
        <s v="12.5 29/25 Rnd Clear J/C(PP"/>
        <s v="11.5 TO29/25Rd Clear J/C(WP-SIPA"/>
        <s v="7.80TO29/25Rnd'ALM'BLUE J/C(PP-SIPA-HDG"/>
        <s v="11.5TO29/25Rnd'ALM'BLUE J/C(PP-SIPA-HDG"/>
        <s v="45 PCO 1881 Rnd Clear J/C(W plt"/>
        <s v="15.5 BC38mm 3 Start Rnd Clear J/C(W plt"/>
        <s v="50.1 PCO 1881Rd Clear rPET J/C(P Pt"/>
        <s v="13.5 BC38mm 3 Rnd Clear OJ/C(p plt"/>
        <s v="14.0 PCO 1881 Rnd ICI Green J/C(W Plt)"/>
        <s v="36.0 BC 38mm 3 Rnd Clear Steel C-(Aujan)"/>
        <s v="51.0 BC 38mm 3 Rnd Clear steel c"/>
        <s v="34.0 BC38mm 3 ECO Huayan White Steel C"/>
        <s v="34.0 BC38mm 3 ECO Huayan Clear steel C"/>
        <s v="Safi 1.3L PET ClearBTL-MangoMixFruit-25D"/>
        <s v="10.4 TO 29/25 Rnd Clear J/C(W plt"/>
        <s v="15.5 BC38mm 3 Start Rnd Clear W Steel c."/>
        <s v="13.5 TO29/25 Rnd L.Blue J/C(W Plt)"/>
        <s v="PET Clear Preform For Grinding"/>
        <s v="PET Green Preform For Grinding"/>
        <s v="12.7 BC38mm 3 ECO Clear Steel c."/>
        <s v="7.80TO 29/25 Rnd L.Blue (≤1ppm) J/C Wplt"/>
        <s v="9.4 29/25RndCLR AA Rdcer MenaB PP"/>
        <s v="29.3 TO 29/25 Rnd Nova Blue J/C(PPYISHN"/>
        <s v="26.6 29/25 Rnd Light Blue J/C(W Plt"/>
        <s v="26.6TO29/25Rnd'ALM'BLUE J/C(PP-HDG)"/>
        <s v="18.0 BC38mm 3 Rnd Clear Steel C"/>
        <s v="11.5 TO29/25 Rnd Clear MenaBev (PP)"/>
        <s v="50.1 PCO 1881 Rnd Clear J/C(P plt"/>
        <s v="50.1 PCO 1881 Rnd ICI Green J/C(W plt"/>
        <s v="12.5 29/25 Rnd Clear J/C(W plt-SIPA"/>
        <s v="9.4TO 29/25Rnd L.Blue J/CWplt(≤2ppm)SIPA"/>
        <s v="30.5 PCO 1881 Rnd CLR Mena Bev Spec-SIPA"/>
        <s v="Safi 1.3L PET ClearBTL-OrangeM'Fruit NEC"/>
        <s v="Safi 1.4L PET Clear BTL-Multi Fruit -25D"/>
        <s v="Safi 850ml PET WHT BT-F.F Laban-25D V2"/>
        <s v="7.45TO29/25Rnd'ALM'BLUE J/C(PP-SIPA)"/>
        <s v="18.0 PCO 1881 Rnd Clear J/C(W Plt"/>
        <s v="7.45TO LW 29/25 L.Blue(≤2ppm)J/C(WP-SIPA"/>
        <s v="12.5 29/25 CLR AA Reducer MenaBev"/>
        <s v="45.0 PCO 1881Rd Clear J/C(P Plt - SIPA"/>
        <s v="48.0 BC38mm 3 Rnd Clear J/C(W plt"/>
        <s v="30.5PCO1881RndICI GreenMenaBev Spec-SIPA"/>
        <s v="30.5PCO1881 ICI GreenJ/C(PP AQS HDG-SIPA"/>
        <s v="PET BOTTLE SCRAP FOR SALE"/>
        <s v="13.5 BC38mm 3 Rnd Clear W steel c."/>
        <s v="26.6TO29/25Rnd Nova Blue - (JADE)"/>
        <s v="45.0 PCO 1881 Rnd Clear Mena Bev"/>
        <s v="12.5 TO29/25Rd L.Blue J/C(WP-SIPA"/>
        <s v="45.0 PCO 1881 ICI Green J/C(P Plt - SIPA"/>
        <s v="14.0 TO 29/25 Rnd Clear J/C(W plt)"/>
        <s v="12.5 29/25 Rd D.Blue(≤ 2ppm) J/C(WP-SIPA"/>
        <s v="45.0 PCO 1881 Rnd ICI Green Mena Bev"/>
        <s v="9.4 TO29/25 Rnd Nova Blue J/C(Ppl-SABIC"/>
        <s v="50.1 PCO 1881 Rnd Clear J/C(W Plt"/>
        <s v="47.5 PCO 1881 Rnd Clear J/C(P Plt)SIPA"/>
        <s v="47.5PCO 1881 Rnd ICI Green J/C(Pplt)SIPA"/>
        <s v="50.1 PCO 1881 Rnd ICI Green J/C(P Plt"/>
        <s v="16.7 PCO 1881 Rnd Clear J/C(W plt"/>
        <s v="12.5TO29/25Rnd Nova Blue J/C(Ppt-YISHeng"/>
        <s v="26.6TO29/25Rnd Nova Blue -ST-BC 211"/>
        <s v="26.6 29/25 Rnd Clear J/C(W Plt"/>
        <s v="PET PREFORM COLOURED"/>
        <s v="11.5 TO29/25Rd L.Blue J/C(WP-SIPA"/>
        <s v="Safi 850ml PET WHT BT-F.F Laban-26D"/>
        <s v="29/25 1.27g CAP TP Nova Blue (=2%)-WP"/>
        <s v="9.4 TO 29/25 Rnd Clear J/C(PP)"/>
        <s v="12.7 BC38mm 3 ECO White Steel c."/>
        <s v="13.5 TO29/25 Rnd Clear J/C(W Plt)"/>
        <s v="30.5PCO 1881Rd Clear RPET Mena Bev"/>
        <s v="30.5PCO 1881 ICI Green RPET Mena Bev"/>
        <s v="45.0 PCO 1881Rd Clear RPET Mena Bev"/>
        <s v="45.0PCO 1881 ICI Green RPET Mena Bev"/>
        <s v="45.0PCO 1881 ICI Green RPET J/C(PP)"/>
        <s v="45.0 PCO 1881Rd Clear RPET J/C(PP)"/>
        <s v="30.5PCO 1881Rd Clear RPET J/C(PP)"/>
        <s v="26.6TO29/25Rnd Nova Blue &quot;Reliance&quot;"/>
        <s v="30.5PCO 1881 ICI Green RPET J/C(PP)"/>
        <s v="12.5TO29/25Rnd Nova Blue-PET&quot;Reliance&quot;"/>
        <s v="13.5 BC38mm 3 Rnd Red OJ/C(WP)"/>
        <s v="13.5 BC38mm 3 Rnd Green OJ/C(WP)"/>
        <s v="13.5 BC38mm 3 Rnd Orange OJ/C(WP)"/>
        <s v="15.5 PCO 1881 Rnd Clear MenaBev PP"/>
        <s v="15.5 PCO 1881 Rnd Clear PP"/>
        <s v="9.4 TO29/25Rnd NovaBlue-PET&quot;Reliance&quot;"/>
        <s v="52.0 BC38mm 3 Rnd Clear J/C(Pplt)SIPA"/>
        <s v="Safi 850ml PET WHT BT-F.F Laban-26D v2"/>
        <s v="14.0 PCO 1881 Rnd W/UV Steel C-(Aujan)"/>
        <s v="11.5 29/25 Rnd Clear J/C(PP"/>
        <s v="7.45TO 29/25 Rnd L.Blue (≤1ppm) J/C Wplt"/>
        <s v="PET Blue Preform For Grinding"/>
        <s v="38.0 BC 38mm short 112.7mm Clear J/C(Wpt"/>
        <s v="36.0 BC38mm 3 Rnd Clear J/C(W Plt"/>
        <s v="52.0 BC38mm 3Rnd Clear J/C-PP (ST-JADE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2">
  <r>
    <x v="0"/>
    <s v="FRG161"/>
    <s v="PET Green Preform For Grinding"/>
    <n v="-894"/>
    <n v="-894"/>
    <s v="KG"/>
    <n v="4.4999999999999998E-2"/>
    <n v="-19866.666666666668"/>
    <x v="0"/>
    <x v="0"/>
  </r>
  <r>
    <x v="0"/>
    <s v="45.0PC2RD-IG-B"/>
    <s v="45.0 PCO 1881 ICI Green J/C(P Plt "/>
    <n v="337824"/>
    <n v="337824"/>
    <s v="PC"/>
    <n v="4.4999999999999998E-2"/>
    <n v="0"/>
    <x v="0"/>
    <x v="0"/>
  </r>
  <r>
    <x v="1"/>
    <s v="29-1.27-2TP-CL-B"/>
    <s v="29/25 1.27g CAP T PROOF Clear -PP"/>
    <n v="1984000"/>
    <n v="1984000"/>
    <s v="PC"/>
    <n v="2.9000000000000001E-2"/>
    <n v="0"/>
    <x v="1"/>
    <x v="1"/>
  </r>
  <r>
    <x v="2"/>
    <s v="9.70TO2RD-CLS-B"/>
    <s v="9.70 29/25 Rnd Clear J/C(P Plt)-SIPA"/>
    <n v="2081160"/>
    <n v="2081160"/>
    <s v="PC"/>
    <n v="9.6999999999999986E-3"/>
    <n v="0"/>
    <x v="2"/>
    <x v="2"/>
  </r>
  <r>
    <x v="3"/>
    <s v="FRG119"/>
    <s v="PET Clear Preform For Grinding"/>
    <n v="-684"/>
    <n v="-684"/>
    <s v="KG"/>
    <n v="3.5999999999999997E-2"/>
    <n v="-19000"/>
    <x v="3"/>
    <x v="3"/>
  </r>
  <r>
    <x v="3"/>
    <s v="36.0BC1RD-CL-G"/>
    <s v="36.0 BC38mm 3 Rnd Clear OJ/C(W plt"/>
    <n v="76032"/>
    <n v="76032"/>
    <s v="PC"/>
    <n v="3.5999999999999997E-2"/>
    <n v="0"/>
    <x v="3"/>
    <x v="3"/>
  </r>
  <r>
    <x v="4"/>
    <s v="9.4TO2RD-B1-B"/>
    <s v="9.4 TO29/25 Rnd Nova Blue J/C(Ppl-SABIC"/>
    <n v="253802"/>
    <n v="0"/>
    <s v="PC"/>
    <n v="9.4000000000000004E-3"/>
    <n v="0"/>
    <x v="4"/>
    <x v="4"/>
  </r>
  <r>
    <x v="5"/>
    <s v="FRG160"/>
    <s v="PET Blue Preform For Grinding"/>
    <n v="-450"/>
    <n v="-450"/>
    <s v="KG"/>
    <n v="8.3000000000000001E-3"/>
    <n v="-54216.867469879515"/>
    <x v="5"/>
    <x v="5"/>
  </r>
  <r>
    <x v="5"/>
    <s v="8.3TO2RD-LBS-A"/>
    <s v="8.30TO LW 29/25Rd L.Blue J/C(W plt)-SIPA"/>
    <n v="540000"/>
    <n v="540000"/>
    <s v="PC"/>
    <n v="8.3000000000000001E-3"/>
    <n v="0"/>
    <x v="5"/>
    <x v="5"/>
  </r>
  <r>
    <x v="6"/>
    <s v="52.0BC1RD-CL-B"/>
    <s v="52.0 BC38mm 3 Rnd Clear J/C(P Plt"/>
    <n v="672000"/>
    <n v="67200"/>
    <s v="PC"/>
    <n v="5.1999999999999998E-2"/>
    <n v="0"/>
    <x v="6"/>
    <x v="6"/>
  </r>
  <r>
    <x v="7"/>
    <s v="30.5PC2RD-CLS-A"/>
    <s v="30.5 PCO 1881 Rnd Clear J/C(W plt-SIPA"/>
    <n v="10620"/>
    <n v="10620"/>
    <s v="PC"/>
    <n v="3.0499999999999999E-2"/>
    <n v="0"/>
    <x v="7"/>
    <x v="7"/>
  </r>
  <r>
    <x v="8"/>
    <s v="8.8TO2RD-LBS-A"/>
    <s v="8.80 TO LW 29/25Rd L.Blue J/C(W plt-SIPA"/>
    <n v="81000"/>
    <n v="81000"/>
    <s v="PC"/>
    <n v="8.3000000000000001E-3"/>
    <n v="0"/>
    <x v="8"/>
    <x v="8"/>
  </r>
  <r>
    <x v="9"/>
    <s v="21.0PC2RD-CL-VS"/>
    <s v="21.0 PCO 1881 Rnd CLR MenaBev Spec SIPA"/>
    <n v="32760"/>
    <n v="32760"/>
    <s v="PC"/>
    <n v="2.1000000000000001E-2"/>
    <n v="0"/>
    <x v="9"/>
    <x v="9"/>
  </r>
  <r>
    <x v="10"/>
    <s v="45.0PC2RD-IG-VH"/>
    <s v="45.0 PCO 1881 Rd ICI Green MenaBevPP HDG"/>
    <n v="152352"/>
    <n v="152352"/>
    <s v="PC"/>
    <n v="4.4999999999999998E-2"/>
    <n v="0"/>
    <x v="0"/>
    <x v="0"/>
  </r>
  <r>
    <x v="10"/>
    <s v="45.0PC2RD-IG-B"/>
    <s v="45.0 PCO 1881 ICI Green J/C(P Plt "/>
    <n v="79488"/>
    <n v="79488"/>
    <s v="PC"/>
    <n v="4.4999999999999998E-2"/>
    <n v="0"/>
    <x v="0"/>
    <x v="0"/>
  </r>
  <r>
    <x v="11"/>
    <s v="FRG161"/>
    <s v="PET Green Preform For Grinding"/>
    <n v="0"/>
    <n v="0"/>
    <s v="KG"/>
    <e v="#N/A"/>
    <n v="0"/>
    <x v="10"/>
    <x v="10"/>
  </r>
  <r>
    <x v="11"/>
    <s v="15.5BC1RD-CL-S"/>
    <s v="15.5 BC38mm 3 Start Rnd Clear W Steel c."/>
    <n v="150000"/>
    <n v="0"/>
    <s v="PC"/>
    <n v="1.55E-2"/>
    <n v="0"/>
    <x v="10"/>
    <x v="10"/>
  </r>
  <r>
    <x v="11"/>
    <s v="12.7BC1EC-W1-S"/>
    <s v="12.7 BC38mm 3 ECO White Steel c."/>
    <n v="100000"/>
    <n v="0"/>
    <s v="PC"/>
    <e v="#N/A"/>
    <n v="0"/>
    <x v="10"/>
    <x v="10"/>
  </r>
  <r>
    <x v="12"/>
    <s v="45.0PC2RD-IG-B"/>
    <s v="45.0 PCO 1881 ICI Green J/C(P Plt "/>
    <n v="33120"/>
    <n v="33120"/>
    <s v="PC"/>
    <n v="4.4999999999999998E-2"/>
    <n v="0"/>
    <x v="0"/>
    <x v="0"/>
  </r>
  <r>
    <x v="13"/>
    <s v="9.70TO2RD-CLS-B"/>
    <s v="9.70 29/25 Rnd Clear J/C(P Plt)-SIPA"/>
    <n v="2055780"/>
    <n v="2055780"/>
    <s v="PC"/>
    <n v="9.6999999999999986E-3"/>
    <n v="0"/>
    <x v="2"/>
    <x v="2"/>
  </r>
  <r>
    <x v="14"/>
    <s v="8.3TO2RD-LBS1-A"/>
    <s v="8.30TOLW29/25 L.Blue(≤2ppm)J/C(W pt-SIPA"/>
    <n v="189000"/>
    <n v="189000"/>
    <s v="PC"/>
    <n v="8.3000000000000001E-3"/>
    <n v="0"/>
    <x v="5"/>
    <x v="5"/>
  </r>
  <r>
    <x v="15"/>
    <s v="FRG160"/>
    <s v="PET Blue Preform For Grinding"/>
    <n v="-831"/>
    <n v="-831"/>
    <s v="KG"/>
    <n v="9.4000000000000004E-3"/>
    <n v="-88404.255319148928"/>
    <x v="4"/>
    <x v="4"/>
  </r>
  <r>
    <x v="15"/>
    <s v="9.4TO2RD-BS9-B"/>
    <s v="9.4 TO 29/25Rnd Nova Blue(JADE–SPPS)"/>
    <n v="570600"/>
    <n v="570600"/>
    <s v="PC"/>
    <n v="9.4000000000000004E-3"/>
    <n v="0"/>
    <x v="4"/>
    <x v="4"/>
  </r>
  <r>
    <x v="16"/>
    <s v="45.0PC2RD-IG-B"/>
    <s v="45.0 PCO 1881 ICI Green J/C(P Plt "/>
    <n v="33120"/>
    <n v="33120"/>
    <s v="PC"/>
    <n v="4.4999999999999998E-2"/>
    <n v="0"/>
    <x v="0"/>
    <x v="0"/>
  </r>
  <r>
    <x v="17"/>
    <s v="45.0PC2RD-IG-VH"/>
    <s v="45.0 PCO 1881 Rd ICI Green MenaBevPP HDG"/>
    <n v="0"/>
    <n v="0"/>
    <s v="PC"/>
    <n v="4.4999999999999998E-2"/>
    <n v="0"/>
    <x v="0"/>
    <x v="0"/>
  </r>
  <r>
    <x v="17"/>
    <s v="45.0PC2RD-IG-B"/>
    <s v="45.0 PCO 1881 ICI Green J/C(P Plt "/>
    <n v="152352"/>
    <n v="152352"/>
    <s v="PC"/>
    <n v="4.4999999999999998E-2"/>
    <n v="0"/>
    <x v="0"/>
    <x v="0"/>
  </r>
  <r>
    <x v="18"/>
    <s v="29.3TO2RD-B1-B"/>
    <s v="29.3 TO 29/25 Rnd Nova Blue J/C(PPYISHN"/>
    <n v="391390"/>
    <n v="391390"/>
    <s v="PC"/>
    <n v="2.93E-2"/>
    <n v="0"/>
    <x v="11"/>
    <x v="11"/>
  </r>
  <r>
    <x v="18"/>
    <s v="FRG160"/>
    <s v="PET Blue Preform For Grinding"/>
    <n v="-2607"/>
    <n v="-2607"/>
    <s v="KG"/>
    <n v="2.93E-2"/>
    <n v="-88976.109215017059"/>
    <x v="11"/>
    <x v="11"/>
  </r>
  <r>
    <x v="19"/>
    <s v="9.70TO2RD-CLS-B"/>
    <s v="9.70 29/25 Rnd Clear J/C(P Plt)-SIPA"/>
    <n v="2081160"/>
    <n v="2081160"/>
    <s v="PC"/>
    <n v="9.6999999999999986E-3"/>
    <n v="0"/>
    <x v="2"/>
    <x v="2"/>
  </r>
  <r>
    <x v="20"/>
    <s v="52.0BC1RD-CL-B"/>
    <s v="52.0 BC38mm 3 Rnd Clear J/C(P Plt"/>
    <n v="432000"/>
    <n v="432000"/>
    <s v="PC"/>
    <n v="5.1999999999999998E-2"/>
    <n v="0"/>
    <x v="6"/>
    <x v="6"/>
  </r>
  <r>
    <x v="21"/>
    <s v="FRG160"/>
    <s v="PET Blue Preform For Grinding"/>
    <n v="-450"/>
    <n v="-450"/>
    <s v="KG"/>
    <n v="8.3000000000000001E-3"/>
    <n v="-54216.867469879515"/>
    <x v="5"/>
    <x v="5"/>
  </r>
  <r>
    <x v="21"/>
    <s v="8.3TO2RD-LBS-A"/>
    <s v="8.30TO LW 29/25Rd L.Blue J/C(W plt)-SIPA"/>
    <n v="189000"/>
    <n v="189000"/>
    <s v="PC"/>
    <n v="8.3000000000000001E-3"/>
    <n v="0"/>
    <x v="5"/>
    <x v="5"/>
  </r>
  <r>
    <x v="22"/>
    <s v="FRG119"/>
    <s v="PET Clear Preform For Grinding"/>
    <n v="-225"/>
    <n v="-225"/>
    <s v="KG"/>
    <n v="8.3000000000000001E-3"/>
    <n v="-27108.433734939757"/>
    <x v="8"/>
    <x v="8"/>
  </r>
  <r>
    <x v="22"/>
    <s v="8.3TO2RD-CLS-A"/>
    <s v="8.30TO LW 29/25 Clear J/C(WP)-SIPA"/>
    <n v="108000"/>
    <n v="108000"/>
    <s v="PC"/>
    <n v="8.3000000000000001E-3"/>
    <n v="0"/>
    <x v="8"/>
    <x v="8"/>
  </r>
  <r>
    <x v="23"/>
    <s v="8.3TO2RD-LBS-A"/>
    <s v="8.30TO LW 29/25Rd L.Blue J/C(W plt)-SIPA"/>
    <n v="54000"/>
    <n v="54000"/>
    <s v="PC"/>
    <n v="8.3000000000000001E-3"/>
    <n v="0"/>
    <x v="8"/>
    <x v="8"/>
  </r>
  <r>
    <x v="24"/>
    <s v="FRG160"/>
    <s v="PET Blue Preform For Grinding"/>
    <n v="-313"/>
    <n v="-313"/>
    <s v="KG"/>
    <n v="5.0999999999999997E-2"/>
    <n v="-6137.254901960785"/>
    <x v="12"/>
    <x v="12"/>
  </r>
  <r>
    <x v="24"/>
    <s v="51.0BC1RD-LB-A"/>
    <s v="51.0 BC 38mm 3 Rnd Light Blue J/C(W plt"/>
    <n v="42840"/>
    <n v="42840"/>
    <s v="PC"/>
    <n v="5.0999999999999997E-2"/>
    <n v="0"/>
    <x v="12"/>
    <x v="12"/>
  </r>
  <r>
    <x v="25"/>
    <s v="45.0PC2RD-CL-B"/>
    <s v="45.0 PCO 1881Rd Clear J/C(P Plt"/>
    <n v="185472"/>
    <n v="185472"/>
    <s v="PC"/>
    <n v="4.4999999999999998E-2"/>
    <n v="0"/>
    <x v="13"/>
    <x v="13"/>
  </r>
  <r>
    <x v="26"/>
    <s v="45.0PC2RD-IG-VH"/>
    <s v="45.0 PCO 1881 Rd ICI Green MenaBevPP HDG"/>
    <n v="26496"/>
    <n v="26496"/>
    <s v="PC"/>
    <n v="4.4999999999999998E-2"/>
    <n v="0"/>
    <x v="13"/>
    <x v="13"/>
  </r>
  <r>
    <x v="27"/>
    <s v="9.4TO2RD-LBS1-A"/>
    <s v="9.4TO 29/25Rnd L.Blue J/CWplt(≤2ppm)SIPA"/>
    <n v="532980"/>
    <n v="532980"/>
    <s v="PC"/>
    <n v="9.4000000000000004E-3"/>
    <n v="0"/>
    <x v="4"/>
    <x v="4"/>
  </r>
  <r>
    <x v="28"/>
    <s v="9.70TO2RD-CLS-B"/>
    <s v="9.70 29/25 Rnd Clear J/C(P Plt)-SIPA"/>
    <n v="2106540"/>
    <n v="2106540"/>
    <s v="PC"/>
    <n v="9.6999999999999986E-3"/>
    <n v="0"/>
    <x v="2"/>
    <x v="2"/>
  </r>
  <r>
    <x v="29"/>
    <s v="52.0BC1RD-CL-B"/>
    <s v="52.0 BC38mm 3 Rnd Clear J/C(P Plt"/>
    <n v="235200"/>
    <n v="235200"/>
    <s v="PC"/>
    <n v="5.1999999999999998E-2"/>
    <n v="0"/>
    <x v="6"/>
    <x v="6"/>
  </r>
  <r>
    <x v="30"/>
    <s v="FRG160"/>
    <s v="PET Blue Preform For Grinding"/>
    <n v="-538"/>
    <n v="-538"/>
    <s v="KG"/>
    <n v="1.4E-2"/>
    <n v="-38428.571428571428"/>
    <x v="14"/>
    <x v="14"/>
  </r>
  <r>
    <x v="30"/>
    <s v="14.0TO2RD-B4-A"/>
    <s v="14.0 TO 29/25 Rnd Arwa Blue J/C(W plt)"/>
    <n v="192000"/>
    <n v="192000"/>
    <s v="PC"/>
    <n v="1.4E-2"/>
    <n v="0"/>
    <x v="14"/>
    <x v="14"/>
  </r>
  <r>
    <x v="31"/>
    <s v="FRG119"/>
    <s v="PET Clear Preform For Grinding"/>
    <n v="-249"/>
    <n v="-249"/>
    <s v="KG"/>
    <n v="5.1999999999999998E-2"/>
    <n v="-4788.461538461539"/>
    <x v="15"/>
    <x v="15"/>
  </r>
  <r>
    <x v="31"/>
    <s v="52.0BC1RD-CL-B"/>
    <s v="52.0 BC38mm 3 Rnd Clear J/C(P Plt"/>
    <n v="100800"/>
    <n v="100800"/>
    <s v="PC"/>
    <n v="5.1999999999999998E-2"/>
    <n v="0"/>
    <x v="15"/>
    <x v="15"/>
  </r>
  <r>
    <x v="32"/>
    <s v="45.0PC2RD-CL-B"/>
    <s v="45.0 PCO 1881Rd Clear J/C(P Plt"/>
    <n v="19872"/>
    <n v="19872"/>
    <s v="PC"/>
    <n v="4.4999999999999998E-2"/>
    <n v="0"/>
    <x v="16"/>
    <x v="16"/>
  </r>
  <r>
    <x v="33"/>
    <s v="26.6TO2RD-CL-B"/>
    <s v="26.6 TO 29/25 Rnd Clear J/C(P Plt"/>
    <n v="483840"/>
    <n v="483840"/>
    <s v="PC"/>
    <n v="2.6600000000000002E-2"/>
    <n v="0"/>
    <x v="17"/>
    <x v="17"/>
  </r>
  <r>
    <x v="34"/>
    <s v="45.0PC2RD-CL-B"/>
    <s v="45.0 PCO 1881Rd Clear J/C(P Plt"/>
    <n v="298080"/>
    <n v="298080"/>
    <s v="PC"/>
    <n v="4.4999999999999998E-2"/>
    <n v="0"/>
    <x v="16"/>
    <x v="16"/>
  </r>
  <r>
    <x v="35"/>
    <s v="9.70TO2RD-CLS-B"/>
    <s v="9.70 29/25 Rnd Clear J/C(P Plt)-SIPA"/>
    <n v="253800"/>
    <n v="253800"/>
    <s v="PC"/>
    <n v="9.6999999999999986E-3"/>
    <n v="0"/>
    <x v="2"/>
    <x v="2"/>
  </r>
  <r>
    <x v="36"/>
    <s v="FRG160"/>
    <s v="PET Blue Preform For Grinding"/>
    <n v="-1340"/>
    <n v="-1369.7"/>
    <s v="KG"/>
    <n v="1.4E-2"/>
    <n v="-97835.71428571429"/>
    <x v="14"/>
    <x v="14"/>
  </r>
  <r>
    <x v="36"/>
    <s v="14.0TO2RD-B4-A"/>
    <s v="14.0 TO 29/25 Rnd Arwa Blue J/C(W plt)"/>
    <n v="518400"/>
    <n v="518400"/>
    <s v="PC"/>
    <n v="1.4E-2"/>
    <n v="0"/>
    <x v="14"/>
    <x v="14"/>
  </r>
  <r>
    <x v="37"/>
    <s v="52.0BC1RD-CL-B"/>
    <s v="52.0 BC38mm 3 Rnd Clear J/C(P Plt"/>
    <n v="105600"/>
    <n v="105600"/>
    <s v="PC"/>
    <n v="5.1999999999999998E-2"/>
    <n v="0"/>
    <x v="6"/>
    <x v="6"/>
  </r>
  <r>
    <x v="38"/>
    <s v="52.0BC1RD-CL-B"/>
    <s v="52.0 BC38mm 3 Rnd Clear J/C(P Plt"/>
    <n v="249600"/>
    <n v="249600"/>
    <s v="PC"/>
    <n v="5.1999999999999998E-2"/>
    <n v="0"/>
    <x v="6"/>
    <x v="6"/>
  </r>
  <r>
    <x v="39"/>
    <s v="45.0PC2RD-CL-B"/>
    <s v="45.0 PCO 1881Rd Clear J/C(P Plt"/>
    <n v="443808"/>
    <n v="443808"/>
    <s v="PC"/>
    <n v="4.4999999999999998E-2"/>
    <n v="0"/>
    <x v="16"/>
    <x v="16"/>
  </r>
  <r>
    <x v="40"/>
    <s v="52.0BC1RD-CL-B"/>
    <s v="52.0 BC38mm 3 Rnd Clear J/C(P Plt"/>
    <n v="360000"/>
    <n v="360000"/>
    <s v="PC"/>
    <n v="5.1999999999999998E-2"/>
    <n v="0"/>
    <x v="6"/>
    <x v="6"/>
  </r>
  <r>
    <x v="41"/>
    <s v="FRG119"/>
    <s v="PET Clear Preform For Grinding"/>
    <n v="-498"/>
    <n v="-498"/>
    <s v="KG"/>
    <n v="5.1999999999999998E-2"/>
    <n v="-9576.923076923078"/>
    <x v="15"/>
    <x v="15"/>
  </r>
  <r>
    <x v="41"/>
    <s v="52.0BC1RD-CL-B"/>
    <s v="52.0 BC38mm 3 Rnd Clear J/C(P Plt"/>
    <n v="105600"/>
    <n v="105600"/>
    <s v="PC"/>
    <n v="5.1999999999999998E-2"/>
    <n v="0"/>
    <x v="15"/>
    <x v="15"/>
  </r>
  <r>
    <x v="42"/>
    <s v="FRG160"/>
    <s v="PET Blue Preform For Grinding"/>
    <n v="-537"/>
    <n v="-537"/>
    <s v="KG"/>
    <n v="1.4E-2"/>
    <n v="-38357.142857142855"/>
    <x v="14"/>
    <x v="14"/>
  </r>
  <r>
    <x v="42"/>
    <s v="14.0TO2RD-B4-A"/>
    <s v="14.0 TO 29/25 Rnd Arwa Blue J/C(W plt)"/>
    <n v="307200"/>
    <n v="307200"/>
    <s v="PC"/>
    <n v="1.4E-2"/>
    <n v="0"/>
    <x v="14"/>
    <x v="14"/>
  </r>
  <r>
    <x v="43"/>
    <s v="FRG160"/>
    <s v="PET Blue Preform For Grinding"/>
    <n v="-537"/>
    <n v="-537"/>
    <s v="KG"/>
    <n v="1.4E-2"/>
    <n v="-38357.142857142855"/>
    <x v="18"/>
    <x v="18"/>
  </r>
  <r>
    <x v="43"/>
    <s v="14.0TO2RD-B3-B"/>
    <s v="14.0 TO29/25Rd Nova Blue-PET&quot;ST-YISHENG&quot;"/>
    <n v="249600"/>
    <n v="249600"/>
    <s v="PC"/>
    <n v="1.4E-2"/>
    <n v="0"/>
    <x v="18"/>
    <x v="18"/>
  </r>
  <r>
    <x v="44"/>
    <s v="45.0PC2RD-CL-B"/>
    <s v="45.0 PCO 1881Rd Clear J/C(P Plt"/>
    <n v="172224"/>
    <n v="172224"/>
    <s v="PC"/>
    <n v="4.4999999999999998E-2"/>
    <n v="0"/>
    <x v="16"/>
    <x v="16"/>
  </r>
  <r>
    <x v="45"/>
    <s v="FRG161"/>
    <s v="PET Green Preform For Grinding"/>
    <n v="-1375"/>
    <n v="-1375"/>
    <s v="KG"/>
    <n v="2.1000000000000001E-2"/>
    <n v="-65476.190476190473"/>
    <x v="19"/>
    <x v="19"/>
  </r>
  <r>
    <x v="45"/>
    <s v="21.0PC1RD-IGS-A"/>
    <s v="21.0PCO1881Rnd ICI Green J/C(W/p-SIPA"/>
    <n v="360360"/>
    <n v="360360"/>
    <s v="PC"/>
    <n v="2.1000000000000001E-2"/>
    <n v="0"/>
    <x v="19"/>
    <x v="19"/>
  </r>
  <r>
    <x v="46"/>
    <s v="45.0PC2RD-IG-B"/>
    <s v="45.0 PCO 1881 ICI Green J/C(P Plt "/>
    <n v="192096"/>
    <n v="192096"/>
    <s v="PC"/>
    <n v="4.4999999999999998E-2"/>
    <n v="0"/>
    <x v="0"/>
    <x v="0"/>
  </r>
  <r>
    <x v="47"/>
    <s v="FRG119"/>
    <s v="PET Clear Preform For Grinding"/>
    <n v="-498"/>
    <n v="-498"/>
    <s v="KG"/>
    <n v="5.1999999999999998E-2"/>
    <n v="-9576.923076923078"/>
    <x v="15"/>
    <x v="15"/>
  </r>
  <r>
    <x v="47"/>
    <s v="52.0BC1RD-CL-B"/>
    <s v="52.0 BC38mm 3 Rnd Clear J/C(P Plt"/>
    <n v="81600"/>
    <n v="81600"/>
    <s v="PC"/>
    <n v="5.1999999999999998E-2"/>
    <n v="0"/>
    <x v="15"/>
    <x v="15"/>
  </r>
  <r>
    <x v="48"/>
    <s v="FRG119"/>
    <s v="PET Clear Preform For Grinding"/>
    <n v="-249"/>
    <n v="-249"/>
    <s v="KG"/>
    <n v="5.1999999999999998E-2"/>
    <n v="-4788.461538461539"/>
    <x v="6"/>
    <x v="6"/>
  </r>
  <r>
    <x v="48"/>
    <s v="52.0BC1RD-CL-B"/>
    <s v="52.0 BC38mm 3 Rnd Clear J/C(P Plt"/>
    <n v="259200"/>
    <n v="259200"/>
    <s v="PC"/>
    <n v="5.1999999999999998E-2"/>
    <n v="0"/>
    <x v="6"/>
    <x v="6"/>
  </r>
  <r>
    <x v="49"/>
    <s v="FRG119"/>
    <s v="PET Clear Preform For Grinding"/>
    <n v="-343"/>
    <n v="-343"/>
    <s v="KG"/>
    <n v="2.1000000000000001E-2"/>
    <n v="-16333.333333333332"/>
    <x v="20"/>
    <x v="20"/>
  </r>
  <r>
    <x v="49"/>
    <s v="21.0PC2RD-CL-VS"/>
    <s v="21.0 PCO 1881 Rnd CLR MenaBev Spec SIPA"/>
    <n v="131040"/>
    <n v="131040"/>
    <s v="PC"/>
    <n v="2.1000000000000001E-2"/>
    <n v="0"/>
    <x v="20"/>
    <x v="20"/>
  </r>
  <r>
    <x v="50"/>
    <s v="21.0PC2RD-CLS-A"/>
    <s v="21.0PCO1881Rnd Clear J/C(W/p-SIPA"/>
    <n v="49140"/>
    <n v="49140"/>
    <s v="PC"/>
    <n v="2.1000000000000001E-2"/>
    <n v="0"/>
    <x v="20"/>
    <x v="20"/>
  </r>
  <r>
    <x v="51"/>
    <s v="45.0PC2RD-CL-VH"/>
    <s v="45.0 PCO 1881 Rnd Clear MenaBev PP HDG"/>
    <n v="33120"/>
    <n v="33120"/>
    <s v="PC"/>
    <n v="4.4999999999999998E-2"/>
    <n v="0"/>
    <x v="13"/>
    <x v="13"/>
  </r>
  <r>
    <x v="52"/>
    <s v="45.0PC2RD-IG-B"/>
    <s v="45.0 PCO 1881 ICI Green J/C(P Plt "/>
    <n v="271584"/>
    <n v="271584"/>
    <s v="PC"/>
    <n v="4.4999999999999998E-2"/>
    <n v="0"/>
    <x v="0"/>
    <x v="0"/>
  </r>
  <r>
    <x v="53"/>
    <s v="21.0PC1RD-IGS-A"/>
    <s v="21.0PCO1881Rnd ICI Green J/C(W/p-SIPA"/>
    <n v="32760"/>
    <n v="32760"/>
    <s v="PC"/>
    <n v="2.1000000000000001E-2"/>
    <n v="0"/>
    <x v="20"/>
    <x v="20"/>
  </r>
  <r>
    <x v="54"/>
    <s v="52.0BC1RD-CL-B"/>
    <s v="52.0 BC38mm 3 Rnd Clear J/C(P Plt"/>
    <n v="273600"/>
    <n v="273600"/>
    <s v="PC"/>
    <n v="5.1999999999999998E-2"/>
    <n v="0"/>
    <x v="6"/>
    <x v="6"/>
  </r>
  <r>
    <x v="55"/>
    <s v="30.5PC2RD-CLS-BH2"/>
    <s v="30.5 PCO 1881Rnd CLR J/C(PP JOM HDG-SIPA"/>
    <n v="562860"/>
    <n v="562860"/>
    <s v="PC"/>
    <n v="3.0499999999999999E-2"/>
    <n v="0"/>
    <x v="21"/>
    <x v="21"/>
  </r>
  <r>
    <x v="56"/>
    <s v="45.0PC2RD-IG-B"/>
    <s v="45.0 PCO 1881 ICI Green J/C(P Plt "/>
    <n v="172224"/>
    <n v="172224"/>
    <s v="PC"/>
    <n v="4.4999999999999998E-2"/>
    <n v="0"/>
    <x v="0"/>
    <x v="0"/>
  </r>
  <r>
    <x v="57"/>
    <s v="7.8TO2RD-CLS-A"/>
    <s v="7.80 TO 29/25 Rnd Clear J/C(W Plt-SIPA"/>
    <n v="3000"/>
    <n v="3000"/>
    <s v="PC"/>
    <n v="7.7999999999999996E-3"/>
    <n v="0"/>
    <x v="22"/>
    <x v="22"/>
  </r>
  <r>
    <x v="58"/>
    <s v="10.4TO2RD-LB-A"/>
    <s v="10.4 TO 29/25 Rnd Light BLUE J/C(W Plt"/>
    <n v="5000"/>
    <n v="5000"/>
    <s v="PC"/>
    <n v="1.04E-2"/>
    <n v="0"/>
    <x v="23"/>
    <x v="23"/>
  </r>
  <r>
    <x v="59"/>
    <s v="7.45TO2RD-LBS-A"/>
    <s v="7.45TO LW 29/25 L.Blue J/C(WP-SIPA"/>
    <n v="3000"/>
    <n v="3000"/>
    <s v="PC"/>
    <n v="7.45E-3"/>
    <n v="0"/>
    <x v="24"/>
    <x v="24"/>
  </r>
  <r>
    <x v="60"/>
    <s v="FRG119"/>
    <s v="PET Clear Preform For Grinding"/>
    <n v="-69.66"/>
    <n v="0"/>
    <s v="KG"/>
    <n v="3.0499999999999999E-2"/>
    <n v="0"/>
    <x v="21"/>
    <x v="21"/>
  </r>
  <r>
    <x v="60"/>
    <s v="30.5PC2RD-CLS-BH2"/>
    <s v="30.5 PCO 1881Rnd CLR J/C(PP JOM HDG-SIPA"/>
    <n v="456660"/>
    <n v="456660"/>
    <s v="PC"/>
    <n v="3.0499999999999999E-2"/>
    <n v="0"/>
    <x v="21"/>
    <x v="21"/>
  </r>
  <r>
    <x v="61"/>
    <s v="14.0PC2RD-CL-A"/>
    <s v="14.0 PCO 1881 Rnd Clear J/C(W Plt"/>
    <n v="330240"/>
    <n v="330240"/>
    <s v="PC"/>
    <n v="1.4E-2"/>
    <n v="0"/>
    <x v="25"/>
    <x v="25"/>
  </r>
  <r>
    <x v="61"/>
    <s v="FRG119"/>
    <s v="PET Clear Preform For Grinding"/>
    <n v="-640"/>
    <n v="-640"/>
    <s v="KG"/>
    <n v="1.4E-2"/>
    <n v="-45714.28571428571"/>
    <x v="25"/>
    <x v="25"/>
  </r>
  <r>
    <x v="62"/>
    <s v="45.0PC2RD-IG-B"/>
    <s v="45.0 PCO 1881 ICI Green J/C(P Plt "/>
    <n v="245088"/>
    <n v="245088"/>
    <s v="PC"/>
    <n v="4.4999999999999998E-2"/>
    <n v="0"/>
    <x v="0"/>
    <x v="0"/>
  </r>
  <r>
    <x v="63"/>
    <s v="52.0BC1RD-CL-B"/>
    <s v="52.0 BC38mm 3 Rnd Clear J/C(P Plt"/>
    <n v="350400"/>
    <n v="350400"/>
    <s v="PC"/>
    <n v="5.1999999999999998E-2"/>
    <n v="0"/>
    <x v="6"/>
    <x v="6"/>
  </r>
  <r>
    <x v="64"/>
    <s v="26.6TO2RD-CL-B"/>
    <s v="26.6 TO 29/25 Rnd Clear J/C(P Plt"/>
    <n v="171360"/>
    <n v="171360"/>
    <s v="PC"/>
    <n v="2.6600000000000002E-2"/>
    <n v="0"/>
    <x v="26"/>
    <x v="26"/>
  </r>
  <r>
    <x v="65"/>
    <s v="FRG119"/>
    <s v="PET Clear Preform For Grinding"/>
    <n v="-1490"/>
    <n v="-1490"/>
    <s v="KG"/>
    <n v="4.4999999999999998E-2"/>
    <n v="-33111.111111111109"/>
    <x v="16"/>
    <x v="16"/>
  </r>
  <r>
    <x v="65"/>
    <s v="45.0PC2RD-CL-B"/>
    <s v="45.0 PCO 1881Rd Clear J/C(P Plt"/>
    <n v="192096"/>
    <n v="192096"/>
    <s v="PC"/>
    <n v="4.4999999999999998E-2"/>
    <n v="0"/>
    <x v="16"/>
    <x v="16"/>
  </r>
  <r>
    <x v="66"/>
    <s v="FRG119"/>
    <s v="PET Clear Preform For Grinding"/>
    <n v="-249"/>
    <n v="-249"/>
    <s v="KG"/>
    <n v="5.1999999999999998E-2"/>
    <n v="-4788.461538461539"/>
    <x v="15"/>
    <x v="15"/>
  </r>
  <r>
    <x v="66"/>
    <s v="52.0BC1RD-CL-B"/>
    <s v="52.0 BC38mm 3 Rnd Clear J/C(P Plt"/>
    <n v="28800"/>
    <n v="28800"/>
    <s v="PC"/>
    <n v="5.1999999999999998E-2"/>
    <n v="0"/>
    <x v="15"/>
    <x v="15"/>
  </r>
  <r>
    <x v="67"/>
    <s v="8.3TO2RD-LBS-A"/>
    <s v="8.30TO LW 29/25Rd L.Blue J/C(W plt)-SIPA"/>
    <n v="108000"/>
    <n v="108000"/>
    <s v="PC"/>
    <n v="8.3000000000000001E-3"/>
    <n v="0"/>
    <x v="27"/>
    <x v="27"/>
  </r>
  <r>
    <x v="68"/>
    <s v="FRG119"/>
    <s v="PET Clear Preform For Grinding"/>
    <n v="-340"/>
    <n v="-340"/>
    <s v="KG"/>
    <n v="2.23E-2"/>
    <n v="-15246.636771300447"/>
    <x v="28"/>
    <x v="28"/>
  </r>
  <r>
    <x v="68"/>
    <s v="22.3PC2RD-CLS-A"/>
    <s v="22.3PCO 1881 Rnd Clear(SIPA)"/>
    <n v="98280"/>
    <n v="98280"/>
    <s v="PC"/>
    <n v="2.23E-2"/>
    <n v="0"/>
    <x v="28"/>
    <x v="28"/>
  </r>
  <r>
    <x v="69"/>
    <s v="45.0PC2RD-IG-B"/>
    <s v="45.0 PCO 1881 ICI Green J/C(P Plt "/>
    <n v="6624"/>
    <n v="6624"/>
    <s v="PC"/>
    <n v="4.4999999999999998E-2"/>
    <n v="0"/>
    <x v="29"/>
    <x v="29"/>
  </r>
  <r>
    <x v="70"/>
    <s v="30.5PC2RD-IGS-BH2"/>
    <s v="30.5PCO1881 ICI GreenJ/C(PP JOM HDG-SIPA"/>
    <n v="10620"/>
    <n v="10620"/>
    <s v="PC"/>
    <n v="3.0499999999999999E-2"/>
    <n v="0"/>
    <x v="30"/>
    <x v="30"/>
  </r>
  <r>
    <x v="71"/>
    <s v="FRG119"/>
    <s v="PET Clear Preform For Grinding"/>
    <n v="-340"/>
    <n v="0"/>
    <s v="KG"/>
    <n v="2.23E-2"/>
    <n v="0"/>
    <x v="28"/>
    <x v="28"/>
  </r>
  <r>
    <x v="71"/>
    <s v="22.3PC2RD-CLS-A"/>
    <s v="22.3PCO 1881 Rnd Clear(SIPA)"/>
    <n v="98280"/>
    <n v="0"/>
    <s v="PC"/>
    <n v="2.23E-2"/>
    <n v="0"/>
    <x v="28"/>
    <x v="28"/>
  </r>
  <r>
    <x v="72"/>
    <s v="45.0PC2RD-IG-B"/>
    <s v="45.0 PCO 1881 ICI Green J/C(P Plt "/>
    <n v="72864"/>
    <n v="72864"/>
    <s v="PC"/>
    <n v="4.4999999999999998E-2"/>
    <n v="0"/>
    <x v="0"/>
    <x v="0"/>
  </r>
  <r>
    <x v="73"/>
    <s v="52.0BC1RD-CL-B"/>
    <s v="52.0 BC38mm 3 Rnd Clear J/C(P Plt"/>
    <n v="220800"/>
    <n v="220800"/>
    <s v="PC"/>
    <n v="5.1999999999999998E-2"/>
    <n v="0"/>
    <x v="6"/>
    <x v="6"/>
  </r>
  <r>
    <x v="74"/>
    <s v="30.5PC2RD-IGS-BH2"/>
    <s v="30.5PCO1881 ICI GreenJ/C(PP JOM HDG-SIPA"/>
    <n v="509760"/>
    <n v="509760"/>
    <s v="PC"/>
    <n v="3.0499999999999999E-2"/>
    <n v="0"/>
    <x v="31"/>
    <x v="31"/>
  </r>
  <r>
    <x v="75"/>
    <s v="26.6TO2RD-CL-B"/>
    <s v="26.6 TO 29/25 Rnd Clear J/C(P Plt"/>
    <n v="372960"/>
    <n v="372960"/>
    <s v="PC"/>
    <n v="2.6600000000000002E-2"/>
    <n v="0"/>
    <x v="26"/>
    <x v="26"/>
  </r>
  <r>
    <x v="76"/>
    <s v="12.5TO2RD-CLS-B"/>
    <s v="12.5 29/25 Rnd Clear J/C(PP"/>
    <n v="3006720"/>
    <n v="3006720"/>
    <s v="PC"/>
    <e v="#N/A"/>
    <n v="0"/>
    <x v="10"/>
    <x v="10"/>
  </r>
  <r>
    <x v="77"/>
    <s v="13.5TO2RD-B4-B"/>
    <s v="13.5 TO29/25Rnd Nova Blue-PET&quot;ST-FENC&quot;"/>
    <n v="192000"/>
    <n v="192000"/>
    <s v="PC"/>
    <n v="1.35E-2"/>
    <n v="0"/>
    <x v="32"/>
    <x v="32"/>
  </r>
  <r>
    <x v="78"/>
    <s v="45.0PC2RD-IG-A"/>
    <s v="45.0 PCO 1881 Rnd ICI Green J/C(W plt"/>
    <n v="6624"/>
    <n v="6624"/>
    <s v="PC"/>
    <n v="4.4999999999999998E-2"/>
    <n v="0"/>
    <x v="0"/>
    <x v="0"/>
  </r>
  <r>
    <x v="79"/>
    <s v="9.4TO2RD-LBS2-A"/>
    <s v="9.4TO 29/25Rnd L.Blue J/CWplt(≤1ppm)SIPA"/>
    <n v="25380"/>
    <n v="25380"/>
    <s v="PC"/>
    <n v="9.4000000000000004E-3"/>
    <n v="0"/>
    <x v="33"/>
    <x v="33"/>
  </r>
  <r>
    <x v="80"/>
    <s v="30.5PC2RD-IGS-BH2"/>
    <s v="30.5PCO1881 ICI GreenJ/C(PP JOM HDG-SIPA"/>
    <n v="467280"/>
    <n v="467280"/>
    <s v="PC"/>
    <n v="3.0499999999999999E-2"/>
    <n v="0"/>
    <x v="31"/>
    <x v="31"/>
  </r>
  <r>
    <x v="81"/>
    <s v="26.6TO2RD-CL-B"/>
    <s v="26.6 TO 29/25 Rnd Clear J/C(P Plt"/>
    <n v="564480"/>
    <n v="564480"/>
    <s v="PC"/>
    <n v="2.6600000000000002E-2"/>
    <n v="0"/>
    <x v="26"/>
    <x v="26"/>
  </r>
  <r>
    <x v="82"/>
    <s v="FRG161"/>
    <s v="PET Green Preform For Grinding"/>
    <n v="-298"/>
    <n v="-298"/>
    <s v="KG"/>
    <n v="4.4999999999999998E-2"/>
    <n v="-6622.2222222222226"/>
    <x v="34"/>
    <x v="34"/>
  </r>
  <r>
    <x v="82"/>
    <s v="45.0PC2RD-IG-VH"/>
    <s v="45.0 PCO 1881 Rd ICI Green MenaBevPP HDG"/>
    <n v="59616"/>
    <n v="59616"/>
    <s v="PC"/>
    <n v="4.4999999999999998E-2"/>
    <n v="0"/>
    <x v="34"/>
    <x v="34"/>
  </r>
  <r>
    <x v="83"/>
    <s v="52.0BC1RD-CL-B"/>
    <s v="52.0 BC38mm 3 Rnd Clear J/C(P Plt"/>
    <n v="172800"/>
    <n v="172800"/>
    <s v="PC"/>
    <n v="5.1999999999999998E-2"/>
    <n v="0"/>
    <x v="6"/>
    <x v="6"/>
  </r>
  <r>
    <x v="84"/>
    <s v="FRG119"/>
    <s v="PET Clear Preform For Grinding"/>
    <n v="-249"/>
    <n v="-249"/>
    <s v="KG"/>
    <n v="5.1999999999999998E-2"/>
    <n v="-4788.461538461539"/>
    <x v="15"/>
    <x v="15"/>
  </r>
  <r>
    <x v="84"/>
    <s v="52.0BC1RD-CL-B"/>
    <s v="52.0 BC38mm 3 Rnd Clear J/C(P Plt"/>
    <n v="24000"/>
    <n v="24000"/>
    <s v="PC"/>
    <n v="5.1999999999999998E-2"/>
    <n v="0"/>
    <x v="15"/>
    <x v="15"/>
  </r>
  <r>
    <x v="85"/>
    <s v="52.0BC1RD-CL-G"/>
    <s v="52.0 BC 38mm 3 Rnd Clear OJ/C(W plt"/>
    <n v="4800"/>
    <n v="4800"/>
    <s v="PC"/>
    <n v="5.1999999999999998E-2"/>
    <n v="0"/>
    <x v="15"/>
    <x v="15"/>
  </r>
  <r>
    <x v="86"/>
    <s v="FRG160"/>
    <s v="PET Blue Preform For Grinding"/>
    <n v="-498"/>
    <n v="-498"/>
    <s v="KG"/>
    <n v="5.1999999999999998E-2"/>
    <n v="-9576.923076923078"/>
    <x v="35"/>
    <x v="35"/>
  </r>
  <r>
    <x v="86"/>
    <s v="52.0BC1RD-DB-A"/>
    <s v="52.0 BC38mm 3Rnd Dark Blue J/C(W plt"/>
    <n v="43200"/>
    <n v="43200"/>
    <s v="PC"/>
    <n v="5.1999999999999998E-2"/>
    <n v="0"/>
    <x v="35"/>
    <x v="35"/>
  </r>
  <r>
    <x v="87"/>
    <s v="52.0BC1RD-CL-B"/>
    <s v="52.0 BC38mm 3 Rnd Clear J/C(P Plt"/>
    <n v="153600"/>
    <n v="153600"/>
    <s v="PC"/>
    <n v="5.1999999999999998E-2"/>
    <n v="0"/>
    <x v="6"/>
    <x v="6"/>
  </r>
  <r>
    <x v="88"/>
    <s v="9.4TO2RD-LBS2-A"/>
    <s v="9.4TO 29/25Rnd L.Blue J/CWplt(≤1ppm)SIPA"/>
    <n v="1192860"/>
    <n v="1192860"/>
    <s v="PC"/>
    <n v="9.4000000000000004E-3"/>
    <n v="0"/>
    <x v="33"/>
    <x v="33"/>
  </r>
  <r>
    <x v="89"/>
    <s v="FRG160"/>
    <s v="PET Blue Preform For Grinding"/>
    <n v="-249"/>
    <n v="-249"/>
    <s v="KG"/>
    <n v="5.1999999999999998E-2"/>
    <n v="-4788.461538461539"/>
    <x v="35"/>
    <x v="35"/>
  </r>
  <r>
    <x v="89"/>
    <s v="52.0BC1RD-DB-A"/>
    <s v="52.0 BC38mm 3Rnd Dark Blue J/C(W plt"/>
    <n v="28800"/>
    <n v="28800"/>
    <s v="PC"/>
    <n v="5.1999999999999998E-2"/>
    <n v="0"/>
    <x v="35"/>
    <x v="35"/>
  </r>
  <r>
    <x v="90"/>
    <s v="30.5PC2RD-IGS-BH2"/>
    <s v="30.5PCO1881 ICI GreenJ/C(PP JOM HDG-SIPA"/>
    <n v="106200"/>
    <n v="106200"/>
    <s v="PC"/>
    <n v="3.0499999999999999E-2"/>
    <n v="0"/>
    <x v="31"/>
    <x v="31"/>
  </r>
  <r>
    <x v="91"/>
    <s v="52.0BC1RD-CL-B"/>
    <s v="52.0 BC38mm 3 Rnd Clear J/C(P Plt"/>
    <n v="57600"/>
    <n v="57600"/>
    <s v="PC"/>
    <n v="5.1999999999999998E-2"/>
    <n v="0"/>
    <x v="15"/>
    <x v="15"/>
  </r>
  <r>
    <x v="92"/>
    <s v="9.4TO2RD-LBS2-A"/>
    <s v="9.4TO 29/25Rnd L.Blue J/CWplt(≤1ppm)SIPA"/>
    <n v="558360"/>
    <n v="558360"/>
    <s v="PC"/>
    <n v="9.4000000000000004E-3"/>
    <n v="0"/>
    <x v="33"/>
    <x v="33"/>
  </r>
  <r>
    <x v="93"/>
    <s v="52.0BC1RD-CL-B"/>
    <s v="52.0 BC38mm 3 Rnd Clear J/C(P Plt"/>
    <n v="211200"/>
    <n v="211200"/>
    <s v="PC"/>
    <n v="5.1999999999999998E-2"/>
    <n v="0"/>
    <x v="6"/>
    <x v="6"/>
  </r>
  <r>
    <x v="94"/>
    <s v="FRG119"/>
    <s v="PET Clear Preform For Grinding"/>
    <n v="-295"/>
    <n v="-295"/>
    <s v="KG"/>
    <n v="2.93E-2"/>
    <n v="-10068.259385665529"/>
    <x v="36"/>
    <x v="36"/>
  </r>
  <r>
    <x v="94"/>
    <s v="29.3TO2RD-CL-A"/>
    <s v="29.3 TO 29/25 Rnd Clear J/C(W Plt"/>
    <n v="40320"/>
    <n v="40320"/>
    <s v="PC"/>
    <n v="2.93E-2"/>
    <n v="0"/>
    <x v="36"/>
    <x v="36"/>
  </r>
  <r>
    <x v="95"/>
    <s v="45.0PC2RD-CL-B"/>
    <s v="45.0 PCO 1881Rd Clear J/C(P Plt"/>
    <n v="304704"/>
    <n v="304704"/>
    <s v="PC"/>
    <n v="4.4999999999999998E-2"/>
    <n v="0"/>
    <x v="16"/>
    <x v="16"/>
  </r>
  <r>
    <x v="96"/>
    <s v="52.0BC1RD-CL-B"/>
    <s v="52.0 BC38mm 3 Rnd Clear J/C(P Plt"/>
    <n v="100800"/>
    <n v="100800"/>
    <s v="PC"/>
    <n v="5.1999999999999998E-2"/>
    <n v="0"/>
    <x v="6"/>
    <x v="6"/>
  </r>
  <r>
    <x v="97"/>
    <s v="9.4TO2RD-LBS2-A"/>
    <s v="9.4TO 29/25Rnd L.Blue J/CWplt(≤1ppm)SIPA"/>
    <n v="913680"/>
    <n v="913680"/>
    <s v="PC"/>
    <n v="9.4000000000000004E-3"/>
    <n v="0"/>
    <x v="33"/>
    <x v="33"/>
  </r>
  <r>
    <x v="98"/>
    <s v="FRG119"/>
    <s v="PET Clear Preform For Grinding"/>
    <n v="-1155"/>
    <n v="-1155"/>
    <s v="KG"/>
    <n v="1.4E-2"/>
    <n v="-82500"/>
    <x v="25"/>
    <x v="25"/>
  </r>
  <r>
    <x v="98"/>
    <s v="14.0PC2RD-CL-A"/>
    <s v="14.0 PCO 1881 Rnd Clear J/C(W Plt"/>
    <n v="330240"/>
    <n v="330240"/>
    <s v="PC"/>
    <n v="1.4E-2"/>
    <n v="0"/>
    <x v="25"/>
    <x v="25"/>
  </r>
  <r>
    <x v="99"/>
    <s v="45.0PC2RD-CL-B"/>
    <s v="45.0 PCO 1881Rd Clear J/C(P Plt"/>
    <n v="105984"/>
    <n v="105984"/>
    <s v="PC"/>
    <n v="4.4999999999999998E-2"/>
    <n v="0"/>
    <x v="16"/>
    <x v="16"/>
  </r>
  <r>
    <x v="100"/>
    <s v="9.4TO2RD-LBS2-A"/>
    <s v="9.4TO 29/25Rnd L.Blue J/CWplt(≤1ppm)SIPA"/>
    <n v="913680"/>
    <n v="913680"/>
    <s v="PC"/>
    <n v="9.4000000000000004E-3"/>
    <n v="0"/>
    <x v="33"/>
    <x v="33"/>
  </r>
  <r>
    <x v="101"/>
    <s v="45.0PC2RD-CL-B"/>
    <s v="45.0 PCO 1881Rd Clear J/C(P Plt"/>
    <n v="384192"/>
    <n v="384192"/>
    <s v="PC"/>
    <n v="4.4999999999999998E-2"/>
    <n v="0"/>
    <x v="16"/>
    <x v="16"/>
  </r>
  <r>
    <x v="102"/>
    <s v="30.5PC2RD-CLS-BH2"/>
    <s v="30.5 PCO 1881Rnd CLR J/C(PP JOM HDG-SIPA"/>
    <n v="509760"/>
    <n v="509760"/>
    <s v="PC"/>
    <n v="3.0499999999999999E-2"/>
    <n v="0"/>
    <x v="21"/>
    <x v="21"/>
  </r>
  <r>
    <x v="103"/>
    <s v="12.5TO2RD-LBS1-A"/>
    <s v="12.5 TO29/25Rd L.Blue(≤ 2ppm)J/C(WP-SIPA"/>
    <n v="5000"/>
    <n v="5000"/>
    <s v="PC"/>
    <n v="1.2500000000000001E-2"/>
    <n v="0"/>
    <x v="37"/>
    <x v="37"/>
  </r>
  <r>
    <x v="104"/>
    <s v="8.3TO2RD-CLS-A"/>
    <s v="8.30TO LW 29/25 Clear J/C(WP)-SIPA"/>
    <n v="500"/>
    <n v="500"/>
    <s v="PC"/>
    <n v="8.3000000000000001E-3"/>
    <n v="0"/>
    <x v="8"/>
    <x v="8"/>
  </r>
  <r>
    <x v="105"/>
    <s v="9.4TO2RD-LBS2-A"/>
    <s v="9.4TO 29/25Rnd L.Blue J/CWplt(≤1ppm)SIPA"/>
    <n v="913680"/>
    <n v="913680"/>
    <s v="PC"/>
    <n v="9.4000000000000004E-3"/>
    <n v="0"/>
    <x v="33"/>
    <x v="33"/>
  </r>
  <r>
    <x v="106"/>
    <s v="30.5PC2RD-IGS-BH2"/>
    <s v="30.5PCO1881 ICI GreenJ/C(PP JOM HDG-SIPA"/>
    <n v="1019520"/>
    <n v="1019520"/>
    <s v="PC"/>
    <n v="3.0499999999999999E-2"/>
    <n v="0"/>
    <x v="31"/>
    <x v="31"/>
  </r>
  <r>
    <x v="107"/>
    <s v="45.0PC2RD-IG-B"/>
    <s v="45.0 PCO 1881 ICI Green J/C(P Plt "/>
    <n v="317952"/>
    <n v="317952"/>
    <s v="PC"/>
    <n v="4.4999999999999998E-2"/>
    <n v="0"/>
    <x v="0"/>
    <x v="0"/>
  </r>
  <r>
    <x v="108"/>
    <s v="9.4TO2RD-LBS2-A"/>
    <s v="9.4TO 29/25Rnd L.Blue J/CWplt(≤1ppm)SIPA"/>
    <n v="355320"/>
    <n v="355320"/>
    <s v="PC"/>
    <n v="9.4000000000000004E-3"/>
    <n v="0"/>
    <x v="4"/>
    <x v="4"/>
  </r>
  <r>
    <x v="108"/>
    <s v="FRG160"/>
    <s v="PET Blue Preform For Grinding"/>
    <n v="-714"/>
    <n v="-714"/>
    <s v="KG"/>
    <n v="9.4000000000000004E-3"/>
    <n v="-75957.446808510635"/>
    <x v="4"/>
    <x v="4"/>
  </r>
  <r>
    <x v="109"/>
    <s v="9.4TO2RD-BS9-B"/>
    <s v="9.4 TO 29/25Rnd Nova Blue(JADE–SPPS)"/>
    <n v="685260"/>
    <n v="685260"/>
    <s v="PC"/>
    <n v="9.4000000000000004E-3"/>
    <n v="0"/>
    <x v="4"/>
    <x v="4"/>
  </r>
  <r>
    <x v="109"/>
    <s v="FRG160"/>
    <s v="PET Blue Preform For Grinding"/>
    <n v="-952"/>
    <n v="-952"/>
    <s v="KG"/>
    <n v="9.4000000000000004E-3"/>
    <n v="-101276.59574468085"/>
    <x v="4"/>
    <x v="4"/>
  </r>
  <r>
    <x v="110"/>
    <s v="9.4TO2RD-B1-B"/>
    <s v="9.4 TO29/25 Rnd Nova Blue J/C(Ppl-SABIC"/>
    <n v="279180"/>
    <n v="279180"/>
    <s v="PC"/>
    <n v="9.4000000000000004E-3"/>
    <n v="0"/>
    <x v="4"/>
    <x v="4"/>
  </r>
  <r>
    <x v="110"/>
    <s v="FRG160"/>
    <s v="PET Blue Preform For Grinding"/>
    <n v="-476"/>
    <n v="-476"/>
    <s v="KG"/>
    <n v="9.4000000000000004E-3"/>
    <n v="-50638.297872340423"/>
    <x v="4"/>
    <x v="4"/>
  </r>
  <r>
    <x v="111"/>
    <s v="45.0PC2RD-CL-B"/>
    <s v="45.0 PCO 1881Rd Clear J/C(P Plt"/>
    <n v="145728"/>
    <n v="145728"/>
    <s v="PC"/>
    <n v="4.4999999999999998E-2"/>
    <n v="0"/>
    <x v="16"/>
    <x v="16"/>
  </r>
  <r>
    <x v="112"/>
    <s v="7.80TO2RD-AJBS-B"/>
    <s v="7.80TO29/25Rnd'ALM'BLUE J/C(PP-SIPA-HDG"/>
    <n v="328680"/>
    <n v="328680"/>
    <s v="PC"/>
    <n v="7.7999999999999996E-3"/>
    <n v="0"/>
    <x v="38"/>
    <x v="38"/>
  </r>
  <r>
    <x v="113"/>
    <s v="45.0PC2RD-IG-B"/>
    <s v="45.0 PCO 1881 ICI Green J/C(P Plt "/>
    <n v="370944"/>
    <n v="370944"/>
    <s v="PC"/>
    <n v="4.4999999999999998E-2"/>
    <n v="0"/>
    <x v="0"/>
    <x v="0"/>
  </r>
  <r>
    <x v="114"/>
    <s v="FRG119"/>
    <s v="PET Clear Preform For Grinding"/>
    <n v="-894"/>
    <n v="-894"/>
    <s v="KG"/>
    <n v="4.4999999999999998E-2"/>
    <n v="-19866.666666666668"/>
    <x v="16"/>
    <x v="16"/>
  </r>
  <r>
    <x v="114"/>
    <s v="45.0PC2RD-CL-B"/>
    <s v="45.0 PCO 1881Rd Clear J/C(P Plt"/>
    <n v="59616"/>
    <n v="59616"/>
    <s v="PC"/>
    <n v="4.4999999999999998E-2"/>
    <n v="0"/>
    <x v="16"/>
    <x v="16"/>
  </r>
  <r>
    <x v="115"/>
    <s v="45.0PC2RD-CL-B"/>
    <s v="45.0 PCO 1881Rd Clear J/C(P Plt"/>
    <n v="13248"/>
    <n v="13248"/>
    <s v="PC"/>
    <n v="4.4999999999999998E-2"/>
    <n v="0"/>
    <x v="16"/>
    <x v="16"/>
  </r>
  <r>
    <x v="116"/>
    <s v="12.5TO2RD-CLS-B"/>
    <s v="12.5 29/25 Rnd Clear J/C(PP"/>
    <n v="939600"/>
    <n v="939600"/>
    <s v="PC"/>
    <n v="1.2500000000000001E-2"/>
    <n v="0"/>
    <x v="39"/>
    <x v="39"/>
  </r>
  <r>
    <x v="117"/>
    <s v="45.0PC2RD-IG-B"/>
    <s v="45.0 PCO 1881 ICI Green J/C(P Plt "/>
    <n v="298080"/>
    <n v="298080"/>
    <s v="PC"/>
    <n v="4.4999999999999998E-2"/>
    <n v="0"/>
    <x v="0"/>
    <x v="0"/>
  </r>
  <r>
    <x v="117"/>
    <s v="FRG161"/>
    <s v="PET Green Preform For Grinding"/>
    <n v="-1490"/>
    <n v="-1490"/>
    <s v="KG"/>
    <n v="4.4999999999999998E-2"/>
    <n v="-33111.111111111109"/>
    <x v="0"/>
    <x v="0"/>
  </r>
  <r>
    <x v="118"/>
    <s v="30.5PC2RD-IGS-V"/>
    <s v="30.5PCO1881RndICI GreenMenaBev Spec-SIPA"/>
    <n v="403560"/>
    <n v="403560"/>
    <s v="PC"/>
    <n v="3.0499999999999999E-2"/>
    <n v="0"/>
    <x v="31"/>
    <x v="31"/>
  </r>
  <r>
    <x v="119"/>
    <s v="52.0BC1RD-CL-B"/>
    <s v="52.0 BC38mm 3 Rnd Clear J/C(P Plt"/>
    <n v="168000"/>
    <n v="168000"/>
    <s v="PC"/>
    <n v="5.1999999999999998E-2"/>
    <n v="0"/>
    <x v="6"/>
    <x v="6"/>
  </r>
  <r>
    <x v="120"/>
    <s v="11.5TO2RD-CLS-A"/>
    <s v="11.5 TO29/25Rd Clear J/C(WP-SIPA"/>
    <n v="4000"/>
    <n v="4000"/>
    <s v="PC"/>
    <n v="1.15E-2"/>
    <n v="0"/>
    <x v="40"/>
    <x v="40"/>
  </r>
  <r>
    <x v="121"/>
    <s v="30.5PC2RD-IGS-BH2"/>
    <s v="30.5PCO1881 ICI GreenJ/C(PP JOM HDG-SIPA"/>
    <n v="201780"/>
    <n v="201780"/>
    <s v="PC"/>
    <n v="3.0499999999999999E-2"/>
    <n v="0"/>
    <x v="31"/>
    <x v="31"/>
  </r>
  <r>
    <x v="122"/>
    <s v="45.0PC2RD-IG-B"/>
    <s v="45.0 PCO 1881 ICI Green J/C(P Plt "/>
    <n v="205344"/>
    <n v="205344"/>
    <s v="PC"/>
    <n v="4.4999999999999998E-2"/>
    <n v="0"/>
    <x v="0"/>
    <x v="0"/>
  </r>
  <r>
    <x v="123"/>
    <s v="52.0BC1RD-CL-B"/>
    <s v="52.0 BC38mm 3 Rnd Clear J/C(P Plt"/>
    <n v="302400"/>
    <n v="302400"/>
    <s v="PC"/>
    <n v="5.1999999999999998E-2"/>
    <n v="0"/>
    <x v="6"/>
    <x v="6"/>
  </r>
  <r>
    <x v="124"/>
    <s v="12.5TO2RD-CLS-B"/>
    <s v="12.5 29/25 Rnd Clear J/C(PP"/>
    <n v="2067120"/>
    <n v="2067120"/>
    <s v="PC"/>
    <n v="1.2500000000000001E-2"/>
    <n v="0"/>
    <x v="39"/>
    <x v="39"/>
  </r>
  <r>
    <x v="125"/>
    <s v="FRG119"/>
    <s v="PET Clear Preform For Grinding"/>
    <n v="-410"/>
    <n v="-410"/>
    <s v="KG"/>
    <n v="5.1999999999999998E-2"/>
    <n v="-7884.6153846153848"/>
    <x v="15"/>
    <x v="15"/>
  </r>
  <r>
    <x v="125"/>
    <s v="52.0BC1RD-CL-B"/>
    <s v="52.0 BC38mm 3 Rnd Clear J/C(P Plt"/>
    <n v="57600"/>
    <n v="57600"/>
    <s v="PC"/>
    <n v="5.1999999999999998E-2"/>
    <n v="0"/>
    <x v="15"/>
    <x v="15"/>
  </r>
  <r>
    <x v="126"/>
    <s v="45.0PC2RD-IG-B"/>
    <s v="45.0 PCO 1881 ICI Green J/C(P Plt "/>
    <n v="119232"/>
    <n v="119232"/>
    <s v="PC"/>
    <n v="4.4999999999999998E-2"/>
    <n v="0"/>
    <x v="0"/>
    <x v="0"/>
  </r>
  <r>
    <x v="127"/>
    <s v="45.0PC2RD-IG-B"/>
    <s v="45.0 PCO 1881 ICI Green J/C(P Plt "/>
    <n v="417312"/>
    <n v="417312"/>
    <s v="PC"/>
    <n v="4.4999999999999998E-2"/>
    <n v="0"/>
    <x v="0"/>
    <x v="0"/>
  </r>
  <r>
    <x v="128"/>
    <s v="52.0BC1RD-CL-B"/>
    <s v="52.0 BC38mm 3 Rnd Clear J/C(P Plt"/>
    <n v="369600"/>
    <n v="369600"/>
    <s v="PC"/>
    <n v="5.1999999999999998E-2"/>
    <n v="0"/>
    <x v="6"/>
    <x v="6"/>
  </r>
  <r>
    <x v="129"/>
    <s v="30.5PC2RD-CLS-BH2"/>
    <s v="30.5 PCO 1881Rnd CLR J/C(PP JOM HDG-SIPA"/>
    <n v="1019520"/>
    <n v="1019520"/>
    <s v="PC"/>
    <n v="3.0499999999999999E-2"/>
    <n v="0"/>
    <x v="21"/>
    <x v="21"/>
  </r>
  <r>
    <x v="130"/>
    <s v="7.8TO2RD-LB1S-A"/>
    <s v="7.80TO 29/25 Rd L BlueAA(≤ 2)J/C(WP-SIPA"/>
    <n v="687240"/>
    <n v="687240"/>
    <s v="PC"/>
    <n v="7.7999999999999996E-3"/>
    <n v="0"/>
    <x v="38"/>
    <x v="38"/>
  </r>
  <r>
    <x v="130"/>
    <s v="FRG160"/>
    <s v="PET Blue Preform For Grinding"/>
    <n v="-1864"/>
    <n v="-1864"/>
    <s v="KG"/>
    <n v="7.7999999999999996E-3"/>
    <n v="-238974.358974359"/>
    <x v="38"/>
    <x v="38"/>
  </r>
  <r>
    <x v="131"/>
    <s v="7.80TO2RD-AJBS-B"/>
    <s v="7.80TO29/25Rnd'ALM'BLUE J/C(PP-SIPA-HDG"/>
    <n v="179280"/>
    <n v="179280"/>
    <s v="PC"/>
    <n v="7.7999999999999996E-3"/>
    <n v="0"/>
    <x v="38"/>
    <x v="38"/>
  </r>
  <r>
    <x v="132"/>
    <s v="7.80TO2RD-AJBS-B"/>
    <s v="7.80TO29/25Rnd'ALM'BLUE J/C(PP-SIPA-HDG"/>
    <n v="268920"/>
    <n v="268920"/>
    <s v="PC"/>
    <n v="7.7999999999999996E-3"/>
    <n v="0"/>
    <x v="41"/>
    <x v="41"/>
  </r>
  <r>
    <x v="132"/>
    <s v="FRG160"/>
    <s v="PET Blue Preform For Grinding"/>
    <n v="-699"/>
    <n v="-699"/>
    <s v="KG"/>
    <n v="7.7999999999999996E-3"/>
    <n v="-89615.384615384624"/>
    <x v="41"/>
    <x v="41"/>
  </r>
  <r>
    <x v="133"/>
    <s v="52.0BC1RD-CL-B"/>
    <s v="52.0 BC38mm 3 Rnd Clear J/C(P Plt"/>
    <n v="38400"/>
    <n v="38400"/>
    <s v="PC"/>
    <n v="5.1999999999999998E-2"/>
    <n v="0"/>
    <x v="15"/>
    <x v="15"/>
  </r>
  <r>
    <x v="133"/>
    <s v="FRG119"/>
    <s v="PET Clear Preform For Grinding"/>
    <n v="-249"/>
    <n v="-249"/>
    <s v="KG"/>
    <n v="5.1999999999999998E-2"/>
    <n v="-4788.461538461539"/>
    <x v="15"/>
    <x v="15"/>
  </r>
  <r>
    <x v="134"/>
    <s v="11.5TO2RD-AJBS-B"/>
    <s v="11.5TO29/25Rnd'ALM'BLUE J/C(PP-SIPA-HDG"/>
    <n v="334080"/>
    <n v="334080"/>
    <s v="PC"/>
    <n v="1.15E-2"/>
    <n v="0"/>
    <x v="42"/>
    <x v="42"/>
  </r>
  <r>
    <x v="134"/>
    <s v="FRG160"/>
    <s v="PET Blue Preform For Grinding"/>
    <n v="-720"/>
    <n v="-720"/>
    <s v="KG"/>
    <n v="1.15E-2"/>
    <n v="-62608.695652173912"/>
    <x v="42"/>
    <x v="42"/>
  </r>
  <r>
    <x v="135"/>
    <s v="52.0BC1RD-CL-B"/>
    <s v="52.0 BC38mm 3 Rnd Clear J/C(P Plt"/>
    <n v="273600"/>
    <n v="273600"/>
    <s v="PC"/>
    <n v="5.1999999999999998E-2"/>
    <n v="0"/>
    <x v="6"/>
    <x v="6"/>
  </r>
  <r>
    <x v="136"/>
    <s v="45.0PC2RD-IG-B"/>
    <s v="45.0 PCO 1881 ICI Green J/C(P Plt "/>
    <n v="291456"/>
    <n v="291456"/>
    <s v="PC"/>
    <n v="4.4999999999999998E-2"/>
    <n v="0"/>
    <x v="0"/>
    <x v="0"/>
  </r>
  <r>
    <x v="137"/>
    <s v="52.0BC1RD-CL-G"/>
    <s v="52.0 BC 38mm 3 Rnd Clear OJ/C(W plt"/>
    <n v="19200"/>
    <n v="19200"/>
    <s v="PC"/>
    <n v="5.1999999999999998E-2"/>
    <n v="0"/>
    <x v="15"/>
    <x v="15"/>
  </r>
  <r>
    <x v="138"/>
    <s v="52.0BC1RD-CL-B"/>
    <s v="52.0 BC38mm 3 Rnd Clear J/C(P Plt"/>
    <n v="134400"/>
    <n v="134400"/>
    <s v="PC"/>
    <n v="5.1999999999999998E-2"/>
    <n v="0"/>
    <x v="15"/>
    <x v="15"/>
  </r>
  <r>
    <x v="138"/>
    <s v="FRG119"/>
    <s v="PET Clear Preform For Grinding"/>
    <n v="-498"/>
    <n v="-498"/>
    <s v="KG"/>
    <n v="5.1999999999999998E-2"/>
    <n v="-9576.923076923078"/>
    <x v="15"/>
    <x v="15"/>
  </r>
  <r>
    <x v="139"/>
    <s v="45.0PC2RD-IG-B"/>
    <s v="45.0 PCO 1881 ICI Green J/C(P Plt "/>
    <n v="384192"/>
    <n v="384192"/>
    <s v="PC"/>
    <n v="4.4999999999999998E-2"/>
    <n v="0"/>
    <x v="0"/>
    <x v="0"/>
  </r>
  <r>
    <x v="140"/>
    <s v="45.0PC2RD-CL-VH"/>
    <s v="45.0 PCO 1881 Rnd Clear MenaBev PP HDG"/>
    <n v="13248"/>
    <n v="13248"/>
    <s v="PC"/>
    <n v="4.4999999999999998E-2"/>
    <n v="0"/>
    <x v="43"/>
    <x v="43"/>
  </r>
  <r>
    <x v="141"/>
    <s v="15.5BC1RD-CL-S"/>
    <s v="15.5 BC38mm 3 Start Rnd Clear W Steel c."/>
    <n v="27000"/>
    <n v="27000"/>
    <s v="PC"/>
    <n v="1.55E-2"/>
    <n v="0"/>
    <x v="44"/>
    <x v="44"/>
  </r>
  <r>
    <x v="141"/>
    <s v="FRG119"/>
    <s v="PET Clear Preform For Grinding"/>
    <n v="-20"/>
    <n v="-20"/>
    <s v="KG"/>
    <n v="1.55E-2"/>
    <n v="-1290.3225806451612"/>
    <x v="44"/>
    <x v="44"/>
  </r>
  <r>
    <x v="142"/>
    <s v="30.5PC2RD-CLS-BH2"/>
    <s v="30.5 PCO 1881Rnd CLR J/C(PP JOM HDG-SIPA"/>
    <n v="21240"/>
    <n v="21240"/>
    <s v="PC"/>
    <n v="3.0499999999999999E-2"/>
    <n v="0"/>
    <x v="21"/>
    <x v="21"/>
  </r>
  <r>
    <x v="143"/>
    <s v="52.0BC1RD-CL-B"/>
    <s v="52.0 BC38mm 3 Rnd Clear J/C(P Plt"/>
    <n v="350400"/>
    <n v="350400"/>
    <s v="PC"/>
    <n v="5.1999999999999998E-2"/>
    <n v="0"/>
    <x v="6"/>
    <x v="6"/>
  </r>
  <r>
    <x v="144"/>
    <s v="7.8TO2RD-LB1S-A"/>
    <s v="7.80TO 29/25 Rd L BlueAA(≤ 2)J/C(WP-SIPA"/>
    <n v="2868480"/>
    <n v="2868480"/>
    <s v="PC"/>
    <n v="7.7999999999999996E-3"/>
    <n v="0"/>
    <x v="38"/>
    <x v="38"/>
  </r>
  <r>
    <x v="145"/>
    <s v="FRG119"/>
    <s v="PET Clear Preform For Grinding"/>
    <n v="-498"/>
    <n v="-498"/>
    <s v="KG"/>
    <n v="5.1999999999999998E-2"/>
    <n v="-9576.923076923078"/>
    <x v="15"/>
    <x v="15"/>
  </r>
  <r>
    <x v="145"/>
    <s v="52.0BC1RD-CL-B"/>
    <s v="52.0 BC38mm 3 Rnd Clear J/C(P Plt"/>
    <n v="67200"/>
    <n v="67200"/>
    <s v="PC"/>
    <n v="5.1999999999999998E-2"/>
    <n v="0"/>
    <x v="15"/>
    <x v="15"/>
  </r>
  <r>
    <x v="146"/>
    <s v="45.0PC2RD-IG-B"/>
    <s v="45.0 PCO 1881 ICI Green J/C(P Plt "/>
    <n v="317952"/>
    <n v="317952"/>
    <s v="PC"/>
    <n v="4.4999999999999998E-2"/>
    <n v="0"/>
    <x v="0"/>
    <x v="0"/>
  </r>
  <r>
    <x v="147"/>
    <s v="52.0BC1RD-CL-G"/>
    <s v="52.0 BC 38mm 3 Rnd Clear OJ/C(W plt"/>
    <n v="19200"/>
    <n v="19200"/>
    <s v="PC"/>
    <n v="5.1999999999999998E-2"/>
    <n v="0"/>
    <x v="15"/>
    <x v="15"/>
  </r>
  <r>
    <x v="148"/>
    <s v="45.0PC2RD-CL-B"/>
    <s v="45.0 PCO 1881Rd Clear J/C(P Plt"/>
    <n v="92736"/>
    <n v="92736"/>
    <s v="PC"/>
    <n v="4.4999999999999998E-2"/>
    <n v="0"/>
    <x v="16"/>
    <x v="16"/>
  </r>
  <r>
    <x v="149"/>
    <s v="45.0PC2RD-CL-B"/>
    <s v="45.0 PCO 1881Rd Clear J/C(P Plt"/>
    <n v="377568"/>
    <n v="377568"/>
    <s v="PC"/>
    <n v="4.4999999999999998E-2"/>
    <n v="0"/>
    <x v="16"/>
    <x v="16"/>
  </r>
  <r>
    <x v="150"/>
    <s v="50.1PC2RD-CLR-B"/>
    <s v="50.1 PCO 1881Rd Clear rPET J/C(P Pt"/>
    <n v="324576"/>
    <n v="324576"/>
    <s v="PC"/>
    <n v="5.0099999999999999E-2"/>
    <n v="0"/>
    <x v="45"/>
    <x v="45"/>
  </r>
  <r>
    <x v="151"/>
    <s v="FRG161"/>
    <s v="PET Green Preform For Grinding"/>
    <n v="-298"/>
    <n v="-298"/>
    <s v="KG"/>
    <n v="4.4999999999999998E-2"/>
    <n v="-6622.2222222222226"/>
    <x v="0"/>
    <x v="0"/>
  </r>
  <r>
    <x v="151"/>
    <s v="45.0PC2RD-IG-B"/>
    <s v="45.0 PCO 1881 ICI Green J/C(P Plt "/>
    <n v="66240"/>
    <n v="66240"/>
    <s v="PC"/>
    <n v="4.4999999999999998E-2"/>
    <n v="0"/>
    <x v="0"/>
    <x v="0"/>
  </r>
  <r>
    <x v="152"/>
    <s v="FRG161"/>
    <s v="PET Green Preform For Grinding"/>
    <n v="-40"/>
    <n v="-40"/>
    <s v="KG"/>
    <n v="4.4999999999999998E-2"/>
    <n v="-888.88888888888891"/>
    <x v="34"/>
    <x v="34"/>
  </r>
  <r>
    <x v="152"/>
    <s v="45.0PC2RD-IG-VH"/>
    <s v="45.0 PCO 1881 Rd ICI Green MenaBevPP HDG"/>
    <n v="27248"/>
    <n v="27248"/>
    <s v="PC"/>
    <n v="4.4999999999999998E-2"/>
    <n v="0"/>
    <x v="34"/>
    <x v="34"/>
  </r>
  <r>
    <x v="153"/>
    <s v="45.0PC2RD-IG-B"/>
    <s v="45.0 PCO 1881 ICI Green J/C(P Plt "/>
    <n v="13248"/>
    <n v="13248"/>
    <s v="PC"/>
    <n v="4.4999999999999998E-2"/>
    <n v="0"/>
    <x v="34"/>
    <x v="34"/>
  </r>
  <r>
    <x v="154"/>
    <s v="FRG119"/>
    <s v="PET Clear Preform For Grinding"/>
    <n v="-241"/>
    <n v="-241"/>
    <s v="KG"/>
    <n v="1.35E-2"/>
    <n v="-17851.85185185185"/>
    <x v="46"/>
    <x v="46"/>
  </r>
  <r>
    <x v="154"/>
    <s v="13.5BC1RD-CL-G"/>
    <s v="13.5 BC38mm 3 Rnd Clear OJ/C(p plt"/>
    <n v="285696"/>
    <n v="285696"/>
    <s v="PC"/>
    <n v="1.35E-2"/>
    <n v="0"/>
    <x v="46"/>
    <x v="46"/>
  </r>
  <r>
    <x v="155"/>
    <s v="FRG119"/>
    <s v="PET Clear Preform For Grinding"/>
    <n v="-1340"/>
    <n v="-1340"/>
    <s v="KG"/>
    <n v="2.6600000000000002E-2"/>
    <n v="-50375.939849624054"/>
    <x v="26"/>
    <x v="26"/>
  </r>
  <r>
    <x v="155"/>
    <s v="26.6TO2RD-CL-B"/>
    <s v="26.6 TO 29/25 Rnd Clear J/C(P Plt"/>
    <n v="342720"/>
    <n v="342720"/>
    <s v="PC"/>
    <n v="2.6600000000000002E-2"/>
    <n v="0"/>
    <x v="26"/>
    <x v="26"/>
  </r>
  <r>
    <x v="156"/>
    <s v="26.6TO2RD-CL-A"/>
    <s v="26.6 29/25 Rnd Clear J/C(W Plt"/>
    <n v="30240"/>
    <n v="30240"/>
    <s v="PC"/>
    <n v="2.6600000000000002E-2"/>
    <n v="0"/>
    <x v="26"/>
    <x v="26"/>
  </r>
  <r>
    <x v="157"/>
    <s v="30.5PC2RD-IGS-BH2"/>
    <s v="30.5PCO1881 ICI GreenJ/C(PP JOM HDG-SIPA"/>
    <n v="307980"/>
    <n v="307980"/>
    <s v="PC"/>
    <n v="3.0499999999999999E-2"/>
    <n v="0"/>
    <x v="31"/>
    <x v="31"/>
  </r>
  <r>
    <x v="158"/>
    <s v="14.0PC2RD-IG-A"/>
    <s v="14.0 PCO 1881 Rnd ICI Green J/C(W Plt)"/>
    <n v="20640"/>
    <n v="20640"/>
    <s v="PC"/>
    <n v="1.4E-2"/>
    <n v="0"/>
    <x v="47"/>
    <x v="47"/>
  </r>
  <r>
    <x v="159"/>
    <s v="FRG161"/>
    <s v="PET Green Preform For Grinding"/>
    <n v="-353.92"/>
    <n v="-353.92"/>
    <s v="KG"/>
    <n v="1.4E-2"/>
    <n v="-25280"/>
    <x v="47"/>
    <x v="47"/>
  </r>
  <r>
    <x v="159"/>
    <s v="14.0PC2RD-IG-A"/>
    <s v="14.0 PCO 1881 Rnd ICI Green J/C(W Plt)"/>
    <n v="190400"/>
    <n v="190400"/>
    <s v="PC"/>
    <n v="1.4E-2"/>
    <n v="0"/>
    <x v="47"/>
    <x v="47"/>
  </r>
  <r>
    <x v="160"/>
    <s v="FRG119"/>
    <s v="PET Clear Preform For Grinding"/>
    <n v="-228"/>
    <n v="-228"/>
    <s v="KG"/>
    <n v="3.5999999999999997E-2"/>
    <n v="-6333.3333333333339"/>
    <x v="3"/>
    <x v="3"/>
  </r>
  <r>
    <x v="160"/>
    <s v="36.0BC1RD-CL-G"/>
    <s v="36.0 BC38mm 3 Rnd Clear OJ/C(W plt"/>
    <n v="69696"/>
    <n v="69696"/>
    <s v="PC"/>
    <n v="3.5999999999999997E-2"/>
    <n v="0"/>
    <x v="3"/>
    <x v="3"/>
  </r>
  <r>
    <x v="161"/>
    <s v="FRG119"/>
    <s v="PET Clear Preform For Grinding"/>
    <n v="-241"/>
    <n v="-241"/>
    <s v="KG"/>
    <n v="1.35E-2"/>
    <n v="-17851.85185185185"/>
    <x v="46"/>
    <x v="46"/>
  </r>
  <r>
    <x v="161"/>
    <s v="13.5BC1RD-CL-G"/>
    <s v="13.5 BC38mm 3 Rnd Clear OJ/C(p plt"/>
    <n v="53568"/>
    <n v="53568"/>
    <s v="PC"/>
    <n v="1.35E-2"/>
    <n v="0"/>
    <x v="46"/>
    <x v="46"/>
  </r>
  <r>
    <x v="162"/>
    <s v="30.5PC2RD-IGS-BH2"/>
    <s v="30.5PCO1881 ICI GreenJ/C(PP JOM HDG-SIPA"/>
    <n v="785880"/>
    <n v="785880"/>
    <s v="PC"/>
    <n v="3.0499999999999999E-2"/>
    <n v="0"/>
    <x v="31"/>
    <x v="31"/>
  </r>
  <r>
    <x v="163"/>
    <s v="45.0PC2RD-CL-B"/>
    <s v="45.0 PCO 1881Rd Clear J/C(P Plt"/>
    <n v="390816"/>
    <n v="390816"/>
    <s v="PC"/>
    <n v="4.4999999999999998E-2"/>
    <n v="0"/>
    <x v="16"/>
    <x v="16"/>
  </r>
  <r>
    <x v="164"/>
    <s v="FRG119"/>
    <s v="PET Clear Preform For Grinding"/>
    <n v="-608"/>
    <n v="-608"/>
    <s v="KG"/>
    <n v="3.5999999999999997E-2"/>
    <n v="-16888.888888888891"/>
    <x v="48"/>
    <x v="48"/>
  </r>
  <r>
    <x v="164"/>
    <s v="36.0BC1RD-CJ-S"/>
    <s v="36.0 BC 38mm 3 Rnd Clear Steel C-(Aujan)"/>
    <n v="84480"/>
    <n v="84480"/>
    <s v="PC"/>
    <n v="3.5999999999999997E-2"/>
    <n v="0"/>
    <x v="48"/>
    <x v="48"/>
  </r>
  <r>
    <x v="165"/>
    <s v="FRG119"/>
    <s v="PET Clear Preform For Grinding"/>
    <n v="-940"/>
    <n v="-940"/>
    <s v="KG"/>
    <n v="3.0499999999999999E-2"/>
    <n v="-30819.672131147541"/>
    <x v="7"/>
    <x v="7"/>
  </r>
  <r>
    <x v="165"/>
    <s v="30.5PC2RD-CLS-V"/>
    <s v="30.5 PCO 1881 Rnd CLR Mena Bev Spec-SIPA"/>
    <n v="106200"/>
    <n v="106200"/>
    <s v="PC"/>
    <n v="3.0499999999999999E-2"/>
    <n v="0"/>
    <x v="7"/>
    <x v="7"/>
  </r>
  <r>
    <x v="166"/>
    <s v="30.5PC2RD-CLS-BH2"/>
    <s v="30.5 PCO 1881Rnd CLR J/C(PP JOM HDG-SIPA"/>
    <n v="31860"/>
    <n v="31860"/>
    <s v="PC"/>
    <n v="3.0499999999999999E-2"/>
    <n v="0"/>
    <x v="7"/>
    <x v="7"/>
  </r>
  <r>
    <x v="167"/>
    <s v="51.0BC1RD-CL-S"/>
    <s v="51.0 BC 38mm 3 Rnd Clear steel c"/>
    <n v="14400"/>
    <n v="14400"/>
    <s v="PC"/>
    <n v="5.0999999999999997E-2"/>
    <n v="0"/>
    <x v="49"/>
    <x v="49"/>
  </r>
  <r>
    <x v="168"/>
    <s v="34.0BC1EC-W2-S"/>
    <s v="34.0 BC38mm 3 ECO Huayan White Steel C"/>
    <n v="19872"/>
    <n v="19872"/>
    <s v="PC"/>
    <n v="3.4000000000000002E-2"/>
    <n v="0"/>
    <x v="50"/>
    <x v="50"/>
  </r>
  <r>
    <x v="169"/>
    <s v="34.0BC1EC-CL2-S"/>
    <s v="34.0 BC38mm 3 ECO Huayan Clear steel C"/>
    <n v="9936"/>
    <n v="9936"/>
    <s v="PC"/>
    <n v="3.4000000000000002E-2"/>
    <n v="0"/>
    <x v="51"/>
    <x v="51"/>
  </r>
  <r>
    <x v="170"/>
    <s v="30.5PC2RD-CLS-BH2"/>
    <s v="30.5 PCO 1881Rnd CLR J/C(PP JOM HDG-SIPA"/>
    <n v="605340"/>
    <n v="605340"/>
    <s v="PC"/>
    <n v="3.0499999999999999E-2"/>
    <n v="0"/>
    <x v="21"/>
    <x v="21"/>
  </r>
  <r>
    <x v="171"/>
    <s v="45.0PC2RD-CL-B"/>
    <s v="45.0 PCO 1881Rd Clear J/C(P Plt"/>
    <n v="410688"/>
    <n v="410688"/>
    <s v="PC"/>
    <n v="4.4999999999999998E-2"/>
    <n v="0"/>
    <x v="16"/>
    <x v="16"/>
  </r>
  <r>
    <x v="172"/>
    <s v="FRG160"/>
    <s v="PET Blue Preform For Grinding"/>
    <n v="-211"/>
    <n v="-211"/>
    <s v="KG"/>
    <n v="1.04E-2"/>
    <n v="-20288.461538461539"/>
    <x v="23"/>
    <x v="23"/>
  </r>
  <r>
    <x v="172"/>
    <s v="10.4TO2RD-LB-A"/>
    <s v="10.4 TO 29/25 Rnd Light BLUE J/C(W Plt"/>
    <n v="197752"/>
    <n v="197752"/>
    <s v="PC"/>
    <n v="1.04E-2"/>
    <n v="0"/>
    <x v="23"/>
    <x v="23"/>
  </r>
  <r>
    <x v="173"/>
    <s v="FRG161"/>
    <s v="PET Green Preform For Grinding"/>
    <n v="-323"/>
    <n v="-323"/>
    <s v="KG"/>
    <n v="3.0499999999999999E-2"/>
    <n v="-10590.163934426229"/>
    <x v="31"/>
    <x v="31"/>
  </r>
  <r>
    <x v="173"/>
    <s v="30.5PC2RD-IGS-BH2"/>
    <s v="30.5PCO1881 ICI GreenJ/C(PP JOM HDG-SIPA"/>
    <n v="74340"/>
    <n v="0"/>
    <s v="PC"/>
    <n v="3.0499999999999999E-2"/>
    <n v="0"/>
    <x v="31"/>
    <x v="31"/>
  </r>
  <r>
    <x v="173"/>
    <s v="30.5PC2RD-IGS-V"/>
    <s v="30.5PCO1881RndICI GreenMenaBev Spec-SIPA"/>
    <n v="74340"/>
    <n v="74340"/>
    <s v="PC"/>
    <n v="3.0499999999999999E-2"/>
    <n v="0"/>
    <x v="31"/>
    <x v="31"/>
  </r>
  <r>
    <x v="174"/>
    <s v="30.5PC2RD-IGS-BH2"/>
    <s v="30.5PCO1881 ICI GreenJ/C(PP JOM HDG-SIPA"/>
    <n v="53100"/>
    <n v="0"/>
    <s v="PC"/>
    <n v="3.0499999999999999E-2"/>
    <n v="0"/>
    <x v="31"/>
    <x v="31"/>
  </r>
  <r>
    <x v="174"/>
    <s v="30.5PC2RD-IGS-A"/>
    <s v="30.5 PCO 1881 Rnd ICI Green J/C(WP-SIPA"/>
    <n v="53100"/>
    <n v="53100"/>
    <s v="PC"/>
    <n v="3.0499999999999999E-2"/>
    <n v="0"/>
    <x v="31"/>
    <x v="31"/>
  </r>
  <r>
    <x v="175"/>
    <s v="30.5PC2RD-IGS-A"/>
    <s v="30.5 PCO 1881 Rnd ICI Green J/C(WP-SIPA"/>
    <n v="42480"/>
    <n v="0"/>
    <s v="PC"/>
    <n v="3.0499999999999999E-2"/>
    <n v="0"/>
    <x v="31"/>
    <x v="31"/>
  </r>
  <r>
    <x v="175"/>
    <s v="30.5PC2RD-IGS-BH2"/>
    <s v="30.5PCO1881 ICI GreenJ/C(PP JOM HDG-SIPA"/>
    <n v="42480"/>
    <n v="42480"/>
    <s v="PC"/>
    <n v="3.0499999999999999E-2"/>
    <n v="0"/>
    <x v="31"/>
    <x v="31"/>
  </r>
  <r>
    <x v="176"/>
    <s v="30.5PC2RD-IGS-A"/>
    <s v="30.5 PCO 1881 Rnd ICI Green J/C(WP-SIPA"/>
    <n v="10620"/>
    <n v="10620"/>
    <s v="PC"/>
    <n v="3.0499999999999999E-2"/>
    <n v="0"/>
    <x v="30"/>
    <x v="30"/>
  </r>
  <r>
    <x v="177"/>
    <s v="30.5PC2RD-CLS-BH2"/>
    <s v="30.5 PCO 1881Rnd CLR J/C(PP JOM HDG-SIPA"/>
    <n v="10620"/>
    <n v="10620"/>
    <s v="PC"/>
    <n v="3.0499999999999999E-2"/>
    <n v="0"/>
    <x v="7"/>
    <x v="7"/>
  </r>
  <r>
    <x v="178"/>
    <s v="1300C51-SFI-1MMFJ"/>
    <s v="Safi 1.3L PET ClearBTL-MangoMixFruit-25D"/>
    <n v="1344"/>
    <n v="1344"/>
    <s v="PC"/>
    <n v="1.3"/>
    <n v="0"/>
    <x v="52"/>
    <x v="52"/>
  </r>
  <r>
    <x v="179"/>
    <s v="30.5PC2RD-IGS-A"/>
    <s v="30.5 PCO 1881 Rnd ICI Green J/C(WP-SIPA"/>
    <n v="10620"/>
    <n v="10620"/>
    <s v="PC"/>
    <n v="3.0499999999999999E-2"/>
    <n v="0"/>
    <x v="31"/>
    <x v="31"/>
  </r>
  <r>
    <x v="180"/>
    <s v="13.5TO2RD-B3-B"/>
    <s v="13.5 TO29/25Rnd Nova Blue J/C(P pltYISHN"/>
    <n v="38400"/>
    <n v="0"/>
    <s v="PC"/>
    <e v="#N/A"/>
    <n v="0"/>
    <x v="10"/>
    <x v="10"/>
  </r>
  <r>
    <x v="181"/>
    <s v="30.5PC2RD-CLS-BH2"/>
    <s v="30.5 PCO 1881Rnd CLR J/C(PP JOM HDG-SIPA"/>
    <n v="414180"/>
    <n v="414180"/>
    <s v="PC"/>
    <n v="3.0499999999999999E-2"/>
    <n v="0"/>
    <x v="21"/>
    <x v="21"/>
  </r>
  <r>
    <x v="182"/>
    <s v="30.5PC2RD-IGS-BH2"/>
    <s v="30.5PCO1881 ICI GreenJ/C(PP JOM HDG-SIPA"/>
    <n v="10620"/>
    <n v="0"/>
    <s v="PC"/>
    <n v="3.0499999999999999E-2"/>
    <n v="0"/>
    <x v="7"/>
    <x v="7"/>
  </r>
  <r>
    <x v="183"/>
    <s v="30.5PC2RD-IGS-BH2"/>
    <s v="30.5PCO1881 ICI GreenJ/C(PP JOM HDG-SIPA"/>
    <n v="10620"/>
    <n v="0"/>
    <s v="PC"/>
    <n v="3.0499999999999999E-2"/>
    <n v="0"/>
    <x v="7"/>
    <x v="7"/>
  </r>
  <r>
    <x v="184"/>
    <s v="30.5PC2RD-CLS-A"/>
    <s v="30.5 PCO 1881 Rnd Clear J/C(W plt-SIPA"/>
    <n v="10620"/>
    <n v="10620"/>
    <s v="PC"/>
    <n v="3.0499999999999999E-2"/>
    <n v="0"/>
    <x v="31"/>
    <x v="31"/>
  </r>
  <r>
    <x v="185"/>
    <s v="30.5PC2RD-CLS-A"/>
    <s v="30.5 PCO 1881 Rnd Clear J/C(W plt-SIPA"/>
    <n v="10620"/>
    <n v="10620"/>
    <s v="PC"/>
    <n v="3.0499999999999999E-2"/>
    <n v="0"/>
    <x v="31"/>
    <x v="31"/>
  </r>
  <r>
    <x v="186"/>
    <s v="30.5PC2RD-CLS-A"/>
    <s v="30.5 PCO 1881 Rnd Clear J/C(W plt-SIPA"/>
    <n v="10620"/>
    <n v="10620"/>
    <s v="PC"/>
    <n v="3.0499999999999999E-2"/>
    <n v="0"/>
    <x v="21"/>
    <x v="21"/>
  </r>
  <r>
    <x v="187"/>
    <s v="30.5PC2RD-IGS-A"/>
    <s v="30.5 PCO 1881 Rnd ICI Green J/C(WP-SIPA"/>
    <n v="10620"/>
    <n v="10620"/>
    <s v="PC"/>
    <n v="3.0499999999999999E-2"/>
    <n v="0"/>
    <x v="31"/>
    <x v="31"/>
  </r>
  <r>
    <x v="188"/>
    <s v="45.0PC2RD-CL-B"/>
    <s v="45.0 PCO 1881Rd Clear J/C(P Plt"/>
    <n v="271584"/>
    <n v="271584"/>
    <s v="PC"/>
    <n v="4.4999999999999998E-2"/>
    <n v="0"/>
    <x v="16"/>
    <x v="16"/>
  </r>
  <r>
    <x v="189"/>
    <s v="FRG160"/>
    <s v="PET Blue Preform For Grinding"/>
    <n v="-222"/>
    <n v="-222"/>
    <s v="KG"/>
    <n v="7.45E-3"/>
    <n v="-29798.657718120805"/>
    <x v="24"/>
    <x v="24"/>
  </r>
  <r>
    <x v="189"/>
    <s v="7.45TO2RD-LBS-A"/>
    <s v="7.45TO LW 29/25 L.Blue J/C(WP-SIPA"/>
    <n v="298800"/>
    <n v="298800"/>
    <s v="PC"/>
    <n v="7.45E-3"/>
    <n v="0"/>
    <x v="24"/>
    <x v="24"/>
  </r>
  <r>
    <x v="190"/>
    <s v="10.4TO2RD-CL-A"/>
    <s v="10.4 TO 29/25 Rnd Clear J/C(W plt"/>
    <n v="76032"/>
    <n v="76032"/>
    <s v="PC"/>
    <n v="1.04E-2"/>
    <n v="0"/>
    <x v="53"/>
    <x v="53"/>
  </r>
  <r>
    <x v="191"/>
    <s v="10.4TO2RD-CL-B"/>
    <s v="10.4 TO 29/25 Rnd Clear J/C(P Plt"/>
    <n v="126720"/>
    <n v="126720"/>
    <s v="PC"/>
    <n v="1.04E-2"/>
    <n v="0"/>
    <x v="53"/>
    <x v="53"/>
  </r>
  <r>
    <x v="192"/>
    <s v="30.5PC2RD-IGS-V"/>
    <s v="30.5PCO1881RndICI GreenMenaBev Spec-SIPA"/>
    <n v="42480"/>
    <n v="42480"/>
    <s v="PC"/>
    <n v="3.0499999999999999E-2"/>
    <n v="0"/>
    <x v="31"/>
    <x v="31"/>
  </r>
  <r>
    <x v="193"/>
    <s v="45.0PC2RD-IG-B"/>
    <s v="45.0 PCO 1881 ICI Green J/C(P Plt "/>
    <n v="317952"/>
    <n v="317952"/>
    <s v="PC"/>
    <n v="4.4999999999999998E-2"/>
    <n v="0"/>
    <x v="0"/>
    <x v="0"/>
  </r>
  <r>
    <x v="194"/>
    <s v="45.0PC2RD-IG-B"/>
    <s v="45.0 PCO 1881 ICI Green J/C(P Plt "/>
    <n v="145728"/>
    <n v="145728"/>
    <s v="PC"/>
    <n v="4.4999999999999998E-2"/>
    <n v="0"/>
    <x v="0"/>
    <x v="0"/>
  </r>
  <r>
    <x v="195"/>
    <s v="FRG119"/>
    <s v="PET Clear Preform For Grinding"/>
    <n v="-324"/>
    <n v="-324"/>
    <s v="KG"/>
    <n v="9.6999999999999986E-3"/>
    <n v="-33402.061855670108"/>
    <x v="2"/>
    <x v="2"/>
  </r>
  <r>
    <x v="195"/>
    <s v="9.70TO2RD-CLS-B"/>
    <s v="9.70 29/25 Rnd Clear J/C(P Plt)-SIPA"/>
    <n v="134935"/>
    <n v="134935"/>
    <s v="PC"/>
    <n v="9.6999999999999986E-3"/>
    <n v="0"/>
    <x v="2"/>
    <x v="2"/>
  </r>
  <r>
    <x v="196"/>
    <s v="15.5BC1RD-CL-S"/>
    <s v="15.5 BC38mm 3 Start Rnd Clear W Steel c."/>
    <n v="18000"/>
    <n v="18000"/>
    <s v="PC"/>
    <n v="1.55E-2"/>
    <n v="0"/>
    <x v="54"/>
    <x v="54"/>
  </r>
  <r>
    <x v="197"/>
    <s v="FRG119"/>
    <s v="PET Clear Preform For Grinding"/>
    <n v="-102"/>
    <n v="-102"/>
    <s v="KG"/>
    <n v="1.55E-2"/>
    <n v="-6580.6451612903229"/>
    <x v="54"/>
    <x v="54"/>
  </r>
  <r>
    <x v="197"/>
    <s v="15.5BC1RD-CL-A"/>
    <s v="15.5 BC38mm 3 Start Rnd Clear J/C(W plt"/>
    <n v="51552"/>
    <n v="51552"/>
    <s v="PC"/>
    <n v="1.55E-2"/>
    <n v="0"/>
    <x v="54"/>
    <x v="54"/>
  </r>
  <r>
    <x v="198"/>
    <s v="12.5TO2RD-CLS-B"/>
    <s v="12.5 29/25 Rnd Clear J/C(PP"/>
    <n v="208800"/>
    <n v="208800"/>
    <s v="PC"/>
    <n v="1.2500000000000001E-2"/>
    <n v="0"/>
    <x v="39"/>
    <x v="39"/>
  </r>
  <r>
    <x v="199"/>
    <s v="52.0BC1RD-CL-B"/>
    <s v="52.0 BC38mm 3 Rnd Clear J/C(P Plt"/>
    <n v="201600"/>
    <n v="201600"/>
    <s v="PC"/>
    <n v="5.1999999999999998E-2"/>
    <n v="0"/>
    <x v="6"/>
    <x v="6"/>
  </r>
  <r>
    <x v="200"/>
    <s v="FRG160"/>
    <s v="PET Blue Preform For Grinding"/>
    <n v="-233"/>
    <n v="-233"/>
    <s v="KG"/>
    <n v="7.7999999999999996E-3"/>
    <n v="-29871.794871794875"/>
    <x v="41"/>
    <x v="41"/>
  </r>
  <r>
    <x v="200"/>
    <s v="7.80TO2RD-AJBS-B"/>
    <s v="7.80TO29/25Rnd'ALM'BLUE J/C(PP-SIPA-HDG"/>
    <n v="298800"/>
    <n v="298800"/>
    <s v="PC"/>
    <n v="7.7999999999999996E-3"/>
    <n v="0"/>
    <x v="41"/>
    <x v="41"/>
  </r>
  <r>
    <x v="201"/>
    <s v="30.5PC2RD-CLS-BH2"/>
    <s v="30.5 PCO 1881Rnd CLR J/C(PP JOM HDG-SIPA"/>
    <n v="435420"/>
    <n v="435420"/>
    <s v="PC"/>
    <n v="3.0499999999999999E-2"/>
    <n v="0"/>
    <x v="21"/>
    <x v="21"/>
  </r>
  <r>
    <x v="202"/>
    <s v="52.0BC1RD-CL-B"/>
    <s v="52.0 BC38mm 3 Rnd Clear J/C(P Plt"/>
    <n v="297600"/>
    <n v="297600"/>
    <s v="PC"/>
    <n v="5.1999999999999998E-2"/>
    <n v="0"/>
    <x v="6"/>
    <x v="6"/>
  </r>
  <r>
    <x v="203"/>
    <s v="45.0PC2RD-IG-B"/>
    <s v="45.0 PCO 1881 ICI Green J/C(P Plt "/>
    <n v="417312"/>
    <n v="417312"/>
    <s v="PC"/>
    <n v="4.4999999999999998E-2"/>
    <n v="0"/>
    <x v="0"/>
    <x v="0"/>
  </r>
  <r>
    <x v="204"/>
    <s v="30.5PC2RD-IGS-BH2"/>
    <s v="30.5PCO1881 ICI GreenJ/C(PP JOM HDG-SIPA"/>
    <n v="63720"/>
    <n v="63720"/>
    <s v="PC"/>
    <n v="3.0499999999999999E-2"/>
    <n v="0"/>
    <x v="31"/>
    <x v="31"/>
  </r>
  <r>
    <x v="205"/>
    <s v="13.5TO2RD-B3-B"/>
    <s v="13.5 TO29/25Rnd Nova Blue J/C(P pltYISHN"/>
    <n v="38400"/>
    <n v="38400"/>
    <s v="PC"/>
    <n v="1.35E-2"/>
    <n v="0"/>
    <x v="55"/>
    <x v="55"/>
  </r>
  <r>
    <x v="206"/>
    <s v="30.5PC2RD-CLS-BH2"/>
    <s v="30.5 PCO 1881Rnd CLR J/C(PP JOM HDG-SIPA"/>
    <n v="1072620"/>
    <n v="1072620"/>
    <s v="PC"/>
    <n v="3.0499999999999999E-2"/>
    <n v="0"/>
    <x v="21"/>
    <x v="21"/>
  </r>
  <r>
    <x v="207"/>
    <s v="12.5TO2RD-CLS-B"/>
    <s v="12.5 29/25 Rnd Clear J/C(PP"/>
    <n v="30064"/>
    <n v="30064"/>
    <s v="PC"/>
    <n v="0"/>
    <n v="0"/>
    <x v="56"/>
    <x v="56"/>
  </r>
  <r>
    <x v="207"/>
    <s v="50.1PC2RD-CLR-B"/>
    <s v="50.1 PCO 1881Rd Clear rPET J/C(P Pt"/>
    <n v="6624"/>
    <n v="6624"/>
    <s v="PC"/>
    <n v="0"/>
    <n v="0"/>
    <x v="56"/>
    <x v="56"/>
  </r>
  <r>
    <x v="208"/>
    <s v="47.5PC2RD-IG-B"/>
    <s v="47.5 PCO 1881 Rnd ICI Green J/C(P Plt"/>
    <n v="6624"/>
    <n v="6624"/>
    <s v="PC"/>
    <n v="0"/>
    <n v="0"/>
    <x v="57"/>
    <x v="57"/>
  </r>
  <r>
    <x v="208"/>
    <s v="30.5PC2RD-IGS-BH2"/>
    <s v="30.5PCO1881 ICI GreenJ/C(PP JOM HDG-SIPA"/>
    <n v="10620"/>
    <n v="10620"/>
    <s v="PC"/>
    <n v="0"/>
    <n v="0"/>
    <x v="57"/>
    <x v="57"/>
  </r>
  <r>
    <x v="208"/>
    <s v="50.1PC2RD-IGR-B"/>
    <s v="50.1PCO 1881 ICI Green rPET J/C(P Pt"/>
    <n v="6624"/>
    <n v="6624"/>
    <s v="PC"/>
    <n v="0"/>
    <n v="0"/>
    <x v="57"/>
    <x v="57"/>
  </r>
  <r>
    <x v="209"/>
    <s v="45.0PC2RD-CL-B"/>
    <s v="45.0 PCO 1881Rd Clear J/C(P Plt"/>
    <n v="748512"/>
    <n v="748512"/>
    <s v="PC"/>
    <n v="4.4999999999999998E-2"/>
    <n v="0"/>
    <x v="13"/>
    <x v="13"/>
  </r>
  <r>
    <x v="210"/>
    <s v="45.0PC2RD-IG-B"/>
    <s v="45.0 PCO 1881 ICI Green J/C(P Plt "/>
    <n v="662400"/>
    <n v="662400"/>
    <s v="PC"/>
    <n v="4.4999999999999998E-2"/>
    <n v="0"/>
    <x v="34"/>
    <x v="34"/>
  </r>
  <r>
    <x v="211"/>
    <s v="45.0PC2RD-IG-B"/>
    <s v="45.0 PCO 1881 ICI Green J/C(P Plt "/>
    <n v="99360"/>
    <n v="99360"/>
    <s v="PC"/>
    <n v="4.4999999999999998E-2"/>
    <n v="0"/>
    <x v="0"/>
    <x v="0"/>
  </r>
  <r>
    <x v="212"/>
    <s v="30.5PC2RD-IGS-BH2"/>
    <s v="30.5PCO1881 ICI GreenJ/C(PP JOM HDG-SIPA"/>
    <n v="1030140"/>
    <n v="1030140"/>
    <s v="PC"/>
    <n v="3.0499999999999999E-2"/>
    <n v="0"/>
    <x v="31"/>
    <x v="31"/>
  </r>
  <r>
    <x v="213"/>
    <s v="45.0PC2RD-CL-B"/>
    <s v="45.0 PCO 1881Rd Clear J/C(P Plt"/>
    <n v="251712"/>
    <n v="251712"/>
    <s v="PC"/>
    <n v="4.4999999999999998E-2"/>
    <n v="0"/>
    <x v="16"/>
    <x v="16"/>
  </r>
  <r>
    <x v="214"/>
    <s v="52.0BC1RD-CL-B"/>
    <s v="52.0 BC38mm 3 Rnd Clear J/C(P Plt"/>
    <n v="403200"/>
    <n v="403200"/>
    <s v="PC"/>
    <n v="5.1999999999999998E-2"/>
    <n v="0"/>
    <x v="6"/>
    <x v="6"/>
  </r>
  <r>
    <x v="215"/>
    <s v="FRG119"/>
    <s v="PET Clear Preform For Grinding"/>
    <n v="-249"/>
    <n v="-249"/>
    <s v="KG"/>
    <n v="5.1999999999999998E-2"/>
    <n v="-4788.461538461539"/>
    <x v="15"/>
    <x v="15"/>
  </r>
  <r>
    <x v="215"/>
    <s v="52.0BC1RD-CL-B"/>
    <s v="52.0 BC38mm 3 Rnd Clear J/C(P Plt"/>
    <n v="100800"/>
    <n v="100800"/>
    <s v="PC"/>
    <n v="5.1999999999999998E-2"/>
    <n v="0"/>
    <x v="15"/>
    <x v="15"/>
  </r>
  <r>
    <x v="216"/>
    <s v="12.5TO2RD-LBS-A"/>
    <s v="12.5 TO29/25Rd L.Blue J/C(WP-SIPA"/>
    <n v="62640"/>
    <n v="62640"/>
    <s v="PC"/>
    <n v="1.2500000000000001E-2"/>
    <n v="0"/>
    <x v="37"/>
    <x v="37"/>
  </r>
  <r>
    <x v="217"/>
    <s v="FRG160"/>
    <s v="PET Blue Preform For Grinding"/>
    <n v="-198"/>
    <n v="-198"/>
    <s v="KG"/>
    <n v="1.2500000000000001E-2"/>
    <n v="-15840"/>
    <x v="37"/>
    <x v="37"/>
  </r>
  <r>
    <x v="217"/>
    <s v="12.5TO2RD-LBS1-A"/>
    <s v="12.5 TO29/25Rd L.Blue(≤ 2ppm)J/C(WP-SIPA"/>
    <n v="57640"/>
    <n v="57640"/>
    <s v="PC"/>
    <n v="1.2500000000000001E-2"/>
    <n v="0"/>
    <x v="37"/>
    <x v="37"/>
  </r>
  <r>
    <x v="218"/>
    <s v="45.0PC2RD-CL-B"/>
    <s v="45.0 PCO 1881Rd Clear J/C(P Plt"/>
    <n v="66240"/>
    <n v="66240"/>
    <s v="PC"/>
    <n v="4.4999999999999998E-2"/>
    <n v="0"/>
    <x v="16"/>
    <x v="16"/>
  </r>
  <r>
    <x v="219"/>
    <s v="30.5PC2RD-IGS-BH2"/>
    <s v="30.5PCO1881 ICI GreenJ/C(PP JOM HDG-SIPA"/>
    <n v="838980"/>
    <n v="838980"/>
    <s v="PC"/>
    <n v="3.0499999999999999E-2"/>
    <n v="0"/>
    <x v="31"/>
    <x v="31"/>
  </r>
  <r>
    <x v="220"/>
    <s v="52.0BC1RD-CL-B"/>
    <s v="52.0 BC38mm 3 Rnd Clear J/C(P Plt"/>
    <n v="465600"/>
    <n v="465600"/>
    <s v="PC"/>
    <n v="5.1999999999999998E-2"/>
    <n v="0"/>
    <x v="6"/>
    <x v="6"/>
  </r>
  <r>
    <x v="221"/>
    <s v="45.0PC2RD-IG-B"/>
    <s v="45.0 PCO 1881 ICI Green J/C(P Plt "/>
    <n v="132480"/>
    <n v="132480"/>
    <s v="PC"/>
    <n v="4.4999999999999998E-2"/>
    <n v="0"/>
    <x v="0"/>
    <x v="0"/>
  </r>
  <r>
    <x v="222"/>
    <s v="FRG119"/>
    <s v="PET Clear Preform For Grinding"/>
    <n v="-249"/>
    <n v="-249"/>
    <s v="KG"/>
    <n v="5.1999999999999998E-2"/>
    <n v="-4788.461538461539"/>
    <x v="15"/>
    <x v="15"/>
  </r>
  <r>
    <x v="222"/>
    <s v="52.0BC1RD-CL-B"/>
    <s v="52.0 BC38mm 3 Rnd Clear J/C(P Plt"/>
    <n v="38400"/>
    <n v="38400"/>
    <s v="PC"/>
    <n v="5.1999999999999998E-2"/>
    <n v="0"/>
    <x v="15"/>
    <x v="15"/>
  </r>
  <r>
    <x v="223"/>
    <s v="FRG119"/>
    <s v="PET Clear Preform For Grinding"/>
    <n v="-542"/>
    <n v="-542"/>
    <s v="KG"/>
    <n v="1.2699999999999999E-2"/>
    <n v="-42677.165354330711"/>
    <x v="58"/>
    <x v="58"/>
  </r>
  <r>
    <x v="223"/>
    <s v="12.7BC1EC-CL-S"/>
    <s v="12.7 BC38mm 3 ECO Clear Steel c."/>
    <n v="362304"/>
    <n v="362304"/>
    <s v="PC"/>
    <n v="1.2699999999999999E-2"/>
    <n v="0"/>
    <x v="58"/>
    <x v="58"/>
  </r>
  <r>
    <x v="224"/>
    <s v="1300C51-SFI-1MMFJ"/>
    <s v="Safi 1.3L PET ClearBTL-MangoMixFruit-25D"/>
    <n v="6048"/>
    <n v="0"/>
    <s v="KG"/>
    <m/>
    <n v="0"/>
    <x v="10"/>
    <x v="10"/>
  </r>
  <r>
    <x v="225"/>
    <s v="1400C51-SFI-1ORJ"/>
    <s v="Safi 1.4L PET Clear BTL-Orange -25D"/>
    <n v="2016"/>
    <n v="0"/>
    <s v="PC"/>
    <m/>
    <n v="0"/>
    <x v="10"/>
    <x v="10"/>
  </r>
  <r>
    <x v="226"/>
    <s v="1400C51-SFI-1MFJ"/>
    <s v="Safi 1.4L PET Clear BTL-Multi Fruit -25D"/>
    <n v="2016"/>
    <n v="0"/>
    <s v="PC"/>
    <m/>
    <n v="0"/>
    <x v="10"/>
    <x v="10"/>
  </r>
  <r>
    <x v="227"/>
    <s v="1400C51-SFI-1SBJ"/>
    <s v="Safi 1.4L PET ClearBTL-StrawberryNas-25D"/>
    <n v="2016"/>
    <n v="0"/>
    <s v="PC"/>
    <m/>
    <n v="0"/>
    <x v="10"/>
    <x v="10"/>
  </r>
  <r>
    <x v="228"/>
    <s v="1300C51-SFI-1APJ"/>
    <s v="Safi 1.3L PET Clear BTL-Apple -25D"/>
    <n v="1344"/>
    <n v="0"/>
    <s v="PC"/>
    <m/>
    <n v="0"/>
    <x v="10"/>
    <x v="10"/>
  </r>
  <r>
    <x v="229"/>
    <s v="9.4TO2RD-LBS2-A"/>
    <s v="9.4TO 29/25Rnd L.Blue J/CWplt(≤1ppm)SIPA"/>
    <n v="1218240"/>
    <n v="1218240"/>
    <s v="PC"/>
    <n v="9.4000000000000004E-3"/>
    <n v="0"/>
    <x v="33"/>
    <x v="33"/>
  </r>
  <r>
    <x v="230"/>
    <s v="7.80TO2RD-AJBS-B"/>
    <s v="7.80TO29/25Rnd'ALM'BLUE J/C(PP-SIPA-HDG"/>
    <n v="2330640"/>
    <n v="2330640"/>
    <s v="PC"/>
    <n v="7.7999999999999996E-3"/>
    <n v="0"/>
    <x v="59"/>
    <x v="59"/>
  </r>
  <r>
    <x v="231"/>
    <s v="9.4TO2RD-CL-B"/>
    <s v="9.4 TO 29/25 Rnd Clear J/C(P Plt"/>
    <n v="3680100"/>
    <n v="0"/>
    <s v="PC"/>
    <n v="9.4000000000000004E-3"/>
    <n v="0"/>
    <x v="60"/>
    <x v="60"/>
  </r>
  <r>
    <x v="232"/>
    <s v="7.80TO2RD-AJBS-B"/>
    <s v="7.80TO29/25Rnd'ALM'BLUE J/C(PP-SIPA-HDG"/>
    <n v="119520"/>
    <n v="119520"/>
    <s v="PC"/>
    <n v="7.7999999999999996E-3"/>
    <n v="0"/>
    <x v="59"/>
    <x v="59"/>
  </r>
  <r>
    <x v="233"/>
    <s v="7.8TO2RD-LB1S-A"/>
    <s v="7.80TO 29/25 Rd L BlueAA(≤ 2)J/C(WP-SIPA"/>
    <n v="657360"/>
    <n v="0"/>
    <s v="PC"/>
    <n v="7.7999999999999996E-3"/>
    <n v="0"/>
    <x v="59"/>
    <x v="59"/>
  </r>
  <r>
    <x v="234"/>
    <s v="FRG119"/>
    <s v="PET Clear Preform For Grinding"/>
    <n v="-540"/>
    <n v="-540"/>
    <s v="KG"/>
    <n v="4.4999999999999998E-2"/>
    <n v="-12000"/>
    <x v="16"/>
    <x v="16"/>
  </r>
  <r>
    <x v="234"/>
    <s v="45.0PC2RD-CL-B"/>
    <s v="45.0 PCO 1881Rd Clear J/C(P Plt"/>
    <n v="52992"/>
    <n v="52992"/>
    <s v="PC"/>
    <n v="4.4999999999999998E-2"/>
    <n v="0"/>
    <x v="16"/>
    <x v="16"/>
  </r>
  <r>
    <x v="235"/>
    <s v="30.5PC2RD-IGS-BH2"/>
    <s v="30.5PCO1881 ICI GreenJ/C(PP JOM HDG-SIPA"/>
    <n v="1030140"/>
    <n v="1030140"/>
    <s v="PC"/>
    <n v="3.0499999999999999E-2"/>
    <n v="0"/>
    <x v="31"/>
    <x v="31"/>
  </r>
  <r>
    <x v="236"/>
    <s v="45.0PC2RD-IG-B"/>
    <s v="45.0 PCO 1881 ICI Green J/C(P Plt "/>
    <n v="271584"/>
    <n v="271584"/>
    <s v="PC"/>
    <n v="4.4999999999999998E-2"/>
    <n v="0"/>
    <x v="0"/>
    <x v="0"/>
  </r>
  <r>
    <x v="237"/>
    <s v="FRG160"/>
    <s v="PET Blue Preform For Grinding"/>
    <n v="-1770"/>
    <n v="-1770"/>
    <s v="KG"/>
    <n v="2.93E-2"/>
    <n v="-60409.556313993176"/>
    <x v="61"/>
    <x v="61"/>
  </r>
  <r>
    <x v="237"/>
    <s v="29.3TO2RD-B1-B"/>
    <s v="29.3 TO 29/25 Rnd Nova Blue J/C(PPYISHN"/>
    <n v="443520"/>
    <n v="443520"/>
    <s v="PC"/>
    <n v="2.93E-2"/>
    <n v="0"/>
    <x v="61"/>
    <x v="61"/>
  </r>
  <r>
    <x v="238"/>
    <s v="FRG160"/>
    <s v="PET Blue Preform For Grinding"/>
    <n v="-140"/>
    <n v="0"/>
    <s v="KG"/>
    <n v="2.6600000000000002E-2"/>
    <n v="0"/>
    <x v="62"/>
    <x v="62"/>
  </r>
  <r>
    <x v="238"/>
    <s v="26.6TO2RD-LB-A"/>
    <s v="26.6 29/25 Rnd Light Blue J/C(W Plt"/>
    <n v="30240"/>
    <n v="30240"/>
    <s v="PC"/>
    <n v="2.6600000000000002E-2"/>
    <n v="0"/>
    <x v="62"/>
    <x v="62"/>
  </r>
  <r>
    <x v="239"/>
    <s v="FRG160"/>
    <s v="PET Blue Preform For Grinding"/>
    <n v="-1180"/>
    <n v="-1180"/>
    <s v="KG"/>
    <n v="2.93E-2"/>
    <n v="-40273.037542662118"/>
    <x v="61"/>
    <x v="61"/>
  </r>
  <r>
    <x v="239"/>
    <s v="29.3TO2RD-B1-B"/>
    <s v="29.3 TO 29/25 Rnd Nova Blue J/C(PPYISHN"/>
    <n v="352800"/>
    <n v="352800"/>
    <s v="PC"/>
    <n v="2.93E-2"/>
    <n v="0"/>
    <x v="61"/>
    <x v="61"/>
  </r>
  <r>
    <x v="240"/>
    <s v="FRG161"/>
    <s v="PET Green Preform For Grinding"/>
    <n v="-454"/>
    <n v="-454"/>
    <s v="KG"/>
    <n v="4.4999999999999998E-2"/>
    <n v="-10088.888888888889"/>
    <x v="0"/>
    <x v="0"/>
  </r>
  <r>
    <x v="240"/>
    <s v="45.0PC2RD-IG-B"/>
    <s v="45.0 PCO 1881 ICI Green J/C(P Plt "/>
    <n v="96192"/>
    <n v="96192"/>
    <s v="PC"/>
    <n v="4.4999999999999998E-2"/>
    <n v="0"/>
    <x v="0"/>
    <x v="0"/>
  </r>
  <r>
    <x v="241"/>
    <s v="45.0PC2RD-IG-VH"/>
    <s v="45.0 PCO 1881 Rd ICI Green MenaBevPP HDG"/>
    <n v="13248"/>
    <n v="13248"/>
    <s v="PC"/>
    <n v="4.4999999999999998E-2"/>
    <n v="0"/>
    <x v="0"/>
    <x v="0"/>
  </r>
  <r>
    <x v="242"/>
    <s v="26.6TO2RD-AJB-BH"/>
    <s v="26.6TO29/25Rnd'ALM'BLUE J/C(PP-HDG)"/>
    <n v="20160"/>
    <n v="20160"/>
    <s v="PC"/>
    <n v="2.6600000000000002E-2"/>
    <n v="0"/>
    <x v="63"/>
    <x v="63"/>
  </r>
  <r>
    <x v="243"/>
    <s v="FRG161"/>
    <s v="PET Green Preform For Grinding"/>
    <n v="-323"/>
    <n v="-323"/>
    <s v="KG"/>
    <n v="3.0499999999999999E-2"/>
    <n v="-10590.163934426229"/>
    <x v="31"/>
    <x v="31"/>
  </r>
  <r>
    <x v="243"/>
    <s v="30.5PC2RD-IGS-BH2"/>
    <s v="30.5PCO1881 ICI GreenJ/C(PP JOM HDG-SIPA"/>
    <n v="223020"/>
    <n v="223020"/>
    <s v="PC"/>
    <n v="3.0499999999999999E-2"/>
    <n v="0"/>
    <x v="31"/>
    <x v="31"/>
  </r>
  <r>
    <x v="244"/>
    <s v="30.5PC2RD-IGS-V"/>
    <s v="30.5PCO1881RndICI GreenMenaBev Spec-SIPA"/>
    <n v="31860"/>
    <n v="31860"/>
    <s v="PC"/>
    <n v="3.0499999999999999E-2"/>
    <n v="0"/>
    <x v="31"/>
    <x v="31"/>
  </r>
  <r>
    <x v="245"/>
    <s v="30.5PC2RD-IGS-A"/>
    <s v="30.5 PCO 1881 Rnd ICI Green J/C(WP-SIPA"/>
    <n v="10620"/>
    <n v="10620"/>
    <s v="PC"/>
    <n v="3.0499999999999999E-2"/>
    <n v="0"/>
    <x v="31"/>
    <x v="31"/>
  </r>
  <r>
    <x v="246"/>
    <s v="FRG119"/>
    <s v="PET Clear Preform For Grinding"/>
    <n v="-249"/>
    <n v="-249"/>
    <s v="KG"/>
    <n v="5.1999999999999998E-2"/>
    <n v="-4788.461538461539"/>
    <x v="15"/>
    <x v="15"/>
  </r>
  <r>
    <x v="246"/>
    <s v="52.0BC1RD-CL-B"/>
    <s v="52.0 BC38mm 3 Rnd Clear J/C(P Plt"/>
    <n v="38400"/>
    <n v="38400"/>
    <s v="PC"/>
    <n v="5.1999999999999998E-2"/>
    <n v="0"/>
    <x v="15"/>
    <x v="15"/>
  </r>
  <r>
    <x v="247"/>
    <s v="9.4TO2RD-CL-B"/>
    <s v="9.4 TO 29/25 Rnd Clear J/C(P Plt"/>
    <n v="1218240"/>
    <n v="1218240"/>
    <s v="PC"/>
    <n v="9.4000000000000004E-3"/>
    <n v="0"/>
    <x v="60"/>
    <x v="60"/>
  </r>
  <r>
    <x v="248"/>
    <s v="9.4TO2RD-CL-B"/>
    <s v="9.4 TO 29/25 Rnd Clear J/C(P Plt"/>
    <n v="1218240"/>
    <n v="1218240"/>
    <s v="PC"/>
    <n v="9.4000000000000004E-3"/>
    <n v="0"/>
    <x v="60"/>
    <x v="60"/>
  </r>
  <r>
    <x v="249"/>
    <s v="30.5PC2RD-CLS-BH2"/>
    <s v="30.5 PCO 1881Rnd CLR J/C(PP JOM HDG-SIPA"/>
    <n v="838980"/>
    <n v="838980"/>
    <s v="PC"/>
    <n v="3.0499999999999999E-2"/>
    <n v="0"/>
    <x v="21"/>
    <x v="21"/>
  </r>
  <r>
    <x v="250"/>
    <s v="45.0PC2RD-CL-B"/>
    <s v="45.0 PCO 1881Rd Clear J/C(P Plt"/>
    <n v="92736"/>
    <n v="92736"/>
    <s v="PC"/>
    <n v="4.4999999999999998E-2"/>
    <n v="0"/>
    <x v="16"/>
    <x v="16"/>
  </r>
  <r>
    <x v="251"/>
    <s v="FRG119"/>
    <s v="PET Clear Preform For Grinding"/>
    <n v="-296"/>
    <n v="-296"/>
    <s v="KG"/>
    <n v="1.7999999999999999E-2"/>
    <n v="-16444.444444444445"/>
    <x v="64"/>
    <x v="64"/>
  </r>
  <r>
    <x v="251"/>
    <s v="18.0BC1RD-CL-S"/>
    <s v="18.0 BC38mm 3 Rnd Clear Steel C"/>
    <n v="98496"/>
    <n v="98496"/>
    <s v="PC"/>
    <n v="1.7999999999999999E-2"/>
    <n v="0"/>
    <x v="64"/>
    <x v="64"/>
  </r>
  <r>
    <x v="252"/>
    <s v="FRG160"/>
    <s v="PET Blue Preform For Grinding"/>
    <n v="-295"/>
    <n v="-295"/>
    <s v="KG"/>
    <n v="2.93E-2"/>
    <n v="-10068.259385665529"/>
    <x v="61"/>
    <x v="61"/>
  </r>
  <r>
    <x v="252"/>
    <s v="29.3TO2RD-B1-B"/>
    <s v="29.3 TO 29/25 Rnd Nova Blue J/C(PPYISHN"/>
    <n v="100800"/>
    <n v="100800"/>
    <s v="PC"/>
    <n v="2.93E-2"/>
    <n v="0"/>
    <x v="61"/>
    <x v="61"/>
  </r>
  <r>
    <x v="253"/>
    <s v="FRG160"/>
    <s v="PET Blue Preform For Grinding"/>
    <n v="-259"/>
    <n v="-259"/>
    <s v="KG"/>
    <n v="1.35E-2"/>
    <n v="-19185.185185185186"/>
    <x v="32"/>
    <x v="32"/>
  </r>
  <r>
    <x v="253"/>
    <s v="13.5TO2RD-B3-B"/>
    <s v="13.5 TO29/25Rnd Nova Blue J/C(P pltYISHN"/>
    <n v="345600"/>
    <n v="345600"/>
    <s v="PC"/>
    <n v="1.35E-2"/>
    <n v="0"/>
    <x v="32"/>
    <x v="32"/>
  </r>
  <r>
    <x v="254"/>
    <s v="FRG160"/>
    <s v="PET Blue Preform For Grinding"/>
    <n v="-476"/>
    <n v="-476"/>
    <s v="KG"/>
    <n v="9.4000000000000004E-3"/>
    <n v="-50638.297872340423"/>
    <x v="4"/>
    <x v="4"/>
  </r>
  <r>
    <x v="254"/>
    <s v="9.4TO2RD-B1-B"/>
    <s v="9.4 TO29/25 Rnd Nova Blue J/C(Ppl-SABIC"/>
    <n v="304560"/>
    <n v="304560"/>
    <s v="PC"/>
    <n v="9.4000000000000004E-3"/>
    <n v="0"/>
    <x v="4"/>
    <x v="4"/>
  </r>
  <r>
    <x v="255"/>
    <s v="9.4TO2RD-LBS2-A"/>
    <s v="9.4TO 29/25Rnd L.Blue J/CWplt(≤1ppm)SIPA"/>
    <n v="126900"/>
    <n v="126900"/>
    <s v="PC"/>
    <n v="9.4000000000000004E-3"/>
    <n v="0"/>
    <x v="33"/>
    <x v="33"/>
  </r>
  <r>
    <x v="256"/>
    <s v="30.5PC2RD-CLS-BH2"/>
    <s v="30.5 PCO 1881Rnd CLR J/C(PP JOM HDG-SIPA"/>
    <n v="1200060"/>
    <n v="1200060"/>
    <s v="PC"/>
    <n v="3.0499999999999999E-2"/>
    <n v="0"/>
    <x v="21"/>
    <x v="21"/>
  </r>
  <r>
    <x v="257"/>
    <s v="45.0PC2RD-CL-B"/>
    <s v="45.0 PCO 1881Rd Clear J/C(P Plt"/>
    <n v="430560"/>
    <n v="430560"/>
    <s v="PC"/>
    <n v="4.4999999999999998E-2"/>
    <n v="0"/>
    <x v="16"/>
    <x v="16"/>
  </r>
  <r>
    <x v="258"/>
    <s v="FRG160"/>
    <s v="PET Blue Preform For Grinding"/>
    <n v="-777"/>
    <n v="-777"/>
    <s v="KG"/>
    <n v="1.35E-2"/>
    <n v="-57555.555555555555"/>
    <x v="32"/>
    <x v="32"/>
  </r>
  <r>
    <x v="258"/>
    <s v="13.5TO2RD-B3-B"/>
    <s v="13.5 TO29/25Rnd Nova Blue J/C(P pltYISHN"/>
    <n v="288000"/>
    <n v="288000"/>
    <s v="PC"/>
    <n v="1.35E-2"/>
    <n v="0"/>
    <x v="32"/>
    <x v="32"/>
  </r>
  <r>
    <x v="259"/>
    <s v="FRG160"/>
    <s v="PET Blue Preform For Grinding"/>
    <n v="-476"/>
    <n v="-476"/>
    <s v="KG"/>
    <n v="9.4000000000000004E-3"/>
    <n v="-50638.297872340423"/>
    <x v="4"/>
    <x v="4"/>
  </r>
  <r>
    <x v="259"/>
    <s v="9.4TO2RD-B1-B"/>
    <s v="9.4 TO29/25 Rnd Nova Blue J/C(Ppl-SABIC"/>
    <n v="507600"/>
    <n v="507600"/>
    <s v="PC"/>
    <n v="9.4000000000000004E-3"/>
    <n v="0"/>
    <x v="4"/>
    <x v="4"/>
  </r>
  <r>
    <x v="260"/>
    <s v="9.4TO2RD-LBS-A"/>
    <s v="9.4 TO 29/25 Rnd L.Blue J/C (W plt- SIPA"/>
    <n v="25380"/>
    <n v="25380"/>
    <s v="PC"/>
    <n v="9.4000000000000004E-3"/>
    <n v="0"/>
    <x v="4"/>
    <x v="4"/>
  </r>
  <r>
    <x v="261"/>
    <s v="9.4TO2RD-LBS2-A"/>
    <s v="9.4TO 29/25Rnd L.Blue J/CWplt(≤1ppm)SIPA"/>
    <n v="253800"/>
    <n v="253800"/>
    <s v="PC"/>
    <n v="9.4000000000000004E-3"/>
    <n v="0"/>
    <x v="33"/>
    <x v="33"/>
  </r>
  <r>
    <x v="262"/>
    <s v="45.0PC2RD-CL-B"/>
    <s v="45.0 PCO 1881Rd Clear J/C(P Plt"/>
    <n v="6624"/>
    <n v="6624"/>
    <s v="PC"/>
    <n v="4.4999999999999998E-2"/>
    <n v="0"/>
    <x v="16"/>
    <x v="16"/>
  </r>
  <r>
    <x v="263"/>
    <s v="9.4TO2RD-CL-B"/>
    <s v="9.4 TO 29/25 Rnd Clear J/C(P Plt"/>
    <n v="1218240"/>
    <n v="1218240"/>
    <s v="PC"/>
    <n v="9.4000000000000004E-3"/>
    <n v="0"/>
    <x v="60"/>
    <x v="60"/>
  </r>
  <r>
    <x v="264"/>
    <s v="FRG160"/>
    <s v="PET Blue Preform For Grinding"/>
    <n v="-1640"/>
    <n v="-1640"/>
    <s v="KG"/>
    <n v="2.93E-2"/>
    <n v="-55972.696245733787"/>
    <x v="61"/>
    <x v="61"/>
  </r>
  <r>
    <x v="264"/>
    <s v="29.3TO2RD-B1-B"/>
    <s v="29.3 TO 29/25 Rnd Nova Blue J/C(PPYISHN"/>
    <n v="191520"/>
    <n v="191520"/>
    <s v="PC"/>
    <n v="2.93E-2"/>
    <n v="0"/>
    <x v="61"/>
    <x v="61"/>
  </r>
  <r>
    <x v="265"/>
    <s v="45.0PC2RD-CL-B"/>
    <s v="45.0 PCO 1881Rd Clear J/C(P Plt"/>
    <n v="119232"/>
    <n v="119232"/>
    <s v="PC"/>
    <n v="4.4999999999999998E-2"/>
    <n v="0"/>
    <x v="16"/>
    <x v="16"/>
  </r>
  <r>
    <x v="266"/>
    <s v="9.4TO2RD-LBS2-A"/>
    <s v="9.4TO 29/25Rnd L.Blue J/CWplt(≤1ppm)SIPA"/>
    <n v="685260"/>
    <n v="685260"/>
    <s v="PC"/>
    <n v="9.4000000000000004E-3"/>
    <n v="0"/>
    <x v="33"/>
    <x v="33"/>
  </r>
  <r>
    <x v="267"/>
    <s v="FRG119"/>
    <s v="PET Clear Preform For Grinding"/>
    <n v="-337"/>
    <n v="-337"/>
    <s v="KG"/>
    <n v="3.4000000000000002E-2"/>
    <n v="-9911.7647058823513"/>
    <x v="51"/>
    <x v="51"/>
  </r>
  <r>
    <x v="267"/>
    <s v="34.0BC1EC-CL2-S"/>
    <s v="34.0 BC38mm 3 ECO Huayan Clear steel C"/>
    <n v="29808"/>
    <n v="29808"/>
    <s v="PC"/>
    <n v="3.4000000000000002E-2"/>
    <n v="0"/>
    <x v="51"/>
    <x v="51"/>
  </r>
  <r>
    <x v="268"/>
    <s v="FRG119"/>
    <s v="PET Clear Preform For Grinding"/>
    <n v="-160"/>
    <n v="-160"/>
    <s v="KG"/>
    <n v="1.15E-2"/>
    <n v="-13913.04347826087"/>
    <x v="65"/>
    <x v="65"/>
  </r>
  <r>
    <x v="268"/>
    <s v="11.5TO2RD-CLS-A"/>
    <s v="11.5 TO29/25Rd Clear J/C(WP-SIPA"/>
    <n v="13880"/>
    <n v="13880"/>
    <s v="PC"/>
    <n v="1.15E-2"/>
    <n v="0"/>
    <x v="65"/>
    <x v="65"/>
  </r>
  <r>
    <x v="268"/>
    <s v="11.5TO2RD-CLS-V"/>
    <s v="11.5 TO29/25 Rnd Clear MenaBev (PP)"/>
    <n v="146160"/>
    <n v="146160"/>
    <s v="PC"/>
    <n v="1.15E-2"/>
    <n v="0"/>
    <x v="65"/>
    <x v="65"/>
  </r>
  <r>
    <x v="269"/>
    <s v="9.4TO2RD-LBS2-A"/>
    <s v="9.4TO 29/25Rnd L.Blue J/CWplt(≤1ppm)SIPA"/>
    <n v="126900"/>
    <n v="126900"/>
    <s v="PC"/>
    <n v="9.4000000000000004E-3"/>
    <n v="0"/>
    <x v="4"/>
    <x v="4"/>
  </r>
  <r>
    <x v="270"/>
    <s v="7.8TO2RD-LB1S-A"/>
    <s v="7.80TO 29/25 Rd L BlueAA(≤ 2)J/C(WP-SIPA"/>
    <n v="358560"/>
    <n v="358560"/>
    <s v="PC"/>
    <n v="7.7999999999999996E-3"/>
    <n v="0"/>
    <x v="59"/>
    <x v="59"/>
  </r>
  <r>
    <x v="271"/>
    <s v="7.80TO2RD-AJBS-B"/>
    <s v="7.80TO29/25Rnd'ALM'BLUE J/C(PP-SIPA-HDG"/>
    <n v="59760"/>
    <n v="59760"/>
    <s v="PC"/>
    <n v="7.7999999999999996E-3"/>
    <n v="0"/>
    <x v="59"/>
    <x v="59"/>
  </r>
  <r>
    <x v="272"/>
    <s v="50.1PC2RD-CL-B"/>
    <s v="50.1 PCO 1881 Rnd Clear J/C(P plt"/>
    <n v="100"/>
    <n v="0"/>
    <s v="PC"/>
    <n v="5.0099999999999999E-2"/>
    <n v="0"/>
    <x v="66"/>
    <x v="66"/>
  </r>
  <r>
    <x v="273"/>
    <s v="26.6TO2RD-CL-BH"/>
    <s v="26.6 TO 29/25 Rnd CLR MenaBev PP HDG"/>
    <n v="252000"/>
    <n v="252000"/>
    <s v="PC"/>
    <n v="2.6600000000000002E-2"/>
    <n v="0"/>
    <x v="26"/>
    <x v="26"/>
  </r>
  <r>
    <x v="274"/>
    <s v="30.5PC2RD-IGS-BH2"/>
    <s v="30.5PCO1881 ICI GreenJ/C(PP JOM HDG-SIPA"/>
    <n v="892080"/>
    <n v="892080"/>
    <s v="PC"/>
    <n v="3.0499999999999999E-2"/>
    <n v="0"/>
    <x v="31"/>
    <x v="31"/>
  </r>
  <r>
    <x v="275"/>
    <s v="45.0PC2RD-IG-B"/>
    <s v="45.0 PCO 1881 ICI Green J/C(P Plt "/>
    <n v="145728"/>
    <n v="145728"/>
    <s v="PC"/>
    <n v="4.4999999999999998E-2"/>
    <n v="0"/>
    <x v="0"/>
    <x v="0"/>
  </r>
  <r>
    <x v="276"/>
    <s v="9.4TO2RD-LBS2-A"/>
    <s v="9.4TO 29/25Rnd L.Blue J/CWplt(≤1ppm)SIPA"/>
    <n v="456840"/>
    <n v="456840"/>
    <s v="PC"/>
    <n v="9.4000000000000004E-3"/>
    <n v="0"/>
    <x v="33"/>
    <x v="33"/>
  </r>
  <r>
    <x v="277"/>
    <s v="FRG160"/>
    <s v="PET Blue Preform For Grinding"/>
    <n v="-714"/>
    <n v="-714"/>
    <s v="KG"/>
    <n v="9.4000000000000004E-3"/>
    <n v="-75957.446808510635"/>
    <x v="4"/>
    <x v="4"/>
  </r>
  <r>
    <x v="277"/>
    <s v="9.4TO2RD-LBS2-A"/>
    <s v="9.4TO 29/25Rnd L.Blue J/CWplt(≤1ppm)SIPA"/>
    <n v="355320"/>
    <n v="355320"/>
    <s v="PC"/>
    <n v="9.4000000000000004E-3"/>
    <n v="0"/>
    <x v="4"/>
    <x v="4"/>
  </r>
  <r>
    <x v="278"/>
    <s v="45.0PC2RD-CL-B"/>
    <s v="45.0 PCO 1881Rd Clear J/C(P Plt"/>
    <n v="72864"/>
    <n v="72864"/>
    <s v="PC"/>
    <n v="4.4999999999999998E-2"/>
    <n v="0"/>
    <x v="16"/>
    <x v="16"/>
  </r>
  <r>
    <x v="279"/>
    <s v="45.0PC2RD-CL-VH"/>
    <s v="45.0 PCO 1881 Rnd Clear MenaBev PP HDG"/>
    <n v="6624"/>
    <n v="6624"/>
    <s v="PC"/>
    <n v="4.4999999999999998E-2"/>
    <n v="0"/>
    <x v="16"/>
    <x v="16"/>
  </r>
  <r>
    <x v="280"/>
    <s v="FRG119"/>
    <s v="PET Clear Preform For Grinding"/>
    <n v="-323"/>
    <n v="-323"/>
    <s v="KG"/>
    <n v="3.0499999999999999E-2"/>
    <n v="-10590.163934426229"/>
    <x v="7"/>
    <x v="7"/>
  </r>
  <r>
    <x v="280"/>
    <s v="30.5PC2RD-CLS-BH2"/>
    <s v="30.5 PCO 1881Rnd CLR J/C(PP JOM HDG-SIPA"/>
    <n v="63720"/>
    <n v="63720"/>
    <s v="PC"/>
    <n v="3.0499999999999999E-2"/>
    <n v="0"/>
    <x v="7"/>
    <x v="7"/>
  </r>
  <r>
    <x v="281"/>
    <s v="34.0BC1EC-W2-S"/>
    <s v="34.0 BC38mm 3 ECO Huayan White Steel C"/>
    <n v="9936"/>
    <n v="9936"/>
    <s v="PC"/>
    <n v="3.4000000000000002E-2"/>
    <n v="0"/>
    <x v="50"/>
    <x v="50"/>
  </r>
  <r>
    <x v="282"/>
    <s v="9.4TO2RD-CL-B"/>
    <s v="9.4 TO 29/25 Rnd Clear J/C(P Plt"/>
    <n v="1218240"/>
    <n v="0"/>
    <s v="PC"/>
    <n v="9.4000000000000004E-3"/>
    <n v="0"/>
    <x v="60"/>
    <x v="60"/>
  </r>
  <r>
    <x v="283"/>
    <s v="50.1PC2RD-CL-B"/>
    <s v="50.1 PCO 1881 Rnd Clear J/C(P plt"/>
    <n v="72864"/>
    <n v="72864"/>
    <s v="PC"/>
    <n v="5.0099999999999999E-2"/>
    <n v="0"/>
    <x v="66"/>
    <x v="66"/>
  </r>
  <r>
    <x v="283"/>
    <s v="FRG119"/>
    <s v="PET Clear Preform For Grinding"/>
    <n v="-331"/>
    <n v="-331"/>
    <s v="KG"/>
    <n v="5.0099999999999999E-2"/>
    <n v="-6606.7864271457083"/>
    <x v="66"/>
    <x v="66"/>
  </r>
  <r>
    <x v="284"/>
    <s v="50.1PC2RD-CL-B"/>
    <s v="50.1 PCO 1881 Rnd Clear J/C(P plt"/>
    <n v="52992"/>
    <n v="52992"/>
    <s v="PC"/>
    <n v="5.0099999999999999E-2"/>
    <n v="0"/>
    <x v="66"/>
    <x v="66"/>
  </r>
  <r>
    <x v="285"/>
    <s v="30.5PC2RD-IGS-BH2"/>
    <s v="30.5PCO1881 ICI GreenJ/C(PP JOM HDG-SIPA"/>
    <n v="658440"/>
    <n v="658440"/>
    <s v="PC"/>
    <n v="3.0499999999999999E-2"/>
    <n v="0"/>
    <x v="31"/>
    <x v="31"/>
  </r>
  <r>
    <x v="286"/>
    <s v="45.0PC2RD-IG-B"/>
    <s v="45.0 PCO 1881 ICI Green J/C(P Plt "/>
    <n v="337824"/>
    <n v="337824"/>
    <s v="PC"/>
    <n v="4.4999999999999998E-2"/>
    <n v="0"/>
    <x v="0"/>
    <x v="0"/>
  </r>
  <r>
    <x v="287"/>
    <s v="26.6TO2RD-CL-B"/>
    <s v="26.6 TO 29/25 Rnd Clear J/C(P Plt"/>
    <n v="332640"/>
    <n v="332640"/>
    <s v="PC"/>
    <n v="2.6600000000000002E-2"/>
    <n v="0"/>
    <x v="26"/>
    <x v="26"/>
  </r>
  <r>
    <x v="288"/>
    <s v="FRG119"/>
    <s v="PET Clear Preform For Grinding"/>
    <n v="-263"/>
    <n v="-263"/>
    <s v="KG"/>
    <n v="1.04E-2"/>
    <n v="-25288.461538461539"/>
    <x v="67"/>
    <x v="53"/>
  </r>
  <r>
    <x v="288"/>
    <s v="10.4TO2RD-CLS-A"/>
    <s v="10.4 TO 29/25 Rnd Clear J/C(W plt"/>
    <n v="329940"/>
    <n v="329940"/>
    <s v="PC"/>
    <n v="1.04E-2"/>
    <n v="0"/>
    <x v="67"/>
    <x v="53"/>
  </r>
  <r>
    <x v="289"/>
    <s v="FRG119"/>
    <s v="PET Clear Preform For Grinding"/>
    <n v="-804"/>
    <n v="-804"/>
    <s v="KG"/>
    <n v="2.6600000000000002E-2"/>
    <n v="-30225.563909774435"/>
    <x v="26"/>
    <x v="26"/>
  </r>
  <r>
    <x v="289"/>
    <s v="26.6TO2RD-CL-BH"/>
    <s v="26.6 TO 29/25 Rnd CLR MenaBev PP HDG"/>
    <n v="302400"/>
    <n v="302400"/>
    <s v="PC"/>
    <n v="2.6600000000000002E-2"/>
    <n v="0"/>
    <x v="26"/>
    <x v="26"/>
  </r>
  <r>
    <x v="290"/>
    <s v="FRG160"/>
    <s v="PET Blue Preform For Grinding"/>
    <n v="-15.68"/>
    <n v="-15.68"/>
    <s v="KG"/>
    <n v="8.3000000000000001E-3"/>
    <n v="-1889.1566265060239"/>
    <x v="5"/>
    <x v="5"/>
  </r>
  <r>
    <x v="290"/>
    <s v="8.3TO2RD-LBS-A"/>
    <s v="8.30TO LW 29/25Rd L.Blue J/C(W plt)-SIPA"/>
    <n v="432000"/>
    <n v="432000"/>
    <s v="PC"/>
    <n v="8.3000000000000001E-3"/>
    <n v="0"/>
    <x v="5"/>
    <x v="5"/>
  </r>
  <r>
    <x v="291"/>
    <s v="30.5PC2RD-CLS-BH2"/>
    <s v="30.5 PCO 1881Rnd CLR J/C(PP JOM HDG-SIPA"/>
    <n v="297360"/>
    <n v="297360"/>
    <s v="PC"/>
    <n v="3.0499999999999999E-2"/>
    <n v="0"/>
    <x v="21"/>
    <x v="21"/>
  </r>
  <r>
    <x v="292"/>
    <s v="FRG160"/>
    <s v="PET Blue Preform For Grinding"/>
    <n v="-440"/>
    <n v="-440"/>
    <s v="KG"/>
    <n v="7.7999999999999996E-3"/>
    <n v="-56410.256410256414"/>
    <x v="41"/>
    <x v="41"/>
  </r>
  <r>
    <x v="292"/>
    <s v="7.8TO2RD-LB1S-A"/>
    <s v="7.80TO 29/25 Rd L BlueAA(≤ 2)J/C(WP-SIPA"/>
    <n v="119520"/>
    <n v="119520"/>
    <s v="PC"/>
    <n v="7.7999999999999996E-3"/>
    <n v="0"/>
    <x v="41"/>
    <x v="41"/>
  </r>
  <r>
    <x v="293"/>
    <s v="50.1PC2RD-CL-B"/>
    <s v="50.1 PCO 1881 Rnd Clear J/C(P plt"/>
    <n v="79488"/>
    <n v="79488"/>
    <s v="PC"/>
    <n v="5.0099999999999999E-2"/>
    <n v="0"/>
    <x v="66"/>
    <x v="66"/>
  </r>
  <r>
    <x v="294"/>
    <s v="30.5PC2RD-CLS-BH2"/>
    <s v="30.5 PCO 1881Rnd CLR J/C(PP JOM HDG-SIPA"/>
    <n v="1019520"/>
    <n v="1019520"/>
    <s v="PC"/>
    <n v="3.0499999999999999E-2"/>
    <n v="0"/>
    <x v="21"/>
    <x v="21"/>
  </r>
  <r>
    <x v="295"/>
    <s v="45.0PC2RD-IG-B"/>
    <s v="45.0 PCO 1881 ICI Green J/C(P Plt "/>
    <n v="483552"/>
    <n v="483552"/>
    <s v="PC"/>
    <n v="4.4999999999999998E-2"/>
    <n v="0"/>
    <x v="0"/>
    <x v="0"/>
  </r>
  <r>
    <x v="296"/>
    <s v="26.6TO2RD-CL-B"/>
    <s v="26.6 TO 29/25 Rnd Clear J/C(P Plt"/>
    <n v="514080"/>
    <n v="514080"/>
    <s v="PC"/>
    <n v="2.6600000000000002E-2"/>
    <n v="0"/>
    <x v="26"/>
    <x v="26"/>
  </r>
  <r>
    <x v="297"/>
    <s v="FRG119"/>
    <s v="PET Clear Preform For Grinding"/>
    <n v="-440"/>
    <n v="-440"/>
    <s v="KG"/>
    <n v="8.3000000000000001E-3"/>
    <n v="-53012.048192771086"/>
    <x v="8"/>
    <x v="8"/>
  </r>
  <r>
    <x v="297"/>
    <s v="8.3TO2RD-CLS-A"/>
    <s v="8.30TO LW 29/25 Clear J/C(WP)-SIPA"/>
    <n v="215500"/>
    <n v="215500"/>
    <s v="PC"/>
    <n v="8.3000000000000001E-3"/>
    <n v="0"/>
    <x v="8"/>
    <x v="8"/>
  </r>
  <r>
    <x v="298"/>
    <s v="13.5BC1RD-CL-G"/>
    <s v="13.5 BC38mm 3 Rnd Clear OJ/C(p plt"/>
    <n v="124992"/>
    <n v="124992"/>
    <s v="PC"/>
    <n v="1.35E-2"/>
    <n v="0"/>
    <x v="46"/>
    <x v="46"/>
  </r>
  <r>
    <x v="299"/>
    <s v="12.5TO2RD-CLS-B"/>
    <s v="12.5 29/25 Rnd Clear J/C(PP"/>
    <n v="354960"/>
    <n v="0"/>
    <s v="PC"/>
    <n v="1.2500000000000001E-2"/>
    <n v="0"/>
    <x v="39"/>
    <x v="39"/>
  </r>
  <r>
    <x v="299"/>
    <s v="12.5TO2RD-CLS1-A"/>
    <s v="12.5 29/25 Rnd Clear (≤ 2ppm)J/C(WP-SIPA"/>
    <n v="354960"/>
    <n v="354960"/>
    <s v="PC"/>
    <n v="1.2500000000000001E-2"/>
    <n v="0"/>
    <x v="39"/>
    <x v="39"/>
  </r>
  <r>
    <x v="300"/>
    <s v="FRG119"/>
    <s v="PET Clear Preform For Grinding"/>
    <n v="-346"/>
    <n v="-346"/>
    <s v="KG"/>
    <n v="8.3000000000000001E-3"/>
    <n v="-41686.74698795181"/>
    <x v="8"/>
    <x v="8"/>
  </r>
  <r>
    <x v="300"/>
    <s v="8.3TO2RD-CLS-A"/>
    <s v="8.30TO LW 29/25 Clear J/C(WP)-SIPA"/>
    <n v="68800"/>
    <n v="68800"/>
    <s v="PC"/>
    <n v="8.3000000000000001E-3"/>
    <n v="0"/>
    <x v="8"/>
    <x v="8"/>
  </r>
  <r>
    <x v="301"/>
    <s v="FRG119"/>
    <s v="PET Clear Preform For Grinding"/>
    <n v="-482"/>
    <n v="-482"/>
    <s v="KG"/>
    <n v="1.35E-2"/>
    <n v="-35703.703703703701"/>
    <x v="46"/>
    <x v="46"/>
  </r>
  <r>
    <x v="301"/>
    <s v="13.5BC1RD-CL-G"/>
    <s v="13.5 BC38mm 3 Rnd Clear OJ/C(p plt"/>
    <n v="339264"/>
    <n v="339264"/>
    <s v="PC"/>
    <n v="1.35E-2"/>
    <n v="0"/>
    <x v="46"/>
    <x v="46"/>
  </r>
  <r>
    <x v="302"/>
    <s v="45.0PC2RD-IG-B"/>
    <s v="45.0 PCO 1881 ICI Green J/C(P Plt "/>
    <n v="39744"/>
    <n v="39744"/>
    <s v="PC"/>
    <n v="4.4999999999999998E-2"/>
    <n v="0"/>
    <x v="0"/>
    <x v="0"/>
  </r>
  <r>
    <x v="303"/>
    <s v="50.1PC2RD-CL-B"/>
    <s v="50.1 PCO 1881 Rnd Clear J/C(P plt"/>
    <n v="26496"/>
    <n v="26496"/>
    <s v="PC"/>
    <n v="5.0099999999999999E-2"/>
    <n v="0"/>
    <x v="66"/>
    <x v="66"/>
  </r>
  <r>
    <x v="304"/>
    <s v="FRG160"/>
    <s v="PET Blue Preform For Grinding"/>
    <n v="-268"/>
    <n v="-268"/>
    <s v="KG"/>
    <n v="2.6600000000000002E-2"/>
    <n v="-10075.187969924811"/>
    <x v="63"/>
    <x v="63"/>
  </r>
  <r>
    <x v="304"/>
    <s v="26.6TO2RD-AJB-BH"/>
    <s v="26.6TO29/25Rnd'ALM'BLUE J/C(PP-HDG)"/>
    <n v="70560"/>
    <n v="70560"/>
    <s v="PC"/>
    <n v="2.6600000000000002E-2"/>
    <n v="0"/>
    <x v="63"/>
    <x v="63"/>
  </r>
  <r>
    <x v="305"/>
    <s v="FRG161"/>
    <s v="PET Green Preform For Grinding"/>
    <n v="10"/>
    <n v="0"/>
    <s v="KG"/>
    <n v="3.0499999999999999E-2"/>
    <n v="0"/>
    <x v="31"/>
    <x v="31"/>
  </r>
  <r>
    <x v="305"/>
    <s v="30.5PC2RD-IGS-V"/>
    <s v="30.5PCO1881RndICI GreenMenaBev Spec-SIPA"/>
    <n v="10620"/>
    <n v="10620"/>
    <s v="PC"/>
    <n v="3.0499999999999999E-2"/>
    <n v="0"/>
    <x v="31"/>
    <x v="31"/>
  </r>
  <r>
    <x v="305"/>
    <s v="30.5PC2RD-IGS-BH2"/>
    <s v="30.5PCO1881 ICI GreenJ/C(PP JOM HDG-SIPA"/>
    <n v="0"/>
    <n v="0"/>
    <s v="PC"/>
    <n v="3.0499999999999999E-2"/>
    <n v="0"/>
    <x v="31"/>
    <x v="31"/>
  </r>
  <r>
    <x v="306"/>
    <s v="30.5PC2RD-IGS-V"/>
    <s v="30.5PCO1881RndICI GreenMenaBev Spec-SIPA"/>
    <n v="10620"/>
    <n v="10620"/>
    <s v="PC"/>
    <n v="3.0499999999999999E-2"/>
    <n v="0"/>
    <x v="21"/>
    <x v="21"/>
  </r>
  <r>
    <x v="307"/>
    <s v="30.5PC2RD-CLS-BH2"/>
    <s v="30.5 PCO 1881Rnd CLR J/C(PP JOM HDG-SIPA"/>
    <n v="223020"/>
    <n v="223020"/>
    <s v="PC"/>
    <n v="3.0499999999999999E-2"/>
    <n v="0"/>
    <x v="21"/>
    <x v="21"/>
  </r>
  <r>
    <x v="308"/>
    <s v="FRG119"/>
    <s v="PET Clear Preform For Grinding"/>
    <n v="-310"/>
    <n v="-310"/>
    <s v="KG"/>
    <n v="3.0499999999999999E-2"/>
    <n v="-10163.934426229509"/>
    <x v="7"/>
    <x v="7"/>
  </r>
  <r>
    <x v="308"/>
    <s v="30.5PC2RD-CLS-BH2"/>
    <s v="30.5 PCO 1881Rnd CLR J/C(PP JOM HDG-SIPA"/>
    <n v="31860"/>
    <n v="31860"/>
    <s v="PC"/>
    <n v="3.0499999999999999E-2"/>
    <n v="0"/>
    <x v="7"/>
    <x v="7"/>
  </r>
  <r>
    <x v="309"/>
    <s v="FRG161"/>
    <s v="PET Green Preform For Grinding"/>
    <n v="-20"/>
    <n v="-20"/>
    <s v="KG"/>
    <n v="3.0499999999999999E-2"/>
    <n v="-655.73770491803282"/>
    <x v="31"/>
    <x v="31"/>
  </r>
  <r>
    <x v="309"/>
    <s v="30.5PC2RD-IGS-BH2"/>
    <s v="30.5PCO1881 ICI GreenJ/C(PP JOM HDG-SIPA"/>
    <n v="11540"/>
    <n v="11540"/>
    <s v="PC"/>
    <n v="3.0499999999999999E-2"/>
    <n v="0"/>
    <x v="31"/>
    <x v="31"/>
  </r>
  <r>
    <x v="310"/>
    <s v="50.1PC2RD-IG-A"/>
    <s v="50.1 PCO 1881 Rnd ICI Green J/C(W plt"/>
    <n v="105984"/>
    <n v="105984"/>
    <s v="PC"/>
    <n v="5.0099999999999999E-2"/>
    <n v="0"/>
    <x v="68"/>
    <x v="67"/>
  </r>
  <r>
    <x v="310"/>
    <s v="FRG161"/>
    <s v="PET Green Preform For Grinding"/>
    <n v="-331"/>
    <n v="-331"/>
    <s v="KG"/>
    <n v="5.0099999999999999E-2"/>
    <n v="-6606.7864271457083"/>
    <x v="68"/>
    <x v="67"/>
  </r>
  <r>
    <x v="311"/>
    <s v="7.45TO2RD-LBS-A"/>
    <s v="7.45TO LW 29/25 L.Blue J/C(WP-SIPA"/>
    <n v="86640"/>
    <n v="86640"/>
    <s v="PC"/>
    <n v="7.45E-3"/>
    <n v="0"/>
    <x v="24"/>
    <x v="24"/>
  </r>
  <r>
    <x v="311"/>
    <s v="FRG160"/>
    <s v="PET Blue Preform For Grinding"/>
    <n v="-200"/>
    <n v="-200"/>
    <s v="KG"/>
    <n v="7.45E-3"/>
    <n v="-26845.637583892618"/>
    <x v="24"/>
    <x v="24"/>
  </r>
  <r>
    <x v="312"/>
    <s v="50.1PC2RD-CLR-B"/>
    <s v="50.1 PCO 1881Rd Clear rPET J/C(P Pt"/>
    <n v="46368"/>
    <n v="46368"/>
    <s v="PC"/>
    <n v="5.0099999999999999E-2"/>
    <n v="0"/>
    <x v="10"/>
    <x v="10"/>
  </r>
  <r>
    <x v="312"/>
    <s v="FRG119"/>
    <s v="PET Clear Preform For Grinding"/>
    <n v="-662"/>
    <n v="-662"/>
    <s v="KG"/>
    <n v="0.501"/>
    <n v="-1321.3572854291417"/>
    <x v="10"/>
    <x v="10"/>
  </r>
  <r>
    <x v="313"/>
    <s v="50.1PC2RD-CL-B"/>
    <s v="50.1 PCO 1881 Rnd Clear J/C(P plt"/>
    <n v="39744"/>
    <n v="39744"/>
    <s v="PC"/>
    <n v="5.0099999999999999E-2"/>
    <n v="0"/>
    <x v="66"/>
    <x v="66"/>
  </r>
  <r>
    <x v="313"/>
    <s v="FRG119"/>
    <s v="PET Clear Preform For Grinding"/>
    <n v="-331"/>
    <n v="-331"/>
    <s v="KG"/>
    <n v="5.0099999999999999E-2"/>
    <n v="-6606.7864271457083"/>
    <x v="66"/>
    <x v="66"/>
  </r>
  <r>
    <x v="314"/>
    <s v="51.0BC1RD-CL-S"/>
    <s v="51.0 BC 38mm 3 Rnd Clear steel c"/>
    <n v="28800"/>
    <n v="28800"/>
    <s v="PC"/>
    <n v="5.0999999999999997E-2"/>
    <n v="0"/>
    <x v="49"/>
    <x v="49"/>
  </r>
  <r>
    <x v="314"/>
    <s v="FRG119"/>
    <s v="PET Clear Preform For Grinding"/>
    <n v="-368"/>
    <n v="-368"/>
    <s v="KG"/>
    <n v="5.0999999999999997E-2"/>
    <n v="-7215.6862745098042"/>
    <x v="49"/>
    <x v="49"/>
  </r>
  <r>
    <x v="315"/>
    <s v="30.5PC2RD-CLS-A"/>
    <s v="30.5 PCO 1881 Rnd Clear J/C(W plt-SIPA"/>
    <n v="21240"/>
    <n v="21240"/>
    <s v="PC"/>
    <n v="3.0499999999999999E-2"/>
    <n v="0"/>
    <x v="7"/>
    <x v="7"/>
  </r>
  <r>
    <x v="316"/>
    <s v="45.0PC2RD-IG-VH"/>
    <s v="45.0 PCO 1881 Rd ICI Green MenaBevPP HDG"/>
    <n v="112608"/>
    <n v="112608"/>
    <s v="PC"/>
    <n v="4.4999999999999998E-2"/>
    <n v="0"/>
    <x v="34"/>
    <x v="34"/>
  </r>
  <r>
    <x v="316"/>
    <s v="FRG161"/>
    <s v="PET Green Preform For Grinding"/>
    <n v="-236"/>
    <n v="-236"/>
    <s v="KG"/>
    <n v="4.4999999999999998E-2"/>
    <n v="-5244.4444444444443"/>
    <x v="34"/>
    <x v="34"/>
  </r>
  <r>
    <x v="317"/>
    <s v="12.5TO2RD-CAS-V"/>
    <s v="12.5 29/25 CLR AA Reducer MenaBev"/>
    <n v="146160"/>
    <n v="146160"/>
    <s v="PC"/>
    <n v="1.2500000000000001E-2"/>
    <n v="0"/>
    <x v="69"/>
    <x v="68"/>
  </r>
  <r>
    <x v="317"/>
    <s v="12.5TO2RD-CLS-A"/>
    <s v="12.5 29/25 Rnd Clear J/C(W plt-SIPA"/>
    <n v="20880"/>
    <n v="20880"/>
    <s v="PC"/>
    <n v="1.2500000000000001E-2"/>
    <n v="0"/>
    <x v="69"/>
    <x v="68"/>
  </r>
  <r>
    <x v="318"/>
    <s v="8.3TO2RD-LBS-A"/>
    <s v="8.30TO LW 29/25Rd L.Blue J/C(W plt)-SIPA"/>
    <n v="54000"/>
    <n v="54000"/>
    <s v="PC"/>
    <n v="8.3000000000000001E-3"/>
    <n v="0"/>
    <x v="5"/>
    <x v="5"/>
  </r>
  <r>
    <x v="319"/>
    <s v="7.45TO2RD-LBS1-A"/>
    <s v="7.45TO LW 29/25 L.Blue(≤2ppm)J/C(WP-SIPA"/>
    <n v="29880"/>
    <n v="29880"/>
    <s v="PC"/>
    <n v="7.45E-3"/>
    <n v="0"/>
    <x v="24"/>
    <x v="24"/>
  </r>
  <r>
    <x v="320"/>
    <s v="52.0BC1RD-CL-B"/>
    <s v="52.0 BC38mm 3 Rnd Clear J/C(P Plt"/>
    <n v="96000"/>
    <n v="96000"/>
    <s v="PC"/>
    <n v="5.1999999999999998E-2"/>
    <n v="0"/>
    <x v="6"/>
    <x v="6"/>
  </r>
  <r>
    <x v="321"/>
    <s v="52.0BC1RD-CL-B"/>
    <s v="52.0 BC38mm 3 Rnd Clear J/C(P Plt"/>
    <n v="48000"/>
    <n v="48000"/>
    <s v="PC"/>
    <n v="5.1999999999999998E-2"/>
    <n v="0"/>
    <x v="15"/>
    <x v="15"/>
  </r>
  <r>
    <x v="322"/>
    <s v="52.0BC1RD-CL-B"/>
    <s v="52.0 BC38mm 3 Rnd Clear J/C(P Plt"/>
    <n v="259200"/>
    <n v="259200"/>
    <s v="PC"/>
    <n v="5.1999999999999998E-2"/>
    <n v="0"/>
    <x v="6"/>
    <x v="6"/>
  </r>
  <r>
    <x v="323"/>
    <s v="52.0BC1RD-CL-B"/>
    <s v="52.0 BC38mm 3 Rnd Clear J/C(P Plt"/>
    <n v="38400"/>
    <n v="38400"/>
    <s v="PC"/>
    <n v="5.1999999999999998E-2"/>
    <n v="0"/>
    <x v="15"/>
    <x v="15"/>
  </r>
  <r>
    <x v="324"/>
    <s v="8.3TO2RD-LBS-A"/>
    <s v="8.30TO LW 29/25Rd L.Blue J/C(W plt)-SIPA"/>
    <n v="243000"/>
    <n v="243000"/>
    <s v="PC"/>
    <n v="8.3000000000000001E-3"/>
    <n v="0"/>
    <x v="5"/>
    <x v="5"/>
  </r>
  <r>
    <x v="325"/>
    <s v="FRG160"/>
    <s v="PET Blue Preform For Grinding"/>
    <n v="-518"/>
    <n v="-518"/>
    <s v="KG"/>
    <n v="1.35E-2"/>
    <n v="-38370.370370370372"/>
    <x v="32"/>
    <x v="32"/>
  </r>
  <r>
    <x v="325"/>
    <s v="13.5TO2RD-B3-B"/>
    <s v="13.5 TO29/25Rnd Nova Blue J/C(P pltYISHN"/>
    <n v="96000"/>
    <n v="96000"/>
    <s v="PC"/>
    <n v="1.35E-2"/>
    <n v="0"/>
    <x v="32"/>
    <x v="32"/>
  </r>
  <r>
    <x v="326"/>
    <s v="45.0PC2RD-CL-VH"/>
    <s v="45.0 PCO 1881 Rnd Clear MenaBev PP HDG"/>
    <n v="46368"/>
    <n v="46368"/>
    <s v="PC"/>
    <n v="4.4999999999999998E-2"/>
    <n v="0"/>
    <x v="13"/>
    <x v="13"/>
  </r>
  <r>
    <x v="327"/>
    <s v="50.1PC2RD-CL-B"/>
    <s v="50.1 PCO 1881 Rnd Clear J/C(P plt"/>
    <n v="132480"/>
    <n v="132480"/>
    <s v="PC"/>
    <n v="5.0099999999999999E-2"/>
    <n v="0"/>
    <x v="66"/>
    <x v="66"/>
  </r>
  <r>
    <x v="328"/>
    <s v="52.0BC1RD-CL-B"/>
    <s v="52.0 BC38mm 3 Rnd Clear J/C(P Plt"/>
    <n v="302400"/>
    <n v="302400"/>
    <s v="PC"/>
    <n v="5.1999999999999998E-2"/>
    <n v="0"/>
    <x v="6"/>
    <x v="6"/>
  </r>
  <r>
    <x v="329"/>
    <s v="26.6TO2RD-CL-B"/>
    <s v="26.6 TO 29/25 Rnd Clear J/C(P Plt"/>
    <n v="332640"/>
    <n v="332640"/>
    <s v="PC"/>
    <n v="2.6600000000000002E-2"/>
    <n v="0"/>
    <x v="26"/>
    <x v="26"/>
  </r>
  <r>
    <x v="330"/>
    <s v="45.0PC2RD-IG-VH"/>
    <s v="45.0 PCO 1881 Rd ICI Green MenaBevPP HDG"/>
    <n v="11880"/>
    <n v="11880"/>
    <s v="PC"/>
    <n v="4.4999999999999998E-2"/>
    <n v="0"/>
    <x v="34"/>
    <x v="34"/>
  </r>
  <r>
    <x v="331"/>
    <s v="52.0BC1RD-CL-B"/>
    <s v="52.0 BC38mm 3 Rnd Clear J/C(P Plt"/>
    <n v="144000"/>
    <n v="144000"/>
    <s v="PC"/>
    <n v="5.1999999999999998E-2"/>
    <n v="0"/>
    <x v="6"/>
    <x v="6"/>
  </r>
  <r>
    <x v="332"/>
    <s v="26.6TO2RD-CL-B"/>
    <s v="26.6 TO 29/25 Rnd Clear J/C(P Plt"/>
    <n v="493920"/>
    <n v="493920"/>
    <s v="PC"/>
    <n v="2.6600000000000002E-2"/>
    <n v="0"/>
    <x v="26"/>
    <x v="26"/>
  </r>
  <r>
    <x v="333"/>
    <s v="12.7BC1EC-CL-S"/>
    <s v="12.7 BC38mm 3 ECO Clear Steel c."/>
    <n v="10656"/>
    <n v="10656"/>
    <s v="PC"/>
    <n v="1.2699999999999999E-2"/>
    <n v="0"/>
    <x v="58"/>
    <x v="58"/>
  </r>
  <r>
    <x v="334"/>
    <s v="12.7BC1EC-CL-S"/>
    <s v="12.7 BC38mm 3 ECO Clear Steel c."/>
    <n v="10656"/>
    <n v="10656"/>
    <s v="PC"/>
    <n v="1.2699999999999999E-2"/>
    <n v="0"/>
    <x v="58"/>
    <x v="58"/>
  </r>
  <r>
    <x v="335"/>
    <s v="FRG119"/>
    <s v="PET Clear Preform For Grinding"/>
    <n v="-288"/>
    <n v="-288"/>
    <s v="KG"/>
    <n v="1.4E-2"/>
    <n v="-20571.428571428572"/>
    <x v="25"/>
    <x v="25"/>
  </r>
  <r>
    <x v="335"/>
    <s v="14.0PC2RD-CL-A"/>
    <s v="14.0 PCO 1881 Rnd Clear J/C(W Plt"/>
    <n v="103200"/>
    <n v="103200"/>
    <s v="PC"/>
    <n v="1.4E-2"/>
    <n v="0"/>
    <x v="25"/>
    <x v="25"/>
  </r>
  <r>
    <x v="336"/>
    <s v="9.4TO2RD-LBS-A"/>
    <s v="9.4 TO 29/25 Rnd L.Blue J/C (W plt- SIPA"/>
    <n v="25380"/>
    <n v="25380"/>
    <s v="PC"/>
    <n v="9.4000000000000004E-3"/>
    <n v="0"/>
    <x v="4"/>
    <x v="4"/>
  </r>
  <r>
    <x v="337"/>
    <s v="9.4TO2RD-B1-B"/>
    <s v="9.4 TO29/25 Rnd Nova Blue J/C(Ppl-SABIC"/>
    <n v="355320"/>
    <n v="355320"/>
    <s v="PC"/>
    <n v="9.4000000000000004E-3"/>
    <n v="0"/>
    <x v="4"/>
    <x v="4"/>
  </r>
  <r>
    <x v="338"/>
    <s v="9.4TO2RD-LBS1-A"/>
    <s v="9.4TO 29/25Rnd L.Blue J/CWplt(≤2ppm)SIPA"/>
    <n v="25380"/>
    <n v="25380"/>
    <s v="PC"/>
    <n v="9.4000000000000004E-3"/>
    <n v="0"/>
    <x v="70"/>
    <x v="69"/>
  </r>
  <r>
    <x v="339"/>
    <s v="9.4TO2RD-LBS1-A"/>
    <s v="9.4TO 29/25Rnd L.Blue J/CWplt(≤2ppm)SIPA"/>
    <n v="304560"/>
    <n v="304560"/>
    <s v="PC"/>
    <n v="9.4000000000000004E-3"/>
    <n v="0"/>
    <x v="70"/>
    <x v="69"/>
  </r>
  <r>
    <x v="339"/>
    <s v="FRG119"/>
    <s v="PET Clear Preform For Grinding"/>
    <n v="-714"/>
    <n v="-714"/>
    <s v="KG"/>
    <n v="9.4000000000000004E-3"/>
    <n v="-75957.446808510635"/>
    <x v="70"/>
    <x v="69"/>
  </r>
  <r>
    <x v="340"/>
    <s v="50.1PC2RD-IG-A"/>
    <s v="50.1 PCO 1881 Rnd ICI Green J/C(W plt"/>
    <n v="26496"/>
    <n v="26496"/>
    <s v="PC"/>
    <n v="5.0099999999999999E-2"/>
    <n v="0"/>
    <x v="68"/>
    <x v="67"/>
  </r>
  <r>
    <x v="340"/>
    <s v="FRG161"/>
    <s v="PET Green Preform For Grinding"/>
    <n v="-331"/>
    <n v="-331"/>
    <s v="KG"/>
    <n v="5.0099999999999999E-2"/>
    <n v="-6606.7864271457083"/>
    <x v="68"/>
    <x v="67"/>
  </r>
  <r>
    <x v="341"/>
    <s v="30.5PC2RD-CLS-BH2"/>
    <s v="30.5 PCO 1881Rnd CLR J/C(PP JOM HDG-SIPA"/>
    <n v="499140"/>
    <n v="499140"/>
    <s v="PC"/>
    <n v="3.0499999999999999E-2"/>
    <n v="0"/>
    <x v="21"/>
    <x v="21"/>
  </r>
  <r>
    <x v="342"/>
    <s v="26.6TO2RD-CL-B"/>
    <s v="26.6 TO 29/25 Rnd Clear J/C(P Plt"/>
    <n v="534240"/>
    <n v="534240"/>
    <s v="PC"/>
    <n v="2.6600000000000002E-2"/>
    <n v="0"/>
    <x v="26"/>
    <x v="26"/>
  </r>
  <r>
    <x v="343"/>
    <s v="26.6TO2RD-CL-A"/>
    <s v="26.6 29/25 Rnd Clear J/C(W Plt"/>
    <n v="70560"/>
    <n v="70560"/>
    <s v="PC"/>
    <n v="2.6600000000000002E-2"/>
    <n v="0"/>
    <x v="26"/>
    <x v="26"/>
  </r>
  <r>
    <x v="343"/>
    <s v="FRG119"/>
    <s v="PET Clear Preform For Grinding"/>
    <n v="-268"/>
    <n v="-268"/>
    <s v="KG"/>
    <n v="2.6600000000000002E-2"/>
    <n v="-10075.187969924811"/>
    <x v="26"/>
    <x v="26"/>
  </r>
  <r>
    <x v="344"/>
    <s v="14.0TO2RD-B4-A"/>
    <s v="14.0 TO 29/25 Rnd Arwa Blue J/C(W plt)"/>
    <n v="211200"/>
    <n v="211200"/>
    <s v="PC"/>
    <n v="1.4E-2"/>
    <n v="0"/>
    <x v="14"/>
    <x v="14"/>
  </r>
  <r>
    <x v="344"/>
    <s v="FRG160"/>
    <s v="PET Blue Preform For Grinding"/>
    <n v="-537"/>
    <n v="-537"/>
    <s v="KG"/>
    <n v="1.4E-2"/>
    <n v="-38357.142857142855"/>
    <x v="14"/>
    <x v="14"/>
  </r>
  <r>
    <x v="345"/>
    <s v="30.5PC2RD-IGS-BH2"/>
    <s v="30.5PCO1881 ICI GreenJ/C(PP JOM HDG-SIPA"/>
    <n v="307980"/>
    <n v="307980"/>
    <s v="PC"/>
    <n v="3.0499999999999999E-2"/>
    <n v="0"/>
    <x v="31"/>
    <x v="31"/>
  </r>
  <r>
    <x v="346"/>
    <s v="26.6TO2RD-CL-B"/>
    <s v="26.6 TO 29/25 Rnd Clear J/C(P Plt"/>
    <n v="362880"/>
    <n v="362880"/>
    <s v="PC"/>
    <n v="2.6600000000000002E-2"/>
    <n v="0"/>
    <x v="26"/>
    <x v="26"/>
  </r>
  <r>
    <x v="347"/>
    <s v="30.5PC2RD-IGS-BH2"/>
    <s v="30.5PCO1881 ICI GreenJ/C(PP JOM HDG-SIPA"/>
    <n v="424800"/>
    <n v="424800"/>
    <s v="PC"/>
    <n v="3.0499999999999999E-2"/>
    <n v="0"/>
    <x v="31"/>
    <x v="31"/>
  </r>
  <r>
    <x v="348"/>
    <s v="52.0BC1RD-CL-B"/>
    <s v="52.0 BC38mm 3 Rnd Clear J/C(P Plt"/>
    <n v="292800"/>
    <n v="292800"/>
    <s v="PC"/>
    <n v="5.1999999999999998E-2"/>
    <n v="0"/>
    <x v="6"/>
    <x v="6"/>
  </r>
  <r>
    <x v="349"/>
    <s v="FRG160"/>
    <s v="PET Blue Preform For Grinding"/>
    <n v="-224"/>
    <n v="-224"/>
    <s v="KG"/>
    <n v="8.3000000000000001E-3"/>
    <n v="-26987.951807228914"/>
    <x v="5"/>
    <x v="5"/>
  </r>
  <r>
    <x v="349"/>
    <s v="8.3TO2RD-LBS-A"/>
    <s v="8.30TO LW 29/25Rd L.Blue J/C(W plt)-SIPA"/>
    <n v="216000"/>
    <n v="216000"/>
    <s v="PC"/>
    <n v="8.3000000000000001E-3"/>
    <n v="0"/>
    <x v="5"/>
    <x v="5"/>
  </r>
  <r>
    <x v="350"/>
    <s v="FRG161"/>
    <s v="PET Green Preform For Grinding"/>
    <n v="-295"/>
    <n v="-295"/>
    <s v="KG"/>
    <n v="3.0499999999999999E-2"/>
    <n v="-9672.1311475409839"/>
    <x v="30"/>
    <x v="30"/>
  </r>
  <r>
    <x v="350"/>
    <s v="30.5PC2RD-IGS-BH2"/>
    <s v="30.5PCO1881 ICI GreenJ/C(PP JOM HDG-SIPA"/>
    <n v="73420"/>
    <n v="73420"/>
    <s v="PC"/>
    <n v="3.0499999999999999E-2"/>
    <n v="0"/>
    <x v="30"/>
    <x v="30"/>
  </r>
  <r>
    <x v="351"/>
    <s v="30.5PC2RD-IGS-A"/>
    <s v="30.5 PCO 1881 Rnd ICI Green J/C(WP-SIPA"/>
    <n v="10620"/>
    <n v="10620"/>
    <s v="PC"/>
    <n v="3.0499999999999999E-2"/>
    <n v="0"/>
    <x v="30"/>
    <x v="30"/>
  </r>
  <r>
    <x v="352"/>
    <s v="30.5PC2RD-IGS-A"/>
    <s v="30.5 PCO 1881 Rnd ICI Green J/C(WP-SIPA"/>
    <n v="10620"/>
    <n v="10620"/>
    <s v="PC"/>
    <n v="3.0499999999999999E-2"/>
    <n v="0"/>
    <x v="30"/>
    <x v="30"/>
  </r>
  <r>
    <x v="353"/>
    <s v="30.5PC2RD-IGS-V"/>
    <s v="30.5PCO1881RndICI GreenMenaBev Spec-SIPA"/>
    <n v="63720"/>
    <n v="63720"/>
    <s v="PC"/>
    <n v="3.0499999999999999E-2"/>
    <n v="0"/>
    <x v="31"/>
    <x v="31"/>
  </r>
  <r>
    <x v="354"/>
    <s v="36.0BC1RD-CL-A"/>
    <s v="36.0 BC38mm 3 Rnd Clear J/C(W Plt"/>
    <n v="12672"/>
    <n v="12672"/>
    <s v="PC"/>
    <n v="3.5999999999999997E-2"/>
    <n v="0"/>
    <x v="3"/>
    <x v="3"/>
  </r>
  <r>
    <x v="355"/>
    <s v="FRG119"/>
    <s v="PET Clear Preform For Grinding"/>
    <n v="-331"/>
    <n v="-331"/>
    <s v="KG"/>
    <n v="5.0099999999999999E-2"/>
    <n v="-6606.7864271457083"/>
    <x v="66"/>
    <x v="66"/>
  </r>
  <r>
    <x v="355"/>
    <s v="50.1PC2RD-CL-B"/>
    <s v="50.1 PCO 1881 Rnd Clear J/C(P plt"/>
    <n v="13248"/>
    <n v="13248"/>
    <s v="PC"/>
    <n v="5.0099999999999999E-2"/>
    <n v="0"/>
    <x v="66"/>
    <x v="66"/>
  </r>
  <r>
    <x v="356"/>
    <s v="30.5PC2RD-CLS-BH2"/>
    <s v="30.5 PCO 1881Rnd CLR J/C(PP JOM HDG-SIPA"/>
    <n v="509760"/>
    <n v="509760"/>
    <s v="PC"/>
    <n v="3.0499999999999999E-2"/>
    <n v="0"/>
    <x v="71"/>
    <x v="70"/>
  </r>
  <r>
    <x v="357"/>
    <s v="52.0BC1RD-CL-B"/>
    <s v="52.0 BC38mm 3 Rnd Clear J/C(P Plt"/>
    <n v="436800"/>
    <n v="436800"/>
    <s v="PC"/>
    <n v="5.1999999999999998E-2"/>
    <n v="0"/>
    <x v="6"/>
    <x v="6"/>
  </r>
  <r>
    <x v="358"/>
    <s v="52.0BC1RD-CL-B"/>
    <s v="52.0 BC38mm 3 Rnd Clear J/C(P Plt"/>
    <n v="9600"/>
    <n v="9600"/>
    <s v="PC"/>
    <n v="5.1999999999999998E-2"/>
    <n v="0"/>
    <x v="15"/>
    <x v="15"/>
  </r>
  <r>
    <x v="359"/>
    <s v="30.5PC2RD-IGS-BH2"/>
    <s v="30.5PCO1881 ICI GreenJ/C(PP JOM HDG-SIPA"/>
    <n v="31860"/>
    <n v="31860"/>
    <s v="PC"/>
    <n v="3.0499999999999999E-2"/>
    <n v="0"/>
    <x v="31"/>
    <x v="31"/>
  </r>
  <r>
    <x v="360"/>
    <s v="FRG119"/>
    <s v="PET Clear Preform For Grinding"/>
    <n v="-323"/>
    <n v="-323"/>
    <s v="KG"/>
    <n v="3.0499999999999999E-2"/>
    <n v="-10590.163934426229"/>
    <x v="7"/>
    <x v="7"/>
  </r>
  <r>
    <x v="360"/>
    <s v="30.5PC2RD-CLS-BH2"/>
    <s v="30.5 PCO 1881Rnd CLR J/C(PP JOM HDG-SIPA"/>
    <n v="31860"/>
    <n v="31860"/>
    <s v="PC"/>
    <n v="3.0499999999999999E-2"/>
    <n v="0"/>
    <x v="7"/>
    <x v="7"/>
  </r>
  <r>
    <x v="361"/>
    <s v="30.5PC2RD-CLS-V"/>
    <s v="30.5 PCO 1881 Rnd CLR Mena Bev Spec-SIPA"/>
    <n v="10620"/>
    <n v="10620"/>
    <s v="PC"/>
    <n v="3.0499999999999999E-2"/>
    <n v="0"/>
    <x v="7"/>
    <x v="7"/>
  </r>
  <r>
    <x v="362"/>
    <s v="7.8TO2RD-CLS-A"/>
    <s v="7.80 TO 29/25 Rnd Clear J/C(W Plt-SIPA"/>
    <n v="29880"/>
    <n v="29880"/>
    <s v="PC"/>
    <n v="7.7999999999999996E-3"/>
    <n v="0"/>
    <x v="38"/>
    <x v="38"/>
  </r>
  <r>
    <x v="363"/>
    <s v="1300C51-SFI-1ORMNJ"/>
    <s v="Safi 1.3L PET ClearBTL-OrangeM'Fruit NEC"/>
    <n v="8736"/>
    <n v="8736"/>
    <s v="PC"/>
    <n v="1.3"/>
    <n v="0"/>
    <x v="72"/>
    <x v="71"/>
  </r>
  <r>
    <x v="364"/>
    <s v="1400C51-SFI-1MFJ"/>
    <s v="Safi 1.4L PET Clear BTL-Multi Fruit -25D"/>
    <n v="8736"/>
    <n v="8736"/>
    <s v="PC"/>
    <n v="1.4"/>
    <n v="0"/>
    <x v="73"/>
    <x v="72"/>
  </r>
  <r>
    <x v="365"/>
    <s v="850W34-SFI-1FFL10"/>
    <s v="Safi 850ml PET WHT BT-F.F Laban-25D V2"/>
    <n v="3780"/>
    <n v="3780"/>
    <s v="PC"/>
    <n v="0.85"/>
    <n v="0"/>
    <x v="74"/>
    <x v="73"/>
  </r>
  <r>
    <x v="366"/>
    <s v="45.0PC2RD-IG-B"/>
    <s v="45.0 PCO 1881 ICI Green J/C(P Plt "/>
    <n v="324576"/>
    <n v="324576"/>
    <s v="PC"/>
    <n v="4.4999999999999998E-2"/>
    <n v="0"/>
    <x v="0"/>
    <x v="0"/>
  </r>
  <r>
    <x v="366"/>
    <s v="FRG161"/>
    <s v="PET Green Preform For Grinding"/>
    <n v="-298"/>
    <n v="-298"/>
    <s v="KG"/>
    <n v="4.4999999999999998E-2"/>
    <n v="-6622.2222222222226"/>
    <x v="0"/>
    <x v="0"/>
  </r>
  <r>
    <x v="367"/>
    <s v="45.0PC2RD-CL-VH"/>
    <s v="45.0 PCO 1881 Rnd Clear MenaBev PP HDG"/>
    <n v="112608"/>
    <n v="112608"/>
    <s v="PC"/>
    <n v="4.4999999999999998E-2"/>
    <n v="0"/>
    <x v="13"/>
    <x v="13"/>
  </r>
  <r>
    <x v="368"/>
    <s v="FRG119"/>
    <s v="PET Clear Preform For Grinding"/>
    <n v="-98"/>
    <n v="-98"/>
    <s v="KG"/>
    <n v="9.4000000000000004E-3"/>
    <n v="-10425.531914893616"/>
    <x v="60"/>
    <x v="60"/>
  </r>
  <r>
    <x v="368"/>
    <s v="9.4TO2RD-CLS-V"/>
    <s v="9.4 29/25RndCLR AA Rdcer MenaB PP"/>
    <n v="86523"/>
    <n v="86523"/>
    <s v="PC"/>
    <n v="9.4000000000000004E-3"/>
    <n v="0"/>
    <x v="60"/>
    <x v="60"/>
  </r>
  <r>
    <x v="369"/>
    <s v="FRG119"/>
    <s v="PET Clear Preform For Grinding"/>
    <n v="-228"/>
    <n v="-228"/>
    <s v="KG"/>
    <n v="3.5999999999999997E-2"/>
    <n v="-6333.3333333333339"/>
    <x v="3"/>
    <x v="3"/>
  </r>
  <r>
    <x v="369"/>
    <s v="36.0BC1RD-CL-G"/>
    <s v="36.0 BC38mm 3 Rnd Clear OJ/C(W plt"/>
    <n v="63360"/>
    <n v="63360"/>
    <s v="PC"/>
    <n v="3.5999999999999997E-2"/>
    <n v="0"/>
    <x v="3"/>
    <x v="3"/>
  </r>
  <r>
    <x v="370"/>
    <s v="FRG160"/>
    <s v="PET Blue Preform For Grinding"/>
    <n v="-238"/>
    <n v="-238"/>
    <s v="KG"/>
    <n v="9.4000000000000004E-3"/>
    <n v="-25319.148936170212"/>
    <x v="4"/>
    <x v="4"/>
  </r>
  <r>
    <x v="370"/>
    <s v="9.4TO2RD-B1-B"/>
    <s v="9.4 TO29/25 Rnd Nova Blue J/C(Ppl-SABIC"/>
    <n v="101520"/>
    <n v="101520"/>
    <s v="PC"/>
    <n v="9.4000000000000004E-3"/>
    <n v="0"/>
    <x v="4"/>
    <x v="4"/>
  </r>
  <r>
    <x v="371"/>
    <s v="9.4TO2RD-LBS2-A"/>
    <s v="9.4TO 29/25Rnd L.Blue J/CWplt(≤1ppm)SIPA"/>
    <n v="50760"/>
    <n v="50760"/>
    <s v="PC"/>
    <n v="9.4000000000000004E-3"/>
    <n v="0"/>
    <x v="4"/>
    <x v="4"/>
  </r>
  <r>
    <x v="372"/>
    <s v="12.5TO2RD-CLS-B"/>
    <s v="12.5 29/25 Rnd Clear J/C(PP"/>
    <n v="375840"/>
    <n v="375840"/>
    <s v="PC"/>
    <n v="1.2500000000000001E-2"/>
    <n v="0"/>
    <x v="39"/>
    <x v="39"/>
  </r>
  <r>
    <x v="373"/>
    <s v="FRG119"/>
    <s v="PET Clear Preform For Grinding"/>
    <n v="-1155"/>
    <n v="-1155"/>
    <s v="KG"/>
    <n v="1.4E-2"/>
    <n v="-82500"/>
    <x v="25"/>
    <x v="25"/>
  </r>
  <r>
    <x v="373"/>
    <s v="14.0PC2RD-CL-A"/>
    <s v="14.0 PCO 1881 Rnd Clear J/C(W Plt"/>
    <n v="103200"/>
    <n v="103200"/>
    <s v="PC"/>
    <n v="1.4E-2"/>
    <n v="0"/>
    <x v="25"/>
    <x v="25"/>
  </r>
  <r>
    <x v="374"/>
    <s v="12.5TO2RD-CLS-B"/>
    <s v="12.5 29/25 Rnd Clear J/C(PP"/>
    <n v="542880"/>
    <n v="542880"/>
    <s v="PC"/>
    <n v="1.2500000000000001E-2"/>
    <n v="0"/>
    <x v="39"/>
    <x v="39"/>
  </r>
  <r>
    <x v="375"/>
    <s v="7.45TO2RD-AJBS-B"/>
    <s v="7.45TO29/25Rnd'ALM'BLUE J/C(PP-SIPA)"/>
    <n v="29880"/>
    <n v="29880"/>
    <s v="PC"/>
    <n v="7.45E-3"/>
    <n v="0"/>
    <x v="75"/>
    <x v="74"/>
  </r>
  <r>
    <x v="376"/>
    <s v="18.0PC2RD-CL-V"/>
    <s v="18.0 PCO 1881 Rnd Clear MenaBev Spec"/>
    <n v="247680"/>
    <n v="247680"/>
    <s v="PC"/>
    <n v="1.7999999999999999E-2"/>
    <n v="0"/>
    <x v="76"/>
    <x v="75"/>
  </r>
  <r>
    <x v="377"/>
    <s v="FRG160"/>
    <s v="PET Blue Preform For Grinding"/>
    <n v="-222"/>
    <n v="-222"/>
    <s v="KG"/>
    <n v="7.45E-3"/>
    <n v="-29798.657718120805"/>
    <x v="75"/>
    <x v="74"/>
  </r>
  <r>
    <x v="377"/>
    <s v="7.45TO2RD-AJBS-B"/>
    <s v="7.45TO29/25Rnd'ALM'BLUE J/C(PP-SIPA)"/>
    <n v="239040"/>
    <n v="239040"/>
    <s v="PC"/>
    <n v="7.45E-3"/>
    <n v="0"/>
    <x v="75"/>
    <x v="74"/>
  </r>
  <r>
    <x v="378"/>
    <s v="12.5TO2RD-CLS-B"/>
    <s v="12.5 29/25 Rnd Clear J/C(PP"/>
    <n v="1002240"/>
    <n v="1002240"/>
    <s v="PC"/>
    <n v="1.2500000000000001E-2"/>
    <n v="0"/>
    <x v="39"/>
    <x v="39"/>
  </r>
  <r>
    <x v="379"/>
    <s v="FRG161"/>
    <s v="PET Green Preform For Grinding"/>
    <n v="-298"/>
    <n v="-298"/>
    <s v="KG"/>
    <n v="4.4999999999999998E-2"/>
    <n v="-6622.2222222222226"/>
    <x v="0"/>
    <x v="0"/>
  </r>
  <r>
    <x v="379"/>
    <s v="45.0PC2RD-IG-B"/>
    <s v="45.0 PCO 1881 ICI Green J/C(P Plt "/>
    <n v="324576"/>
    <n v="324576"/>
    <s v="PC"/>
    <n v="4.4999999999999998E-2"/>
    <n v="0"/>
    <x v="0"/>
    <x v="0"/>
  </r>
  <r>
    <x v="380"/>
    <s v="FRG119"/>
    <s v="PET Clear Preform For Grinding"/>
    <n v="-249"/>
    <n v="-249"/>
    <s v="KG"/>
    <n v="5.1999999999999998E-2"/>
    <n v="-4788.461538461539"/>
    <x v="15"/>
    <x v="15"/>
  </r>
  <r>
    <x v="380"/>
    <s v="52.0BC1RD-CL-B"/>
    <s v="52.0 BC38mm 3 Rnd Clear J/C(P Plt"/>
    <n v="33600"/>
    <n v="33600"/>
    <s v="PC"/>
    <n v="5.1999999999999998E-2"/>
    <n v="0"/>
    <x v="15"/>
    <x v="15"/>
  </r>
  <r>
    <x v="381"/>
    <s v="7.45TO2RD-AJBS-B"/>
    <s v="7.45TO29/25Rnd'ALM'BLUE J/C(PP-SIPA)"/>
    <n v="239040"/>
    <n v="239040"/>
    <s v="PC"/>
    <n v="7.45E-3"/>
    <n v="0"/>
    <x v="77"/>
    <x v="76"/>
  </r>
  <r>
    <x v="382"/>
    <s v="45.0PC2RD-IG-B"/>
    <s v="45.0 PCO 1881 ICI Green J/C(P Plt "/>
    <n v="6624"/>
    <n v="6624"/>
    <s v="PC"/>
    <n v="4.4999999999999998E-2"/>
    <n v="0"/>
    <x v="34"/>
    <x v="34"/>
  </r>
  <r>
    <x v="383"/>
    <s v="12.5TO2RD-CAS-V"/>
    <s v="12.5 29/25 CLR AA Reducer MenaBev"/>
    <n v="83520"/>
    <n v="83520"/>
    <s v="PC"/>
    <n v="1.2500000000000001E-2"/>
    <n v="0"/>
    <x v="78"/>
    <x v="77"/>
  </r>
  <r>
    <x v="384"/>
    <s v="9.4TO2RD-B1-B"/>
    <s v="9.4 TO29/25 Rnd Nova Blue J/C(Ppl-SABIC"/>
    <n v="76140"/>
    <n v="76140"/>
    <s v="PC"/>
    <n v="9.4000000000000004E-3"/>
    <n v="0"/>
    <x v="4"/>
    <x v="4"/>
  </r>
  <r>
    <x v="385"/>
    <s v="45.0PC2RD-CL-VH"/>
    <s v="45.0 PCO 1881 Rnd Clear MenaBev PP HDG"/>
    <n v="6624"/>
    <n v="0"/>
    <s v="PC"/>
    <n v="4.4999999999999998E-2"/>
    <n v="0"/>
    <x v="13"/>
    <x v="13"/>
  </r>
  <r>
    <x v="385"/>
    <s v="45.0PC2RD-IG-VH"/>
    <s v="45.0 PCO 1881 Rd ICI Green MenaBevPP HDG"/>
    <n v="7992"/>
    <n v="7992"/>
    <s v="PC"/>
    <n v="4.4999999999999998E-2"/>
    <n v="0"/>
    <x v="13"/>
    <x v="13"/>
  </r>
  <r>
    <x v="385"/>
    <s v="FRG161"/>
    <s v="PET Green Preform For Grinding"/>
    <n v="-61.56"/>
    <n v="-61.56"/>
    <s v="KG"/>
    <n v="4.4999999999999998E-2"/>
    <n v="-1368"/>
    <x v="13"/>
    <x v="13"/>
  </r>
  <r>
    <x v="386"/>
    <s v="45.0PC2RD-IG-VH"/>
    <s v="45.0 PCO 1881 Rd ICI Green MenaBevPP HDG"/>
    <n v="86112"/>
    <n v="86112"/>
    <s v="PC"/>
    <n v="4.4999999999999998E-2"/>
    <n v="0"/>
    <x v="34"/>
    <x v="34"/>
  </r>
  <r>
    <x v="387"/>
    <s v="11.5TO2RD-CLS-V"/>
    <s v="11.5 TO29/25 Rnd Clear MenaBev (PP)"/>
    <n v="20880"/>
    <n v="20880"/>
    <s v="PC"/>
    <n v="1.15E-2"/>
    <n v="0"/>
    <x v="65"/>
    <x v="65"/>
  </r>
  <r>
    <x v="388"/>
    <s v="FRG119"/>
    <s v="PET Clear Preform For Grinding"/>
    <n v="-261"/>
    <n v="-261"/>
    <s v="KG"/>
    <n v="1.2500000000000001E-2"/>
    <n v="-20880"/>
    <x v="39"/>
    <x v="39"/>
  </r>
  <r>
    <x v="388"/>
    <s v="12.5TO2RD-CLS-B"/>
    <s v="12.5 29/25 Rnd Clear J/C(PP"/>
    <n v="522000"/>
    <n v="522000"/>
    <s v="PC"/>
    <n v="1.2500000000000001E-2"/>
    <n v="0"/>
    <x v="39"/>
    <x v="39"/>
  </r>
  <r>
    <x v="389"/>
    <s v="12.5TO2RD-CLS-B"/>
    <s v="12.5 29/25 Rnd Clear J/C(PP"/>
    <n v="501120"/>
    <n v="501120"/>
    <s v="PC"/>
    <n v="1.2500000000000001E-2"/>
    <n v="0"/>
    <x v="39"/>
    <x v="39"/>
  </r>
  <r>
    <x v="390"/>
    <s v="45.0PC2RD-IG-B"/>
    <s v="45.0 PCO 1881 ICI Green J/C(P Plt "/>
    <n v="364320"/>
    <n v="364320"/>
    <s v="PC"/>
    <n v="4.4999999999999998E-2"/>
    <n v="0"/>
    <x v="0"/>
    <x v="0"/>
  </r>
  <r>
    <x v="391"/>
    <s v="12.5TO2RD-CLS-B"/>
    <s v="12.5 29/25 Rnd Clear J/C(PP"/>
    <n v="41760"/>
    <n v="41760"/>
    <s v="PC"/>
    <n v="1.2500000000000001E-2"/>
    <n v="0"/>
    <x v="39"/>
    <x v="39"/>
  </r>
  <r>
    <x v="392"/>
    <s v="45.0PC2RD-IG-B"/>
    <s v="45.0 PCO 1881 ICI Green J/C(P Plt "/>
    <n v="6624"/>
    <n v="6624"/>
    <s v="PC"/>
    <n v="4.4999999999999998E-2"/>
    <n v="0"/>
    <x v="0"/>
    <x v="0"/>
  </r>
  <r>
    <x v="393"/>
    <s v="26.6TO2RD-CL-B"/>
    <s v="26.6 TO 29/25 Rnd Clear J/C(P Plt"/>
    <n v="90720"/>
    <n v="90720"/>
    <s v="PC"/>
    <n v="2.6600000000000002E-2"/>
    <n v="0"/>
    <x v="26"/>
    <x v="26"/>
  </r>
  <r>
    <x v="394"/>
    <s v="12.5TO2RD-CLS-B"/>
    <s v="12.5 29/25 Rnd Clear J/C(PP"/>
    <n v="1002240"/>
    <n v="1002240"/>
    <s v="PC"/>
    <n v="1.2500000000000001E-2"/>
    <n v="0"/>
    <x v="39"/>
    <x v="39"/>
  </r>
  <r>
    <x v="395"/>
    <s v="12.5TO2RD-CLS-B"/>
    <s v="12.5 29/25 Rnd Clear J/C(PP"/>
    <n v="1983600"/>
    <n v="1983600"/>
    <s v="PC"/>
    <n v="1.2500000000000001E-2"/>
    <n v="0"/>
    <x v="39"/>
    <x v="39"/>
  </r>
  <r>
    <x v="395"/>
    <s v="FRG119"/>
    <s v="PET Clear Preform For Grinding"/>
    <n v="-261"/>
    <n v="-261"/>
    <s v="KG"/>
    <n v="1.2500000000000001E-2"/>
    <n v="-20880"/>
    <x v="39"/>
    <x v="39"/>
  </r>
  <r>
    <x v="396"/>
    <s v="30.5PC2RD-IGS-BH2"/>
    <s v="30.5PCO1881 ICI GreenJ/C(PP JOM HDG-SIPA"/>
    <n v="1008900"/>
    <n v="1008900"/>
    <s v="PC"/>
    <n v="3.0499999999999999E-2"/>
    <n v="0"/>
    <x v="31"/>
    <x v="31"/>
  </r>
  <r>
    <x v="397"/>
    <s v="52.0BC1RD-CL-B"/>
    <s v="52.0 BC38mm 3 Rnd Clear J/C(P Plt"/>
    <n v="499200"/>
    <n v="499200"/>
    <s v="PC"/>
    <n v="5.1999999999999998E-2"/>
    <n v="0"/>
    <x v="6"/>
    <x v="6"/>
  </r>
  <r>
    <x v="398"/>
    <s v="45.0PC2RD-IG-B"/>
    <s v="45.0 PCO 1881 ICI Green J/C(P Plt "/>
    <n v="324576"/>
    <n v="324576"/>
    <s v="PC"/>
    <n v="4.4999999999999998E-2"/>
    <n v="0"/>
    <x v="0"/>
    <x v="0"/>
  </r>
  <r>
    <x v="399"/>
    <s v="26.6TO2RD-CL-B"/>
    <s v="26.6 TO 29/25 Rnd Clear J/C(P Plt"/>
    <n v="413280"/>
    <n v="413280"/>
    <s v="PC"/>
    <n v="2.6600000000000002E-2"/>
    <n v="0"/>
    <x v="26"/>
    <x v="26"/>
  </r>
  <r>
    <x v="400"/>
    <s v="8.3TO2RD-LBS1-A"/>
    <s v="8.30TOLW29/25 L.Blue(≤2ppm)J/C(W pt-SIPA"/>
    <n v="135000"/>
    <n v="135000"/>
    <s v="PC"/>
    <n v="8.3000000000000001E-3"/>
    <n v="0"/>
    <x v="27"/>
    <x v="27"/>
  </r>
  <r>
    <x v="400"/>
    <s v="FRG160"/>
    <s v="PET Blue Preform For Grinding"/>
    <n v="-224"/>
    <n v="-224"/>
    <s v="KG"/>
    <n v="8.3000000000000001E-3"/>
    <n v="-26987.951807228914"/>
    <x v="27"/>
    <x v="27"/>
  </r>
  <r>
    <x v="401"/>
    <s v="36.0BC1RD-CL-G"/>
    <s v="36.0 BC38mm 3 Rnd Clear OJ/C(W plt"/>
    <n v="38016"/>
    <n v="38016"/>
    <s v="PC"/>
    <n v="3.5999999999999997E-2"/>
    <n v="0"/>
    <x v="3"/>
    <x v="3"/>
  </r>
  <r>
    <x v="401"/>
    <s v="FRG119"/>
    <s v="PET Clear Preform For Grinding"/>
    <n v="-228"/>
    <n v="-228"/>
    <s v="KG"/>
    <n v="3.5999999999999997E-2"/>
    <n v="-6333.3333333333339"/>
    <x v="3"/>
    <x v="3"/>
  </r>
  <r>
    <x v="402"/>
    <s v="14.0TO2RD-B4-A"/>
    <s v="14.0 TO 29/25 Rnd Arwa Blue J/C(W plt)"/>
    <n v="211200"/>
    <n v="211200"/>
    <s v="PC"/>
    <n v="1.4E-2"/>
    <n v="0"/>
    <x v="14"/>
    <x v="14"/>
  </r>
  <r>
    <x v="402"/>
    <s v="FRG160"/>
    <s v="PET Blue Preform For Grinding"/>
    <n v="-537"/>
    <n v="-537"/>
    <s v="KG"/>
    <n v="1.4E-2"/>
    <n v="-38357.142857142855"/>
    <x v="14"/>
    <x v="14"/>
  </r>
  <r>
    <x v="403"/>
    <s v="45.0PC2RD-IG-B"/>
    <s v="45.0 PCO 1881 ICI Green J/C(P Plt "/>
    <n v="46368"/>
    <n v="0"/>
    <s v="PC"/>
    <n v="4.4999999999999998E-2"/>
    <n v="0"/>
    <x v="79"/>
    <x v="78"/>
  </r>
  <r>
    <x v="403"/>
    <s v="FRG119"/>
    <s v="PET Clear Preform For Grinding"/>
    <n v="-596"/>
    <n v="-596"/>
    <s v="KG"/>
    <n v="4.4999999999999998E-2"/>
    <n v="-13244.444444444445"/>
    <x v="79"/>
    <x v="78"/>
  </r>
  <r>
    <x v="403"/>
    <s v="45.0PC2RD-CLS-B"/>
    <s v="45.0 PCO 1881Rd Clear J/C(P Plt - SIPA"/>
    <n v="46368"/>
    <n v="46368"/>
    <s v="PC"/>
    <n v="4.4999999999999998E-2"/>
    <n v="0"/>
    <x v="79"/>
    <x v="78"/>
  </r>
  <r>
    <x v="404"/>
    <s v="48.0BC1RD-CL-A"/>
    <s v="48.0 BC38mm 3 Rnd Clear J/C(W plt"/>
    <n v="77824"/>
    <n v="77824"/>
    <s v="PC"/>
    <n v="4.8000000000000001E-2"/>
    <n v="0"/>
    <x v="80"/>
    <x v="79"/>
  </r>
  <r>
    <x v="404"/>
    <s v="FRG119"/>
    <s v="PET Clear Preform For Grinding"/>
    <n v="-1400"/>
    <n v="-1400"/>
    <s v="KG"/>
    <n v="4.8000000000000001E-2"/>
    <n v="-29166.666666666664"/>
    <x v="80"/>
    <x v="79"/>
  </r>
  <r>
    <x v="405"/>
    <s v="30.5PC2RD-IGS-BH2"/>
    <s v="30.5PCO1881 ICI GreenJ/C(PP JOM HDG-SIPA"/>
    <n v="21240"/>
    <n v="21240"/>
    <s v="PC"/>
    <n v="3.0499999999999999E-2"/>
    <n v="0"/>
    <x v="31"/>
    <x v="31"/>
  </r>
  <r>
    <x v="406"/>
    <s v="12.5TO2RD-CLS-B"/>
    <s v="12.5 29/25 Rnd Clear J/C(PP"/>
    <n v="41760"/>
    <n v="41760"/>
    <s v="PC"/>
    <n v="1.2500000000000001E-2"/>
    <n v="0"/>
    <x v="39"/>
    <x v="39"/>
  </r>
  <r>
    <x v="407"/>
    <s v="26.6TO2RD-CL-B"/>
    <s v="26.6 TO 29/25 Rnd Clear J/C(P Plt"/>
    <n v="241920"/>
    <n v="241920"/>
    <s v="PC"/>
    <n v="2.6600000000000002E-2"/>
    <n v="0"/>
    <x v="26"/>
    <x v="26"/>
  </r>
  <r>
    <x v="408"/>
    <s v="52.0BC1RD-CL-B"/>
    <s v="52.0 BC38mm 3 Rnd Clear J/C(P Plt"/>
    <n v="211200"/>
    <n v="211200"/>
    <s v="PC"/>
    <n v="5.1999999999999998E-2"/>
    <n v="0"/>
    <x v="6"/>
    <x v="6"/>
  </r>
  <r>
    <x v="409"/>
    <s v="45.0PC2RD-IG-B"/>
    <s v="45.0 PCO 1881 ICI Green J/C(P Plt "/>
    <n v="258336"/>
    <n v="258336"/>
    <s v="PC"/>
    <n v="4.4999999999999998E-2"/>
    <n v="0"/>
    <x v="0"/>
    <x v="0"/>
  </r>
  <r>
    <x v="410"/>
    <s v="45.0PC2RD-CLS-B"/>
    <s v="45.0 PCO 1881Rd Clear J/C(P Plt - SIPA"/>
    <n v="616032"/>
    <n v="616032"/>
    <s v="PC"/>
    <n v="4.4999999999999998E-2"/>
    <n v="0"/>
    <x v="79"/>
    <x v="78"/>
  </r>
  <r>
    <x v="410"/>
    <s v="FRG119"/>
    <s v="PET Clear Preform For Grinding"/>
    <n v="-596"/>
    <n v="-596"/>
    <s v="KG"/>
    <n v="4.4999999999999998E-2"/>
    <n v="-13244.444444444445"/>
    <x v="79"/>
    <x v="78"/>
  </r>
  <r>
    <x v="411"/>
    <s v="30.5PC2RD-IGS-BH2"/>
    <s v="30.5PCO1881 ICI GreenJ/C(PP JOM HDG-SIPA"/>
    <n v="63720"/>
    <n v="63720"/>
    <s v="PC"/>
    <n v="3.0499999999999999E-2"/>
    <n v="0"/>
    <x v="81"/>
    <x v="80"/>
  </r>
  <r>
    <x v="411"/>
    <s v="FRG161"/>
    <s v="PET Green Preform For Grinding"/>
    <n v="-323"/>
    <n v="-323"/>
    <s v="KG"/>
    <n v="3.0499999999999999E-2"/>
    <n v="-10590.163934426229"/>
    <x v="81"/>
    <x v="80"/>
  </r>
  <r>
    <x v="412"/>
    <s v="45.0PC2RD-IG-VH"/>
    <s v="45.0 PCO 1881 Rd ICI Green MenaBevPP HDG"/>
    <n v="39744"/>
    <n v="39744"/>
    <s v="PC"/>
    <n v="4.4999999999999998E-2"/>
    <n v="0"/>
    <x v="34"/>
    <x v="34"/>
  </r>
  <r>
    <x v="412"/>
    <s v="FRG161"/>
    <s v="PET Green Preform For Grinding"/>
    <n v="-298"/>
    <n v="-298"/>
    <s v="KG"/>
    <n v="4.4999999999999998E-2"/>
    <n v="-6622.2222222222226"/>
    <x v="34"/>
    <x v="34"/>
  </r>
  <r>
    <x v="413"/>
    <s v="30.5PC2RD-IGS-V"/>
    <s v="30.5PCO1881RndICI GreenMenaBev Spec-SIPA"/>
    <n v="506880"/>
    <n v="0"/>
    <s v="PC"/>
    <n v="3.0499999999999999E-2"/>
    <n v="0"/>
    <x v="31"/>
    <x v="31"/>
  </r>
  <r>
    <x v="414"/>
    <s v="9.4TO2RD-LBS-A"/>
    <s v="9.4 TO 29/25 Rnd L.Blue J/C (W plt- SIPA"/>
    <n v="50760"/>
    <n v="0"/>
    <s v="PC"/>
    <n v="9.4000000000000004E-3"/>
    <n v="0"/>
    <x v="33"/>
    <x v="33"/>
  </r>
  <r>
    <x v="415"/>
    <s v="14.0PC2RD-CL-A"/>
    <s v="14.0 PCO 1881 Rnd Clear J/C(W Plt"/>
    <n v="123840"/>
    <n v="123840"/>
    <s v="PC"/>
    <n v="1.4E-2"/>
    <n v="0"/>
    <x v="25"/>
    <x v="25"/>
  </r>
  <r>
    <x v="415"/>
    <s v="FRG119"/>
    <s v="PET Clear Preform For Grinding"/>
    <n v="-866"/>
    <n v="-866"/>
    <s v="KG"/>
    <n v="1.4E-2"/>
    <n v="-61857.142857142855"/>
    <x v="25"/>
    <x v="25"/>
  </r>
  <r>
    <x v="416"/>
    <s v="9.4TO2RD-B1-B"/>
    <s v="9.4 TO29/25 Rnd Nova Blue J/C(Ppl-SABIC"/>
    <n v="279180"/>
    <n v="279180"/>
    <s v="PC"/>
    <n v="9.4000000000000004E-3"/>
    <n v="0"/>
    <x v="4"/>
    <x v="4"/>
  </r>
  <r>
    <x v="416"/>
    <s v="FRG160"/>
    <s v="PET Blue Preform For Grinding"/>
    <n v="-725"/>
    <n v="-725"/>
    <s v="KG"/>
    <n v="9.4000000000000004E-3"/>
    <n v="-77127.659574468082"/>
    <x v="4"/>
    <x v="4"/>
  </r>
  <r>
    <x v="417"/>
    <s v="52.0BC1RD-CL-B"/>
    <s v="52.0 BC38mm 3 Rnd Clear J/C(P Plt"/>
    <n v="230400"/>
    <n v="230400"/>
    <s v="PC"/>
    <n v="5.1999999999999998E-2"/>
    <n v="0"/>
    <x v="6"/>
    <x v="6"/>
  </r>
  <r>
    <x v="418"/>
    <s v="26.6TO2RD-CL-B"/>
    <s v="26.6 TO 29/25 Rnd Clear J/C(P Plt"/>
    <n v="221760"/>
    <n v="221760"/>
    <s v="PC"/>
    <n v="2.6600000000000002E-2"/>
    <n v="0"/>
    <x v="26"/>
    <x v="26"/>
  </r>
  <r>
    <x v="419"/>
    <s v="30.5PC2RD-IGS-V"/>
    <s v="30.5PCO1881RndICI GreenMenaBev Spec-SIPA"/>
    <n v="509760"/>
    <n v="509760"/>
    <s v="PC"/>
    <n v="3.0499999999999999E-2"/>
    <n v="0"/>
    <x v="82"/>
    <x v="81"/>
  </r>
  <r>
    <x v="420"/>
    <s v="1400C51-SFI-1ORJ"/>
    <s v="Safi 1.4L PET Clear BTL-Orange -25D"/>
    <n v="672"/>
    <n v="672"/>
    <s v="PC"/>
    <n v="600.40899999999999"/>
    <n v="0"/>
    <x v="83"/>
    <x v="82"/>
  </r>
  <r>
    <x v="420"/>
    <s v="1300C51-SFI-1MMFJ"/>
    <s v="Safi 1.3L PET ClearBTL-MangoMixFruit-25D"/>
    <n v="1344"/>
    <n v="1344"/>
    <s v="PC"/>
    <n v="600.40899999999999"/>
    <n v="0"/>
    <x v="83"/>
    <x v="82"/>
  </r>
  <r>
    <x v="421"/>
    <s v="9.4TO2RD-LBS2-A"/>
    <s v="9.4TO 29/25Rnd L.Blue J/CWplt(≤1ppm)SIPA"/>
    <n v="50760"/>
    <n v="50760"/>
    <s v="PC"/>
    <n v="9.4000000000000004E-3"/>
    <n v="0"/>
    <x v="4"/>
    <x v="4"/>
  </r>
  <r>
    <x v="421"/>
    <s v="FRG160"/>
    <s v="PET Blue Preform For Grinding"/>
    <n v="-139.06800000000001"/>
    <n v="-139.06800000000001"/>
    <s v="KG"/>
    <n v="9.4000000000000004E-3"/>
    <n v="-14794.468085106384"/>
    <x v="4"/>
    <x v="4"/>
  </r>
  <r>
    <x v="422"/>
    <s v="13.5BC1RD-CL-S"/>
    <s v="13.5 BC38mm 3 Rnd Clear W steel c."/>
    <n v="74592"/>
    <n v="74592"/>
    <s v="PC"/>
    <n v="1.35E-2"/>
    <n v="0"/>
    <x v="84"/>
    <x v="83"/>
  </r>
  <r>
    <x v="422"/>
    <s v="FRG119"/>
    <s v="PET Clear Preform For Grinding"/>
    <n v="-144"/>
    <n v="-144"/>
    <s v="KG"/>
    <n v="1.35E-2"/>
    <n v="-10666.666666666666"/>
    <x v="84"/>
    <x v="83"/>
  </r>
  <r>
    <x v="423"/>
    <s v="51.0BC1RD-CL-S"/>
    <s v="51.0 BC 38mm 3 Rnd Clear steel c"/>
    <n v="39600"/>
    <n v="39600"/>
    <s v="PC"/>
    <n v="5.0999999999999997E-2"/>
    <n v="0"/>
    <x v="49"/>
    <x v="49"/>
  </r>
  <r>
    <x v="423"/>
    <s v="FRG119"/>
    <s v="PET Clear Preform For Grinding"/>
    <n v="-183"/>
    <n v="-183"/>
    <s v="KG"/>
    <n v="5.0999999999999997E-2"/>
    <n v="-3588.2352941176473"/>
    <x v="49"/>
    <x v="49"/>
  </r>
  <r>
    <x v="424"/>
    <s v="52.0BC1RD-CL-B"/>
    <s v="52.0 BC38mm 3 Rnd Clear J/C(P Plt"/>
    <n v="19200"/>
    <n v="19200"/>
    <s v="PC"/>
    <n v="5.1999999999999998E-2"/>
    <n v="0"/>
    <x v="15"/>
    <x v="15"/>
  </r>
  <r>
    <x v="424"/>
    <s v="FRG119"/>
    <s v="PET Clear Preform For Grinding"/>
    <n v="-249"/>
    <n v="-249"/>
    <s v="KG"/>
    <n v="5.1999999999999998E-2"/>
    <n v="-4788.461538461539"/>
    <x v="15"/>
    <x v="15"/>
  </r>
  <r>
    <x v="425"/>
    <s v="30.5PC2RD-IGS-BH2"/>
    <s v="30.5PCO1881 ICI GreenJ/C(PP JOM HDG-SIPA"/>
    <n v="467280"/>
    <n v="467280"/>
    <s v="PC"/>
    <n v="3.0499999999999999E-2"/>
    <n v="0"/>
    <x v="31"/>
    <x v="31"/>
  </r>
  <r>
    <x v="426"/>
    <s v="26.6TO2RD-B2-B"/>
    <s v="26.6TO29/25Rnd Nova Blue - (JADE)"/>
    <n v="50400"/>
    <n v="50400"/>
    <s v="PC"/>
    <n v="2.6600000000000002E-2"/>
    <n v="0"/>
    <x v="85"/>
    <x v="84"/>
  </r>
  <r>
    <x v="426"/>
    <s v="FRG160"/>
    <s v="PET Blue Preform For Grinding"/>
    <n v="-268"/>
    <n v="-268"/>
    <s v="KG"/>
    <n v="2.6600000000000002E-2"/>
    <n v="-10075.187969924811"/>
    <x v="85"/>
    <x v="84"/>
  </r>
  <r>
    <x v="427"/>
    <s v="30.5PC2RD-IGS-A"/>
    <s v="30.5 PCO 1881 Rnd ICI Green J/C(WP-SIPA"/>
    <n v="21240"/>
    <n v="21240"/>
    <s v="PC"/>
    <n v="3.0499999999999999E-2"/>
    <n v="0"/>
    <x v="31"/>
    <x v="31"/>
  </r>
  <r>
    <x v="428"/>
    <s v="13.5TO2RD-B3-B"/>
    <s v="13.5 TO29/25Rnd Nova Blue J/C(P pltYISHN"/>
    <n v="211200"/>
    <n v="211200"/>
    <s v="PC"/>
    <n v="1.35E-2"/>
    <n v="0"/>
    <x v="32"/>
    <x v="32"/>
  </r>
  <r>
    <x v="428"/>
    <s v="FRG160"/>
    <s v="PET Blue Preform For Grinding"/>
    <n v="-259"/>
    <n v="-259"/>
    <s v="KG"/>
    <n v="1.35E-2"/>
    <n v="-19185.185185185186"/>
    <x v="32"/>
    <x v="32"/>
  </r>
  <r>
    <x v="429"/>
    <s v="45.0PC2RD-CLS-B"/>
    <s v="45.0 PCO 1881Rd Clear J/C(P Plt - SIPA"/>
    <n v="13248"/>
    <n v="13248"/>
    <s v="PC"/>
    <n v="4.4999999999999998E-2"/>
    <n v="0"/>
    <x v="86"/>
    <x v="85"/>
  </r>
  <r>
    <x v="430"/>
    <s v="FRG119"/>
    <s v="PET Clear Preform For Grinding"/>
    <n v="0"/>
    <n v="0"/>
    <s v="KG"/>
    <n v="2.6600000000000002E-2"/>
    <n v="0"/>
    <x v="26"/>
    <x v="26"/>
  </r>
  <r>
    <x v="430"/>
    <s v="26.6TO2RD-CL-B"/>
    <s v="26.6 TO 29/25 Rnd Clear J/C(P Plt"/>
    <n v="1"/>
    <n v="0"/>
    <s v="PC"/>
    <n v="2.6600000000000002E-2"/>
    <n v="0"/>
    <x v="26"/>
    <x v="26"/>
  </r>
  <r>
    <x v="431"/>
    <s v="26.6TO2RD-CL-B"/>
    <s v="26.6 TO 29/25 Rnd Clear J/C(P Plt"/>
    <n v="483840"/>
    <n v="483840"/>
    <s v="PC"/>
    <n v="2.6600000000000002E-2"/>
    <n v="0"/>
    <x v="26"/>
    <x v="26"/>
  </r>
  <r>
    <x v="432"/>
    <s v="14.0PC2RD-CL-A"/>
    <s v="14.0 PCO 1881 Rnd Clear J/C(W Plt"/>
    <n v="20640"/>
    <n v="20640"/>
    <s v="PC"/>
    <n v="1.4E-2"/>
    <n v="0"/>
    <x v="25"/>
    <x v="25"/>
  </r>
  <r>
    <x v="433"/>
    <s v="12.5TO2RD-CLS-A"/>
    <s v="12.5 29/25 Rnd Clear J/C(W plt-SIPA"/>
    <n v="20880"/>
    <n v="20880"/>
    <s v="PC"/>
    <n v="1.2500000000000001E-2"/>
    <n v="0"/>
    <x v="69"/>
    <x v="68"/>
  </r>
  <r>
    <x v="434"/>
    <s v="12.5TO2RD-LBS-A"/>
    <s v="12.5 TO29/25Rd L.Blue J/C(WP-SIPA"/>
    <n v="20880"/>
    <n v="20880"/>
    <s v="PC"/>
    <n v="1.2500000000000001E-2"/>
    <n v="0"/>
    <x v="87"/>
    <x v="86"/>
  </r>
  <r>
    <x v="435"/>
    <s v="30.5PC2RD-IGS-BH2"/>
    <s v="30.5PCO1881 ICI GreenJ/C(PP JOM HDG-SIPA"/>
    <n v="509760"/>
    <n v="509760"/>
    <s v="PC"/>
    <n v="3.0499999999999999E-2"/>
    <n v="0"/>
    <x v="31"/>
    <x v="31"/>
  </r>
  <r>
    <x v="436"/>
    <s v="7.45TO2RD-AJBS-B"/>
    <s v="7.45TO29/25Rnd'ALM'BLUE J/C(PP-SIPA)"/>
    <n v="63940"/>
    <n v="63940"/>
    <s v="PC"/>
    <n v="7.45E-3"/>
    <n v="0"/>
    <x v="75"/>
    <x v="74"/>
  </r>
  <r>
    <x v="436"/>
    <s v="FRG160"/>
    <s v="PET Blue Preform For Grinding"/>
    <n v="-31"/>
    <n v="-31"/>
    <s v="KG"/>
    <n v="7.45E-3"/>
    <n v="-4161.0738255033557"/>
    <x v="75"/>
    <x v="74"/>
  </r>
  <r>
    <x v="437"/>
    <s v="13.5BC1RD-CL-G"/>
    <s v="13.5 BC38mm 3 Rnd Clear OJ/C(p plt"/>
    <n v="53568"/>
    <n v="53568"/>
    <s v="PC"/>
    <n v="1.35E-2"/>
    <n v="0"/>
    <x v="46"/>
    <x v="46"/>
  </r>
  <r>
    <x v="438"/>
    <s v="9.70TO2RD-CLS-B"/>
    <s v="9.70 29/25 Rnd Clear J/C(P Plt)-SIPA"/>
    <n v="1269000"/>
    <n v="1269000"/>
    <s v="PC"/>
    <n v="9.6999999999999986E-3"/>
    <n v="0"/>
    <x v="2"/>
    <x v="2"/>
  </r>
  <r>
    <x v="439"/>
    <s v="29-1.32-2TP-CB-A"/>
    <s v="29 /25 1.32g CAP T PROOF  CONGO BLUE -WP"/>
    <n v="40000"/>
    <n v="40000"/>
    <s v="PC"/>
    <m/>
    <n v="0"/>
    <x v="10"/>
    <x v="10"/>
  </r>
  <r>
    <x v="440"/>
    <s v="26.6TO2RD-CL-B"/>
    <s v="26.6 TO 29/25 Rnd Clear J/C(P Plt"/>
    <n v="493920"/>
    <n v="493920"/>
    <s v="PC"/>
    <n v="2.6600000000000002E-2"/>
    <n v="0"/>
    <x v="26"/>
    <x v="26"/>
  </r>
  <r>
    <x v="441"/>
    <s v="13.5TO2RD-B1-B"/>
    <s v="13.5 TO29/25Rnd Nova Blue-PET&quot;ST-CRC&quot;"/>
    <n v="19200"/>
    <n v="19200"/>
    <s v="PC"/>
    <n v="1.35E-2"/>
    <n v="0"/>
    <x v="32"/>
    <x v="32"/>
  </r>
  <r>
    <x v="442"/>
    <s v="12.5TO2RD-CLS-B"/>
    <s v="12.5 29/25 Rnd Clear J/C(PP"/>
    <n v="1983600"/>
    <n v="1983600"/>
    <s v="PC"/>
    <n v="1.2500000000000001E-2"/>
    <n v="0"/>
    <x v="39"/>
    <x v="39"/>
  </r>
  <r>
    <x v="442"/>
    <s v="FRG119"/>
    <s v="PET Clear Preform For Grinding"/>
    <n v="-261"/>
    <n v="-261"/>
    <s v="KG"/>
    <n v="1.2500000000000001E-2"/>
    <n v="-20880"/>
    <x v="39"/>
    <x v="39"/>
  </r>
  <r>
    <x v="443"/>
    <s v="21.0PC2RD-CL-VS"/>
    <s v="21.0 PCO 1881 Rnd CLR MenaBev Spec SIPA"/>
    <n v="81900"/>
    <n v="81900"/>
    <s v="PC"/>
    <n v="2.1000000000000001E-2"/>
    <n v="0"/>
    <x v="20"/>
    <x v="20"/>
  </r>
  <r>
    <x v="444"/>
    <s v="7.45TO2RD-LBS-A"/>
    <s v="7.45TO LW 29/25 L.Blue J/C(WP-SIPA"/>
    <n v="149400"/>
    <n v="149400"/>
    <s v="PC"/>
    <n v="7.45E-3"/>
    <n v="0"/>
    <x v="24"/>
    <x v="24"/>
  </r>
  <r>
    <x v="445"/>
    <s v="9.70TO2RD-CLS-B"/>
    <s v="9.70 29/25 Rnd Clear J/C(P Plt)-SIPA"/>
    <n v="2233440"/>
    <n v="2233440"/>
    <s v="PC"/>
    <n v="9.6999999999999986E-3"/>
    <n v="0"/>
    <x v="2"/>
    <x v="2"/>
  </r>
  <r>
    <x v="445"/>
    <s v="FRG160"/>
    <s v="PET Blue Preform For Grinding"/>
    <n v="-246"/>
    <n v="-246"/>
    <s v="KG"/>
    <n v="9.6999999999999986E-3"/>
    <n v="-25360.824742268043"/>
    <x v="2"/>
    <x v="2"/>
  </r>
  <r>
    <x v="446"/>
    <s v="13.5BC1RD-CL-G"/>
    <s v="13.5 BC38mm 3 Rnd Clear OJ/C(p plt"/>
    <n v="35712"/>
    <n v="35712"/>
    <s v="PC"/>
    <n v="1.35E-2"/>
    <n v="0"/>
    <x v="46"/>
    <x v="46"/>
  </r>
  <r>
    <x v="447"/>
    <s v="9.70TO2RD-CLS-B"/>
    <s v="9.70 29/25 Rnd Clear J/C(P Plt)-SIPA"/>
    <n v="2106540"/>
    <n v="2106540"/>
    <s v="PC"/>
    <n v="9.6999999999999986E-3"/>
    <n v="0"/>
    <x v="2"/>
    <x v="2"/>
  </r>
  <r>
    <x v="448"/>
    <s v="12.5TO2RD-CLS-B"/>
    <s v="12.5 29/25 Rnd Clear J/C(PP"/>
    <n v="2004480"/>
    <n v="2004480"/>
    <s v="PC"/>
    <n v="1.2500000000000001E-2"/>
    <n v="0"/>
    <x v="39"/>
    <x v="39"/>
  </r>
  <r>
    <x v="449"/>
    <s v="8.3TO2RD-CLS-A"/>
    <s v="8.30TO LW 29/25 Clear J/C(WP)-SIPA"/>
    <n v="47500"/>
    <n v="47500"/>
    <s v="PC"/>
    <n v="8.3000000000000001E-3"/>
    <n v="0"/>
    <x v="8"/>
    <x v="8"/>
  </r>
  <r>
    <x v="449"/>
    <s v="FRG119"/>
    <s v="PET Clear Preform For Grinding"/>
    <n v="-170"/>
    <n v="-170"/>
    <s v="KG"/>
    <n v="8.3000000000000001E-3"/>
    <n v="-20481.927710843374"/>
    <x v="8"/>
    <x v="8"/>
  </r>
  <r>
    <x v="450"/>
    <s v="7.45TO2RD-AJBS-B"/>
    <s v="7.45TO29/25Rnd'ALM'BLUE J/C(PP-SIPA)"/>
    <n v="93040"/>
    <n v="93040"/>
    <s v="PC"/>
    <n v="7.45E-3"/>
    <n v="0"/>
    <x v="75"/>
    <x v="74"/>
  </r>
  <r>
    <x v="450"/>
    <s v="FRG160"/>
    <s v="PET Blue Preform For Grinding"/>
    <n v="-26"/>
    <n v="-26"/>
    <s v="KG"/>
    <n v="7.45E-3"/>
    <n v="-3489.9328859060402"/>
    <x v="75"/>
    <x v="74"/>
  </r>
  <r>
    <x v="451"/>
    <s v="13.5TO2RD-B3-B"/>
    <s v="13.5 TO29/25Rnd Nova Blue J/C(P pltYISHN"/>
    <n v="96000"/>
    <n v="96000"/>
    <s v="PC"/>
    <n v="1.35E-2"/>
    <n v="0"/>
    <x v="32"/>
    <x v="32"/>
  </r>
  <r>
    <x v="452"/>
    <s v="7.45TO2RD-LBS1-A"/>
    <s v="7.45TO LW 29/25 L.Blue(≤2ppm)J/C(WP-SIPA"/>
    <n v="29880"/>
    <n v="29880"/>
    <s v="PC"/>
    <n v="7.45E-3"/>
    <n v="0"/>
    <x v="24"/>
    <x v="24"/>
  </r>
  <r>
    <x v="453"/>
    <s v="7.45TO2RD-LBS-A"/>
    <s v="7.45TO LW 29/25 L.Blue J/C(WP-SIPA"/>
    <n v="29880"/>
    <n v="29880"/>
    <s v="PC"/>
    <n v="7.45E-3"/>
    <n v="0"/>
    <x v="24"/>
    <x v="24"/>
  </r>
  <r>
    <x v="454"/>
    <s v="45.0PC2RD-CLS-V"/>
    <s v="45.0 PCO 1881 Rnd Clear Mena Bev"/>
    <n v="317952"/>
    <n v="317952"/>
    <s v="PC"/>
    <n v="4.4999999999999998E-2"/>
    <n v="0"/>
    <x v="79"/>
    <x v="78"/>
  </r>
  <r>
    <x v="455"/>
    <s v="45.0PC2RD-CLS-V"/>
    <s v="45.0 PCO 1881 Rnd Clear Mena Bev"/>
    <n v="443808"/>
    <n v="0"/>
    <s v="PC"/>
    <n v="4.4999999999999998E-2"/>
    <n v="0"/>
    <x v="88"/>
    <x v="87"/>
  </r>
  <r>
    <x v="455"/>
    <s v="45.0PC2RD-IGS-B"/>
    <s v="45.0 PCO 1881 ICI Green J/C(P Plt - SIPA"/>
    <n v="443808"/>
    <n v="443808"/>
    <s v="PC"/>
    <n v="4.4999999999999998E-2"/>
    <n v="0"/>
    <x v="88"/>
    <x v="87"/>
  </r>
  <r>
    <x v="456"/>
    <s v="52.0BC1RD-CL-B"/>
    <s v="52.0 BC38mm 3 Rnd Clear J/C(P Plt"/>
    <n v="134400"/>
    <n v="134400"/>
    <s v="PC"/>
    <n v="5.1999999999999998E-2"/>
    <n v="0"/>
    <x v="6"/>
    <x v="6"/>
  </r>
  <r>
    <x v="457"/>
    <s v="26.6TO2RD-B2-B"/>
    <s v="26.6TO29/25Rnd Nova Blue - (JADE)"/>
    <n v="20160"/>
    <n v="20160"/>
    <s v="PC"/>
    <n v="2.6600000000000002E-2"/>
    <n v="0"/>
    <x v="85"/>
    <x v="84"/>
  </r>
  <r>
    <x v="458"/>
    <s v="26.6TO2RD-AJB-BH"/>
    <s v="26.6TO29/25Rnd'ALM'BLUE J/C(PP-HDG)"/>
    <n v="10080"/>
    <n v="10080"/>
    <s v="PC"/>
    <n v="2.6600000000000002E-2"/>
    <n v="0"/>
    <x v="85"/>
    <x v="84"/>
  </r>
  <r>
    <x v="459"/>
    <s v="45.0PC2RD-CLS-V"/>
    <s v="45.0 PCO 1881 Rnd Clear Mena Bev"/>
    <n v="46368"/>
    <n v="46368"/>
    <s v="PC"/>
    <n v="4.4999999999999998E-2"/>
    <n v="0"/>
    <x v="86"/>
    <x v="85"/>
  </r>
  <r>
    <x v="459"/>
    <s v="FRG119"/>
    <s v="PET Clear Preform For Grinding"/>
    <n v="-298"/>
    <n v="-298"/>
    <s v="KG"/>
    <n v="4.4999999999999998E-2"/>
    <n v="-6622.2222222222226"/>
    <x v="86"/>
    <x v="85"/>
  </r>
  <r>
    <x v="460"/>
    <s v="8.3TO2RD-LBS-A"/>
    <s v="8.30TO LW 29/25Rd L.Blue J/C(W plt)-SIPA"/>
    <n v="54000"/>
    <n v="54000"/>
    <s v="PC"/>
    <n v="8.3000000000000001E-3"/>
    <n v="0"/>
    <x v="5"/>
    <x v="5"/>
  </r>
  <r>
    <x v="461"/>
    <s v="12.5TO2RD-CLS-B"/>
    <s v="12.5 29/25 Rnd Clear J/C(PP"/>
    <n v="1983600"/>
    <n v="1983600"/>
    <s v="PC"/>
    <n v="1.2500000000000001E-2"/>
    <n v="0"/>
    <x v="39"/>
    <x v="39"/>
  </r>
  <r>
    <x v="462"/>
    <s v="9.70TO2RD-CLS-B"/>
    <s v="9.70 29/25 Rnd Clear J/C(P Plt)-SIPA"/>
    <n v="2106540"/>
    <n v="2106540"/>
    <s v="PC"/>
    <n v="9.6999999999999986E-3"/>
    <n v="0"/>
    <x v="2"/>
    <x v="2"/>
  </r>
  <r>
    <x v="463"/>
    <s v="7.45TO2RD-LBS-A"/>
    <s v="7.45TO LW 29/25 L.Blue J/C(WP-SIPA"/>
    <n v="59760"/>
    <n v="59760"/>
    <s v="PC"/>
    <n v="7.45E-3"/>
    <n v="0"/>
    <x v="24"/>
    <x v="24"/>
  </r>
  <r>
    <x v="464"/>
    <s v="45.0PC2RD-IGS-B"/>
    <s v="45.0 PCO 1881 ICI Green J/C(P Plt - SIPA"/>
    <n v="192096"/>
    <n v="192096"/>
    <s v="PC"/>
    <n v="4.4999999999999998E-2"/>
    <n v="0"/>
    <x v="88"/>
    <x v="87"/>
  </r>
  <r>
    <x v="465"/>
    <s v="12.5TO2RD-CLS-B"/>
    <s v="12.5 29/25 Rnd Clear J/C(PP"/>
    <n v="1106640"/>
    <n v="1106640"/>
    <s v="PC"/>
    <n v="1.2500000000000001E-2"/>
    <n v="0"/>
    <x v="39"/>
    <x v="39"/>
  </r>
  <r>
    <x v="466"/>
    <s v="36.0BC1RD-CL-G"/>
    <s v="36.0 BC38mm 3 Rnd Clear OJ/C(W plt"/>
    <n v="25344"/>
    <n v="25344"/>
    <s v="PC"/>
    <n v="3.5999999999999997E-2"/>
    <n v="0"/>
    <x v="3"/>
    <x v="3"/>
  </r>
  <r>
    <x v="466"/>
    <s v="FRG119"/>
    <s v="PET Clear Preform For Grinding"/>
    <n v="-228"/>
    <n v="-228"/>
    <s v="KG"/>
    <n v="3.5999999999999997E-2"/>
    <n v="-6333.3333333333339"/>
    <x v="3"/>
    <x v="3"/>
  </r>
  <r>
    <x v="467"/>
    <s v="21.0PC2RD-CL-VS"/>
    <s v="21.0 PCO 1881 Rnd CLR MenaBev Spec SIPA"/>
    <n v="16380"/>
    <n v="16380"/>
    <s v="PC"/>
    <n v="2.1000000000000001E-2"/>
    <n v="0"/>
    <x v="20"/>
    <x v="20"/>
  </r>
  <r>
    <x v="468"/>
    <s v="14.0PC2RD-CL-A"/>
    <s v="14.0 PCO 1881 Rnd Clear J/C(W Plt"/>
    <n v="71528"/>
    <n v="71528"/>
    <s v="PC"/>
    <n v="1.4E-2"/>
    <n v="0"/>
    <x v="25"/>
    <x v="25"/>
  </r>
  <r>
    <x v="468"/>
    <s v="FRG119"/>
    <s v="PET Clear Preform For Grinding"/>
    <n v="-135"/>
    <n v="-135"/>
    <s v="KG"/>
    <n v="1.4E-2"/>
    <n v="-9642.8571428571431"/>
    <x v="25"/>
    <x v="25"/>
  </r>
  <r>
    <x v="469"/>
    <s v="52.0BC1RD-CL-B"/>
    <s v="52.0 BC38mm 3 Rnd Clear J/C(P Plt"/>
    <n v="345600"/>
    <n v="345600"/>
    <s v="PC"/>
    <n v="5.1999999999999998E-2"/>
    <n v="0"/>
    <x v="6"/>
    <x v="6"/>
  </r>
  <r>
    <x v="470"/>
    <s v="45.0PC2RD-IGS-B"/>
    <s v="45.0 PCO 1881 ICI Green J/C(P Plt - SIPA"/>
    <n v="258336"/>
    <n v="258336"/>
    <s v="PC"/>
    <n v="4.4999999999999998E-2"/>
    <n v="0"/>
    <x v="88"/>
    <x v="87"/>
  </r>
  <r>
    <x v="471"/>
    <s v="8.3TO2RD-LBS-A"/>
    <s v="8.30TO LW 29/25Rd L.Blue J/C(W plt)-SIPA"/>
    <n v="1296000"/>
    <n v="1296000"/>
    <s v="PC"/>
    <n v="8.3000000000000001E-3"/>
    <n v="0"/>
    <x v="27"/>
    <x v="27"/>
  </r>
  <r>
    <x v="472"/>
    <s v="45.0PC2RD-IGS-B"/>
    <s v="45.0 PCO 1881 ICI Green J/C(P Plt - SIPA"/>
    <n v="59616"/>
    <n v="59616"/>
    <s v="PC"/>
    <n v="4.4999999999999998E-2"/>
    <n v="0"/>
    <x v="88"/>
    <x v="87"/>
  </r>
  <r>
    <x v="473"/>
    <s v="14.0TO2RD-CL-A"/>
    <s v="14.0 TO 29/25 Rnd Clear J/C(W plt)"/>
    <n v="1"/>
    <n v="0"/>
    <s v="PC"/>
    <n v="1.4E-2"/>
    <n v="0"/>
    <x v="89"/>
    <x v="88"/>
  </r>
  <r>
    <x v="474"/>
    <s v="45.0PC2RD-IGS-V"/>
    <s v="45.0 PCO 1881 Rnd ICI Green Mena Bev"/>
    <n v="317952"/>
    <n v="317952"/>
    <s v="PC"/>
    <n v="4.4999999999999998E-2"/>
    <n v="0"/>
    <x v="88"/>
    <x v="87"/>
  </r>
  <r>
    <x v="475"/>
    <s v="13.5TO2RD-B3-B"/>
    <s v="13.5 TO29/25Rnd Nova Blue J/C(P pltYISHN"/>
    <n v="115200"/>
    <n v="0"/>
    <s v="PC"/>
    <n v="1.35E-2"/>
    <n v="0"/>
    <x v="32"/>
    <x v="32"/>
  </r>
  <r>
    <x v="475"/>
    <s v="FRG160"/>
    <s v="PET Blue Preform For Grinding"/>
    <n v="-259"/>
    <n v="0"/>
    <s v="KG"/>
    <n v="1.35E-2"/>
    <n v="0"/>
    <x v="32"/>
    <x v="32"/>
  </r>
  <r>
    <x v="476"/>
    <s v="26.6TO2RD-CL-B"/>
    <s v="26.6 TO 29/25 Rnd Clear J/C(P Plt"/>
    <n v="483840"/>
    <n v="483840"/>
    <s v="PC"/>
    <n v="2.6600000000000002E-2"/>
    <n v="0"/>
    <x v="26"/>
    <x v="26"/>
  </r>
  <r>
    <x v="477"/>
    <s v="9.70TO2RD-CLS-B"/>
    <s v="9.70 29/25 Rnd Clear J/C(P Plt)-SIPA"/>
    <n v="2106540"/>
    <n v="20433.437999999998"/>
    <s v="KG"/>
    <n v="9.6999999999999986E-3"/>
    <n v="0"/>
    <x v="2"/>
    <x v="2"/>
  </r>
  <r>
    <x v="478"/>
    <s v="52.0BC1RD-CL-B"/>
    <s v="52.0 BC38mm 3 Rnd Clear J/C(P Plt"/>
    <n v="201600"/>
    <n v="201600"/>
    <s v="PC"/>
    <n v="5.1999999999999998E-2"/>
    <n v="0"/>
    <x v="6"/>
    <x v="6"/>
  </r>
  <r>
    <x v="479"/>
    <s v="13.5TO2RD-LB-A"/>
    <s v="13.5 TO29/25 Rnd L.Blue J/C(W Plt)"/>
    <n v="115200"/>
    <n v="115200"/>
    <s v="PC"/>
    <n v="1.35E-2"/>
    <n v="0"/>
    <x v="55"/>
    <x v="55"/>
  </r>
  <r>
    <x v="479"/>
    <s v="FRG160"/>
    <s v="PET Blue Preform For Grinding"/>
    <n v="-259"/>
    <n v="-259"/>
    <s v="KG"/>
    <n v="1.35E-2"/>
    <n v="-19185.185185185186"/>
    <x v="55"/>
    <x v="55"/>
  </r>
  <r>
    <x v="480"/>
    <s v="FRG161"/>
    <s v="PET Green Preform For Grinding"/>
    <n v="-71.760000000000005"/>
    <n v="0"/>
    <s v="KG"/>
    <n v="4.4999999999999998E-2"/>
    <n v="0"/>
    <x v="88"/>
    <x v="87"/>
  </r>
  <r>
    <x v="480"/>
    <s v="45.0PC2RD-IGS-V"/>
    <s v="45.0 PCO 1881 Rnd ICI Green Mena Bev"/>
    <n v="317952"/>
    <n v="317952"/>
    <s v="PC"/>
    <n v="4.4999999999999998E-2"/>
    <n v="0"/>
    <x v="88"/>
    <x v="87"/>
  </r>
  <r>
    <x v="481"/>
    <s v="12.5TO2RD-DBS1-A"/>
    <s v="12.5 29/25 Rd D.Blue(≤ 2ppm) J/C(WP-SIPA"/>
    <n v="981360"/>
    <n v="981360"/>
    <s v="PC"/>
    <n v="1.2500000000000001E-2"/>
    <n v="0"/>
    <x v="90"/>
    <x v="89"/>
  </r>
  <r>
    <x v="481"/>
    <s v="FRG160"/>
    <s v="PET Blue Preform For Grinding"/>
    <n v="-522"/>
    <n v="-522"/>
    <s v="KG"/>
    <n v="1.2500000000000001E-2"/>
    <n v="-41760"/>
    <x v="90"/>
    <x v="89"/>
  </r>
  <r>
    <x v="482"/>
    <s v="52.0BC1RD-CL-B"/>
    <s v="52.0 BC38mm 3 Rnd Clear J/C(P Plt"/>
    <n v="38400"/>
    <n v="38400"/>
    <s v="PC"/>
    <n v="5.1999999999999998E-2"/>
    <n v="0"/>
    <x v="15"/>
    <x v="15"/>
  </r>
  <r>
    <x v="482"/>
    <s v="FRG160"/>
    <s v="PET Blue Preform For Grinding"/>
    <n v="-498"/>
    <n v="-498"/>
    <s v="KG"/>
    <n v="5.1999999999999998E-2"/>
    <n v="-9576.923076923078"/>
    <x v="15"/>
    <x v="15"/>
  </r>
  <r>
    <x v="483"/>
    <s v="12.5TO2RD-LBS1-A"/>
    <s v="12.5 TO29/25Rd L.Blue(≤ 2ppm)J/C(WP-SIPA"/>
    <n v="62640"/>
    <n v="62640"/>
    <s v="PC"/>
    <n v="1.2500000000000001E-2"/>
    <n v="0"/>
    <x v="37"/>
    <x v="37"/>
  </r>
  <r>
    <x v="484"/>
    <s v="13.5TO2RD-B3-B"/>
    <s v="13.5 TO29/25Rnd Nova Blue J/C(P pltYISHN"/>
    <n v="24576"/>
    <n v="24576"/>
    <s v="PC"/>
    <n v="1.35E-2"/>
    <n v="0"/>
    <x v="32"/>
    <x v="32"/>
  </r>
  <r>
    <x v="484"/>
    <s v="FRG160"/>
    <s v="PET Blue Preform For Grinding"/>
    <n v="-73"/>
    <n v="-73"/>
    <s v="KG"/>
    <n v="1.35E-2"/>
    <n v="-5407.4074074074078"/>
    <x v="32"/>
    <x v="32"/>
  </r>
  <r>
    <x v="485"/>
    <s v="9.4TO2RD-B1-B"/>
    <s v="9.4 TO29/25 Rnd Nova Blue J/C(Ppl-SABIC"/>
    <n v="304560"/>
    <n v="304560"/>
    <s v="PC"/>
    <n v="9.4000000000000004E-3"/>
    <n v="0"/>
    <x v="4"/>
    <x v="4"/>
  </r>
  <r>
    <x v="485"/>
    <s v="FRG160"/>
    <s v="PET Blue Preform For Grinding"/>
    <n v="-238"/>
    <n v="-238"/>
    <s v="KG"/>
    <n v="9.4000000000000004E-3"/>
    <n v="-25319.148936170212"/>
    <x v="4"/>
    <x v="4"/>
  </r>
  <r>
    <x v="486"/>
    <s v="9.70TO2RD-CLS-B"/>
    <s v="9.70 29/25 Rnd Clear J/C(P Plt)-SIPA"/>
    <n v="76140"/>
    <n v="76140"/>
    <s v="PC"/>
    <n v="9.6999999999999986E-3"/>
    <n v="0"/>
    <x v="2"/>
    <x v="2"/>
  </r>
  <r>
    <x v="487"/>
    <s v="26.6TO2RD-CL-B"/>
    <s v="26.6 TO 29/25 Rnd Clear J/C(P Plt"/>
    <n v="393120"/>
    <n v="393120"/>
    <s v="PC"/>
    <n v="2.6600000000000002E-2"/>
    <n v="0"/>
    <x v="26"/>
    <x v="26"/>
  </r>
  <r>
    <x v="488"/>
    <s v="26.6TO2RD-CL-B"/>
    <s v="26.6 TO 29/25 Rnd Clear J/C(P Plt"/>
    <n v="564480"/>
    <n v="564480"/>
    <s v="PC"/>
    <n v="2.6600000000000002E-2"/>
    <n v="0"/>
    <x v="26"/>
    <x v="26"/>
  </r>
  <r>
    <x v="489"/>
    <s v="45.0PC2RD-IGS-V"/>
    <s v="45.0 PCO 1881 Rnd ICI Green Mena Bev"/>
    <n v="19872"/>
    <n v="19872"/>
    <s v="PC"/>
    <n v="4.4999999999999998E-2"/>
    <n v="0"/>
    <x v="91"/>
    <x v="90"/>
  </r>
  <r>
    <x v="490"/>
    <s v="26.6TO2RD-CL-B"/>
    <s v="26.6 TO 29/25 Rnd Clear J/C(P Plt"/>
    <n v="40320"/>
    <n v="40320"/>
    <s v="PC"/>
    <n v="2.6600000000000002E-2"/>
    <n v="0"/>
    <x v="26"/>
    <x v="26"/>
  </r>
  <r>
    <x v="490"/>
    <s v="FRG119"/>
    <s v="PET Clear Preform For Grinding"/>
    <n v="-268"/>
    <n v="-268"/>
    <s v="KG"/>
    <n v="2.6600000000000002E-2"/>
    <n v="-10075.187969924811"/>
    <x v="26"/>
    <x v="26"/>
  </r>
  <r>
    <x v="491"/>
    <s v="9.4TO2RD-CLS-V"/>
    <s v="9.4 29/25RndCLR AA Rdcer MenaB PP"/>
    <n v="65757"/>
    <n v="65757"/>
    <s v="PC"/>
    <n v="9.4000000000000004E-3"/>
    <n v="0"/>
    <x v="60"/>
    <x v="60"/>
  </r>
  <r>
    <x v="491"/>
    <s v="FRG119"/>
    <s v="PET Clear Preform For Grinding"/>
    <n v="-141"/>
    <n v="-141"/>
    <s v="KG"/>
    <n v="9.4000000000000004E-3"/>
    <n v="-15000"/>
    <x v="60"/>
    <x v="60"/>
  </r>
  <r>
    <x v="492"/>
    <s v="8.3TO2RD-LBS-A"/>
    <s v="8.30TO LW 29/25Rd L.Blue J/C(W plt)-SIPA"/>
    <n v="108000"/>
    <n v="108000"/>
    <s v="PC"/>
    <n v="8.3000000000000001E-3"/>
    <n v="0"/>
    <x v="5"/>
    <x v="5"/>
  </r>
  <r>
    <x v="493"/>
    <s v="9.4TO2RD-B1-B"/>
    <s v="9.4 TO29/25 Rnd Nova Blue J/C(Ppl-SABIC"/>
    <n v="228420"/>
    <n v="228420"/>
    <s v="PC"/>
    <n v="9.4000000000000004E-3"/>
    <n v="0"/>
    <x v="4"/>
    <x v="4"/>
  </r>
  <r>
    <x v="493"/>
    <s v="FRG119"/>
    <s v="PET Clear Preform For Grinding"/>
    <n v="-1192"/>
    <n v="-1192"/>
    <s v="KG"/>
    <n v="9.4000000000000004E-3"/>
    <n v="-126808.51063829787"/>
    <x v="4"/>
    <x v="4"/>
  </r>
  <r>
    <x v="494"/>
    <s v="9.4TO2RD-B1-B"/>
    <s v="9.4 TO29/25 Rnd Nova Blue J/C(Ppl-SABIC"/>
    <n v="177660"/>
    <n v="177660"/>
    <s v="PC"/>
    <n v="9.4000000000000004E-3"/>
    <n v="0"/>
    <x v="92"/>
    <x v="91"/>
  </r>
  <r>
    <x v="494"/>
    <s v="FRG160"/>
    <s v="PET Blue Preform For Grinding"/>
    <n v="-238"/>
    <n v="0"/>
    <s v="KG"/>
    <n v="9.4000000000000004E-3"/>
    <n v="0"/>
    <x v="92"/>
    <x v="91"/>
  </r>
  <r>
    <x v="495"/>
    <s v="29.3TO2RD-CL-A"/>
    <s v="29.3 TO 29/25 Rnd Clear J/C(W Plt"/>
    <n v="50400"/>
    <n v="50400"/>
    <s v="PC"/>
    <n v="2.93E-2"/>
    <n v="0"/>
    <x v="36"/>
    <x v="36"/>
  </r>
  <r>
    <x v="496"/>
    <s v="9.4TO2RD-LBS-A"/>
    <s v="9.4 TO 29/25 Rnd L.Blue J/C (W plt- SIPA"/>
    <n v="101520"/>
    <n v="101520"/>
    <s v="PC"/>
    <n v="9.4000000000000004E-3"/>
    <n v="0"/>
    <x v="4"/>
    <x v="4"/>
  </r>
  <r>
    <x v="497"/>
    <s v="45.0PC2RD-IGS-V"/>
    <s v="45.0 PCO 1881 Rnd ICI Green Mena Bev"/>
    <n v="46368"/>
    <n v="46368"/>
    <s v="PC"/>
    <n v="4.4999999999999998E-2"/>
    <n v="0"/>
    <x v="91"/>
    <x v="90"/>
  </r>
  <r>
    <x v="498"/>
    <s v="26.6TO2RD-CL-B"/>
    <s v="26.6 TO 29/25 Rnd Clear J/C(P Plt"/>
    <n v="453600"/>
    <n v="453600"/>
    <s v="PC"/>
    <n v="2.6600000000000002E-2"/>
    <n v="0"/>
    <x v="26"/>
    <x v="26"/>
  </r>
  <r>
    <x v="499"/>
    <s v="9.4TO2RD-B1-B"/>
    <s v="9.4 TO29/25 Rnd Nova Blue J/C(Ppl-SABIC"/>
    <n v="355320"/>
    <n v="355320"/>
    <s v="PC"/>
    <n v="9.4000000000000004E-3"/>
    <n v="0"/>
    <x v="4"/>
    <x v="4"/>
  </r>
  <r>
    <x v="499"/>
    <s v="FRG160"/>
    <s v="PET Blue Preform For Grinding"/>
    <n v="-238"/>
    <n v="-238"/>
    <s v="KG"/>
    <n v="9.4000000000000004E-3"/>
    <n v="-25319.148936170212"/>
    <x v="4"/>
    <x v="4"/>
  </r>
  <r>
    <x v="500"/>
    <s v="26.6TO2RD-CL-B"/>
    <s v="26.6 TO 29/25 Rnd Clear J/C(P Plt"/>
    <n v="493920"/>
    <n v="493920"/>
    <s v="PC"/>
    <n v="2.6600000000000002E-2"/>
    <n v="0"/>
    <x v="26"/>
    <x v="26"/>
  </r>
  <r>
    <x v="501"/>
    <s v="45.0PC2RD-IGS-V"/>
    <s v="45.0 PCO 1881 Rnd ICI Green Mena Bev"/>
    <n v="13245"/>
    <n v="13248"/>
    <s v="PC"/>
    <n v="0"/>
    <n v="0"/>
    <x v="57"/>
    <x v="57"/>
  </r>
  <r>
    <x v="502"/>
    <s v="36.0BC1RD-CJ-S"/>
    <s v="36.0 BC 38mm 3 Rnd Clear Steel C-(Aujan)"/>
    <n v="21120"/>
    <n v="21120"/>
    <s v="PC"/>
    <n v="3.5999999999999997E-2"/>
    <n v="0"/>
    <x v="48"/>
    <x v="48"/>
  </r>
  <r>
    <x v="503"/>
    <s v="50.1PC2RD-CL-A"/>
    <s v="50.1 PCO 1881 Rnd Clear J/C(W Plt"/>
    <n v="19872"/>
    <n v="19872"/>
    <s v="PC"/>
    <n v="5.0099999999999999E-2"/>
    <n v="0"/>
    <x v="93"/>
    <x v="92"/>
  </r>
  <r>
    <x v="504"/>
    <s v="50.1PC2RD-CL-B"/>
    <s v="50.1 PCO 1881 Rnd Clear J/C(P plt"/>
    <n v="158976"/>
    <n v="158976"/>
    <s v="PC"/>
    <n v="5.0099999999999999E-2"/>
    <n v="0"/>
    <x v="93"/>
    <x v="92"/>
  </r>
  <r>
    <x v="505"/>
    <s v="52.0BC1RD-CL-B"/>
    <s v="52.0 BC38mm 3 Rnd Clear J/C(P Plt"/>
    <n v="307200"/>
    <n v="307200"/>
    <s v="PC"/>
    <n v="5.1999999999999998E-2"/>
    <n v="0"/>
    <x v="6"/>
    <x v="6"/>
  </r>
  <r>
    <x v="506"/>
    <s v="47.5PC2RD-CLS-B"/>
    <s v="47.5 PCO 1881 Rnd Clear J/C(P Plt)SIPA"/>
    <n v="13248"/>
    <n v="13248"/>
    <s v="PC"/>
    <n v="4.7500000000000001E-2"/>
    <n v="0"/>
    <x v="94"/>
    <x v="93"/>
  </r>
  <r>
    <x v="506"/>
    <s v="FRG119"/>
    <s v="PET Clear Preform For Grinding"/>
    <n v="-298"/>
    <n v="-298"/>
    <s v="KG"/>
    <n v="4.7500000000000001E-2"/>
    <n v="-6273.6842105263158"/>
    <x v="94"/>
    <x v="93"/>
  </r>
  <r>
    <x v="507"/>
    <s v="52.0BC1RD-CL-B"/>
    <s v="52.0 BC38mm 3 Rnd Clear J/C(P Plt"/>
    <n v="81600"/>
    <n v="81600"/>
    <s v="PC"/>
    <n v="5.1999999999999998E-2"/>
    <n v="0"/>
    <x v="15"/>
    <x v="15"/>
  </r>
  <r>
    <x v="507"/>
    <s v="FRG119"/>
    <s v="PET Clear Preform For Grinding"/>
    <n v="-249"/>
    <n v="-249"/>
    <s v="KG"/>
    <n v="5.1999999999999998E-2"/>
    <n v="-4788.461538461539"/>
    <x v="15"/>
    <x v="15"/>
  </r>
  <r>
    <x v="508"/>
    <s v="50.1PC2RD-IG-A"/>
    <s v="50.1 PCO 1881 Rnd ICI Green J/C(W plt"/>
    <n v="13248"/>
    <n v="13248"/>
    <s v="PC"/>
    <n v="5.0099999999999999E-2"/>
    <n v="0"/>
    <x v="68"/>
    <x v="67"/>
  </r>
  <r>
    <x v="509"/>
    <s v="47.5PC2RD-IGS-B"/>
    <s v="47.5PCO 1881 Rnd ICI Green J/C(Pplt)SIPA"/>
    <n v="808128"/>
    <n v="808128"/>
    <s v="PC"/>
    <n v="4.7500000000000001E-2"/>
    <n v="0"/>
    <x v="95"/>
    <x v="94"/>
  </r>
  <r>
    <x v="509"/>
    <s v="FRG161"/>
    <s v="PET Green Preform For Grinding"/>
    <n v="-298"/>
    <n v="-298"/>
    <s v="KG"/>
    <n v="4.7500000000000001E-2"/>
    <n v="-6273.6842105263158"/>
    <x v="95"/>
    <x v="94"/>
  </r>
  <r>
    <x v="510"/>
    <s v="7.45TO2RD-LBS2-A"/>
    <s v="7.45TO 29/25 Rnd L.Blue (≤1ppm) J/C Wplt"/>
    <n v="179280"/>
    <n v="179280"/>
    <s v="PC"/>
    <n v="7.45E-3"/>
    <n v="0"/>
    <x v="75"/>
    <x v="74"/>
  </r>
  <r>
    <x v="511"/>
    <s v="52.0BC1RD-CL-B"/>
    <s v="52.0 BC38mm 3 Rnd Clear J/C(P Plt"/>
    <n v="297600"/>
    <n v="297600"/>
    <s v="PC"/>
    <n v="5.1999999999999998E-2"/>
    <n v="0"/>
    <x v="6"/>
    <x v="6"/>
  </r>
  <r>
    <x v="512"/>
    <s v="30.5PC2RD-IGS-BH2"/>
    <s v="30.5PCO1881 ICI GreenJ/C(PP JOM HDG-SIPA"/>
    <n v="509760"/>
    <n v="509760"/>
    <s v="PC"/>
    <n v="3.0499999999999999E-2"/>
    <n v="0"/>
    <x v="31"/>
    <x v="31"/>
  </r>
  <r>
    <x v="513"/>
    <s v="52.0BC1RD-CL-B"/>
    <s v="52.0 BC38mm 3 Rnd Clear J/C(P Plt"/>
    <n v="52800"/>
    <n v="52800"/>
    <s v="PC"/>
    <n v="5.1999999999999998E-2"/>
    <n v="0"/>
    <x v="15"/>
    <x v="15"/>
  </r>
  <r>
    <x v="513"/>
    <s v="FRG119"/>
    <s v="PET Clear Preform For Grinding"/>
    <n v="-248"/>
    <n v="-248"/>
    <s v="KG"/>
    <n v="5.1999999999999998E-2"/>
    <n v="-4769.2307692307695"/>
    <x v="15"/>
    <x v="15"/>
  </r>
  <r>
    <x v="514"/>
    <s v="47.5PC2RD-IGS-B"/>
    <s v="47.5PCO 1881 Rnd ICI Green J/C(Pplt)SIPA"/>
    <n v="814752"/>
    <n v="814752"/>
    <s v="PC"/>
    <n v="4.7500000000000001E-2"/>
    <n v="0"/>
    <x v="95"/>
    <x v="94"/>
  </r>
  <r>
    <x v="515"/>
    <s v="50.1PC2RD-IG-B"/>
    <s v="50.1 PCO 1881 Rnd ICI Green J/C(P Plt"/>
    <n v="13248"/>
    <n v="13248"/>
    <s v="PC"/>
    <n v="5.0099999999999999E-2"/>
    <n v="0"/>
    <x v="96"/>
    <x v="95"/>
  </r>
  <r>
    <x v="516"/>
    <s v="16.7PC2RD-CL-A"/>
    <s v="16.7 PCO 1881 Rnd Clear J/C(W plt"/>
    <n v="1500"/>
    <n v="1500"/>
    <s v="PC"/>
    <n v="1.67E-2"/>
    <n v="0"/>
    <x v="97"/>
    <x v="96"/>
  </r>
  <r>
    <x v="517"/>
    <s v="21.0PC2RD-CLS-A"/>
    <s v="21.0PCO1881Rnd Clear J/C(W/p-SIPA"/>
    <n v="1500"/>
    <n v="1500"/>
    <s v="PC"/>
    <n v="2.1000000000000001E-2"/>
    <n v="0"/>
    <x v="9"/>
    <x v="9"/>
  </r>
  <r>
    <x v="518"/>
    <s v="50.1PC2RD-IG-B"/>
    <s v="50.1 PCO 1881 Rnd ICI Green J/C(P Plt"/>
    <n v="13248"/>
    <n v="13248"/>
    <s v="PC"/>
    <n v="5.0099999999999999E-2"/>
    <n v="0"/>
    <x v="96"/>
    <x v="95"/>
  </r>
  <r>
    <x v="519"/>
    <s v="7.45TO2RD-LBS2-A"/>
    <s v="7.45TO 29/25 Rnd L.Blue (≤1ppm) J/C Wplt"/>
    <n v="149400"/>
    <n v="149400"/>
    <s v="PC"/>
    <n v="7.45E-3"/>
    <n v="0"/>
    <x v="24"/>
    <x v="24"/>
  </r>
  <r>
    <x v="519"/>
    <s v="FRG160"/>
    <s v="PET Blue Preform For Grinding"/>
    <n v="-222"/>
    <n v="-222"/>
    <s v="KG"/>
    <n v="7.45E-3"/>
    <n v="-29798.657718120805"/>
    <x v="24"/>
    <x v="24"/>
  </r>
  <r>
    <x v="520"/>
    <s v="7.45TO2RD-AJBS-B"/>
    <s v="7.45TO29/25Rnd'ALM'BLUE J/C(PP-SIPA)"/>
    <n v="119520"/>
    <n v="119520"/>
    <s v="PC"/>
    <n v="7.45E-3"/>
    <n v="0"/>
    <x v="24"/>
    <x v="24"/>
  </r>
  <r>
    <x v="520"/>
    <s v="FRG160"/>
    <s v="PET Blue Preform For Grinding"/>
    <n v="-222.6"/>
    <n v="-222.6"/>
    <s v="KG"/>
    <n v="7.45E-3"/>
    <n v="-29879.194630872484"/>
    <x v="24"/>
    <x v="24"/>
  </r>
  <r>
    <x v="521"/>
    <s v="52.0BC1RD-CL-B"/>
    <s v="52.0 BC38mm 3 Rnd Clear J/C(P Plt"/>
    <n v="33600"/>
    <n v="33600"/>
    <s v="PC"/>
    <n v="5.1999999999999998E-2"/>
    <n v="0"/>
    <x v="15"/>
    <x v="15"/>
  </r>
  <r>
    <x v="522"/>
    <s v="18.0BC1RD-CL-S"/>
    <s v="18.0 BC38mm 3 Rnd Clear Steel C"/>
    <n v="8208"/>
    <n v="8208"/>
    <s v="PC"/>
    <n v="1.7999999999999999E-2"/>
    <n v="0"/>
    <x v="64"/>
    <x v="64"/>
  </r>
  <r>
    <x v="523"/>
    <s v="14.0PC2RD-CL-A"/>
    <s v="14.0 PCO 1881 Rnd Clear J/C(W Plt"/>
    <n v="52312"/>
    <n v="52312"/>
    <s v="PC"/>
    <n v="1.4E-2"/>
    <n v="0"/>
    <x v="25"/>
    <x v="25"/>
  </r>
  <r>
    <x v="523"/>
    <s v="FRG119"/>
    <s v="PET Clear Preform For Grinding"/>
    <n v="-154"/>
    <n v="-154"/>
    <s v="KG"/>
    <n v="1.4E-2"/>
    <n v="-11000"/>
    <x v="25"/>
    <x v="25"/>
  </r>
  <r>
    <x v="524"/>
    <s v="52.0BC1RD-CL-B"/>
    <s v="52.0 BC38mm 3 Rnd Clear J/C(P Plt"/>
    <n v="278400"/>
    <n v="278400"/>
    <s v="PC"/>
    <n v="5.1999999999999998E-2"/>
    <n v="0"/>
    <x v="6"/>
    <x v="6"/>
  </r>
  <r>
    <x v="525"/>
    <s v="50.1PC2RD-IG-B"/>
    <s v="50.1 PCO 1881 Rnd ICI Green J/C(P Plt"/>
    <n v="139104"/>
    <n v="139104"/>
    <s v="PC"/>
    <n v="5.0099999999999999E-2"/>
    <n v="0"/>
    <x v="96"/>
    <x v="95"/>
  </r>
  <r>
    <x v="525"/>
    <s v="FRG161"/>
    <s v="PET Green Preform For Grinding"/>
    <n v="-995"/>
    <n v="-995"/>
    <s v="KG"/>
    <n v="5.0099999999999999E-2"/>
    <n v="-19860.279441117764"/>
    <x v="96"/>
    <x v="95"/>
  </r>
  <r>
    <x v="526"/>
    <s v="45.0PC2RD-IGS-B"/>
    <s v="45.0 PCO 1881 ICI Green J/C(P Plt - SIPA"/>
    <n v="317952"/>
    <n v="317952"/>
    <s v="PC"/>
    <n v="4.4999999999999998E-2"/>
    <n v="0"/>
    <x v="88"/>
    <x v="87"/>
  </r>
  <r>
    <x v="527"/>
    <s v="30.5PC2RD-CLS-BH2"/>
    <s v="30.5 PCO 1881Rnd CLR J/C(PP JOM HDG-SIPA"/>
    <n v="520380"/>
    <n v="520380"/>
    <s v="PC"/>
    <n v="3.0499999999999999E-2"/>
    <n v="0"/>
    <x v="21"/>
    <x v="21"/>
  </r>
  <r>
    <x v="528"/>
    <s v="45.0PC2RD-CLS-B"/>
    <s v="45.0 PCO 1881Rd Clear J/C(P Plt - SIPA"/>
    <n v="317952"/>
    <n v="317952"/>
    <s v="PC"/>
    <n v="4.4999999999999998E-2"/>
    <n v="0"/>
    <x v="79"/>
    <x v="78"/>
  </r>
  <r>
    <x v="529"/>
    <s v="45.0PC2RD-CLS-V"/>
    <s v="45.0 PCO 1881 Rnd Clear Mena Bev"/>
    <n v="39744"/>
    <n v="39744"/>
    <s v="PC"/>
    <n v="4.4999999999999998E-2"/>
    <n v="0"/>
    <x v="79"/>
    <x v="78"/>
  </r>
  <r>
    <x v="529"/>
    <s v="FRG119"/>
    <s v="PET Clear Preform For Grinding"/>
    <n v="-298"/>
    <n v="0"/>
    <s v="KG"/>
    <n v="4.4999999999999998E-2"/>
    <n v="0"/>
    <x v="79"/>
    <x v="78"/>
  </r>
  <r>
    <x v="530"/>
    <s v="45.0PC2RD-CL-VH"/>
    <s v="45.0 PCO 1881 Rnd Clear MenaBev PP HDG"/>
    <n v="33120"/>
    <n v="33120"/>
    <s v="PC"/>
    <n v="4.4999999999999998E-2"/>
    <n v="0"/>
    <x v="79"/>
    <x v="78"/>
  </r>
  <r>
    <x v="531"/>
    <s v="50.1PC2RD-CL-B"/>
    <s v="50.1 PCO 1881 Rnd Clear J/C(P plt"/>
    <n v="33120"/>
    <n v="33120"/>
    <s v="PC"/>
    <n v="5.0099999999999999E-2"/>
    <n v="0"/>
    <x v="93"/>
    <x v="92"/>
  </r>
  <r>
    <x v="532"/>
    <s v="30.5PC2RD-IGS-BH2"/>
    <s v="30.5PCO1881 ICI GreenJ/C(PP JOM HDG-SIPA"/>
    <n v="74340"/>
    <n v="74340"/>
    <s v="PC"/>
    <n v="3.0499999999999999E-2"/>
    <n v="0"/>
    <x v="31"/>
    <x v="31"/>
  </r>
  <r>
    <x v="532"/>
    <s v="FRG161"/>
    <s v="PET Green Preform For Grinding"/>
    <n v="-323"/>
    <n v="-323"/>
    <s v="KG"/>
    <n v="3.0499999999999999E-2"/>
    <n v="-10590.163934426229"/>
    <x v="31"/>
    <x v="31"/>
  </r>
  <r>
    <x v="533"/>
    <s v="30.5PC2RD-IGS-V"/>
    <s v="30.5PCO1881RndICI GreenMenaBev Spec-SIPA"/>
    <n v="31860"/>
    <n v="31860"/>
    <s v="PC"/>
    <n v="3.0499999999999999E-2"/>
    <n v="0"/>
    <x v="31"/>
    <x v="31"/>
  </r>
  <r>
    <x v="534"/>
    <s v="52.0BC1RD-CL-B"/>
    <s v="52.0 BC38mm 3 Rnd Clear J/C(P Plt"/>
    <n v="259200"/>
    <n v="259200"/>
    <s v="PC"/>
    <n v="5.1999999999999998E-2"/>
    <n v="0"/>
    <x v="6"/>
    <x v="6"/>
  </r>
  <r>
    <x v="535"/>
    <s v="36.0BC1RD-CL-G"/>
    <s v="36.0 BC38mm 3 Rnd Clear OJ/C(W plt"/>
    <n v="50688"/>
    <n v="50688"/>
    <s v="PC"/>
    <n v="3.5999999999999997E-2"/>
    <n v="0"/>
    <x v="3"/>
    <x v="3"/>
  </r>
  <r>
    <x v="535"/>
    <s v="FRG119"/>
    <s v="PET Clear Preform For Grinding"/>
    <n v="-228"/>
    <n v="-228"/>
    <s v="KG"/>
    <n v="3.5999999999999997E-2"/>
    <n v="-6333.3333333333339"/>
    <x v="3"/>
    <x v="3"/>
  </r>
  <r>
    <x v="536"/>
    <s v="30.5PC2RD-CLS-BH2"/>
    <s v="30.5 PCO 1881Rnd CLR J/C(PP JOM HDG-SIPA"/>
    <n v="95580"/>
    <n v="95580"/>
    <s v="PC"/>
    <n v="3.0499999999999999E-2"/>
    <n v="0"/>
    <x v="21"/>
    <x v="21"/>
  </r>
  <r>
    <x v="537"/>
    <s v="21.0PC1RD-IGS-A"/>
    <s v="21.0PCO1881Rnd ICI Green J/C(W/p-SIPA"/>
    <n v="16380"/>
    <n v="16380"/>
    <s v="PC"/>
    <n v="2.1000000000000001E-2"/>
    <n v="0"/>
    <x v="19"/>
    <x v="19"/>
  </r>
  <r>
    <x v="538"/>
    <s v="45.0PC2RD-IGS-V"/>
    <s v="45.0 PCO 1881 Rnd ICI Green Mena Bev"/>
    <n v="19872"/>
    <n v="19872"/>
    <s v="PC"/>
    <n v="4.4999999999999998E-2"/>
    <n v="0"/>
    <x v="88"/>
    <x v="87"/>
  </r>
  <r>
    <x v="539"/>
    <s v="36.0BC1RD-CJ-S"/>
    <s v="36.0 BC 38mm 3 Rnd Clear Steel C-(Aujan)"/>
    <n v="12672"/>
    <n v="12672"/>
    <s v="PC"/>
    <n v="3.5999999999999997E-2"/>
    <n v="0"/>
    <x v="48"/>
    <x v="48"/>
  </r>
  <r>
    <x v="540"/>
    <s v="21.0PC2RD-CLS-A"/>
    <s v="21.0PCO1881Rnd Clear J/C(W/p-SIPA"/>
    <n v="64020"/>
    <n v="64020"/>
    <s v="PC"/>
    <n v="2.1000000000000001E-2"/>
    <n v="0"/>
    <x v="9"/>
    <x v="9"/>
  </r>
  <r>
    <x v="541"/>
    <s v="52.0BC1RD-CL-B"/>
    <s v="52.0 BC38mm 3 Rnd Clear J/C(P Plt"/>
    <n v="38400"/>
    <n v="38400"/>
    <s v="PC"/>
    <n v="5.1999999999999998E-2"/>
    <n v="0"/>
    <x v="15"/>
    <x v="15"/>
  </r>
  <r>
    <x v="541"/>
    <s v="FRG119"/>
    <s v="PET Clear Preform For Grinding"/>
    <n v="-249"/>
    <n v="-249"/>
    <s v="KG"/>
    <n v="5.1999999999999998E-2"/>
    <n v="-4788.461538461539"/>
    <x v="15"/>
    <x v="15"/>
  </r>
  <r>
    <x v="542"/>
    <s v="45.0PC2RD-IGS-B"/>
    <s v="45.0 PCO 1881 ICI Green J/C(P Plt - SIPA"/>
    <n v="933984"/>
    <n v="933984"/>
    <s v="PC"/>
    <n v="4.4999999999999998E-2"/>
    <n v="0"/>
    <x v="88"/>
    <x v="87"/>
  </r>
  <r>
    <x v="543"/>
    <s v="30.5PC2RD-CLS-BH2"/>
    <s v="30.5 PCO 1881Rnd CLR J/C(PP JOM HDG-SIPA"/>
    <n v="509760"/>
    <n v="509760"/>
    <s v="PC"/>
    <n v="3.0499999999999999E-2"/>
    <n v="0"/>
    <x v="21"/>
    <x v="21"/>
  </r>
  <r>
    <x v="544"/>
    <s v="51.0BC1RD-CL-S"/>
    <s v="51.0 BC 38mm 3 Rnd Clear steel c"/>
    <n v="18000"/>
    <n v="18000"/>
    <s v="PC"/>
    <n v="5.0999999999999997E-2"/>
    <n v="0"/>
    <x v="49"/>
    <x v="49"/>
  </r>
  <r>
    <x v="545"/>
    <s v="30.5PC2RD-IGS-BH2"/>
    <s v="30.5PCO1881 ICI GreenJ/C(PP JOM HDG-SIPA"/>
    <n v="562860"/>
    <n v="562860"/>
    <s v="PC"/>
    <n v="3.0499999999999999E-2"/>
    <n v="0"/>
    <x v="31"/>
    <x v="31"/>
  </r>
  <r>
    <x v="546"/>
    <s v="26.6TO2RD-CL-B"/>
    <s v="26.6 TO 29/25 Rnd Clear J/C(P Plt"/>
    <n v="413280"/>
    <n v="413280"/>
    <s v="PC"/>
    <n v="2.6600000000000002E-2"/>
    <n v="0"/>
    <x v="26"/>
    <x v="26"/>
  </r>
  <r>
    <x v="547"/>
    <s v="52.0BC1RD-CL-B"/>
    <s v="52.0 BC38mm 3 Rnd Clear J/C(P Plt"/>
    <n v="4800"/>
    <n v="4800"/>
    <s v="PC"/>
    <n v="5.1999999999999998E-2"/>
    <n v="0"/>
    <x v="15"/>
    <x v="15"/>
  </r>
  <r>
    <x v="548"/>
    <s v="26.6TO2RD-CL-B"/>
    <s v="26.6 TO 29/25 Rnd Clear J/C(P Plt"/>
    <n v="473760"/>
    <n v="473760"/>
    <s v="PC"/>
    <n v="2.6600000000000002E-2"/>
    <n v="0"/>
    <x v="26"/>
    <x v="26"/>
  </r>
  <r>
    <x v="549"/>
    <s v="30.5PC2RD-CLS-BH2"/>
    <s v="30.5 PCO 1881Rnd CLR J/C(PP JOM HDG-SIPA"/>
    <n v="63720"/>
    <n v="63720"/>
    <s v="PC"/>
    <n v="3.0499999999999999E-2"/>
    <n v="0"/>
    <x v="7"/>
    <x v="7"/>
  </r>
  <r>
    <x v="549"/>
    <s v="FRG119"/>
    <s v="PET Clear Preform For Grinding"/>
    <n v="-648"/>
    <n v="-648"/>
    <s v="KG"/>
    <n v="3.0499999999999999E-2"/>
    <n v="-21245.901639344262"/>
    <x v="7"/>
    <x v="7"/>
  </r>
  <r>
    <x v="550"/>
    <s v="12.7BC1EC-CL-S"/>
    <s v="12.7 BC38mm 3 ECO Clear Steel c."/>
    <n v="266400"/>
    <n v="266400"/>
    <s v="PC"/>
    <n v="1.2699999999999999E-2"/>
    <n v="0"/>
    <x v="58"/>
    <x v="58"/>
  </r>
  <r>
    <x v="550"/>
    <s v="FRG119"/>
    <s v="PET Clear Preform For Grinding"/>
    <n v="-270"/>
    <n v="-270"/>
    <s v="KG"/>
    <n v="1.2699999999999999E-2"/>
    <n v="-21259.84251968504"/>
    <x v="58"/>
    <x v="58"/>
  </r>
  <r>
    <x v="551"/>
    <s v="30.5PC2RD-IGS-BH2"/>
    <s v="30.5PCO1881 ICI GreenJ/C(PP JOM HDG-SIPA"/>
    <n v="1083240"/>
    <n v="1083240"/>
    <s v="PC"/>
    <n v="3.0499999999999999E-2"/>
    <n v="0"/>
    <x v="31"/>
    <x v="31"/>
  </r>
  <r>
    <x v="552"/>
    <s v="7.45TO2RD-AJBS-B"/>
    <s v="7.45TO29/25Rnd'ALM'BLUE J/C(PP-SIPA)"/>
    <n v="179280"/>
    <n v="179280"/>
    <s v="PC"/>
    <n v="7.45E-3"/>
    <n v="0"/>
    <x v="75"/>
    <x v="74"/>
  </r>
  <r>
    <x v="553"/>
    <s v="26.6TO2RD-B2-B"/>
    <s v="26.6TO29/25Rnd Nova Blue - (JADE)"/>
    <n v="20160"/>
    <n v="20160"/>
    <s v="PC"/>
    <n v="2.6600000000000002E-2"/>
    <n v="0"/>
    <x v="85"/>
    <x v="84"/>
  </r>
  <r>
    <x v="554"/>
    <s v="7.45TO2RD-AJBS-B"/>
    <s v="7.45TO29/25Rnd'ALM'BLUE J/C(PP-SIPA)"/>
    <n v="231460"/>
    <n v="231460"/>
    <s v="PC"/>
    <n v="7.45E-3"/>
    <n v="0"/>
    <x v="75"/>
    <x v="74"/>
  </r>
  <r>
    <x v="554"/>
    <s v="FRG160"/>
    <s v="PET Blue Preform For Grinding"/>
    <n v="-161"/>
    <n v="-161"/>
    <s v="KG"/>
    <n v="7.45E-3"/>
    <n v="-21610.738255033557"/>
    <x v="75"/>
    <x v="74"/>
  </r>
  <r>
    <x v="555"/>
    <s v="26.6TO2RD-CL-B"/>
    <s v="26.6 TO 29/25 Rnd Clear J/C(P Plt"/>
    <n v="504000"/>
    <n v="504000"/>
    <s v="PC"/>
    <n v="2.6600000000000002E-2"/>
    <n v="0"/>
    <x v="26"/>
    <x v="26"/>
  </r>
  <r>
    <x v="555"/>
    <s v="FRG119"/>
    <s v="PET Clear Preform For Grinding"/>
    <n v="-536"/>
    <n v="-536"/>
    <s v="KG"/>
    <n v="2.6600000000000002E-2"/>
    <n v="-20150.375939849622"/>
    <x v="26"/>
    <x v="26"/>
  </r>
  <r>
    <x v="556"/>
    <s v="30.5PC2RD-IGS-BH2"/>
    <s v="30.5PCO1881 ICI GreenJ/C(PP JOM HDG-SIPA"/>
    <n v="382320"/>
    <n v="382320"/>
    <s v="PC"/>
    <n v="3.0499999999999999E-2"/>
    <n v="0"/>
    <x v="31"/>
    <x v="31"/>
  </r>
  <r>
    <x v="557"/>
    <s v="9.4TO2RD-B1-B"/>
    <s v="9.4 TO29/25 Rnd Nova Blue J/C(Ppl-SABIC"/>
    <n v="507600"/>
    <n v="507600"/>
    <s v="PC"/>
    <n v="9.4000000000000004E-3"/>
    <n v="0"/>
    <x v="4"/>
    <x v="4"/>
  </r>
  <r>
    <x v="557"/>
    <s v="FRG160"/>
    <s v="PET Blue Preform For Grinding"/>
    <n v="-238"/>
    <n v="-238"/>
    <s v="KG"/>
    <n v="9.4000000000000004E-3"/>
    <n v="-25319.148936170212"/>
    <x v="4"/>
    <x v="4"/>
  </r>
  <r>
    <x v="558"/>
    <s v="9.4TO2RD-LBS2-A"/>
    <s v="9.4TO 29/25Rnd L.Blue J/CWplt(≤1ppm)SIPA"/>
    <n v="50760"/>
    <n v="50760"/>
    <s v="PC"/>
    <n v="9.4000000000000004E-3"/>
    <n v="0"/>
    <x v="4"/>
    <x v="4"/>
  </r>
  <r>
    <x v="559"/>
    <s v="8.3TO2RD-LBS-A"/>
    <s v="8.30TO LW 29/25Rd L.Blue J/C(W plt)-SIPA"/>
    <n v="54000"/>
    <n v="54000"/>
    <s v="PC"/>
    <n v="8.3000000000000001E-3"/>
    <n v="0"/>
    <x v="5"/>
    <x v="5"/>
  </r>
  <r>
    <x v="560"/>
    <s v="8.3TO2RD-LBS1-A"/>
    <s v="8.30TOLW29/25 L.Blue(≤2ppm)J/C(W pt-SIPA"/>
    <n v="27000"/>
    <n v="27000"/>
    <s v="PC"/>
    <n v="8.3000000000000001E-3"/>
    <n v="0"/>
    <x v="5"/>
    <x v="5"/>
  </r>
  <r>
    <x v="561"/>
    <s v="FRG160"/>
    <s v="PET Blue Preform For Grinding"/>
    <n v="-222"/>
    <n v="-222"/>
    <s v="KG"/>
    <n v="7.45E-3"/>
    <n v="-29798.657718120805"/>
    <x v="24"/>
    <x v="24"/>
  </r>
  <r>
    <x v="561"/>
    <s v="7.45TO2RD-LBS-A"/>
    <s v="7.45TO LW 29/25 L.Blue J/C(WP-SIPA"/>
    <n v="179280"/>
    <n v="179280"/>
    <s v="PC"/>
    <n v="7.45E-3"/>
    <n v="0"/>
    <x v="24"/>
    <x v="24"/>
  </r>
  <r>
    <x v="562"/>
    <s v="45.0PC2RD-IGS-B"/>
    <s v="45.0 PCO 1881 ICI Green J/C(P Plt - SIPA"/>
    <n v="13248"/>
    <n v="13248"/>
    <s v="PC"/>
    <n v="4.4999999999999998E-2"/>
    <n v="0"/>
    <x v="88"/>
    <x v="87"/>
  </r>
  <r>
    <x v="563"/>
    <s v="13.5BC1RD-CL-S"/>
    <s v="13.5 BC38mm 3 Rnd Clear W steel c."/>
    <n v="21312"/>
    <n v="21312"/>
    <s v="PC"/>
    <n v="1.35E-2"/>
    <n v="0"/>
    <x v="84"/>
    <x v="83"/>
  </r>
  <r>
    <x v="564"/>
    <s v="26.6TO2RD-CL-B"/>
    <s v="26.6 TO 29/25 Rnd Clear J/C(P Plt"/>
    <n v="322560"/>
    <n v="322560"/>
    <s v="PC"/>
    <n v="2.6600000000000002E-2"/>
    <n v="0"/>
    <x v="26"/>
    <x v="26"/>
  </r>
  <r>
    <x v="565"/>
    <s v="FRG160"/>
    <s v="PET Blue Preform For Grinding"/>
    <n v="-261"/>
    <n v="0"/>
    <s v="KG"/>
    <n v="1.2500000000000001E-2"/>
    <n v="0"/>
    <x v="98"/>
    <x v="97"/>
  </r>
  <r>
    <x v="565"/>
    <s v="12.5TO2RD-B14-B"/>
    <s v="12.5TO29/25Rnd Nova Blue J/C(Ppt-YISHeng"/>
    <n v="125280"/>
    <n v="0"/>
    <s v="PC"/>
    <n v="1.2500000000000001E-2"/>
    <n v="0"/>
    <x v="98"/>
    <x v="97"/>
  </r>
  <r>
    <x v="566"/>
    <s v="45.0PC2RD-IGS-B"/>
    <s v="45.0 PCO 1881 ICI Green J/C(P Plt - SIPA"/>
    <n v="21240"/>
    <n v="0"/>
    <s v="PC"/>
    <n v="4.4999999999999998E-2"/>
    <n v="0"/>
    <x v="88"/>
    <x v="87"/>
  </r>
  <r>
    <x v="567"/>
    <s v="FRG160"/>
    <s v="PET Blue Preform For Grinding"/>
    <n v="-238"/>
    <n v="-238"/>
    <s v="KG"/>
    <n v="9.4000000000000004E-3"/>
    <n v="-25319.148936170212"/>
    <x v="4"/>
    <x v="4"/>
  </r>
  <r>
    <x v="567"/>
    <s v="9.4TO2RD-BS6-B"/>
    <s v="9.4TO29/25 Rd Nova Blue-PET&quot;ST-BC211"/>
    <n v="355320"/>
    <n v="355320"/>
    <s v="PC"/>
    <n v="9.4000000000000004E-3"/>
    <n v="0"/>
    <x v="4"/>
    <x v="4"/>
  </r>
  <r>
    <x v="568"/>
    <s v="30.5PC2RD-IGS-A"/>
    <s v="30.5 PCO 1881 Rnd ICI Green J/C(WP-SIPA"/>
    <n v="10620"/>
    <n v="10620"/>
    <s v="PC"/>
    <n v="3.0499999999999999E-2"/>
    <n v="0"/>
    <x v="30"/>
    <x v="30"/>
  </r>
  <r>
    <x v="569"/>
    <s v="30.5PC2RD-IGS-A"/>
    <s v="30.5 PCO 1881 Rnd ICI Green J/C(WP-SIPA"/>
    <n v="10620"/>
    <n v="10620"/>
    <s v="PC"/>
    <n v="3.0499999999999999E-2"/>
    <n v="0"/>
    <x v="30"/>
    <x v="30"/>
  </r>
  <r>
    <x v="570"/>
    <s v="FRG160"/>
    <s v="PET Blue Preform For Grinding"/>
    <n v="-264"/>
    <n v="-264"/>
    <s v="KG"/>
    <n v="1.2500000000000001E-2"/>
    <n v="-21120"/>
    <x v="98"/>
    <x v="97"/>
  </r>
  <r>
    <x v="570"/>
    <s v="12.5TO2RD-B14-B"/>
    <s v="12.5TO29/25Rnd Nova Blue J/C(Ppt-YISHeng"/>
    <n v="125280"/>
    <n v="125280"/>
    <s v="PC"/>
    <n v="1.2500000000000001E-2"/>
    <n v="0"/>
    <x v="98"/>
    <x v="97"/>
  </r>
  <r>
    <x v="571"/>
    <s v="FRG160"/>
    <s v="PET Blue Preform For Grinding"/>
    <n v="-268"/>
    <n v="-268"/>
    <s v="KG"/>
    <n v="2.6600000000000002E-2"/>
    <n v="-10075.187969924811"/>
    <x v="99"/>
    <x v="98"/>
  </r>
  <r>
    <x v="571"/>
    <s v="26.6TO2RD-BS4-B"/>
    <s v="26.6TO29/25Rnd Nova Blue -ST-BC 211"/>
    <n v="120960"/>
    <n v="120960"/>
    <s v="PC"/>
    <n v="2.6600000000000002E-2"/>
    <n v="0"/>
    <x v="99"/>
    <x v="98"/>
  </r>
  <r>
    <x v="572"/>
    <s v="26.6TO2RD-B2-B"/>
    <s v="26.6TO29/25Rnd Nova Blue - (JADE)"/>
    <n v="10080"/>
    <n v="10080"/>
    <s v="PC"/>
    <n v="2.6600000000000002E-2"/>
    <n v="0"/>
    <x v="99"/>
    <x v="98"/>
  </r>
  <r>
    <x v="573"/>
    <s v="26.6TO2RD-B2-B"/>
    <s v="26.6TO29/25Rnd Nova Blue - (JADE)"/>
    <n v="10080"/>
    <n v="10080"/>
    <s v="PC"/>
    <n v="2.6600000000000002E-2"/>
    <n v="0"/>
    <x v="99"/>
    <x v="98"/>
  </r>
  <r>
    <x v="574"/>
    <s v="FRG119"/>
    <s v="PET Clear Preform For Grinding"/>
    <n v="-304"/>
    <n v="-304"/>
    <s v="KG"/>
    <n v="3.5999999999999997E-2"/>
    <n v="-8444.4444444444453"/>
    <x v="48"/>
    <x v="48"/>
  </r>
  <r>
    <x v="574"/>
    <s v="36.0BC1RD-CJ-S"/>
    <s v="36.0 BC 38mm 3 Rnd Clear Steel C-(Aujan)"/>
    <n v="84480"/>
    <n v="3041.28"/>
    <s v="KG"/>
    <n v="3.5999999999999997E-2"/>
    <n v="0"/>
    <x v="48"/>
    <x v="48"/>
  </r>
  <r>
    <x v="575"/>
    <s v="26.6TO2RD-BS4-B"/>
    <s v="26.6TO29/25Rnd Nova Blue -ST-BC 211"/>
    <n v="70560"/>
    <n v="70560"/>
    <s v="PC"/>
    <n v="2.6600000000000002E-2"/>
    <n v="0"/>
    <x v="99"/>
    <x v="98"/>
  </r>
  <r>
    <x v="576"/>
    <s v="45.0PC2RD-IGS-B"/>
    <s v="45.0 PCO 1881 ICI Green J/C(P Plt - SIPA"/>
    <n v="596160"/>
    <n v="596160"/>
    <s v="PC"/>
    <n v="4.4999999999999998E-2"/>
    <n v="0"/>
    <x v="88"/>
    <x v="87"/>
  </r>
  <r>
    <x v="577"/>
    <s v="FRG160"/>
    <s v="PET Blue Preform For Grinding"/>
    <n v="-444"/>
    <n v="-444"/>
    <s v="KG"/>
    <n v="7.45E-3"/>
    <n v="-59597.31543624161"/>
    <x v="24"/>
    <x v="24"/>
  </r>
  <r>
    <x v="577"/>
    <s v="7.45TO2RD-AJBS-B"/>
    <s v="7.45TO29/25Rnd'ALM'BLUE J/C(PP-SIPA)"/>
    <n v="806760"/>
    <n v="806760"/>
    <s v="PC"/>
    <n v="7.45E-3"/>
    <n v="0"/>
    <x v="24"/>
    <x v="24"/>
  </r>
  <r>
    <x v="578"/>
    <s v="11.5TO2RD-AJBS-B"/>
    <s v="11.5TO29/25Rnd'ALM'BLUE J/C(PP-SIPA-HDG"/>
    <n v="62640"/>
    <n v="62640"/>
    <s v="PC"/>
    <n v="1.15E-2"/>
    <n v="0"/>
    <x v="42"/>
    <x v="42"/>
  </r>
  <r>
    <x v="579"/>
    <s v="45.0PC2RD-IG-VH"/>
    <s v="45.0 PCO 1881 Rd ICI Green MenaBevPP HDG"/>
    <n v="26496"/>
    <n v="26496"/>
    <s v="PC"/>
    <n v="4.4999999999999998E-2"/>
    <n v="0"/>
    <x v="88"/>
    <x v="87"/>
  </r>
  <r>
    <x v="580"/>
    <s v="45.0PC2RD-CLS-B"/>
    <s v="45.0 PCO 1881Rd Clear J/C(P Plt - SIPA"/>
    <n v="72864"/>
    <n v="72864"/>
    <s v="PC"/>
    <n v="4.4999999999999998E-2"/>
    <n v="0"/>
    <x v="86"/>
    <x v="85"/>
  </r>
  <r>
    <x v="581"/>
    <s v="52.0BC1RD-CL-B"/>
    <s v="52.0 BC38mm 3 Rnd Clear J/C(P Plt"/>
    <n v="249600"/>
    <n v="249600"/>
    <s v="PC"/>
    <n v="5.1999999999999998E-2"/>
    <n v="0"/>
    <x v="6"/>
    <x v="6"/>
  </r>
  <r>
    <x v="582"/>
    <s v="FRG160"/>
    <s v="PET Blue Preform For Grinding"/>
    <n v="0"/>
    <n v="0"/>
    <s v="KG"/>
    <n v="7.45E-3"/>
    <n v="0"/>
    <x v="24"/>
    <x v="24"/>
  </r>
  <r>
    <x v="582"/>
    <s v="7.45TO2RD-AJBS-B"/>
    <s v="7.45TO29/25Rnd'ALM'BLUE J/C(PP-SIPA)"/>
    <n v="717120"/>
    <n v="717120"/>
    <s v="PC"/>
    <n v="7.45E-3"/>
    <n v="0"/>
    <x v="24"/>
    <x v="24"/>
  </r>
  <r>
    <x v="583"/>
    <s v="45.0PC2RD-IGS-B"/>
    <s v="45.0 PCO 1881 ICI Green J/C(P Plt - SIPA"/>
    <n v="39744"/>
    <n v="39744"/>
    <s v="PC"/>
    <n v="4.4999999999999998E-2"/>
    <n v="0"/>
    <x v="88"/>
    <x v="87"/>
  </r>
  <r>
    <x v="584"/>
    <s v="52.0BC1RD-CL-B"/>
    <s v="52.0 BC38mm 3 Rnd Clear J/C(P Plt"/>
    <n v="206400"/>
    <n v="206400"/>
    <s v="PC"/>
    <n v="5.1999999999999998E-2"/>
    <n v="0"/>
    <x v="6"/>
    <x v="6"/>
  </r>
  <r>
    <x v="585"/>
    <s v="FRG160"/>
    <s v="PET Blue Preform For Grinding"/>
    <n v="-222"/>
    <n v="-222"/>
    <s v="KG"/>
    <n v="7.45E-3"/>
    <n v="-29798.657718120805"/>
    <x v="24"/>
    <x v="24"/>
  </r>
  <r>
    <x v="585"/>
    <s v="7.45TO2RD-AJBS-B"/>
    <s v="7.45TO29/25Rnd'ALM'BLUE J/C(PP-SIPA)"/>
    <n v="478080"/>
    <n v="478080"/>
    <s v="PC"/>
    <n v="7.45E-3"/>
    <n v="0"/>
    <x v="24"/>
    <x v="24"/>
  </r>
  <r>
    <x v="586"/>
    <s v="45.0PC2RD-IGS-B"/>
    <s v="45.0 PCO 1881 ICI Green J/C(P Plt - SIPA"/>
    <n v="503424"/>
    <n v="503424"/>
    <s v="PC"/>
    <n v="4.4999999999999998E-2"/>
    <n v="0"/>
    <x v="88"/>
    <x v="87"/>
  </r>
  <r>
    <x v="587"/>
    <s v="FRG160"/>
    <s v="PET Blue Preform For Grinding"/>
    <n v="-444"/>
    <n v="-444"/>
    <s v="KG"/>
    <n v="7.45E-3"/>
    <n v="-59597.31543624161"/>
    <x v="24"/>
    <x v="24"/>
  </r>
  <r>
    <x v="587"/>
    <s v="7.45TO2RD-AJBS-B"/>
    <s v="7.45TO29/25Rnd'ALM'BLUE J/C(PP-SIPA)"/>
    <n v="597600"/>
    <n v="597600"/>
    <s v="PC"/>
    <n v="7.45E-3"/>
    <n v="0"/>
    <x v="24"/>
    <x v="24"/>
  </r>
  <r>
    <x v="588"/>
    <s v="45.0PC2RD-IGS-B"/>
    <s v="45.0 PCO 1881 ICI Green J/C(P Plt - SIPA"/>
    <n v="139104"/>
    <n v="139104"/>
    <s v="PC"/>
    <n v="4.4999999999999998E-2"/>
    <n v="0"/>
    <x v="88"/>
    <x v="87"/>
  </r>
  <r>
    <x v="589"/>
    <s v="52.0BC1RD-CL-B"/>
    <s v="52.0 BC38mm 3 Rnd Clear J/C(P Plt"/>
    <n v="436800"/>
    <n v="436800"/>
    <s v="PC"/>
    <n v="5.1999999999999998E-2"/>
    <n v="0"/>
    <x v="6"/>
    <x v="6"/>
  </r>
  <r>
    <x v="590"/>
    <s v="FRG119"/>
    <s v="PET Clear Preform For Grinding"/>
    <n v="-498"/>
    <n v="-498"/>
    <s v="KG"/>
    <n v="5.1999999999999998E-2"/>
    <n v="-9576.923076923078"/>
    <x v="15"/>
    <x v="15"/>
  </r>
  <r>
    <x v="590"/>
    <s v="52.0BC1RD-CL-B"/>
    <s v="52.0 BC38mm 3 Rnd Clear J/C(P Plt"/>
    <n v="100800"/>
    <n v="100800"/>
    <s v="PC"/>
    <n v="5.1999999999999998E-2"/>
    <n v="0"/>
    <x v="15"/>
    <x v="15"/>
  </r>
  <r>
    <x v="591"/>
    <s v="26.6TO2RD-CL-B"/>
    <s v="26.6 TO 29/25 Rnd Clear J/C(P Plt"/>
    <n v="161280"/>
    <n v="161280"/>
    <s v="PC"/>
    <n v="2.6600000000000002E-2"/>
    <n v="0"/>
    <x v="26"/>
    <x v="26"/>
  </r>
  <r>
    <x v="592"/>
    <s v="FRG119"/>
    <s v="PET Clear Preform For Grinding"/>
    <n v="-577"/>
    <n v="-577"/>
    <s v="KG"/>
    <n v="1.4E-2"/>
    <n v="-41214.28571428571"/>
    <x v="25"/>
    <x v="25"/>
  </r>
  <r>
    <x v="592"/>
    <s v="14.0PC2RD-CL-A"/>
    <s v="14.0 PCO 1881 Rnd Clear J/C(W Plt"/>
    <n v="206400"/>
    <n v="206400"/>
    <s v="PC"/>
    <n v="1.4E-2"/>
    <n v="0"/>
    <x v="25"/>
    <x v="25"/>
  </r>
  <r>
    <x v="593"/>
    <s v="26.6TO2RD-CL-B"/>
    <s v="26.6 TO 29/25 Rnd Clear J/C(P Plt"/>
    <n v="483840"/>
    <n v="483840"/>
    <s v="PC"/>
    <n v="2.6600000000000002E-2"/>
    <n v="0"/>
    <x v="26"/>
    <x v="26"/>
  </r>
  <r>
    <x v="594"/>
    <s v="FRG160"/>
    <s v="PET Blue Preform For Grinding"/>
    <n v="-222"/>
    <n v="-222"/>
    <s v="KG"/>
    <n v="7.45E-3"/>
    <n v="-29798.657718120805"/>
    <x v="24"/>
    <x v="24"/>
  </r>
  <r>
    <x v="594"/>
    <s v="7.45TO2RD-AJBS-B"/>
    <s v="7.45TO29/25Rnd'ALM'BLUE J/C(PP-SIPA)"/>
    <n v="388440"/>
    <n v="388440"/>
    <s v="PC"/>
    <n v="7.45E-3"/>
    <n v="0"/>
    <x v="24"/>
    <x v="24"/>
  </r>
  <r>
    <x v="595"/>
    <s v="7.45TO2RD-LBS-A"/>
    <s v="7.45TO LW 29/25 L.Blue J/C(WP-SIPA"/>
    <n v="89640"/>
    <n v="89640"/>
    <s v="PC"/>
    <n v="7.45E-3"/>
    <n v="0"/>
    <x v="24"/>
    <x v="24"/>
  </r>
  <r>
    <x v="596"/>
    <s v="36.0BC1RD-CJ-S"/>
    <s v="36.0 BC 38mm 3 Rnd Clear Steel C-(Aujan)"/>
    <n v="38016"/>
    <n v="38016"/>
    <s v="PC"/>
    <n v="3.5999999999999997E-2"/>
    <n v="0"/>
    <x v="48"/>
    <x v="48"/>
  </r>
  <r>
    <x v="597"/>
    <s v="FRG119"/>
    <s v="PET Clear Preform For Grinding"/>
    <n v="-76"/>
    <n v="-76"/>
    <s v="KG"/>
    <n v="3.5999999999999997E-2"/>
    <n v="-2111.1111111111113"/>
    <x v="3"/>
    <x v="3"/>
  </r>
  <r>
    <x v="597"/>
    <s v="36.0BC1RD-CJ-S"/>
    <s v="36.0 BC 38mm 3 Rnd Clear Steel C-(Aujan)"/>
    <n v="21120"/>
    <n v="21120"/>
    <s v="PC"/>
    <n v="3.5999999999999997E-2"/>
    <n v="0"/>
    <x v="3"/>
    <x v="3"/>
  </r>
  <r>
    <x v="598"/>
    <s v="36.0BC1RD-CJ-S"/>
    <s v="36.0 BC 38mm 3 Rnd Clear Steel C-(Aujan)"/>
    <n v="6336"/>
    <n v="6336"/>
    <s v="PC"/>
    <n v="3.5999999999999997E-2"/>
    <n v="0"/>
    <x v="3"/>
    <x v="3"/>
  </r>
  <r>
    <x v="599"/>
    <s v="45.0PC2RD-IGS-B"/>
    <s v="45.0 PCO 1881 ICI Green J/C(P Plt - SIPA"/>
    <n v="311328"/>
    <n v="311328"/>
    <s v="PC"/>
    <n v="4.4999999999999998E-2"/>
    <n v="0"/>
    <x v="88"/>
    <x v="87"/>
  </r>
  <r>
    <x v="600"/>
    <s v="45.0PC2RD-CLS-B"/>
    <s v="45.0 PCO 1881Rd Clear J/C(P Plt - SIPA"/>
    <n v="317952"/>
    <n v="317952"/>
    <s v="PC"/>
    <n v="4.4999999999999998E-2"/>
    <n v="0"/>
    <x v="79"/>
    <x v="78"/>
  </r>
  <r>
    <x v="601"/>
    <s v="45.0PC2RD-CLS-B"/>
    <s v="45.0 PCO 1881Rd Clear J/C(P Plt - SIPA"/>
    <n v="635904"/>
    <n v="635904"/>
    <s v="PC"/>
    <n v="4.4999999999999998E-2"/>
    <n v="0"/>
    <x v="79"/>
    <x v="78"/>
  </r>
  <r>
    <x v="602"/>
    <s v="FRG160"/>
    <s v="PET Blue Preform For Grinding"/>
    <n v="-222"/>
    <n v="-222"/>
    <s v="KG"/>
    <n v="7.45E-3"/>
    <n v="-29798.657718120805"/>
    <x v="24"/>
    <x v="24"/>
  </r>
  <r>
    <x v="602"/>
    <s v="7.45TO2RD-AJBS-B"/>
    <s v="7.45TO29/25Rnd'ALM'BLUE J/C(PP-SIPA)"/>
    <n v="448200"/>
    <n v="448200"/>
    <s v="PC"/>
    <n v="7.45E-3"/>
    <n v="0"/>
    <x v="24"/>
    <x v="24"/>
  </r>
  <r>
    <x v="603"/>
    <s v="FRG160"/>
    <s v="PET Blue Preform For Grinding"/>
    <n v="-515"/>
    <n v="-515"/>
    <s v="KG"/>
    <n v="1.15E-2"/>
    <n v="-44782.608695652176"/>
    <x v="42"/>
    <x v="42"/>
  </r>
  <r>
    <x v="603"/>
    <s v="11.5TO2RD-AJBS-B"/>
    <s v="11.5TO29/25Rnd'ALM'BLUE J/C(PP-SIPA-HDG"/>
    <n v="149240"/>
    <n v="146160"/>
    <s v="PC"/>
    <n v="1.15E-2"/>
    <n v="0"/>
    <x v="42"/>
    <x v="42"/>
  </r>
  <r>
    <x v="604"/>
    <s v="45.0PC2RD-IGS-B"/>
    <s v="45.0 PCO 1881 ICI Green J/C(P Plt - SIPA"/>
    <n v="13248"/>
    <n v="13248"/>
    <s v="PC"/>
    <n v="4.4999999999999998E-2"/>
    <n v="0"/>
    <x v="88"/>
    <x v="87"/>
  </r>
  <r>
    <x v="605"/>
    <s v="30.5PC2RD-IGS-A"/>
    <s v="30.5 PCO 1881 Rnd ICI Green J/C(WP-SIPA"/>
    <n v="10620"/>
    <n v="10620"/>
    <s v="PC"/>
    <n v="3.0499999999999999E-2"/>
    <n v="0"/>
    <x v="30"/>
    <x v="30"/>
  </r>
  <r>
    <x v="606"/>
    <s v="30.5PC2RD-IGS-A"/>
    <s v="30.5 PCO 1881 Rnd ICI Green J/C(WP-SIPA"/>
    <n v="13140"/>
    <n v="10620"/>
    <s v="PC"/>
    <n v="3.0499999999999999E-2"/>
    <n v="0"/>
    <x v="30"/>
    <x v="30"/>
  </r>
  <r>
    <x v="607"/>
    <s v="1400C51-SFI-1MFJ2"/>
    <s v="Safi 1.4L PET Clear BTL-Multi Fruit -26D"/>
    <n v="43680"/>
    <n v="0"/>
    <s v="PC"/>
    <m/>
    <n v="0"/>
    <x v="10"/>
    <x v="10"/>
  </r>
  <r>
    <x v="608"/>
    <s v="30.5PC2RD-CLS-BH2"/>
    <s v="30.5 PCO 1881Rnd CLR J/C(PP JOM HDG-SIPA"/>
    <n v="509760"/>
    <n v="509760"/>
    <s v="PC"/>
    <n v="3.0499999999999999E-2"/>
    <n v="0"/>
    <x v="21"/>
    <x v="21"/>
  </r>
  <r>
    <x v="609"/>
    <s v="30.5PC2RD-CLS-BH2"/>
    <s v="30.5 PCO 1881Rnd CLR J/C(PP JOM HDG-SIPA"/>
    <n v="329220"/>
    <n v="329220"/>
    <s v="PC"/>
    <n v="3.0499999999999999E-2"/>
    <n v="0"/>
    <x v="21"/>
    <x v="21"/>
  </r>
  <r>
    <x v="610"/>
    <s v="FRG160"/>
    <s v="PET Blue Preform For Grinding"/>
    <n v="-238"/>
    <n v="-238"/>
    <s v="KG"/>
    <n v="9.4000000000000004E-3"/>
    <n v="-25319.148936170212"/>
    <x v="4"/>
    <x v="4"/>
  </r>
  <r>
    <x v="610"/>
    <s v="9.4TO2RD-BS6-B"/>
    <s v="9.4TO29/25 Rd Nova Blue-PET&quot;ST-BC211"/>
    <n v="583740"/>
    <n v="583740"/>
    <s v="PC"/>
    <n v="9.4000000000000004E-3"/>
    <n v="0"/>
    <x v="4"/>
    <x v="4"/>
  </r>
  <r>
    <x v="611"/>
    <s v="26.6TO2RD-CL-B"/>
    <s v="26.6 TO 29/25 Rnd Clear J/C(P Plt"/>
    <n v="10080"/>
    <n v="10080"/>
    <s v="PC"/>
    <n v="2.6600000000000002E-2"/>
    <n v="0"/>
    <x v="26"/>
    <x v="26"/>
  </r>
  <r>
    <x v="612"/>
    <s v="26.6TO2RD-CL-B"/>
    <s v="26.6 TO 29/25 Rnd Clear J/C(P Plt"/>
    <n v="10080"/>
    <n v="10080"/>
    <s v="PC"/>
    <n v="2.6600000000000002E-2"/>
    <n v="0"/>
    <x v="26"/>
    <x v="26"/>
  </r>
  <r>
    <x v="613"/>
    <s v="FRG119"/>
    <s v="PET Clear Preform For Grinding"/>
    <n v="-268"/>
    <n v="-268"/>
    <s v="KG"/>
    <n v="2.6600000000000002E-2"/>
    <n v="-10075.187969924811"/>
    <x v="100"/>
    <x v="99"/>
  </r>
  <r>
    <x v="613"/>
    <s v="26.6TO2RD-CL-B"/>
    <s v="26.6 TO 29/25 Rnd Clear J/C(P Plt"/>
    <n v="40320"/>
    <n v="40320"/>
    <s v="PC"/>
    <n v="2.6600000000000002E-2"/>
    <n v="0"/>
    <x v="100"/>
    <x v="99"/>
  </r>
  <r>
    <x v="614"/>
    <s v="26.6TO2RD-AJB-BH"/>
    <s v="26.6TO29/25Rnd'ALM'BLUE J/C(PP-HDG)"/>
    <n v="20160"/>
    <n v="20160"/>
    <s v="PC"/>
    <n v="2.6600000000000002E-2"/>
    <n v="0"/>
    <x v="63"/>
    <x v="63"/>
  </r>
  <r>
    <x v="615"/>
    <s v="FRG160"/>
    <s v="PET Blue Preform For Grinding"/>
    <n v="-536"/>
    <n v="-536"/>
    <s v="KG"/>
    <n v="2.6600000000000002E-2"/>
    <n v="-20150.375939849622"/>
    <x v="99"/>
    <x v="98"/>
  </r>
  <r>
    <x v="615"/>
    <s v="26.6TO2RD-BS4-B"/>
    <s v="26.6TO29/25Rnd Nova Blue -ST-BC 211"/>
    <n v="80640"/>
    <n v="80640"/>
    <s v="PC"/>
    <n v="2.6600000000000002E-2"/>
    <n v="0"/>
    <x v="99"/>
    <x v="98"/>
  </r>
  <r>
    <x v="616"/>
    <s v="FRG119"/>
    <s v="PET Clear Preform For Grinding"/>
    <n v="-64"/>
    <n v="-64"/>
    <s v="KG"/>
    <n v="3.5999999999999997E-2"/>
    <n v="-1777.7777777777778"/>
    <x v="3"/>
    <x v="3"/>
  </r>
  <r>
    <x v="616"/>
    <s v="36.0BC1RD-CJ-S"/>
    <s v="36.0 BC 38mm 3 Rnd Clear Steel C-(Aujan)"/>
    <n v="21120"/>
    <n v="21120"/>
    <s v="PC"/>
    <n v="3.5999999999999997E-2"/>
    <n v="0"/>
    <x v="3"/>
    <x v="3"/>
  </r>
  <r>
    <x v="617"/>
    <s v="36.0BC1RD-CL-G"/>
    <s v="36.0 BC38mm 3 Rnd Clear OJ/C(W plt"/>
    <n v="44352"/>
    <n v="44352"/>
    <s v="PC"/>
    <n v="3.5999999999999997E-2"/>
    <n v="0"/>
    <x v="3"/>
    <x v="3"/>
  </r>
  <r>
    <x v="618"/>
    <s v="12.5TO2RD-CLS-B"/>
    <s v="12.5 29/25 Rnd Clear J/C(PP"/>
    <n v="1169280"/>
    <n v="1169280"/>
    <s v="PC"/>
    <n v="1.2500000000000001E-2"/>
    <n v="0"/>
    <x v="39"/>
    <x v="39"/>
  </r>
  <r>
    <x v="619"/>
    <s v="36.0BC1RD-CJ-S"/>
    <s v="36.0 BC 38mm 3 Rnd Clear Steel C-(Aujan)"/>
    <n v="4224"/>
    <n v="4224"/>
    <s v="PC"/>
    <n v="3.5999999999999997E-2"/>
    <n v="0"/>
    <x v="48"/>
    <x v="48"/>
  </r>
  <r>
    <x v="620"/>
    <s v="52.0BC1RD-CL-G"/>
    <s v="52.0 BC 38mm 3 Rnd Clear OJ/C(W plt"/>
    <n v="105600"/>
    <n v="105600"/>
    <s v="PC"/>
    <n v="5.1999999999999998E-2"/>
    <n v="0"/>
    <x v="6"/>
    <x v="6"/>
  </r>
  <r>
    <x v="621"/>
    <s v="45.0PC2RD-IGS-B"/>
    <s v="45.0 PCO 1881 ICI Green J/C(P Plt - SIPA"/>
    <n v="6624"/>
    <n v="6624"/>
    <s v="PC"/>
    <n v="0"/>
    <n v="0"/>
    <x v="57"/>
    <x v="57"/>
  </r>
  <r>
    <x v="622"/>
    <s v="52.0BC1RD-GL-G"/>
    <s v="52.0 BC 38mm 3 Rnd Gold OJ/C(W plt"/>
    <n v="3500"/>
    <n v="3500"/>
    <s v="PC"/>
    <n v="600.32100000000003"/>
    <n v="0"/>
    <x v="101"/>
    <x v="100"/>
  </r>
  <r>
    <x v="623"/>
    <s v="60.0BC1RD-CL-A"/>
    <s v="60.0 BC 38mm Rnd Clear J/C(W plt"/>
    <n v="4800"/>
    <n v="4800"/>
    <s v="PC"/>
    <n v="0"/>
    <n v="0"/>
    <x v="56"/>
    <x v="56"/>
  </r>
  <r>
    <x v="624"/>
    <s v="30.5PC2RD-CLS-BH2"/>
    <s v="30.5 PCO 1881Rnd CLR J/C(PP JOM HDG-SIPA"/>
    <n v="180540"/>
    <n v="180540"/>
    <s v="PC"/>
    <n v="3.0499999999999999E-2"/>
    <n v="0"/>
    <x v="21"/>
    <x v="21"/>
  </r>
  <r>
    <x v="625"/>
    <s v="14.0PC2RD-CL-A"/>
    <s v="14.0 PCO 1881 Rnd Clear J/C(W Plt"/>
    <n v="82560"/>
    <n v="82560"/>
    <s v="PC"/>
    <n v="1.4E-2"/>
    <n v="0"/>
    <x v="25"/>
    <x v="25"/>
  </r>
  <r>
    <x v="626"/>
    <s v="12.5TO2RD-CLS-B"/>
    <s v="12.5 29/25 Rnd Clear J/C(PP"/>
    <n v="793440"/>
    <n v="793440"/>
    <s v="PC"/>
    <n v="1.2500000000000001E-2"/>
    <n v="0"/>
    <x v="39"/>
    <x v="39"/>
  </r>
  <r>
    <x v="627"/>
    <s v="30.5PC2RD-CLS-BH2"/>
    <s v="30.5 PCO 1881Rnd CLR J/C(PP JOM HDG-SIPA"/>
    <n v="509760"/>
    <n v="509760"/>
    <s v="PC"/>
    <n v="3.0499999999999999E-2"/>
    <n v="0"/>
    <x v="21"/>
    <x v="21"/>
  </r>
  <r>
    <x v="628"/>
    <s v="FRG119"/>
    <s v="PET Clear Preform For Grinding"/>
    <n v="-298"/>
    <n v="-298"/>
    <s v="KG"/>
    <n v="4.4999999999999998E-2"/>
    <n v="-6622.2222222222226"/>
    <x v="86"/>
    <x v="85"/>
  </r>
  <r>
    <x v="628"/>
    <s v="45.0PC2RD-CLS-V"/>
    <s v="45.0 PCO 1881 Rnd Clear Mena Bev"/>
    <n v="72864"/>
    <n v="72864"/>
    <s v="PC"/>
    <n v="4.4999999999999998E-2"/>
    <n v="0"/>
    <x v="86"/>
    <x v="85"/>
  </r>
  <r>
    <x v="629"/>
    <s v="45.0PC2RD-CLS-B"/>
    <s v="45.0 PCO 1881Rd Clear J/C(P Plt - SIPA"/>
    <n v="13248"/>
    <n v="13248"/>
    <s v="PC"/>
    <n v="4.4999999999999998E-2"/>
    <n v="0"/>
    <x v="86"/>
    <x v="85"/>
  </r>
  <r>
    <x v="630"/>
    <s v="11.5TO2RD-CLS-V"/>
    <s v="11.5 TO29/25 Rnd Clear MenaBev (PP)"/>
    <n v="62640"/>
    <n v="62640"/>
    <s v="PC"/>
    <n v="1.15E-2"/>
    <n v="0"/>
    <x v="65"/>
    <x v="65"/>
  </r>
  <r>
    <x v="631"/>
    <s v="FRG119"/>
    <s v="PET Clear Preform For Grinding"/>
    <n v="-183"/>
    <n v="-183"/>
    <s v="KG"/>
    <n v="5.0999999999999997E-2"/>
    <n v="-3588.2352941176473"/>
    <x v="49"/>
    <x v="49"/>
  </r>
  <r>
    <x v="631"/>
    <s v="51.0BC1RD-CL-S"/>
    <s v="51.0 BC 38mm 3 Rnd Clear steel c"/>
    <n v="14400"/>
    <n v="14400"/>
    <s v="PC"/>
    <n v="5.0999999999999997E-2"/>
    <n v="0"/>
    <x v="49"/>
    <x v="49"/>
  </r>
  <r>
    <x v="632"/>
    <s v="FRG119"/>
    <s v="PET Clear Preform For Grinding"/>
    <n v="-168"/>
    <n v="-168"/>
    <s v="KG"/>
    <n v="3.4000000000000002E-2"/>
    <n v="-4941.1764705882351"/>
    <x v="51"/>
    <x v="51"/>
  </r>
  <r>
    <x v="632"/>
    <s v="34.0BC1EC-CL2-S"/>
    <s v="34.0 BC38mm 3 ECO Huayan Clear steel C"/>
    <n v="19872"/>
    <n v="19872"/>
    <s v="PC"/>
    <n v="3.4000000000000002E-2"/>
    <n v="0"/>
    <x v="51"/>
    <x v="51"/>
  </r>
  <r>
    <x v="633"/>
    <s v="30.5PC2RD-CLS-BH2"/>
    <s v="30.5 PCO 1881Rnd CLR J/C(PP JOM HDG-SIPA"/>
    <n v="82560"/>
    <n v="82560"/>
    <s v="PC"/>
    <n v="3.0499999999999999E-2"/>
    <n v="0"/>
    <x v="7"/>
    <x v="7"/>
  </r>
  <r>
    <x v="634"/>
    <s v="14.0PC2RD-CL-A"/>
    <s v="14.0 PCO 1881 Rnd Clear J/C(W Plt"/>
    <n v="42480"/>
    <n v="41280"/>
    <s v="PC"/>
    <n v="1.4E-2"/>
    <n v="0"/>
    <x v="25"/>
    <x v="25"/>
  </r>
  <r>
    <x v="635"/>
    <s v="45.0PC2RD-IGS-B"/>
    <s v="45.0 PCO 1881 ICI Green J/C(P Plt - SIPA"/>
    <n v="563040"/>
    <n v="563040"/>
    <s v="PC"/>
    <n v="4.4999999999999998E-2"/>
    <n v="0"/>
    <x v="88"/>
    <x v="87"/>
  </r>
  <r>
    <x v="636"/>
    <s v="45.0PC2RD-IGS-B"/>
    <s v="45.0 PCO 1881 ICI Green J/C(P Plt - SIPA"/>
    <n v="635904"/>
    <n v="635904"/>
    <s v="PC"/>
    <n v="4.4999999999999998E-2"/>
    <n v="0"/>
    <x v="88"/>
    <x v="87"/>
  </r>
  <r>
    <x v="637"/>
    <s v="30.5PC2RD-CLS-BH2"/>
    <s v="30.5 PCO 1881Rnd CLR J/C(PP JOM HDG-SIPA"/>
    <n v="512160"/>
    <n v="512160"/>
    <s v="PC"/>
    <n v="3.0499999999999999E-2"/>
    <n v="0"/>
    <x v="21"/>
    <x v="21"/>
  </r>
  <r>
    <x v="637"/>
    <s v="FRG119"/>
    <s v="PET Clear Preform For Grinding"/>
    <n v="-73"/>
    <n v="-73"/>
    <s v="KG"/>
    <n v="3.0499999999999999E-2"/>
    <n v="-2393.4426229508199"/>
    <x v="21"/>
    <x v="21"/>
  </r>
  <r>
    <x v="638"/>
    <s v="12.7BC1EC-CL-S"/>
    <s v="12.7 BC38mm 3 ECO Clear Steel c."/>
    <n v="170496"/>
    <n v="170496"/>
    <s v="PC"/>
    <n v="1.2699999999999999E-2"/>
    <n v="0"/>
    <x v="58"/>
    <x v="58"/>
  </r>
  <r>
    <x v="638"/>
    <s v="FRG119"/>
    <s v="PET Clear Preform For Grinding"/>
    <n v="-270"/>
    <n v="-270"/>
    <s v="KG"/>
    <n v="1.2699999999999999E-2"/>
    <n v="-21259.84251968504"/>
    <x v="58"/>
    <x v="58"/>
  </r>
  <r>
    <x v="639"/>
    <s v="12.5TO2RD-B14-B"/>
    <s v="12.5TO29/25Rnd Nova Blue J/C(Ppt-YISHeng"/>
    <n v="43440"/>
    <n v="0"/>
    <s v="PC"/>
    <n v="1.2500000000000001E-2"/>
    <n v="0"/>
    <x v="98"/>
    <x v="97"/>
  </r>
  <r>
    <x v="639"/>
    <s v="FRG160"/>
    <s v="PET Blue Preform For Grinding"/>
    <n v="-21"/>
    <n v="0"/>
    <s v="KG"/>
    <n v="1.2500000000000001E-2"/>
    <n v="0"/>
    <x v="98"/>
    <x v="97"/>
  </r>
  <r>
    <x v="640"/>
    <s v="8.3TO2RD-LBS1-A"/>
    <s v="8.30TOLW29/25 L.Blue(≤2ppm)J/C(W pt-SIPA"/>
    <n v="33600"/>
    <n v="33600"/>
    <s v="PC"/>
    <n v="8.3000000000000001E-3"/>
    <n v="0"/>
    <x v="5"/>
    <x v="5"/>
  </r>
  <r>
    <x v="640"/>
    <s v="FRG160"/>
    <s v="PET Blue Preform For Grinding"/>
    <n v="-54"/>
    <n v="-54"/>
    <s v="KG"/>
    <n v="8.3000000000000001E-3"/>
    <n v="-6506.0240963855422"/>
    <x v="5"/>
    <x v="5"/>
  </r>
  <r>
    <x v="641"/>
    <s v="8.3TO2RD-LBS-A"/>
    <s v="8.30TO LW 29/25Rd L.Blue J/C(W plt)-SIPA"/>
    <n v="27000"/>
    <n v="27000"/>
    <s v="PC"/>
    <n v="8.3000000000000001E-3"/>
    <n v="0"/>
    <x v="5"/>
    <x v="5"/>
  </r>
  <r>
    <x v="642"/>
    <s v="34.0BC1EC-W2-S"/>
    <s v="34.0 BC38mm 3 ECO Huayan White Steel C"/>
    <n v="9936"/>
    <n v="9936"/>
    <s v="PC"/>
    <n v="3.4000000000000002E-2"/>
    <n v="0"/>
    <x v="50"/>
    <x v="50"/>
  </r>
  <r>
    <x v="643"/>
    <s v="45.0PC2RD-IGS-B"/>
    <s v="45.0 PCO 1881 ICI Green J/C(P Plt - SIPA"/>
    <n v="635904"/>
    <n v="635904"/>
    <s v="PC"/>
    <n v="4.4999999999999998E-2"/>
    <n v="0"/>
    <x v="88"/>
    <x v="87"/>
  </r>
  <r>
    <x v="644"/>
    <s v="18.0BC1RD-CL-S"/>
    <s v="18.0 BC38mm 3 Rnd Clear Steel C"/>
    <n v="65664"/>
    <n v="65664"/>
    <s v="PC"/>
    <n v="1.7999999999999999E-2"/>
    <n v="0"/>
    <x v="64"/>
    <x v="64"/>
  </r>
  <r>
    <x v="644"/>
    <s v="FRG119"/>
    <s v="PET Clear Preform For Grinding"/>
    <n v="-147"/>
    <n v="-147"/>
    <s v="KG"/>
    <n v="1.7999999999999999E-2"/>
    <n v="-8166.666666666667"/>
    <x v="64"/>
    <x v="64"/>
  </r>
  <r>
    <x v="645"/>
    <s v="9.4TO2RD-BS6-B"/>
    <s v="9.4TO29/25 Rd Nova Blue-PET&quot;ST-BC211"/>
    <n v="101520"/>
    <n v="101520"/>
    <s v="PC"/>
    <n v="9.4000000000000004E-3"/>
    <n v="0"/>
    <x v="4"/>
    <x v="4"/>
  </r>
  <r>
    <x v="646"/>
    <s v="52.0BC1RD-CL-B"/>
    <s v="52.0 BC38mm 3 Rnd Clear J/C(P Plt"/>
    <n v="249600"/>
    <n v="249600"/>
    <s v="PC"/>
    <n v="5.1999999999999998E-2"/>
    <n v="0"/>
    <x v="6"/>
    <x v="6"/>
  </r>
  <r>
    <x v="647"/>
    <s v="45.0PC2RD-IGS-B"/>
    <s v="45.0 PCO 1881 ICI Green J/C(P Plt - SIPA"/>
    <n v="722016"/>
    <n v="722016"/>
    <s v="PC"/>
    <n v="4.4999999999999998E-2"/>
    <n v="0"/>
    <x v="88"/>
    <x v="87"/>
  </r>
  <r>
    <x v="648"/>
    <s v="52.0BC1RD-CL-B"/>
    <s v="52.0 BC38mm 3 Rnd Clear J/C(P Plt"/>
    <n v="249600"/>
    <n v="249600"/>
    <s v="PC"/>
    <n v="5.1999999999999998E-2"/>
    <n v="0"/>
    <x v="6"/>
    <x v="6"/>
  </r>
  <r>
    <x v="649"/>
    <s v="30.5PC2RD-IGS-BH2"/>
    <s v="30.5PCO1881 ICI GreenJ/C(PP JOM HDG-SIPA"/>
    <n v="424800"/>
    <n v="424800"/>
    <s v="PC"/>
    <n v="3.0499999999999999E-2"/>
    <n v="0"/>
    <x v="31"/>
    <x v="31"/>
  </r>
  <r>
    <x v="650"/>
    <s v="45.0PC2RD-IGS-B"/>
    <s v="45.0 PCO 1881 ICI Green J/C(P Plt - SIPA"/>
    <n v="258336"/>
    <n v="258336"/>
    <s v="PC"/>
    <n v="4.4999999999999998E-2"/>
    <n v="0"/>
    <x v="88"/>
    <x v="87"/>
  </r>
  <r>
    <x v="651"/>
    <s v="52.0BC1RD-CL-B"/>
    <s v="52.0 BC38mm 3 Rnd Clear J/C(P Plt"/>
    <n v="249600"/>
    <n v="249600"/>
    <s v="PC"/>
    <n v="5.1999999999999998E-2"/>
    <n v="0"/>
    <x v="6"/>
    <x v="6"/>
  </r>
  <r>
    <x v="652"/>
    <s v="30.5PC2RD-IGS-BH2"/>
    <s v="30.5PCO1881 ICI GreenJ/C(PP JOM HDG-SIPA"/>
    <n v="615960"/>
    <n v="615960"/>
    <s v="PC"/>
    <n v="3.0499999999999999E-2"/>
    <n v="0"/>
    <x v="31"/>
    <x v="31"/>
  </r>
  <r>
    <x v="653"/>
    <s v="9.70TO2RD-CLS-B"/>
    <s v="9.70 29/25 Rnd Clear J/C(P Plt)-SIPA"/>
    <n v="1269000"/>
    <n v="1269000"/>
    <s v="PC"/>
    <n v="9.6999999999999986E-3"/>
    <n v="0"/>
    <x v="2"/>
    <x v="2"/>
  </r>
  <r>
    <x v="654"/>
    <s v="12.5TO2RD-CLS-B"/>
    <s v="12.5 29/25 Rnd Clear J/C(PP"/>
    <n v="1962720"/>
    <n v="1962720"/>
    <s v="PC"/>
    <n v="1.2500000000000001E-2"/>
    <n v="0"/>
    <x v="39"/>
    <x v="39"/>
  </r>
  <r>
    <x v="655"/>
    <s v="45.0PC2RD-CLS-B"/>
    <s v="45.0 PCO 1881Rd Clear J/C(P Plt - SIPA"/>
    <n v="463680"/>
    <n v="463680"/>
    <s v="PC"/>
    <n v="4.4999999999999998E-2"/>
    <n v="0"/>
    <x v="79"/>
    <x v="78"/>
  </r>
  <r>
    <x v="656"/>
    <s v="30.5PC2RD-CLS-BH2"/>
    <s v="30.5 PCO 1881Rnd CLR J/C(PP JOM HDG-SIPA"/>
    <n v="31860"/>
    <n v="31860"/>
    <s v="PC"/>
    <n v="3.0499999999999999E-2"/>
    <n v="0"/>
    <x v="7"/>
    <x v="7"/>
  </r>
  <r>
    <x v="657"/>
    <s v="FRG119"/>
    <s v="PET Clear Preform For Grinding"/>
    <n v="-76"/>
    <n v="-76"/>
    <s v="KG"/>
    <n v="3.0499999999999999E-2"/>
    <n v="-2491.8032786885246"/>
    <x v="7"/>
    <x v="7"/>
  </r>
  <r>
    <x v="657"/>
    <s v="30.5PC2RD-CLS-V"/>
    <s v="30.5 PCO 1881 Rnd CLR Mena Bev Spec-SIPA"/>
    <n v="13126"/>
    <n v="10620"/>
    <s v="PC"/>
    <n v="3.0499999999999999E-2"/>
    <n v="0"/>
    <x v="7"/>
    <x v="7"/>
  </r>
  <r>
    <x v="658"/>
    <s v="9.70TO2RD-CLS-B"/>
    <s v="9.70 29/25 Rnd Clear J/C(P Plt)-SIPA"/>
    <n v="1040580"/>
    <n v="1040580"/>
    <s v="PC"/>
    <n v="9.6999999999999986E-3"/>
    <n v="0"/>
    <x v="2"/>
    <x v="2"/>
  </r>
  <r>
    <x v="659"/>
    <s v="26.6TO2RD-CL-B"/>
    <s v="26.6 TO 29/25 Rnd Clear J/C(P Plt"/>
    <n v="241920"/>
    <n v="241920"/>
    <s v="PC"/>
    <n v="2.6600000000000002E-2"/>
    <n v="0"/>
    <x v="26"/>
    <x v="26"/>
  </r>
  <r>
    <x v="660"/>
    <s v="45.0PC2RD-CLS-B"/>
    <s v="45.0 PCO 1881Rd Clear J/C(P Plt - SIPA"/>
    <n v="496800"/>
    <n v="496800"/>
    <s v="PC"/>
    <n v="4.4999999999999998E-2"/>
    <n v="0"/>
    <x v="79"/>
    <x v="78"/>
  </r>
  <r>
    <x v="661"/>
    <s v="30.5PC2RD-IGS-BH2"/>
    <s v="30.5PCO1881 ICI GreenJ/C(PP JOM HDG-SIPA"/>
    <n v="42480"/>
    <n v="42480"/>
    <s v="PC"/>
    <n v="3.0499999999999999E-2"/>
    <n v="0"/>
    <x v="31"/>
    <x v="31"/>
  </r>
  <r>
    <x v="662"/>
    <s v="9.70TO2RD-CLS-B"/>
    <s v="9.70 29/25 Rnd Clear J/C(P Plt)-SIPA"/>
    <n v="837540"/>
    <n v="837540"/>
    <s v="PC"/>
    <n v="9.6999999999999986E-3"/>
    <n v="0"/>
    <x v="2"/>
    <x v="2"/>
  </r>
  <r>
    <x v="663"/>
    <s v="26.6TO2RD-CL-B"/>
    <s v="26.6 TO 29/25 Rnd Clear J/C(P Plt"/>
    <n v="252000"/>
    <n v="252000"/>
    <s v="PC"/>
    <n v="2.6600000000000002E-2"/>
    <n v="0"/>
    <x v="26"/>
    <x v="26"/>
  </r>
  <r>
    <x v="664"/>
    <s v="52.0BC1RD-CL-B"/>
    <s v="52.0 BC38mm 3 Rnd Clear J/C(P Plt"/>
    <n v="398400"/>
    <n v="398400"/>
    <s v="PC"/>
    <n v="5.1999999999999998E-2"/>
    <n v="0"/>
    <x v="6"/>
    <x v="6"/>
  </r>
  <r>
    <x v="665"/>
    <s v="FRG160"/>
    <s v="PET Blue Preform For Grinding"/>
    <n v="-20"/>
    <n v="0"/>
    <s v="KG"/>
    <n v="1.2500000000000001E-2"/>
    <n v="0"/>
    <x v="98"/>
    <x v="97"/>
  </r>
  <r>
    <x v="665"/>
    <s v="12.5TO2RD-B14-B"/>
    <s v="12.5TO29/25Rnd Nova Blue J/C(Ppt-YISHeng"/>
    <n v="43440"/>
    <n v="0"/>
    <s v="PC"/>
    <n v="1.2500000000000001E-2"/>
    <n v="0"/>
    <x v="98"/>
    <x v="97"/>
  </r>
  <r>
    <x v="666"/>
    <s v="FRG119"/>
    <s v="PET Clear Preform For Grinding"/>
    <n v="-261"/>
    <n v="-261"/>
    <s v="KG"/>
    <n v="1.2500000000000001E-2"/>
    <n v="-20880"/>
    <x v="39"/>
    <x v="39"/>
  </r>
  <r>
    <x v="666"/>
    <s v="12.5TO2RD-CLS-B"/>
    <s v="12.5 29/25 Rnd Clear J/C(PP"/>
    <n v="104400"/>
    <n v="104400"/>
    <s v="PC"/>
    <n v="1.2500000000000001E-2"/>
    <n v="0"/>
    <x v="39"/>
    <x v="39"/>
  </r>
  <r>
    <x v="667"/>
    <s v="30.5PC2RD-IGS-A"/>
    <s v="30.5 PCO 1881 Rnd ICI Green J/C(WP-SIPA"/>
    <n v="42480"/>
    <n v="42480"/>
    <s v="PC"/>
    <n v="3.0499999999999999E-2"/>
    <n v="0"/>
    <x v="31"/>
    <x v="31"/>
  </r>
  <r>
    <x v="668"/>
    <s v="26.6TO2RD-CL-B"/>
    <s v="26.6 TO 29/25 Rnd Clear J/C(P Plt"/>
    <n v="524160"/>
    <n v="524160"/>
    <s v="PC"/>
    <n v="2.6600000000000002E-2"/>
    <n v="0"/>
    <x v="26"/>
    <x v="26"/>
  </r>
  <r>
    <x v="669"/>
    <s v="30.5PC2RD-IGS-BH2"/>
    <s v="30.5PCO1881 ICI GreenJ/C(PP JOM HDG-SIPA"/>
    <n v="318600"/>
    <n v="318600"/>
    <s v="PC"/>
    <n v="3.0499999999999999E-2"/>
    <n v="0"/>
    <x v="31"/>
    <x v="31"/>
  </r>
  <r>
    <x v="670"/>
    <s v="26.6TO2RD-CL-B"/>
    <s v="26.6 TO 29/25 Rnd Clear J/C(P Plt"/>
    <n v="10080"/>
    <n v="10080"/>
    <s v="PC"/>
    <n v="2.6600000000000002E-2"/>
    <n v="0"/>
    <x v="26"/>
    <x v="26"/>
  </r>
  <r>
    <x v="671"/>
    <s v="9.70TO2RD-CLS-B"/>
    <s v="9.70 29/25 Rnd Clear J/C(P Plt)-SIPA"/>
    <n v="431460"/>
    <n v="431460"/>
    <s v="PC"/>
    <n v="9.6999999999999986E-3"/>
    <n v="0"/>
    <x v="2"/>
    <x v="2"/>
  </r>
  <r>
    <x v="672"/>
    <s v="30.5PC2RD-IGS-BH2"/>
    <s v="30.5PCO1881 ICI GreenJ/C(PP JOM HDG-SIPA"/>
    <n v="318600"/>
    <n v="318600"/>
    <s v="PC"/>
    <n v="3.0499999999999999E-2"/>
    <n v="0"/>
    <x v="31"/>
    <x v="31"/>
  </r>
  <r>
    <x v="673"/>
    <s v="30.5PC2RD-IGS-BH2"/>
    <s v="30.5PCO1881 ICI GreenJ/C(PP JOM HDG-SIPA"/>
    <n v="722160"/>
    <n v="722160"/>
    <s v="PC"/>
    <n v="3.0499999999999999E-2"/>
    <n v="0"/>
    <x v="31"/>
    <x v="31"/>
  </r>
  <r>
    <x v="674"/>
    <s v="26.6TO2RD-CL-B"/>
    <s v="26.6 TO 29/25 Rnd Clear J/C(P Plt"/>
    <n v="10080"/>
    <n v="10080"/>
    <s v="PC"/>
    <n v="2.6600000000000002E-2"/>
    <n v="0"/>
    <x v="26"/>
    <x v="26"/>
  </r>
  <r>
    <x v="675"/>
    <s v="52.0BC1RD-CL-B"/>
    <s v="52.0 BC38mm 3 Rnd Clear J/C(P Plt"/>
    <n v="364800"/>
    <n v="364800"/>
    <s v="PC"/>
    <n v="5.1999999999999998E-2"/>
    <n v="0"/>
    <x v="6"/>
    <x v="6"/>
  </r>
  <r>
    <x v="676"/>
    <s v="9.70TO2RD-CLS-B"/>
    <s v="9.70 29/25 Rnd Clear J/C(P Plt)-SIPA"/>
    <n v="1675080"/>
    <n v="1675080"/>
    <s v="PC"/>
    <n v="9.6999999999999986E-3"/>
    <n v="0"/>
    <x v="2"/>
    <x v="2"/>
  </r>
  <r>
    <x v="677"/>
    <s v="45.0PC2RD-IGS-V"/>
    <s v="45.0 PCO 1881 Rnd ICI Green Mena Bev"/>
    <n v="264960"/>
    <n v="264960"/>
    <s v="PC"/>
    <n v="4.4999999999999998E-2"/>
    <n v="0"/>
    <x v="91"/>
    <x v="90"/>
  </r>
  <r>
    <x v="678"/>
    <s v="9.70TO2RD-CLS-B"/>
    <s v="9.70 29/25 Rnd Clear J/C(P Plt)-SIPA"/>
    <n v="761400"/>
    <n v="761400"/>
    <s v="PC"/>
    <n v="9.6999999999999986E-3"/>
    <n v="0"/>
    <x v="2"/>
    <x v="2"/>
  </r>
  <r>
    <x v="679"/>
    <s v="30.5PC2RD-IGS-BH2"/>
    <s v="30.5PCO1881 ICI GreenJ/C(PP JOM HDG-SIPA"/>
    <n v="297360"/>
    <n v="297360"/>
    <s v="PC"/>
    <n v="3.0499999999999999E-2"/>
    <n v="0"/>
    <x v="31"/>
    <x v="31"/>
  </r>
  <r>
    <x v="680"/>
    <s v="26.6TO2RD-CL-B"/>
    <s v="26.6 TO 29/25 Rnd Clear J/C(P Plt"/>
    <n v="252000"/>
    <n v="252000"/>
    <s v="PC"/>
    <n v="2.6600000000000002E-2"/>
    <n v="0"/>
    <x v="26"/>
    <x v="26"/>
  </r>
  <r>
    <x v="681"/>
    <s v="26.6TO2RD-CL-B"/>
    <s v="26.6 TO 29/25 Rnd Clear J/C(P Plt"/>
    <n v="181440"/>
    <n v="181440"/>
    <s v="PC"/>
    <n v="2.6600000000000002E-2"/>
    <n v="0"/>
    <x v="26"/>
    <x v="26"/>
  </r>
  <r>
    <x v="682"/>
    <s v="52.0BC1RD-CL-B"/>
    <s v="52.0 BC38mm 3 Rnd Clear J/C(P Plt"/>
    <n v="273600"/>
    <n v="273600"/>
    <s v="PC"/>
    <n v="5.1999999999999998E-2"/>
    <n v="0"/>
    <x v="6"/>
    <x v="6"/>
  </r>
  <r>
    <x v="683"/>
    <s v="9.70TO2RD-CLS-B"/>
    <s v="9.70 29/25 Rnd Clear J/C(P Plt)-SIPA"/>
    <n v="1243620"/>
    <n v="1243620"/>
    <s v="PC"/>
    <n v="9.6999999999999986E-3"/>
    <n v="0"/>
    <x v="2"/>
    <x v="2"/>
  </r>
  <r>
    <x v="684"/>
    <s v="30.5PC2RD-IGS-BH2"/>
    <s v="30.5PCO1881 ICI GreenJ/C(PP JOM HDG-SIPA"/>
    <n v="754020"/>
    <n v="754020"/>
    <s v="PC"/>
    <n v="3.0499999999999999E-2"/>
    <n v="0"/>
    <x v="31"/>
    <x v="31"/>
  </r>
  <r>
    <x v="685"/>
    <s v="45.0PC2RD-IGS-V"/>
    <s v="45.0 PCO 1881 Rnd ICI Green Mena Bev"/>
    <n v="52992"/>
    <n v="52992"/>
    <s v="PC"/>
    <n v="4.4999999999999998E-2"/>
    <n v="0"/>
    <x v="91"/>
    <x v="90"/>
  </r>
  <r>
    <x v="686"/>
    <s v="30.5PC2RD-IGS-BH2"/>
    <s v="30.5PCO1881 ICI GreenJ/C(PP JOM HDG-SIPA"/>
    <n v="265500"/>
    <n v="265500"/>
    <s v="PC"/>
    <n v="3.0499999999999999E-2"/>
    <n v="0"/>
    <x v="31"/>
    <x v="31"/>
  </r>
  <r>
    <x v="687"/>
    <s v="36.0BC1RD-CJ-S"/>
    <s v="36.0 BC 38mm 3 Rnd Clear Steel C-(Aujan)"/>
    <n v="25344"/>
    <n v="25344"/>
    <s v="PC"/>
    <n v="3.5999999999999997E-2"/>
    <n v="0"/>
    <x v="48"/>
    <x v="48"/>
  </r>
  <r>
    <x v="688"/>
    <s v="11.5TO2RD-LBS1-A"/>
    <s v="11.5 TO29/25Rd L.Blue(≤2ppm)J/C(WP-SIPA"/>
    <n v="104400"/>
    <n v="104400"/>
    <s v="PC"/>
    <n v="1.15E-2"/>
    <n v="0"/>
    <x v="102"/>
    <x v="101"/>
  </r>
  <r>
    <x v="689"/>
    <s v="30.5PC2RD-IGS-BH2"/>
    <s v="30.5PCO1881 ICI GreenJ/C(PP JOM HDG-SIPA"/>
    <n v="711540"/>
    <n v="711540"/>
    <s v="PC"/>
    <n v="3.0499999999999999E-2"/>
    <n v="0"/>
    <x v="31"/>
    <x v="31"/>
  </r>
  <r>
    <x v="690"/>
    <s v="9.70TO2RD-CLS-B"/>
    <s v="9.70 29/25 Rnd Clear J/C(P Plt)-SIPA"/>
    <n v="2436480"/>
    <n v="2436480"/>
    <s v="PC"/>
    <n v="9.6999999999999986E-3"/>
    <n v="0"/>
    <x v="2"/>
    <x v="2"/>
  </r>
  <r>
    <x v="691"/>
    <s v="FRG119"/>
    <s v="PET Clear Preform For Grinding"/>
    <n v="-40"/>
    <n v="-40"/>
    <s v="KG"/>
    <n v="3.5999999999999997E-2"/>
    <n v="-1111.1111111111111"/>
    <x v="3"/>
    <x v="3"/>
  </r>
  <r>
    <x v="691"/>
    <s v="36.0BC1RD-CJ-S"/>
    <s v="36.0 BC 38mm 3 Rnd Clear Steel C-(Aujan)"/>
    <n v="10560"/>
    <n v="10560"/>
    <s v="PC"/>
    <n v="3.5999999999999997E-2"/>
    <n v="0"/>
    <x v="3"/>
    <x v="3"/>
  </r>
  <r>
    <x v="691"/>
    <s v="36.0BC1RD-CJ-S"/>
    <s v="36.0 BC 38mm 3 Rnd Clear Steel C-(Aujan)"/>
    <n v="10560"/>
    <n v="10560"/>
    <s v="PC"/>
    <n v="3.5999999999999997E-2"/>
    <n v="0"/>
    <x v="3"/>
    <x v="3"/>
  </r>
  <r>
    <x v="692"/>
    <s v="36.0BC1RD-CL-G"/>
    <s v="36.0 BC38mm 3 Rnd Clear OJ/C(W plt"/>
    <n v="19008"/>
    <n v="19008"/>
    <s v="PC"/>
    <n v="3.5999999999999997E-2"/>
    <n v="0"/>
    <x v="3"/>
    <x v="3"/>
  </r>
  <r>
    <x v="693"/>
    <s v="FRG119"/>
    <s v="PET Clear Preform For Grinding"/>
    <n v="-747"/>
    <n v="-747"/>
    <s v="KG"/>
    <n v="5.1999999999999998E-2"/>
    <n v="-14365.384615384615"/>
    <x v="15"/>
    <x v="15"/>
  </r>
  <r>
    <x v="693"/>
    <s v="52.0BC1RD-CL-B"/>
    <s v="52.0 BC38mm 3 Rnd Clear J/C(P Plt"/>
    <n v="76800"/>
    <n v="76800"/>
    <s v="PC"/>
    <n v="5.1999999999999998E-2"/>
    <n v="0"/>
    <x v="15"/>
    <x v="15"/>
  </r>
  <r>
    <x v="694"/>
    <s v="FRG160"/>
    <s v="PET Blue Preform For Grinding"/>
    <n v="-448"/>
    <n v="-448"/>
    <s v="KG"/>
    <n v="8.3000000000000001E-3"/>
    <n v="-53975.903614457828"/>
    <x v="5"/>
    <x v="5"/>
  </r>
  <r>
    <x v="694"/>
    <s v="8.3TO2RD-LBS-A"/>
    <s v="8.30TO LW 29/25Rd L.Blue J/C(W plt)-SIPA"/>
    <n v="378000"/>
    <n v="378000"/>
    <s v="PC"/>
    <n v="8.3000000000000001E-3"/>
    <n v="0"/>
    <x v="5"/>
    <x v="5"/>
  </r>
  <r>
    <x v="695"/>
    <s v="FRG119"/>
    <s v="PET Clear Preform For Grinding"/>
    <n v="-268"/>
    <n v="-268"/>
    <s v="KG"/>
    <n v="2.6600000000000002E-2"/>
    <n v="-10075.187969924811"/>
    <x v="26"/>
    <x v="26"/>
  </r>
  <r>
    <x v="695"/>
    <s v="26.6TO2RD-CL-B"/>
    <s v="26.6 TO 29/25 Rnd Clear J/C(P Plt"/>
    <n v="40320"/>
    <n v="40320"/>
    <s v="PC"/>
    <n v="2.6600000000000002E-2"/>
    <n v="0"/>
    <x v="26"/>
    <x v="26"/>
  </r>
  <r>
    <x v="696"/>
    <s v="FRG119"/>
    <s v="PET Clear Preform For Grinding"/>
    <n v="-738"/>
    <n v="-738"/>
    <s v="KG"/>
    <n v="9.6999999999999986E-3"/>
    <n v="-76082.47422680413"/>
    <x v="2"/>
    <x v="2"/>
  </r>
  <r>
    <x v="696"/>
    <s v="9.70TO2RD-CLS-B"/>
    <s v="9.70 29/25 Rnd Clear J/C(P Plt)-SIPA"/>
    <n v="1294380"/>
    <n v="1294380"/>
    <s v="PC"/>
    <n v="9.6999999999999986E-3"/>
    <n v="0"/>
    <x v="2"/>
    <x v="2"/>
  </r>
  <r>
    <x v="697"/>
    <s v="30.5PC2RD-CLS-BH2"/>
    <s v="30.5 PCO 1881Rnd CLR J/C(PP JOM HDG-SIPA"/>
    <n v="1019520"/>
    <n v="1019520"/>
    <s v="PC"/>
    <n v="3.0499999999999999E-2"/>
    <n v="0"/>
    <x v="21"/>
    <x v="21"/>
  </r>
  <r>
    <x v="698"/>
    <s v="9.4TO2RD-LBS2-A"/>
    <s v="9.4TO 29/25Rnd L.Blue J/CWplt(≤1ppm)SIPA"/>
    <n v="50760"/>
    <n v="50760"/>
    <s v="PC"/>
    <n v="9.4000000000000004E-3"/>
    <n v="0"/>
    <x v="4"/>
    <x v="4"/>
  </r>
  <r>
    <x v="699"/>
    <s v="9.4TO2RD-LBS1-A"/>
    <s v="9.4TO 29/25Rnd L.Blue J/CWplt(≤2ppm)SIPA"/>
    <n v="126900"/>
    <n v="126900"/>
    <s v="PC"/>
    <n v="9.4000000000000004E-3"/>
    <n v="0"/>
    <x v="4"/>
    <x v="4"/>
  </r>
  <r>
    <x v="700"/>
    <s v="9.4TO2RD-BS6-B"/>
    <s v="9.4TO29/25 Rd Nova Blue-PET&quot;ST-BC211"/>
    <n v="76140"/>
    <n v="76140"/>
    <s v="PC"/>
    <n v="9.4000000000000004E-3"/>
    <n v="0"/>
    <x v="4"/>
    <x v="4"/>
  </r>
  <r>
    <x v="701"/>
    <s v="9.70TO2RD-CLS-B"/>
    <s v="9.70 29/25 Rnd Clear J/C(P Plt)-SIPA"/>
    <n v="203040"/>
    <n v="203040"/>
    <s v="PC"/>
    <n v="9.6999999999999986E-3"/>
    <n v="0"/>
    <x v="2"/>
    <x v="2"/>
  </r>
  <r>
    <x v="702"/>
    <s v="34.0BC1EC-CL2-S"/>
    <s v="34.0 BC38mm 3 ECO Huayan Clear steel C"/>
    <n v="14904"/>
    <n v="14904"/>
    <s v="PC"/>
    <n v="3.4000000000000002E-2"/>
    <n v="0"/>
    <x v="51"/>
    <x v="51"/>
  </r>
  <r>
    <x v="703"/>
    <s v="30.5PC2RD-IGS-BH2"/>
    <s v="30.5PCO1881 ICI GreenJ/C(PP JOM HDG-SIPA"/>
    <n v="573480"/>
    <n v="573480"/>
    <s v="PC"/>
    <n v="3.0499999999999999E-2"/>
    <n v="0"/>
    <x v="31"/>
    <x v="31"/>
  </r>
  <r>
    <x v="704"/>
    <s v="7.45TO2RD-AJBS-B"/>
    <s v="7.45TO29/25Rnd'ALM'BLUE J/C(PP-SIPA)"/>
    <n v="268920"/>
    <n v="268920"/>
    <s v="PC"/>
    <n v="7.45E-3"/>
    <n v="0"/>
    <x v="75"/>
    <x v="74"/>
  </r>
  <r>
    <x v="705"/>
    <s v="FRG160"/>
    <s v="PET Blue Preform For Grinding"/>
    <n v="-140"/>
    <n v="-140"/>
    <s v="KG"/>
    <n v="2.6600000000000002E-2"/>
    <n v="-5263.1578947368416"/>
    <x v="62"/>
    <x v="62"/>
  </r>
  <r>
    <x v="705"/>
    <s v="26.6TO2RD-LB-A"/>
    <s v="26.6 29/25 Rnd Light Blue J/C(W Plt"/>
    <n v="10080"/>
    <n v="10080"/>
    <s v="PC"/>
    <n v="2.6600000000000002E-2"/>
    <n v="0"/>
    <x v="62"/>
    <x v="62"/>
  </r>
  <r>
    <x v="706"/>
    <s v="26.6TO2RD-LB-A"/>
    <s v="26.6 29/25 Rnd Light Blue J/C(W Plt"/>
    <n v="10080"/>
    <n v="10080"/>
    <s v="PC"/>
    <n v="2.6600000000000002E-2"/>
    <n v="0"/>
    <x v="62"/>
    <x v="62"/>
  </r>
  <r>
    <x v="706"/>
    <s v="26.6TO2RD-LB-A"/>
    <s v="26.6 29/25 Rnd Light Blue J/C(W Plt"/>
    <n v="10080"/>
    <n v="10080"/>
    <s v="PC"/>
    <n v="2.6600000000000002E-2"/>
    <n v="0"/>
    <x v="62"/>
    <x v="62"/>
  </r>
  <r>
    <x v="707"/>
    <s v="12.5TO2RD-B14-B"/>
    <s v="12.5TO29/25Rnd Nova Blue J/C(Ppt-YISHeng"/>
    <n v="20880"/>
    <n v="20880"/>
    <s v="PC"/>
    <n v="1.2500000000000001E-2"/>
    <n v="0"/>
    <x v="87"/>
    <x v="86"/>
  </r>
  <r>
    <x v="708"/>
    <s v="12.5TO2RD-LBS1-A"/>
    <s v="12.5 TO29/25Rd L.Blue(≤ 2ppm)J/C(WP-SIPA"/>
    <n v="62640"/>
    <n v="62640"/>
    <s v="PC"/>
    <n v="1.2500000000000001E-2"/>
    <n v="0"/>
    <x v="87"/>
    <x v="86"/>
  </r>
  <r>
    <x v="709"/>
    <s v="FRG160"/>
    <s v="PET Blue Preform For Grinding"/>
    <n v="-1305"/>
    <n v="-1305"/>
    <s v="KG"/>
    <n v="1.2500000000000001E-2"/>
    <n v="-104400"/>
    <x v="87"/>
    <x v="86"/>
  </r>
  <r>
    <x v="709"/>
    <s v="12.5TO2RD-LBS-A"/>
    <s v="12.5 TO29/25Rd L.Blue J/C(WP-SIPA"/>
    <n v="146160"/>
    <n v="146160"/>
    <s v="PC"/>
    <n v="1.2500000000000001E-2"/>
    <n v="0"/>
    <x v="87"/>
    <x v="86"/>
  </r>
  <r>
    <x v="710"/>
    <s v="52.0BC1RD-CLS-B"/>
    <s v="52.0 BC38mm 3 Rnd Clear J/C(Pplt)SIPA"/>
    <n v="19456"/>
    <n v="19456"/>
    <s v="PC"/>
    <n v="5.1999999999999998E-2"/>
    <n v="0"/>
    <x v="6"/>
    <x v="6"/>
  </r>
  <r>
    <x v="711"/>
    <s v="45.0PC2RD-CLS-V"/>
    <s v="45.0 PCO 1881 Rnd Clear Mena Bev"/>
    <n v="6624"/>
    <n v="6624"/>
    <s v="PC"/>
    <n v="0"/>
    <n v="0"/>
    <x v="56"/>
    <x v="56"/>
  </r>
  <r>
    <x v="711"/>
    <s v="45.0PC2RD-CLS-B"/>
    <s v="45.0 PCO 1881Rd Clear J/C(P Plt - SIPA"/>
    <n v="6624"/>
    <n v="6624"/>
    <s v="PC"/>
    <n v="0"/>
    <n v="0"/>
    <x v="56"/>
    <x v="56"/>
  </r>
  <r>
    <x v="712"/>
    <s v="850W34-SFI-1FFL10"/>
    <s v="Safi 850ml PET WHT BT-F.F Laban-25D V2"/>
    <n v="9450"/>
    <n v="9450"/>
    <s v="PC"/>
    <n v="0.85"/>
    <n v="0"/>
    <x v="103"/>
    <x v="102"/>
  </r>
  <r>
    <x v="713"/>
    <s v="30.5PC2RD-CLS-BH2"/>
    <s v="30.5 PCO 1881Rnd CLR J/C(PP JOM HDG-SIPA"/>
    <n v="106200"/>
    <n v="0"/>
    <s v="PC"/>
    <n v="3.0499999999999999E-2"/>
    <n v="0"/>
    <x v="21"/>
    <x v="21"/>
  </r>
  <r>
    <x v="713"/>
    <s v="30.5PC2RD-CLS-A"/>
    <s v="30.5 PCO 1881 Rnd Clear J/C(W plt-SIPA"/>
    <n v="106200"/>
    <n v="106200"/>
    <s v="PC"/>
    <n v="3.0499999999999999E-2"/>
    <n v="0"/>
    <x v="21"/>
    <x v="21"/>
  </r>
  <r>
    <x v="714"/>
    <s v="FRG119"/>
    <s v="PET Clear Preform For Grinding"/>
    <n v="-323"/>
    <n v="-323"/>
    <s v="KG"/>
    <n v="3.0499999999999999E-2"/>
    <n v="-10590.163934426229"/>
    <x v="21"/>
    <x v="21"/>
  </r>
  <r>
    <x v="714"/>
    <s v="30.5PC2RD-CLS-BH2"/>
    <s v="30.5 PCO 1881Rnd CLR J/C(PP JOM HDG-SIPA"/>
    <n v="63720"/>
    <n v="63720"/>
    <s v="PC"/>
    <n v="3.0499999999999999E-2"/>
    <n v="0"/>
    <x v="21"/>
    <x v="21"/>
  </r>
  <r>
    <x v="715"/>
    <s v="30.5PC2RD-CLS-V"/>
    <s v="30.5 PCO 1881 Rnd CLR Mena Bev Spec-SIPA"/>
    <n v="10620"/>
    <n v="10620"/>
    <s v="PC"/>
    <n v="3.0499999999999999E-2"/>
    <n v="0"/>
    <x v="21"/>
    <x v="21"/>
  </r>
  <r>
    <x v="716"/>
    <s v="30.5PC2RD-IGS-V"/>
    <s v="30.5PCO1881RndICI GreenMenaBev Spec-SIPA"/>
    <n v="31860"/>
    <n v="31860"/>
    <s v="PC"/>
    <n v="3.0499999999999999E-2"/>
    <n v="0"/>
    <x v="31"/>
    <x v="31"/>
  </r>
  <r>
    <x v="717"/>
    <s v="FRG161"/>
    <s v="PET Green Preform For Grinding"/>
    <n v="-140"/>
    <n v="-140"/>
    <s v="KG"/>
    <n v="3.0499999999999999E-2"/>
    <n v="-4590.1639344262294"/>
    <x v="31"/>
    <x v="31"/>
  </r>
  <r>
    <x v="717"/>
    <s v="30.5PC2RD-IGS-BH2"/>
    <s v="30.5PCO1881 ICI GreenJ/C(PP JOM HDG-SIPA"/>
    <n v="42480"/>
    <n v="42480"/>
    <s v="PC"/>
    <n v="3.0499999999999999E-2"/>
    <n v="0"/>
    <x v="31"/>
    <x v="31"/>
  </r>
  <r>
    <x v="718"/>
    <s v="7.45TO2RD-AJBS-B"/>
    <s v="7.45TO29/25Rnd'ALM'BLUE J/C(PP-SIPA)"/>
    <n v="89640"/>
    <n v="89640"/>
    <s v="PC"/>
    <n v="7.45E-3"/>
    <n v="0"/>
    <x v="24"/>
    <x v="24"/>
  </r>
  <r>
    <x v="719"/>
    <s v="9.4TO2RD-CL-B"/>
    <s v="9.4 TO 29/25 Rnd Clear J/C(P Plt"/>
    <n v="25380"/>
    <n v="25380"/>
    <s v="PC"/>
    <n v="9.4000000000000004E-3"/>
    <n v="0"/>
    <x v="60"/>
    <x v="60"/>
  </r>
  <r>
    <x v="720"/>
    <s v="26.6TO2RD-BS4-B"/>
    <s v="26.6TO29/25Rnd Nova Blue -ST-BC 211"/>
    <n v="30240"/>
    <n v="30240"/>
    <s v="PC"/>
    <n v="2.6600000000000002E-2"/>
    <n v="0"/>
    <x v="99"/>
    <x v="98"/>
  </r>
  <r>
    <x v="721"/>
    <s v="FRG119"/>
    <s v="PET Clear Preform For Grinding"/>
    <n v="-306"/>
    <n v="-306"/>
    <s v="KG"/>
    <n v="3.5999999999999997E-2"/>
    <n v="-8500"/>
    <x v="48"/>
    <x v="48"/>
  </r>
  <r>
    <x v="721"/>
    <s v="36.0BC1RD-CJ-S"/>
    <s v="36.0 BC 38mm 3 Rnd Clear Steel C-(Aujan)"/>
    <n v="67584"/>
    <n v="67584"/>
    <s v="PC"/>
    <n v="3.5999999999999997E-2"/>
    <n v="0"/>
    <x v="48"/>
    <x v="48"/>
  </r>
  <r>
    <x v="722"/>
    <s v="FRG119"/>
    <s v="PET Clear Preform For Grinding"/>
    <n v="-135"/>
    <n v="-135"/>
    <s v="KG"/>
    <n v="1.2699999999999999E-2"/>
    <n v="-10629.92125984252"/>
    <x v="58"/>
    <x v="58"/>
  </r>
  <r>
    <x v="722"/>
    <s v="12.7BC1EC-CL-S"/>
    <s v="12.7 BC38mm 3 ECO Clear Steel c."/>
    <n v="127872"/>
    <n v="127872"/>
    <s v="PC"/>
    <n v="1.2699999999999999E-2"/>
    <n v="0"/>
    <x v="58"/>
    <x v="58"/>
  </r>
  <r>
    <x v="723"/>
    <s v="9.70TO2RD-CLS-B"/>
    <s v="9.70 29/25 Rnd Clear J/C(P Plt)-SIPA"/>
    <n v="736020"/>
    <n v="736020"/>
    <s v="PC"/>
    <n v="9.6999999999999986E-3"/>
    <n v="0"/>
    <x v="2"/>
    <x v="2"/>
  </r>
  <r>
    <x v="724"/>
    <s v="FRG119"/>
    <s v="PET Clear Preform For Grinding"/>
    <n v="-323"/>
    <n v="-323"/>
    <s v="KG"/>
    <n v="3.0499999999999999E-2"/>
    <n v="-10590.163934426229"/>
    <x v="7"/>
    <x v="7"/>
  </r>
  <r>
    <x v="724"/>
    <s v="30.5PC2RD-CLS-A"/>
    <s v="30.5 PCO 1881 Rnd Clear J/C(W plt-SIPA"/>
    <n v="138060"/>
    <n v="138060"/>
    <s v="PC"/>
    <n v="3.0499999999999999E-2"/>
    <n v="0"/>
    <x v="7"/>
    <x v="7"/>
  </r>
  <r>
    <x v="725"/>
    <s v="9.70TO2RD-CLS-B"/>
    <s v="9.70 29/25 Rnd Clear J/C(P Plt)-SIPA"/>
    <n v="1243620"/>
    <n v="1243620"/>
    <s v="PC"/>
    <n v="9.6999999999999986E-3"/>
    <n v="0"/>
    <x v="2"/>
    <x v="2"/>
  </r>
  <r>
    <x v="726"/>
    <s v="45.0PC2RD-IGS-B"/>
    <s v="45.0 PCO 1881 ICI Green J/C(P Plt - SIPA"/>
    <n v="331200"/>
    <n v="331200"/>
    <s v="PC"/>
    <n v="4.4999999999999998E-2"/>
    <n v="0"/>
    <x v="88"/>
    <x v="87"/>
  </r>
  <r>
    <x v="727"/>
    <s v="30.5PC2RD-CLS-A"/>
    <s v="30.5 PCO 1881 Rnd Clear J/C(W plt-SIPA"/>
    <n v="42480"/>
    <n v="42480"/>
    <s v="PC"/>
    <n v="3.0499999999999999E-2"/>
    <n v="0"/>
    <x v="21"/>
    <x v="21"/>
  </r>
  <r>
    <x v="728"/>
    <s v="30.5PC2RD-CLS-BH2"/>
    <s v="30.5 PCO 1881Rnd CLR J/C(PP JOM HDG-SIPA"/>
    <n v="605340"/>
    <n v="605340"/>
    <s v="PC"/>
    <n v="3.0499999999999999E-2"/>
    <n v="0"/>
    <x v="21"/>
    <x v="21"/>
  </r>
  <r>
    <x v="729"/>
    <s v="26.6TO2RD-CL-B"/>
    <s v="26.6 TO 29/25 Rnd Clear J/C(P Plt"/>
    <n v="221760"/>
    <n v="221760"/>
    <s v="PC"/>
    <n v="2.6600000000000002E-2"/>
    <n v="0"/>
    <x v="26"/>
    <x v="26"/>
  </r>
  <r>
    <x v="730"/>
    <s v="9.70TO2RD-CLS-B"/>
    <s v="9.70 29/25 Rnd Clear J/C(P Plt)-SIPA"/>
    <n v="456840"/>
    <n v="456840"/>
    <s v="PC"/>
    <n v="9.6999999999999986E-3"/>
    <n v="0"/>
    <x v="2"/>
    <x v="2"/>
  </r>
  <r>
    <x v="731"/>
    <s v="26.6TO2RD-CL-B"/>
    <s v="26.6 TO 29/25 Rnd Clear J/C(P Plt"/>
    <n v="262080"/>
    <n v="262080"/>
    <s v="PC"/>
    <n v="2.6600000000000002E-2"/>
    <n v="0"/>
    <x v="26"/>
    <x v="26"/>
  </r>
  <r>
    <x v="732"/>
    <s v="36.0BC1RD-CJ-S"/>
    <s v="36.0 BC 38mm 3 Rnd Clear Steel C-(Aujan)"/>
    <n v="21120"/>
    <n v="21120"/>
    <s v="PC"/>
    <n v="3.5999999999999997E-2"/>
    <n v="0"/>
    <x v="3"/>
    <x v="3"/>
  </r>
  <r>
    <x v="733"/>
    <s v="52.0BC1RD-CL-B"/>
    <s v="52.0 BC38mm 3 Rnd Clear J/C(P Plt"/>
    <n v="4800"/>
    <n v="4800"/>
    <s v="PC"/>
    <n v="5.1999999999999998E-2"/>
    <n v="0"/>
    <x v="15"/>
    <x v="15"/>
  </r>
  <r>
    <x v="734"/>
    <s v="52.0BC1RD-CL-G"/>
    <s v="52.0 BC 38mm 3 Rnd Clear OJ/C(W plt"/>
    <n v="33600"/>
    <n v="33600"/>
    <s v="PC"/>
    <n v="5.1999999999999998E-2"/>
    <n v="0"/>
    <x v="15"/>
    <x v="15"/>
  </r>
  <r>
    <x v="735"/>
    <s v="30.5PC2RD-CLS-BH2"/>
    <s v="30.5 PCO 1881Rnd CLR J/C(PP JOM HDG-SIPA"/>
    <n v="1040760"/>
    <n v="1040760"/>
    <s v="PC"/>
    <n v="3.0499999999999999E-2"/>
    <n v="0"/>
    <x v="21"/>
    <x v="21"/>
  </r>
  <r>
    <x v="736"/>
    <s v="FRG161"/>
    <s v="PET Green Preform For Grinding"/>
    <n v="-298"/>
    <n v="-298"/>
    <s v="KG"/>
    <n v="4.4999999999999998E-2"/>
    <n v="-6622.2222222222226"/>
    <x v="88"/>
    <x v="87"/>
  </r>
  <r>
    <x v="736"/>
    <s v="45.0PC2RD-IGS-B"/>
    <s v="45.0 PCO 1881 ICI Green J/C(P Plt - SIPA"/>
    <n v="662400"/>
    <n v="662400"/>
    <s v="PC"/>
    <n v="4.4999999999999998E-2"/>
    <n v="0"/>
    <x v="88"/>
    <x v="87"/>
  </r>
  <r>
    <x v="737"/>
    <s v="9.70TO2RD-CLS-B"/>
    <s v="9.70 29/25 Rnd Clear J/C(P Plt)-SIPA"/>
    <n v="1472040"/>
    <n v="1472040"/>
    <s v="PC"/>
    <n v="9.6999999999999986E-3"/>
    <n v="0"/>
    <x v="2"/>
    <x v="2"/>
  </r>
  <r>
    <x v="738"/>
    <s v="26.6TO2RD-CL-B"/>
    <s v="26.6 TO 29/25 Rnd Clear J/C(P Plt"/>
    <n v="241920"/>
    <n v="241920"/>
    <s v="PC"/>
    <n v="2.6600000000000002E-2"/>
    <n v="0"/>
    <x v="26"/>
    <x v="26"/>
  </r>
  <r>
    <x v="739"/>
    <s v="52.0BC1RD-CL-B"/>
    <s v="52.0 BC38mm 3 Rnd Clear J/C(P Plt"/>
    <n v="81600"/>
    <n v="81600"/>
    <s v="PC"/>
    <n v="5.1999999999999998E-2"/>
    <n v="0"/>
    <x v="6"/>
    <x v="6"/>
  </r>
  <r>
    <x v="740"/>
    <s v="26.6TO2RD-CL-B"/>
    <s v="26.6 TO 29/25 Rnd Clear J/C(P Plt"/>
    <n v="493920"/>
    <n v="493920"/>
    <s v="PC"/>
    <n v="2.6600000000000002E-2"/>
    <n v="0"/>
    <x v="26"/>
    <x v="26"/>
  </r>
  <r>
    <x v="741"/>
    <s v="30.5PC2RD-IGS-BH2"/>
    <s v="30.5PCO1881 ICI GreenJ/C(PP JOM HDG-SIPA"/>
    <n v="647820"/>
    <n v="647820"/>
    <s v="PC"/>
    <n v="3.0499999999999999E-2"/>
    <n v="0"/>
    <x v="31"/>
    <x v="31"/>
  </r>
  <r>
    <x v="742"/>
    <s v="52.0BC1RD-CL-B"/>
    <s v="52.0 BC38mm 3 Rnd Clear J/C(P Plt"/>
    <n v="417600"/>
    <n v="417600"/>
    <s v="PC"/>
    <n v="5.1999999999999998E-2"/>
    <n v="0"/>
    <x v="6"/>
    <x v="6"/>
  </r>
  <r>
    <x v="743"/>
    <s v="45.0PC2RD-IGS-B"/>
    <s v="45.0 PCO 1881 ICI Green J/C(P Plt - SIPA"/>
    <n v="609408"/>
    <n v="609408"/>
    <s v="PC"/>
    <n v="4.4999999999999998E-2"/>
    <n v="0"/>
    <x v="88"/>
    <x v="87"/>
  </r>
  <r>
    <x v="744"/>
    <s v="30.5PC2RD-CLS-BH2"/>
    <s v="30.5 PCO 1881Rnd CLR J/C(PP JOM HDG-SIPA"/>
    <n v="350460"/>
    <n v="350460"/>
    <s v="PC"/>
    <n v="3.0499999999999999E-2"/>
    <n v="0"/>
    <x v="21"/>
    <x v="21"/>
  </r>
  <r>
    <x v="745"/>
    <s v="18.0BC1RD-CL-S"/>
    <s v="18.0 BC38mm 3 Rnd Clear Steel C"/>
    <n v="90288"/>
    <n v="90288"/>
    <s v="PC"/>
    <n v="1.7999999999999999E-2"/>
    <n v="0"/>
    <x v="64"/>
    <x v="64"/>
  </r>
  <r>
    <x v="745"/>
    <s v="FRG119"/>
    <s v="PET Clear Preform For Grinding"/>
    <n v="-147"/>
    <n v="-147"/>
    <s v="KG"/>
    <n v="1.7999999999999999E-2"/>
    <n v="-8166.666666666667"/>
    <x v="64"/>
    <x v="64"/>
  </r>
  <r>
    <x v="746"/>
    <s v="51.0BC1RD-CL-S"/>
    <s v="51.0 BC 38mm 3 Rnd Clear steel c"/>
    <n v="7200"/>
    <n v="7200"/>
    <s v="PC"/>
    <n v="5.0999999999999997E-2"/>
    <n v="0"/>
    <x v="49"/>
    <x v="49"/>
  </r>
  <r>
    <x v="747"/>
    <s v="30.5PC2RD-IGS-BH2"/>
    <s v="30.5PCO1881 ICI GreenJ/C(PP JOM HDG-SIPA"/>
    <n v="1030140"/>
    <n v="1030140"/>
    <s v="PC"/>
    <n v="3.0499999999999999E-2"/>
    <n v="0"/>
    <x v="31"/>
    <x v="31"/>
  </r>
  <r>
    <x v="748"/>
    <s v="45.0PC2RD-IGS-B"/>
    <s v="45.0 PCO 1881 ICI Green J/C(P Plt - SIPA"/>
    <n v="331200"/>
    <n v="331200"/>
    <s v="PC"/>
    <n v="4.4999999999999998E-2"/>
    <n v="0"/>
    <x v="88"/>
    <x v="87"/>
  </r>
  <r>
    <x v="749"/>
    <s v="45.0PC2RD-CLS-B"/>
    <s v="45.0 PCO 1881Rd Clear J/C(P Plt - SIPA"/>
    <n v="483552"/>
    <n v="482552"/>
    <s v="PC"/>
    <n v="4.4999999999999998E-2"/>
    <n v="0"/>
    <x v="79"/>
    <x v="78"/>
  </r>
  <r>
    <x v="750"/>
    <s v="26.6TO2RD-CL-B"/>
    <s v="26.6 TO 29/25 Rnd Clear J/C(P Plt"/>
    <n v="504000"/>
    <n v="504000"/>
    <s v="PC"/>
    <n v="2.6600000000000002E-2"/>
    <n v="0"/>
    <x v="26"/>
    <x v="26"/>
  </r>
  <r>
    <x v="751"/>
    <s v="52.0BC1RD-CL-B"/>
    <s v="52.0 BC38mm 3 Rnd Clear J/C(P Plt"/>
    <n v="249600"/>
    <n v="249600"/>
    <s v="PC"/>
    <n v="5.1999999999999998E-2"/>
    <n v="0"/>
    <x v="6"/>
    <x v="6"/>
  </r>
  <r>
    <x v="752"/>
    <s v="26.6TO2RD-CL-B"/>
    <s v="26.6 TO 29/25 Rnd Clear J/C(P Plt"/>
    <n v="211680"/>
    <n v="211680"/>
    <s v="PC"/>
    <n v="2.6600000000000002E-2"/>
    <n v="0"/>
    <x v="26"/>
    <x v="26"/>
  </r>
  <r>
    <x v="753"/>
    <s v="52.0BC1RD-CL-B"/>
    <s v="52.0 BC38mm 3 Rnd Clear J/C(P Plt"/>
    <n v="249600"/>
    <n v="249600"/>
    <s v="PC"/>
    <n v="5.1999999999999998E-2"/>
    <n v="0"/>
    <x v="6"/>
    <x v="6"/>
  </r>
  <r>
    <x v="754"/>
    <s v="30.5PC2RD-IGS-BH2"/>
    <s v="30.5PCO1881 ICI GreenJ/C(PP JOM HDG-SIPA"/>
    <n v="817740"/>
    <n v="817740"/>
    <s v="PC"/>
    <n v="3.0499999999999999E-2"/>
    <n v="0"/>
    <x v="31"/>
    <x v="31"/>
  </r>
  <r>
    <x v="755"/>
    <s v="26.6TO2RD-CL-B"/>
    <s v="26.6 TO 29/25 Rnd Clear J/C(P Plt"/>
    <n v="383040"/>
    <n v="383040"/>
    <s v="PC"/>
    <n v="2.6600000000000002E-2"/>
    <n v="0"/>
    <x v="26"/>
    <x v="26"/>
  </r>
  <r>
    <x v="756"/>
    <s v="9.70TO2RD-CLS-B"/>
    <s v="9.70 29/25 Rnd Clear J/C(P Plt)-SIPA"/>
    <n v="253800"/>
    <n v="253800"/>
    <s v="PC"/>
    <n v="9.6999999999999986E-3"/>
    <n v="0"/>
    <x v="2"/>
    <x v="2"/>
  </r>
  <r>
    <x v="757"/>
    <s v="45.0PC2RD-IGS-B"/>
    <s v="45.0 PCO 1881 ICI Green J/C(P Plt - SIPA"/>
    <n v="13248"/>
    <n v="13248"/>
    <s v="PC"/>
    <n v="4.4999999999999998E-2"/>
    <n v="0"/>
    <x v="88"/>
    <x v="87"/>
  </r>
  <r>
    <x v="758"/>
    <s v="45.0PC2RD-IGS-V"/>
    <s v="45.0 PCO 1881 Rnd ICI Green Mena Bev"/>
    <n v="6624"/>
    <n v="6624"/>
    <s v="PC"/>
    <n v="4.4999999999999998E-2"/>
    <n v="0"/>
    <x v="88"/>
    <x v="87"/>
  </r>
  <r>
    <x v="759"/>
    <s v="FRG160"/>
    <s v="PET Blue Preform For Grinding"/>
    <n v="-624"/>
    <n v="-624"/>
    <s v="KG"/>
    <n v="5.0999999999999997E-2"/>
    <n v="-12235.294117647059"/>
    <x v="12"/>
    <x v="12"/>
  </r>
  <r>
    <x v="759"/>
    <s v="51.0BC1RD-LB-A"/>
    <s v="51.0 BC 38mm 3 Rnd Light Blue J/C(W plt"/>
    <n v="73440"/>
    <n v="73440"/>
    <s v="PC"/>
    <n v="5.0999999999999997E-2"/>
    <n v="0"/>
    <x v="12"/>
    <x v="12"/>
  </r>
  <r>
    <x v="760"/>
    <s v="45.0PC2RD-CLS-B"/>
    <s v="45.0 PCO 1881Rd Clear J/C(P Plt - SIPA"/>
    <n v="172224"/>
    <n v="172224"/>
    <s v="PC"/>
    <n v="4.4999999999999998E-2"/>
    <n v="0"/>
    <x v="79"/>
    <x v="78"/>
  </r>
  <r>
    <x v="761"/>
    <s v="FRG119"/>
    <s v="PET Clear Preform For Grinding"/>
    <n v="-268"/>
    <n v="-268"/>
    <s v="KG"/>
    <n v="2.6600000000000002E-2"/>
    <n v="-10075.187969924811"/>
    <x v="26"/>
    <x v="26"/>
  </r>
  <r>
    <x v="761"/>
    <s v="26.6TO2RD-CL-B"/>
    <s v="26.6 TO 29/25 Rnd Clear J/C(P Plt"/>
    <n v="141120"/>
    <n v="141120"/>
    <s v="PC"/>
    <n v="2.6600000000000002E-2"/>
    <n v="0"/>
    <x v="26"/>
    <x v="26"/>
  </r>
  <r>
    <x v="762"/>
    <s v="26.6TO2RD-BS4-B"/>
    <s v="26.6TO29/25Rnd Nova Blue -ST-BC 211"/>
    <n v="30240"/>
    <n v="30240"/>
    <s v="PC"/>
    <n v="2.6600000000000002E-2"/>
    <n v="0"/>
    <x v="85"/>
    <x v="84"/>
  </r>
  <r>
    <x v="763"/>
    <s v="26.6TO2RD-AJB-BH"/>
    <s v="26.6TO29/25Rnd'ALM'BLUE J/C(PP-HDG)"/>
    <n v="20160"/>
    <n v="20160"/>
    <s v="PC"/>
    <n v="2.6600000000000002E-2"/>
    <n v="0"/>
    <x v="85"/>
    <x v="84"/>
  </r>
  <r>
    <x v="764"/>
    <s v="30.5PC2RD-IGS-BH2"/>
    <s v="30.5PCO1881 ICI GreenJ/C(PP JOM HDG-SIPA"/>
    <n v="138060"/>
    <n v="138060"/>
    <s v="PC"/>
    <n v="3.0499999999999999E-2"/>
    <n v="0"/>
    <x v="31"/>
    <x v="31"/>
  </r>
  <r>
    <x v="765"/>
    <s v="FRG160"/>
    <s v="PET Blue Preform For Grinding"/>
    <n v="-222"/>
    <n v="-222"/>
    <s v="KG"/>
    <n v="7.45E-3"/>
    <n v="-29798.657718120805"/>
    <x v="24"/>
    <x v="24"/>
  </r>
  <r>
    <x v="765"/>
    <s v="7.45TO2RD-LBS-A"/>
    <s v="7.45TO LW 29/25 L.Blue J/C(WP-SIPA"/>
    <n v="448200"/>
    <n v="448200"/>
    <s v="PC"/>
    <n v="7.45E-3"/>
    <n v="0"/>
    <x v="24"/>
    <x v="24"/>
  </r>
  <r>
    <x v="766"/>
    <s v="30.5PC2RD-CLS-BH2"/>
    <s v="30.5 PCO 1881Rnd CLR J/C(PP JOM HDG-SIPA"/>
    <n v="95580"/>
    <n v="95580"/>
    <s v="PC"/>
    <n v="3.0499999999999999E-2"/>
    <n v="0"/>
    <x v="21"/>
    <x v="21"/>
  </r>
  <r>
    <x v="767"/>
    <s v="FRG119"/>
    <s v="PET Clear Preform For Grinding"/>
    <n v="-249"/>
    <n v="-249"/>
    <s v="KG"/>
    <n v="5.1999999999999998E-2"/>
    <n v="-4788.461538461539"/>
    <x v="15"/>
    <x v="15"/>
  </r>
  <r>
    <x v="767"/>
    <s v="52.0BC1RD-CL-B"/>
    <s v="52.0 BC38mm 3 Rnd Clear J/C(P Plt"/>
    <n v="57600"/>
    <n v="57600"/>
    <s v="PC"/>
    <n v="5.1999999999999998E-2"/>
    <n v="0"/>
    <x v="15"/>
    <x v="15"/>
  </r>
  <r>
    <x v="768"/>
    <s v="10.4TO2RD-CLS-A"/>
    <s v="10.4 TO 29/25 Rnd Clear J/C(W plt"/>
    <n v="126900"/>
    <n v="126900"/>
    <s v="PC"/>
    <n v="1.04E-2"/>
    <n v="0"/>
    <x v="53"/>
    <x v="53"/>
  </r>
  <r>
    <x v="768"/>
    <s v="10.4TO2RD-CL-A"/>
    <s v="10.4 TO 29/25 Rnd Clear J/C(W plt"/>
    <n v="582912"/>
    <n v="582912"/>
    <s v="PC"/>
    <n v="1.04E-2"/>
    <n v="0"/>
    <x v="53"/>
    <x v="53"/>
  </r>
  <r>
    <x v="768"/>
    <s v="FRG119"/>
    <s v="PET Clear Preform For Grinding"/>
    <n v="-2"/>
    <n v="-2"/>
    <s v="KG"/>
    <n v="1.04E-2"/>
    <n v="-192.30769230769232"/>
    <x v="53"/>
    <x v="53"/>
  </r>
  <r>
    <x v="769"/>
    <s v="45.0PC2RD-IGS-V"/>
    <s v="45.0 PCO 1881 Rnd ICI Green Mena Bev"/>
    <n v="6624"/>
    <n v="6624"/>
    <s v="PC"/>
    <n v="4.4999999999999998E-2"/>
    <n v="0"/>
    <x v="88"/>
    <x v="87"/>
  </r>
  <r>
    <x v="770"/>
    <s v="FRG119"/>
    <s v="PET Clear Preform For Grinding"/>
    <n v="-498"/>
    <n v="-498"/>
    <s v="KG"/>
    <n v="5.1999999999999998E-2"/>
    <n v="-9576.923076923078"/>
    <x v="15"/>
    <x v="15"/>
  </r>
  <r>
    <x v="770"/>
    <s v="52.0BC1RD-CL-B"/>
    <s v="52.0 BC38mm 3 Rnd Clear J/C(P Plt"/>
    <n v="67200"/>
    <n v="3494.4"/>
    <s v="KG"/>
    <n v="5.1999999999999998E-2"/>
    <n v="0"/>
    <x v="15"/>
    <x v="15"/>
  </r>
  <r>
    <x v="771"/>
    <s v="FRG160"/>
    <s v="PET Blue Preform For Grinding"/>
    <n v="-220"/>
    <n v="-220"/>
    <s v="KG"/>
    <n v="7.45E-3"/>
    <n v="-29530.201342281878"/>
    <x v="24"/>
    <x v="24"/>
  </r>
  <r>
    <x v="771"/>
    <s v="7.45TO2RD-LBS-A"/>
    <s v="7.45TO LW 29/25 L.Blue J/C(WP-SIPA"/>
    <n v="478080"/>
    <n v="3561.6959999999999"/>
    <s v="KG"/>
    <n v="7.45E-3"/>
    <n v="0"/>
    <x v="24"/>
    <x v="24"/>
  </r>
  <r>
    <x v="772"/>
    <s v="11.5TO2RD-CLS-V"/>
    <s v="11.5 TO29/25 Rnd Clear MenaBev (PP)"/>
    <n v="83520"/>
    <n v="83520"/>
    <s v="PC"/>
    <n v="1.15E-2"/>
    <n v="0"/>
    <x v="65"/>
    <x v="65"/>
  </r>
  <r>
    <x v="773"/>
    <s v="FRG119"/>
    <s v="PET Clear Preform For Grinding"/>
    <n v="-220"/>
    <n v="-220"/>
    <s v="KG"/>
    <n v="1.15E-2"/>
    <n v="-19130.434782608696"/>
    <x v="65"/>
    <x v="65"/>
  </r>
  <r>
    <x v="773"/>
    <s v="11.5TO2RD-CLS-V"/>
    <s v="11.5 TO29/25 Rnd Clear MenaBev (PP)"/>
    <n v="92400"/>
    <n v="92400"/>
    <s v="PC"/>
    <n v="1.15E-2"/>
    <n v="0"/>
    <x v="65"/>
    <x v="65"/>
  </r>
  <r>
    <x v="774"/>
    <s v="30.5PC2RD-CLS-BH2"/>
    <s v="30.5 PCO 1881Rnd CLR J/C(PP JOM HDG-SIPA"/>
    <n v="31860"/>
    <n v="31860"/>
    <s v="PC"/>
    <n v="3.0499999999999999E-2"/>
    <n v="0"/>
    <x v="71"/>
    <x v="70"/>
  </r>
  <r>
    <x v="775"/>
    <s v="30.5PC2RD-CLS-V"/>
    <s v="30.5 PCO 1881 Rnd CLR Mena Bev Spec-SIPA"/>
    <n v="21240"/>
    <n v="21240"/>
    <s v="PC"/>
    <n v="3.0499999999999999E-2"/>
    <n v="0"/>
    <x v="71"/>
    <x v="70"/>
  </r>
  <r>
    <x v="776"/>
    <s v="FRG119"/>
    <s v="PET Clear Preform For Grinding"/>
    <n v="-343"/>
    <n v="-343"/>
    <s v="KG"/>
    <n v="4.4999999999999998E-2"/>
    <n v="-7622.2222222222226"/>
    <x v="79"/>
    <x v="78"/>
  </r>
  <r>
    <x v="776"/>
    <s v="45.0PC2RD-CLS-B"/>
    <s v="45.0 PCO 1881Rd Clear J/C(P Plt - SIPA"/>
    <n v="34120"/>
    <n v="34120"/>
    <s v="PC"/>
    <n v="4.4999999999999998E-2"/>
    <n v="0"/>
    <x v="79"/>
    <x v="78"/>
  </r>
  <r>
    <x v="777"/>
    <s v="FRG119"/>
    <s v="PET Clear Preform For Grinding"/>
    <n v="-498"/>
    <n v="-498"/>
    <s v="KG"/>
    <n v="5.1999999999999998E-2"/>
    <n v="-9576.923076923078"/>
    <x v="15"/>
    <x v="15"/>
  </r>
  <r>
    <x v="777"/>
    <s v="52.0BC1RD-CL-B"/>
    <s v="52.0 BC38mm 3 Rnd Clear J/C(P Plt"/>
    <n v="81600"/>
    <n v="81600"/>
    <s v="PC"/>
    <n v="5.1999999999999998E-2"/>
    <n v="0"/>
    <x v="15"/>
    <x v="15"/>
  </r>
  <r>
    <x v="778"/>
    <s v="52.0BC1RD-CL-G"/>
    <s v="52.0 BC 38mm 3 Rnd Clear OJ/C(W plt"/>
    <n v="4800"/>
    <n v="4800"/>
    <s v="PC"/>
    <n v="5.1999999999999998E-2"/>
    <n v="0"/>
    <x v="15"/>
    <x v="15"/>
  </r>
  <r>
    <x v="779"/>
    <s v="30.5PC2RD-CLS-V"/>
    <s v="30.5 PCO 1881 Rnd CLR Mena Bev Spec-SIPA"/>
    <n v="84960"/>
    <n v="84960"/>
    <s v="PC"/>
    <n v="3.0499999999999999E-2"/>
    <n v="0"/>
    <x v="71"/>
    <x v="70"/>
  </r>
  <r>
    <x v="780"/>
    <s v="FRG160"/>
    <s v="PET Blue Preform For Grinding"/>
    <n v="-170"/>
    <n v="-170"/>
    <s v="KG"/>
    <n v="8.3000000000000001E-3"/>
    <n v="-20481.927710843374"/>
    <x v="5"/>
    <x v="5"/>
  </r>
  <r>
    <x v="780"/>
    <s v="8.3TO2RD-LBS1-A"/>
    <s v="8.30TOLW29/25 L.Blue(≤2ppm)J/C(W pt-SIPA"/>
    <n v="155400"/>
    <n v="155400"/>
    <s v="PC"/>
    <n v="8.3000000000000001E-3"/>
    <n v="0"/>
    <x v="5"/>
    <x v="5"/>
  </r>
  <r>
    <x v="781"/>
    <s v="8.3TO2RD-LBS-A"/>
    <s v="8.30TO LW 29/25Rd L.Blue J/C(W plt)-SIPA"/>
    <n v="108000"/>
    <n v="108000"/>
    <s v="PC"/>
    <n v="8.3000000000000001E-3"/>
    <n v="0"/>
    <x v="5"/>
    <x v="5"/>
  </r>
  <r>
    <x v="782"/>
    <s v="FRG119"/>
    <s v="PET Clear Preform For Grinding"/>
    <n v="-140"/>
    <n v="-140"/>
    <s v="KG"/>
    <n v="3.5999999999999997E-2"/>
    <n v="-3888.8888888888891"/>
    <x v="48"/>
    <x v="48"/>
  </r>
  <r>
    <x v="782"/>
    <s v="36.0BC1RD-CJ-S"/>
    <s v="36.0 BC 38mm 3 Rnd Clear Steel C-(Aujan)"/>
    <n v="46464"/>
    <n v="46464"/>
    <s v="PC"/>
    <n v="3.5999999999999997E-2"/>
    <n v="0"/>
    <x v="48"/>
    <x v="48"/>
  </r>
  <r>
    <x v="783"/>
    <s v="30.5PC2RD-CLS-BH2"/>
    <s v="30.5 PCO 1881Rnd CLR J/C(PP JOM HDG-SIPA"/>
    <n v="1019520"/>
    <n v="1019520"/>
    <s v="PC"/>
    <n v="3.0499999999999999E-2"/>
    <n v="0"/>
    <x v="21"/>
    <x v="21"/>
  </r>
  <r>
    <x v="784"/>
    <s v="30.5PC2RD-IGS-BH2"/>
    <s v="30.5PCO1881 ICI GreenJ/C(PP JOM HDG-SIPA"/>
    <n v="180540"/>
    <n v="180540"/>
    <s v="PC"/>
    <n v="3.0499999999999999E-2"/>
    <n v="0"/>
    <x v="31"/>
    <x v="31"/>
  </r>
  <r>
    <x v="785"/>
    <s v="36.0BC1RD-CJ-S"/>
    <s v="36.0 BC 38mm 3 Rnd Clear Steel C-(Aujan)"/>
    <n v="31680"/>
    <n v="31680"/>
    <s v="PC"/>
    <n v="3.5999999999999997E-2"/>
    <n v="0"/>
    <x v="3"/>
    <x v="3"/>
  </r>
  <r>
    <x v="785"/>
    <s v="FRG119"/>
    <s v="PET Clear Preform For Grinding"/>
    <n v="-304"/>
    <n v="-304"/>
    <s v="KG"/>
    <n v="3.5999999999999997E-2"/>
    <n v="-8444.4444444444453"/>
    <x v="3"/>
    <x v="3"/>
  </r>
  <r>
    <x v="786"/>
    <s v="36.0BC1RD-CJ-S"/>
    <s v="36.0 BC 38mm 3 Rnd Clear Steel C-(Aujan)"/>
    <n v="8448"/>
    <n v="8448"/>
    <s v="PC"/>
    <n v="3.5999999999999997E-2"/>
    <n v="0"/>
    <x v="48"/>
    <x v="48"/>
  </r>
  <r>
    <x v="787"/>
    <s v="11.5TO2RD-AJBS-B"/>
    <s v="11.5TO29/25Rnd'ALM'BLUE J/C(PP-SIPA-HDG"/>
    <n v="104400"/>
    <n v="104400"/>
    <s v="PC"/>
    <n v="1.15E-2"/>
    <n v="0"/>
    <x v="42"/>
    <x v="42"/>
  </r>
  <r>
    <x v="788"/>
    <s v="30.5PC2RD-IGS-BH2"/>
    <s v="30.5PCO1881 ICI GreenJ/C(PP JOM HDG-SIPA"/>
    <n v="838980"/>
    <n v="838980"/>
    <s v="PC"/>
    <n v="3.0499999999999999E-2"/>
    <n v="0"/>
    <x v="31"/>
    <x v="31"/>
  </r>
  <r>
    <x v="789"/>
    <s v="45.0PC2RD-CLS-B"/>
    <s v="45.0 PCO 1881Rd Clear J/C(P Plt - SIPA"/>
    <n v="271584"/>
    <n v="271584"/>
    <s v="PC"/>
    <n v="4.4999999999999998E-2"/>
    <n v="0"/>
    <x v="79"/>
    <x v="78"/>
  </r>
  <r>
    <x v="790"/>
    <s v="30.5PC2RD-CLS-V"/>
    <s v="30.5 PCO 1881 Rnd CLR Mena Bev Spec-SIPA"/>
    <n v="212400"/>
    <n v="212400"/>
    <s v="PC"/>
    <n v="3.0499999999999999E-2"/>
    <n v="0"/>
    <x v="71"/>
    <x v="70"/>
  </r>
  <r>
    <x v="790"/>
    <s v="FRG119"/>
    <s v="PET Clear Preform For Grinding"/>
    <n v="-323"/>
    <n v="-323"/>
    <s v="KG"/>
    <n v="3.0499999999999999E-2"/>
    <n v="-10590.163934426229"/>
    <x v="71"/>
    <x v="70"/>
  </r>
  <r>
    <x v="791"/>
    <s v="9.4TO2RD-B1-B"/>
    <s v="9.4 TO29/25 Rnd Nova Blue J/C(Ppl-SABIC"/>
    <n v="964440"/>
    <n v="964440"/>
    <s v="PC"/>
    <n v="9.4000000000000004E-3"/>
    <n v="0"/>
    <x v="4"/>
    <x v="4"/>
  </r>
  <r>
    <x v="791"/>
    <s v="FRG160"/>
    <s v="PET Blue Preform For Grinding"/>
    <n v="-238"/>
    <n v="-238"/>
    <s v="KG"/>
    <n v="9.4000000000000004E-3"/>
    <n v="-25319.148936170212"/>
    <x v="4"/>
    <x v="4"/>
  </r>
  <r>
    <x v="792"/>
    <s v="45.0PC2RD-IGS-B"/>
    <s v="45.0 PCO 1881 ICI Green J/C(P Plt - SIPA"/>
    <n v="311328"/>
    <n v="311328"/>
    <s v="PC"/>
    <n v="4.4999999999999998E-2"/>
    <n v="0"/>
    <x v="88"/>
    <x v="87"/>
  </r>
  <r>
    <x v="793"/>
    <s v="9.4TO2RD-LBS-A"/>
    <s v="9.4 TO 29/25 Rnd L.Blue J/C (W plt- SIPA"/>
    <n v="76140"/>
    <n v="0"/>
    <s v="PC"/>
    <n v="9.4000000000000004E-3"/>
    <n v="0"/>
    <x v="4"/>
    <x v="4"/>
  </r>
  <r>
    <x v="793"/>
    <s v="9.4TO2RD-BS6-B"/>
    <s v="9.4TO29/25 Rd Nova Blue-PET&quot;ST-BC211"/>
    <n v="76140"/>
    <n v="76140"/>
    <s v="PC"/>
    <n v="9.4000000000000004E-3"/>
    <n v="0"/>
    <x v="4"/>
    <x v="4"/>
  </r>
  <r>
    <x v="794"/>
    <s v="9.4TO2RD-LBS-A"/>
    <s v="9.4 TO 29/25 Rnd L.Blue J/C (W plt- SIPA"/>
    <n v="25380"/>
    <n v="25380"/>
    <s v="PC"/>
    <n v="9.4000000000000004E-3"/>
    <n v="0"/>
    <x v="4"/>
    <x v="4"/>
  </r>
  <r>
    <x v="795"/>
    <s v="9.4TO2RD-B1-B"/>
    <s v="9.4 TO29/25 Rnd Nova Blue J/C(Ppl-SABIC"/>
    <n v="177660"/>
    <n v="177660"/>
    <s v="PC"/>
    <n v="9.4000000000000004E-3"/>
    <n v="0"/>
    <x v="4"/>
    <x v="4"/>
  </r>
  <r>
    <x v="795"/>
    <s v="FRG160"/>
    <s v="PET Blue Preform For Grinding"/>
    <n v="-238"/>
    <n v="-238"/>
    <s v="KG"/>
    <n v="9.4000000000000004E-3"/>
    <n v="-25319.148936170212"/>
    <x v="4"/>
    <x v="4"/>
  </r>
  <r>
    <x v="796"/>
    <s v="8.3TO2RD-LBS-A"/>
    <s v="8.30TO LW 29/25Rd L.Blue J/C(W plt)-SIPA"/>
    <n v="135000"/>
    <n v="135000"/>
    <s v="PC"/>
    <n v="8.3000000000000001E-3"/>
    <n v="0"/>
    <x v="5"/>
    <x v="5"/>
  </r>
  <r>
    <x v="797"/>
    <s v="9.4TO2RD-B1-B"/>
    <s v="9.4 TO29/25 Rnd Nova Blue J/C(Ppl-SABIC"/>
    <n v="50760"/>
    <n v="50760"/>
    <s v="PC"/>
    <n v="9.4000000000000004E-3"/>
    <n v="0"/>
    <x v="4"/>
    <x v="4"/>
  </r>
  <r>
    <x v="798"/>
    <s v="7.45TO2RD-LBS1-A"/>
    <s v="7.45TO LW 29/25 L.Blue(≤2ppm)J/C(WP-SIPA"/>
    <n v="29880"/>
    <n v="29880"/>
    <s v="PC"/>
    <n v="7.45E-3"/>
    <n v="0"/>
    <x v="24"/>
    <x v="24"/>
  </r>
  <r>
    <x v="799"/>
    <s v="30.5PC2RD-IGS-BH2"/>
    <s v="30.5PCO1881 ICI GreenJ/C(PP JOM HDG-SIPA"/>
    <n v="987660"/>
    <n v="987660"/>
    <s v="PC"/>
    <n v="3.0499999999999999E-2"/>
    <n v="0"/>
    <x v="31"/>
    <x v="31"/>
  </r>
  <r>
    <x v="800"/>
    <s v="FRG119"/>
    <s v="PET Clear Preform For Grinding"/>
    <n v="-298"/>
    <n v="-298"/>
    <s v="KG"/>
    <n v="4.4999999999999998E-2"/>
    <n v="-6622.2222222222226"/>
    <x v="79"/>
    <x v="78"/>
  </r>
  <r>
    <x v="800"/>
    <s v="45.0PC2RD-CLS-V"/>
    <s v="45.0 PCO 1881 Rnd Clear Mena Bev"/>
    <n v="59616"/>
    <n v="59616"/>
    <s v="PC"/>
    <n v="4.4999999999999998E-2"/>
    <n v="0"/>
    <x v="79"/>
    <x v="78"/>
  </r>
  <r>
    <x v="801"/>
    <s v="45.0PC2RD-CLS-B"/>
    <s v="45.0 PCO 1881Rd Clear J/C(P Plt - SIPA"/>
    <n v="6624"/>
    <n v="6624"/>
    <s v="PC"/>
    <n v="4.4999999999999998E-2"/>
    <n v="0"/>
    <x v="79"/>
    <x v="78"/>
  </r>
  <r>
    <x v="802"/>
    <s v="36.0BC1RD-CL-G"/>
    <s v="36.0 BC38mm 3 Rnd Clear OJ/C(W plt"/>
    <n v="12672"/>
    <n v="12672"/>
    <s v="PC"/>
    <n v="3.5999999999999997E-2"/>
    <n v="0"/>
    <x v="3"/>
    <x v="3"/>
  </r>
  <r>
    <x v="803"/>
    <s v="7.45TO2RD-AJBS-B"/>
    <s v="7.45TO29/25Rnd'ALM'BLUE J/C(PP-SIPA)"/>
    <n v="149400"/>
    <n v="149400"/>
    <s v="PC"/>
    <n v="7.45E-3"/>
    <n v="0"/>
    <x v="24"/>
    <x v="24"/>
  </r>
  <r>
    <x v="804"/>
    <s v="45.0PC2RD-IGS-B"/>
    <s v="45.0 PCO 1881 ICI Green J/C(P Plt - SIPA"/>
    <n v="317952"/>
    <n v="317952"/>
    <s v="PC"/>
    <n v="4.4999999999999998E-2"/>
    <n v="0"/>
    <x v="88"/>
    <x v="87"/>
  </r>
  <r>
    <x v="805"/>
    <s v="52.0BC1RD-CL-B"/>
    <s v="52.0 BC38mm 3 Rnd Clear J/C(P Plt"/>
    <n v="249600"/>
    <n v="249600"/>
    <s v="PC"/>
    <n v="5.1999999999999998E-2"/>
    <n v="0"/>
    <x v="6"/>
    <x v="6"/>
  </r>
  <r>
    <x v="806"/>
    <s v="30.5PC2RD-CLS-BH2"/>
    <s v="30.5 PCO 1881Rnd CLR J/C(PP JOM HDG-SIPA"/>
    <n v="1019520"/>
    <n v="1019520"/>
    <s v="PC"/>
    <n v="3.0499999999999999E-2"/>
    <n v="0"/>
    <x v="21"/>
    <x v="21"/>
  </r>
  <r>
    <x v="807"/>
    <s v="45.0PC2RD-IGS-B"/>
    <s v="45.0 PCO 1881 ICI Green J/C(P Plt - SIPA"/>
    <n v="317952"/>
    <n v="317952"/>
    <s v="PC"/>
    <n v="4.4999999999999998E-2"/>
    <n v="0"/>
    <x v="88"/>
    <x v="87"/>
  </r>
  <r>
    <x v="808"/>
    <s v="30.5PC2RD-IGS-BH2"/>
    <s v="30.5PCO1881 ICI GreenJ/C(PP JOM HDG-SIPA"/>
    <n v="116820"/>
    <n v="116820"/>
    <s v="PC"/>
    <n v="3.0499999999999999E-2"/>
    <n v="0"/>
    <x v="31"/>
    <x v="31"/>
  </r>
  <r>
    <x v="809"/>
    <s v="52.0BC1RD-CL-B"/>
    <s v="52.0 BC38mm 3 Rnd Clear J/C(P Plt"/>
    <n v="302400"/>
    <n v="302400"/>
    <s v="PC"/>
    <n v="5.1999999999999998E-2"/>
    <n v="0"/>
    <x v="6"/>
    <x v="6"/>
  </r>
  <r>
    <x v="810"/>
    <s v="52.0BC1RD-CL-B"/>
    <s v="52.0 BC38mm 3 Rnd Clear J/C(P Plt"/>
    <n v="24000"/>
    <n v="24000"/>
    <s v="PC"/>
    <n v="5.1999999999999998E-2"/>
    <n v="0"/>
    <x v="15"/>
    <x v="15"/>
  </r>
  <r>
    <x v="811"/>
    <s v="26.6TO2RD-CL-B"/>
    <s v="26.6 TO 29/25 Rnd Clear J/C(P Plt"/>
    <n v="483840"/>
    <n v="483840"/>
    <s v="PC"/>
    <n v="2.6600000000000002E-2"/>
    <n v="0"/>
    <x v="26"/>
    <x v="26"/>
  </r>
  <r>
    <x v="812"/>
    <s v="FRG119"/>
    <s v="PET Clear Preform For Grinding"/>
    <n v="-249"/>
    <n v="-249"/>
    <s v="KG"/>
    <n v="5.1999999999999998E-2"/>
    <n v="-4788.461538461539"/>
    <x v="15"/>
    <x v="15"/>
  </r>
  <r>
    <x v="812"/>
    <s v="52.0BC1RD-CL-G"/>
    <s v="52.0 BC 38mm 3 Rnd Clear OJ/C(W plt"/>
    <n v="28800"/>
    <n v="28800"/>
    <s v="PC"/>
    <n v="5.1999999999999998E-2"/>
    <n v="0"/>
    <x v="15"/>
    <x v="15"/>
  </r>
  <r>
    <x v="813"/>
    <s v="45.0PC2RD-IGS-V"/>
    <s v="45.0 PCO 1881 Rnd ICI Green Mena Bev"/>
    <n v="19872"/>
    <n v="19872"/>
    <s v="PC"/>
    <n v="4.4999999999999998E-2"/>
    <n v="0"/>
    <x v="91"/>
    <x v="90"/>
  </r>
  <r>
    <x v="814"/>
    <s v="45.0PC2RD-IGS-B"/>
    <s v="45.0 PCO 1881 ICI Green J/C(P Plt - SIPA"/>
    <n v="317952"/>
    <n v="317952"/>
    <s v="PC"/>
    <n v="4.4999999999999998E-2"/>
    <n v="0"/>
    <x v="88"/>
    <x v="87"/>
  </r>
  <r>
    <x v="815"/>
    <s v="30.5PC2RD-IGS-BH2"/>
    <s v="30.5PCO1881 ICI GreenJ/C(PP JOM HDG-SIPA"/>
    <n v="913320"/>
    <n v="913320"/>
    <s v="PC"/>
    <n v="3.0499999999999999E-2"/>
    <n v="0"/>
    <x v="31"/>
    <x v="31"/>
  </r>
  <r>
    <x v="816"/>
    <s v="52.0BC1RD-CL-B"/>
    <s v="52.0 BC38mm 3 Rnd Clear J/C(P Plt"/>
    <n v="345600"/>
    <n v="345600"/>
    <s v="PC"/>
    <n v="5.1999999999999998E-2"/>
    <n v="0"/>
    <x v="6"/>
    <x v="6"/>
  </r>
  <r>
    <x v="817"/>
    <s v="FRG119"/>
    <s v="PET Clear Preform For Grinding"/>
    <n v="-288"/>
    <n v="-288"/>
    <s v="KG"/>
    <n v="1.4E-2"/>
    <n v="-20571.428571428572"/>
    <x v="25"/>
    <x v="25"/>
  </r>
  <r>
    <x v="817"/>
    <s v="14.0PC2RD-CL-A"/>
    <s v="14.0 PCO 1881 Rnd Clear J/C(W Plt"/>
    <n v="144480"/>
    <n v="144480"/>
    <s v="PC"/>
    <n v="1.4E-2"/>
    <n v="0"/>
    <x v="25"/>
    <x v="25"/>
  </r>
  <r>
    <x v="818"/>
    <s v="FRG119"/>
    <s v="PET Clear Preform For Grinding"/>
    <n v="-498"/>
    <n v="-498"/>
    <s v="KG"/>
    <n v="5.1999999999999998E-2"/>
    <n v="-9576.923076923078"/>
    <x v="15"/>
    <x v="15"/>
  </r>
  <r>
    <x v="818"/>
    <s v="52.0BC1RD-CL-B"/>
    <s v="52.0 BC38mm 3 Rnd Clear J/C(P Plt"/>
    <n v="38400"/>
    <n v="38400"/>
    <s v="PC"/>
    <n v="5.1999999999999998E-2"/>
    <n v="0"/>
    <x v="15"/>
    <x v="15"/>
  </r>
  <r>
    <x v="819"/>
    <s v="FRG161"/>
    <s v="PET Green Preform For Grinding"/>
    <n v="-224"/>
    <n v="-224"/>
    <s v="KG"/>
    <n v="1.4E-2"/>
    <n v="-16000"/>
    <x v="47"/>
    <x v="47"/>
  </r>
  <r>
    <x v="819"/>
    <s v="14.0PC2RD-IG-A"/>
    <s v="14.0 PCO 1881 Rnd ICI Green J/C(W Plt)"/>
    <n v="57280"/>
    <n v="57280"/>
    <s v="PC"/>
    <n v="1.4E-2"/>
    <n v="0"/>
    <x v="47"/>
    <x v="47"/>
  </r>
  <r>
    <x v="820"/>
    <s v="45.0PC2RD-CLS-B"/>
    <s v="45.0 PCO 1881Rd Clear J/C(P Plt - SIPA"/>
    <n v="258336"/>
    <n v="258336"/>
    <s v="PC"/>
    <n v="4.4999999999999998E-2"/>
    <n v="0"/>
    <x v="79"/>
    <x v="78"/>
  </r>
  <r>
    <x v="821"/>
    <s v="29-1.27-2TP-B4-A"/>
    <s v="29/25 1.27g CAP TP Nova Blue (=2%)-WP"/>
    <n v="3952000"/>
    <n v="3952000"/>
    <s v="PC"/>
    <n v="2.9000000000000001E-2"/>
    <n v="0"/>
    <x v="104"/>
    <x v="103"/>
  </r>
  <r>
    <x v="822"/>
    <s v="52.0BC1RD-CL-B"/>
    <s v="52.0 BC38mm 3 Rnd Clear J/C(P Plt"/>
    <n v="100800"/>
    <n v="100800"/>
    <s v="PC"/>
    <n v="5.1999999999999998E-2"/>
    <n v="0"/>
    <x v="6"/>
    <x v="6"/>
  </r>
  <r>
    <x v="823"/>
    <s v="52.0BC1RD-CL-B"/>
    <s v="52.0 BC38mm 3 Rnd Clear J/C(P Plt"/>
    <n v="24000"/>
    <n v="24000"/>
    <s v="PC"/>
    <n v="5.1999999999999998E-2"/>
    <n v="0"/>
    <x v="15"/>
    <x v="15"/>
  </r>
  <r>
    <x v="824"/>
    <s v="11.5TO2RD-CLS-V"/>
    <s v="11.5 TO29/25 Rnd Clear MenaBev (PP)"/>
    <n v="83520"/>
    <n v="83520"/>
    <s v="PC"/>
    <n v="1.15E-2"/>
    <n v="0"/>
    <x v="65"/>
    <x v="65"/>
  </r>
  <r>
    <x v="825"/>
    <s v="45.0PC2RD-CLS-B"/>
    <s v="45.0 PCO 1881Rd Clear J/C(P Plt - SIPA"/>
    <n v="6624"/>
    <n v="6624"/>
    <s v="PC"/>
    <n v="4.4999999999999998E-2"/>
    <n v="0"/>
    <x v="86"/>
    <x v="85"/>
  </r>
  <r>
    <x v="826"/>
    <s v="45.0PC2RD-IGS-B"/>
    <s v="45.0 PCO 1881 ICI Green J/C(P Plt - SIPA"/>
    <n v="6624"/>
    <n v="6624"/>
    <s v="PC"/>
    <n v="4.4999999999999998E-2"/>
    <n v="0"/>
    <x v="88"/>
    <x v="87"/>
  </r>
  <r>
    <x v="827"/>
    <s v="30.5PC2RD-CLS-BH2"/>
    <s v="30.5 PCO 1881Rnd CLR J/C(PP JOM HDG-SIPA"/>
    <n v="10620"/>
    <n v="10620"/>
    <s v="PC"/>
    <n v="3.0499999999999999E-2"/>
    <n v="0"/>
    <x v="21"/>
    <x v="21"/>
  </r>
  <r>
    <x v="828"/>
    <s v="FRG161"/>
    <s v="PET Green Preform For Grinding"/>
    <n v="-323"/>
    <n v="-323"/>
    <s v="KG"/>
    <n v="3.0499999999999999E-2"/>
    <n v="-10590.163934426229"/>
    <x v="31"/>
    <x v="31"/>
  </r>
  <r>
    <x v="828"/>
    <s v="30.5PC2RD-IGS-BH2"/>
    <s v="30.5PCO1881 ICI GreenJ/C(PP JOM HDG-SIPA"/>
    <n v="53100"/>
    <n v="53100"/>
    <s v="PC"/>
    <n v="3.0499999999999999E-2"/>
    <n v="0"/>
    <x v="31"/>
    <x v="31"/>
  </r>
  <r>
    <x v="829"/>
    <s v="FRG160"/>
    <s v="PET Blue Preform For Grinding"/>
    <n v="-268"/>
    <n v="-268"/>
    <s v="KG"/>
    <n v="2.6600000000000002E-2"/>
    <n v="-10075.187969924811"/>
    <x v="85"/>
    <x v="84"/>
  </r>
  <r>
    <x v="829"/>
    <s v="26.6TO2RD-B2-B"/>
    <s v="26.6TO29/25Rnd Nova Blue - (JADE)"/>
    <n v="60480"/>
    <n v="60480"/>
    <s v="PC"/>
    <n v="2.6600000000000002E-2"/>
    <n v="0"/>
    <x v="85"/>
    <x v="84"/>
  </r>
  <r>
    <x v="830"/>
    <s v="FRG119"/>
    <s v="PET Clear Preform For Grinding"/>
    <n v="-40"/>
    <n v="-40"/>
    <s v="KG"/>
    <n v="2.6600000000000002E-2"/>
    <n v="-1503.7593984962405"/>
    <x v="26"/>
    <x v="26"/>
  </r>
  <r>
    <x v="830"/>
    <s v="26.6TO2RD-CL-B"/>
    <s v="26.6 TO 29/25 Rnd Clear J/C(P Plt"/>
    <n v="12260"/>
    <n v="12260"/>
    <s v="PC"/>
    <n v="2.6600000000000002E-2"/>
    <n v="0"/>
    <x v="26"/>
    <x v="26"/>
  </r>
  <r>
    <x v="831"/>
    <s v="FRG160"/>
    <s v="PET Blue Preform For Grinding"/>
    <n v="-238"/>
    <n v="-238"/>
    <s v="KG"/>
    <n v="9.4000000000000004E-3"/>
    <n v="-25319.148936170212"/>
    <x v="4"/>
    <x v="4"/>
  </r>
  <r>
    <x v="831"/>
    <s v="9.4TO2RD-B1-B"/>
    <s v="9.4 TO29/25 Rnd Nova Blue J/C(Ppl-SABIC"/>
    <n v="177660"/>
    <n v="177660"/>
    <s v="PC"/>
    <n v="9.4000000000000004E-3"/>
    <n v="0"/>
    <x v="4"/>
    <x v="4"/>
  </r>
  <r>
    <x v="832"/>
    <s v="FRG160"/>
    <s v="PET Blue Preform For Grinding"/>
    <n v="-476"/>
    <n v="-476"/>
    <s v="KG"/>
    <n v="9.4000000000000004E-3"/>
    <n v="-50638.297872340423"/>
    <x v="4"/>
    <x v="4"/>
  </r>
  <r>
    <x v="832"/>
    <s v="9.4TO2RD-BS12-B"/>
    <s v="9.4 TO29/25Rnd Nova Blue-PET&quot;ST-BC210&quot;"/>
    <n v="329940"/>
    <n v="329940"/>
    <s v="PC"/>
    <n v="9.4000000000000004E-3"/>
    <n v="0"/>
    <x v="4"/>
    <x v="4"/>
  </r>
  <r>
    <x v="833"/>
    <s v="9.4TO2RD-LBS-A"/>
    <s v="9.4 TO 29/25 Rnd L.Blue J/C (W plt- SIPA"/>
    <n v="25380"/>
    <n v="25380"/>
    <s v="PC"/>
    <n v="9.4000000000000004E-3"/>
    <n v="0"/>
    <x v="4"/>
    <x v="4"/>
  </r>
  <r>
    <x v="834"/>
    <s v="11.5TO2RD-AJBS-B"/>
    <s v="11.5TO29/25Rnd'ALM'BLUE J/C(PP-SIPA-HDG"/>
    <n v="83520"/>
    <n v="83520"/>
    <s v="PC"/>
    <n v="1.15E-2"/>
    <n v="0"/>
    <x v="42"/>
    <x v="42"/>
  </r>
  <r>
    <x v="835"/>
    <s v="FRG119"/>
    <s v="PET Clear Preform For Grinding"/>
    <n v="-549"/>
    <n v="-549"/>
    <s v="KG"/>
    <n v="5.0999999999999997E-2"/>
    <n v="-10764.705882352942"/>
    <x v="49"/>
    <x v="49"/>
  </r>
  <r>
    <x v="835"/>
    <s v="51.0BC1RD-CL-S"/>
    <s v="51.0 BC 38mm 3 Rnd Clear steel c"/>
    <n v="36000"/>
    <n v="36000"/>
    <s v="PC"/>
    <n v="5.0999999999999997E-2"/>
    <n v="0"/>
    <x v="49"/>
    <x v="49"/>
  </r>
  <r>
    <x v="836"/>
    <s v="7.45TO2RD-LBS-A"/>
    <s v="7.45TO LW 29/25 L.Blue J/C(WP-SIPA"/>
    <n v="5000"/>
    <n v="0"/>
    <s v="PC"/>
    <n v="7.45E-3"/>
    <n v="0"/>
    <x v="24"/>
    <x v="24"/>
  </r>
  <r>
    <x v="837"/>
    <s v="9.4TO2RD-CLS-B"/>
    <s v="9.4 TO 29/25 Rnd Clear J/C(PP)"/>
    <n v="1015200"/>
    <n v="1015200"/>
    <s v="PC"/>
    <n v="9.4000000000000004E-3"/>
    <n v="0"/>
    <x v="105"/>
    <x v="104"/>
  </r>
  <r>
    <x v="838"/>
    <s v="9.4TO2RD-CLS-V"/>
    <s v="9.4 29/25RndCLR AA Rdcer MenaB PP"/>
    <n v="203040"/>
    <n v="203040"/>
    <s v="PC"/>
    <n v="9.4000000000000004E-3"/>
    <n v="0"/>
    <x v="105"/>
    <x v="104"/>
  </r>
  <r>
    <x v="839"/>
    <s v="30.5PC2RD-CLS-A"/>
    <s v="30.5 PCO 1881 Rnd Clear J/C(W plt-SIPA"/>
    <n v="116820"/>
    <n v="116820"/>
    <s v="PC"/>
    <n v="3.0499999999999999E-2"/>
    <n v="0"/>
    <x v="10"/>
    <x v="10"/>
  </r>
  <r>
    <x v="839"/>
    <s v="FRG119"/>
    <s v="PET Clear Preform For Grinding"/>
    <n v="-323"/>
    <n v="-323"/>
    <s v="KG"/>
    <n v="3.0499999999999999E-2"/>
    <n v="-10590.163934426229"/>
    <x v="10"/>
    <x v="10"/>
  </r>
  <r>
    <x v="840"/>
    <s v="50.1PC2RD-CL-B"/>
    <s v="50.1 PCO 1881 Rnd Clear J/C(P plt"/>
    <n v="39744"/>
    <n v="39744"/>
    <s v="PC"/>
    <n v="5.0099999999999999E-2"/>
    <n v="0"/>
    <x v="66"/>
    <x v="66"/>
  </r>
  <r>
    <x v="840"/>
    <s v="FRG119"/>
    <s v="PET Clear Preform For Grinding"/>
    <n v="-331"/>
    <n v="-331"/>
    <s v="KG"/>
    <n v="5.0099999999999999E-2"/>
    <n v="-6606.7864271457083"/>
    <x v="66"/>
    <x v="66"/>
  </r>
  <r>
    <x v="841"/>
    <s v="8.3TO2RD-LBS-A"/>
    <s v="8.30TO LW 29/25Rd L.Blue J/C(W plt)-SIPA"/>
    <n v="54000"/>
    <n v="54000"/>
    <s v="PC"/>
    <n v="8.3000000000000001E-3"/>
    <n v="0"/>
    <x v="5"/>
    <x v="5"/>
  </r>
  <r>
    <x v="842"/>
    <s v="26.6TO2RD-CL-B"/>
    <s v="26.6 TO 29/25 Rnd Clear J/C(P Plt"/>
    <n v="897120"/>
    <n v="897120"/>
    <s v="PC"/>
    <n v="2.6600000000000002E-2"/>
    <n v="0"/>
    <x v="26"/>
    <x v="26"/>
  </r>
  <r>
    <x v="843"/>
    <s v="36.0BC1RD-CL-G"/>
    <s v="36.0 BC38mm 3 Rnd Clear OJ/C(W plt"/>
    <n v="38016"/>
    <n v="0"/>
    <s v="PC"/>
    <n v="3.5999999999999997E-2"/>
    <n v="0"/>
    <x v="3"/>
    <x v="3"/>
  </r>
  <r>
    <x v="843"/>
    <s v="36.0BC1RD-CJ-S"/>
    <s v="36.0 BC 38mm 3 Rnd Clear Steel C-(Aujan)"/>
    <n v="38016"/>
    <n v="38016"/>
    <s v="PC"/>
    <n v="3.5999999999999997E-2"/>
    <n v="0"/>
    <x v="3"/>
    <x v="3"/>
  </r>
  <r>
    <x v="844"/>
    <s v="12.7BC1EC-CL-S"/>
    <s v="12.7 BC38mm 3 ECO Clear Steel c."/>
    <n v="106560"/>
    <n v="106560"/>
    <s v="PC"/>
    <n v="1.2699999999999999E-2"/>
    <n v="0"/>
    <x v="58"/>
    <x v="58"/>
  </r>
  <r>
    <x v="844"/>
    <s v="FRG119"/>
    <s v="PET Clear Preform For Grinding"/>
    <n v="-135"/>
    <n v="-135"/>
    <s v="KG"/>
    <n v="1.2699999999999999E-2"/>
    <n v="-10629.92125984252"/>
    <x v="58"/>
    <x v="58"/>
  </r>
  <r>
    <x v="845"/>
    <s v="26.6TO2RD-CL-B"/>
    <s v="26.6 TO 29/25 Rnd Clear J/C(P Plt"/>
    <n v="30240"/>
    <n v="30240"/>
    <s v="PC"/>
    <n v="2.6600000000000002E-2"/>
    <n v="0"/>
    <x v="26"/>
    <x v="26"/>
  </r>
  <r>
    <x v="846"/>
    <s v="FRG119"/>
    <s v="PET Clear Preform For Grinding"/>
    <n v="-478"/>
    <n v="-478"/>
    <s v="KG"/>
    <n v="2.6600000000000002E-2"/>
    <n v="-17969.924812030073"/>
    <x v="26"/>
    <x v="26"/>
  </r>
  <r>
    <x v="846"/>
    <s v="26.6TO2RD-CL-B"/>
    <s v="26.6 TO 29/25 Rnd Clear J/C(P Plt"/>
    <n v="48220"/>
    <n v="48220"/>
    <s v="PC"/>
    <n v="2.6600000000000002E-2"/>
    <n v="0"/>
    <x v="26"/>
    <x v="26"/>
  </r>
  <r>
    <x v="847"/>
    <s v="45.0PC2RD-IGS-B"/>
    <s v="45.0 PCO 1881 ICI Green J/C(P Plt - SIPA"/>
    <n v="629280"/>
    <n v="629280"/>
    <s v="PC"/>
    <n v="4.4999999999999998E-2"/>
    <n v="0"/>
    <x v="88"/>
    <x v="87"/>
  </r>
  <r>
    <x v="848"/>
    <s v="50.1PC2RD-CL-A"/>
    <s v="50.1 PCO 1881 Rnd Clear J/C(W Plt"/>
    <n v="19872"/>
    <n v="19872"/>
    <s v="PC"/>
    <n v="5.0099999999999999E-2"/>
    <n v="0"/>
    <x v="93"/>
    <x v="92"/>
  </r>
  <r>
    <x v="849"/>
    <s v="50.1PC2RD-IG-B"/>
    <s v="50.1 PCO 1881 Rnd ICI Green J/C(P Plt"/>
    <n v="19872"/>
    <n v="19872"/>
    <s v="PC"/>
    <n v="5.0099999999999999E-2"/>
    <n v="0"/>
    <x v="96"/>
    <x v="95"/>
  </r>
  <r>
    <x v="850"/>
    <s v="30.5PC2RD-IGS-V"/>
    <s v="30.5PCO1881RndICI GreenMenaBev Spec-SIPA"/>
    <n v="63720"/>
    <n v="63720"/>
    <s v="PC"/>
    <n v="3.0499999999999999E-2"/>
    <n v="0"/>
    <x v="31"/>
    <x v="31"/>
  </r>
  <r>
    <x v="851"/>
    <s v="30.5PC2RD-IGS-A"/>
    <s v="30.5 PCO 1881 Rnd ICI Green J/C(WP-SIPA"/>
    <n v="10620"/>
    <n v="10620"/>
    <s v="PC"/>
    <n v="3.0499999999999999E-2"/>
    <n v="0"/>
    <x v="31"/>
    <x v="31"/>
  </r>
  <r>
    <x v="852"/>
    <s v="12.5TO2RD-B14-B"/>
    <s v="12.5TO29/25Rnd Nova Blue J/C(Ppt-YISHeng"/>
    <n v="146160"/>
    <n v="146160"/>
    <s v="PC"/>
    <n v="1.2500000000000001E-2"/>
    <n v="0"/>
    <x v="98"/>
    <x v="97"/>
  </r>
  <r>
    <x v="853"/>
    <s v="FRG119"/>
    <s v="PET Clear Preform For Grinding"/>
    <n v="-147"/>
    <n v="-147"/>
    <s v="KG"/>
    <n v="1.7999999999999999E-2"/>
    <n v="-8166.666666666667"/>
    <x v="64"/>
    <x v="64"/>
  </r>
  <r>
    <x v="853"/>
    <s v="18.0BC1RD-CL-S"/>
    <s v="18.0 BC38mm 3 Rnd Clear Steel C"/>
    <n v="49248"/>
    <n v="49248"/>
    <s v="PC"/>
    <n v="1.7999999999999999E-2"/>
    <n v="0"/>
    <x v="64"/>
    <x v="64"/>
  </r>
  <r>
    <x v="854"/>
    <s v="FRG160"/>
    <s v="PET Blue Preform For Grinding"/>
    <n v="-268"/>
    <n v="-268"/>
    <s v="KG"/>
    <n v="2.6600000000000002E-2"/>
    <n v="-10075.187969924811"/>
    <x v="85"/>
    <x v="84"/>
  </r>
  <r>
    <x v="854"/>
    <s v="26.6TO2RD-B2-B"/>
    <s v="26.6TO29/25Rnd Nova Blue - (JADE)"/>
    <n v="90720"/>
    <n v="90720"/>
    <s v="PC"/>
    <n v="2.6600000000000002E-2"/>
    <n v="0"/>
    <x v="85"/>
    <x v="84"/>
  </r>
  <r>
    <x v="855"/>
    <s v="FRG161"/>
    <s v="PET Green Preform For Grinding"/>
    <n v="-298"/>
    <n v="-298"/>
    <s v="KG"/>
    <n v="4.4999999999999998E-2"/>
    <n v="-6622.2222222222226"/>
    <x v="91"/>
    <x v="90"/>
  </r>
  <r>
    <x v="855"/>
    <s v="45.0PC2RD-IGS-B"/>
    <s v="45.0 PCO 1881 ICI Green J/C(P Plt - SIPA"/>
    <n v="52992"/>
    <n v="52992"/>
    <s v="PC"/>
    <n v="4.4999999999999998E-2"/>
    <n v="0"/>
    <x v="91"/>
    <x v="90"/>
  </r>
  <r>
    <x v="856"/>
    <s v="45.0PC2RD-IGS-V"/>
    <s v="45.0 PCO 1881 Rnd ICI Green Mena Bev"/>
    <n v="26496"/>
    <n v="26496"/>
    <s v="PC"/>
    <n v="4.4999999999999998E-2"/>
    <n v="0"/>
    <x v="91"/>
    <x v="90"/>
  </r>
  <r>
    <x v="857"/>
    <s v="45.0PC2RD-IGS-B"/>
    <s v="45.0 PCO 1881 ICI Green J/C(P Plt - SIPA"/>
    <n v="86112"/>
    <n v="86112"/>
    <s v="PC"/>
    <n v="4.4999999999999998E-2"/>
    <n v="0"/>
    <x v="88"/>
    <x v="87"/>
  </r>
  <r>
    <x v="858"/>
    <s v="8.3TO2RD-LBS-A"/>
    <s v="8.30TO LW 29/25Rd L.Blue J/C(W plt)-SIPA"/>
    <n v="81000"/>
    <n v="81000"/>
    <s v="PC"/>
    <n v="8.3000000000000001E-3"/>
    <n v="0"/>
    <x v="5"/>
    <x v="5"/>
  </r>
  <r>
    <x v="859"/>
    <s v="FRG160"/>
    <s v="PET Blue Preform For Grinding"/>
    <n v="-268"/>
    <n v="-268"/>
    <s v="KG"/>
    <n v="2.6600000000000002E-2"/>
    <n v="-10075.187969924811"/>
    <x v="85"/>
    <x v="84"/>
  </r>
  <r>
    <x v="859"/>
    <s v="26.6TO2RD-B2-B"/>
    <s v="26.6TO29/25Rnd Nova Blue - (JADE)"/>
    <n v="70560"/>
    <n v="70560"/>
    <s v="PC"/>
    <n v="2.6600000000000002E-2"/>
    <n v="0"/>
    <x v="85"/>
    <x v="84"/>
  </r>
  <r>
    <x v="860"/>
    <s v="45.0PC2RD-IGS-B"/>
    <s v="45.0 PCO 1881 ICI Green J/C(P Plt - SIPA"/>
    <n v="231840"/>
    <n v="231840"/>
    <s v="PC"/>
    <n v="4.4999999999999998E-2"/>
    <n v="0"/>
    <x v="88"/>
    <x v="87"/>
  </r>
  <r>
    <x v="861"/>
    <s v="30.5PC2RD-CLS-BH2"/>
    <s v="30.5 PCO 1881Rnd CLR J/C(PP JOM HDG-SIPA"/>
    <n v="1008900"/>
    <n v="1008900"/>
    <s v="PC"/>
    <n v="3.0499999999999999E-2"/>
    <n v="0"/>
    <x v="21"/>
    <x v="21"/>
  </r>
  <r>
    <x v="862"/>
    <s v="45.0PC2RD-CLS-B"/>
    <s v="45.0 PCO 1881Rd Clear J/C(P Plt - SIPA"/>
    <n v="79488"/>
    <n v="79488"/>
    <s v="PC"/>
    <n v="4.4999999999999998E-2"/>
    <n v="0"/>
    <x v="79"/>
    <x v="78"/>
  </r>
  <r>
    <x v="863"/>
    <s v="12.7BC1EC-W1-S"/>
    <s v="12.7 BC38mm 3 ECO White Steel c."/>
    <n v="31968"/>
    <n v="31968"/>
    <s v="PC"/>
    <n v="1.2699999999999999E-2"/>
    <n v="0"/>
    <x v="106"/>
    <x v="105"/>
  </r>
  <r>
    <x v="864"/>
    <s v="30.5PC2RD-CLS-BH2"/>
    <s v="30.5 PCO 1881Rnd CLR J/C(PP JOM HDG-SIPA"/>
    <n v="31860"/>
    <n v="31860"/>
    <s v="PC"/>
    <n v="3.0499999999999999E-2"/>
    <n v="0"/>
    <x v="7"/>
    <x v="7"/>
  </r>
  <r>
    <x v="865"/>
    <s v="FRG119"/>
    <s v="PET Clear Preform For Grinding"/>
    <n v="-646"/>
    <n v="-646"/>
    <s v="KG"/>
    <n v="3.0499999999999999E-2"/>
    <n v="-21180.327868852459"/>
    <x v="7"/>
    <x v="7"/>
  </r>
  <r>
    <x v="865"/>
    <s v="30.5PC2RD-CLS-A"/>
    <s v="30.5 PCO 1881 Rnd Clear J/C(W plt-SIPA"/>
    <n v="138060"/>
    <n v="138060"/>
    <s v="PC"/>
    <n v="3.0499999999999999E-2"/>
    <n v="0"/>
    <x v="7"/>
    <x v="7"/>
  </r>
  <r>
    <x v="866"/>
    <s v="12.5TO2RD-CLS-B"/>
    <s v="12.5 29/25 Rnd Clear J/C(PP"/>
    <n v="250560"/>
    <n v="250560"/>
    <s v="PC"/>
    <n v="1.2500000000000001E-2"/>
    <n v="0"/>
    <x v="39"/>
    <x v="39"/>
  </r>
  <r>
    <x v="867"/>
    <s v="50.1PC2RD-IG-B"/>
    <s v="50.1 PCO 1881 Rnd ICI Green J/C(P Plt"/>
    <n v="19872"/>
    <n v="19872"/>
    <s v="PC"/>
    <n v="5.0099999999999999E-2"/>
    <n v="0"/>
    <x v="96"/>
    <x v="95"/>
  </r>
  <r>
    <x v="868"/>
    <s v="12.5TO2RD-CLS-B"/>
    <s v="12.5 29/25 Rnd Clear J/C(PP"/>
    <n v="751680"/>
    <n v="751680"/>
    <s v="PC"/>
    <n v="1.2500000000000001E-2"/>
    <n v="0"/>
    <x v="39"/>
    <x v="39"/>
  </r>
  <r>
    <x v="869"/>
    <s v="30.5PC2RD-IGS-BH2"/>
    <s v="30.5PCO1881 ICI GreenJ/C(PP JOM HDG-SIPA"/>
    <n v="382320"/>
    <n v="382320"/>
    <s v="PC"/>
    <n v="3.0499999999999999E-2"/>
    <n v="0"/>
    <x v="31"/>
    <x v="31"/>
  </r>
  <r>
    <x v="870"/>
    <s v="12.5TO2RD-B14-B"/>
    <s v="12.5TO29/25Rnd Nova Blue J/C(Ppt-YISHeng"/>
    <n v="68078"/>
    <n v="68078"/>
    <s v="PC"/>
    <n v="1.2500000000000001E-2"/>
    <n v="0"/>
    <x v="98"/>
    <x v="97"/>
  </r>
  <r>
    <x v="870"/>
    <s v="FRG160"/>
    <s v="PET Blue Preform For Grinding"/>
    <n v="-67"/>
    <n v="-67"/>
    <s v="KG"/>
    <n v="1.2500000000000001E-2"/>
    <n v="-5360"/>
    <x v="98"/>
    <x v="97"/>
  </r>
  <r>
    <x v="871"/>
    <s v="14.0TO2RD-B4-A"/>
    <s v="14.0 TO 29/25 Rnd Arwa Blue J/C(W plt)"/>
    <n v="96000"/>
    <n v="96000"/>
    <s v="PC"/>
    <n v="1.4E-2"/>
    <n v="0"/>
    <x v="14"/>
    <x v="14"/>
  </r>
  <r>
    <x v="872"/>
    <s v="45.0PC2RD-IGS-B"/>
    <s v="45.0 PCO 1881 ICI Green J/C(P Plt - SIPA"/>
    <n v="6624"/>
    <n v="6624"/>
    <s v="PC"/>
    <n v="4.4999999999999998E-2"/>
    <n v="0"/>
    <x v="88"/>
    <x v="87"/>
  </r>
  <r>
    <x v="873"/>
    <s v="8.3TO2RD-LBS-A"/>
    <s v="8.30TO LW 29/25Rd L.Blue J/C(W plt)-SIPA"/>
    <n v="81000"/>
    <n v="81000"/>
    <s v="PC"/>
    <n v="8.3000000000000001E-3"/>
    <n v="0"/>
    <x v="5"/>
    <x v="5"/>
  </r>
  <r>
    <x v="874"/>
    <s v="12.5TO2RD-CLS-B"/>
    <s v="12.5 29/25 Rnd Clear J/C(PP"/>
    <n v="2004480"/>
    <n v="2004480"/>
    <s v="PC"/>
    <n v="1.2500000000000001E-2"/>
    <n v="0"/>
    <x v="39"/>
    <x v="39"/>
  </r>
  <r>
    <x v="875"/>
    <s v="45.0PC2RD-CLS-B"/>
    <s v="45.0 PCO 1881Rd Clear J/C(P Plt - SIPA"/>
    <n v="874368"/>
    <n v="874368"/>
    <s v="PC"/>
    <n v="4.4999999999999998E-2"/>
    <n v="0"/>
    <x v="79"/>
    <x v="78"/>
  </r>
  <r>
    <x v="876"/>
    <s v="26.6TO2RD-AJB-BH"/>
    <s v="26.6TO29/25Rnd'ALM'BLUE J/C(PP-HDG)"/>
    <n v="30240"/>
    <n v="30240"/>
    <s v="PC"/>
    <n v="2.6600000000000002E-2"/>
    <n v="0"/>
    <x v="10"/>
    <x v="10"/>
  </r>
  <r>
    <x v="877"/>
    <s v="26.6TO2RD-B2-B"/>
    <s v="26.6TO29/25Rnd Nova Blue - (JADE)"/>
    <n v="10080"/>
    <n v="10080"/>
    <s v="PC"/>
    <n v="2.6600000000000002E-2"/>
    <n v="0"/>
    <x v="63"/>
    <x v="63"/>
  </r>
  <r>
    <x v="878"/>
    <s v="30.5PC2RD-CLS-A"/>
    <s v="30.5 PCO 1881 Rnd Clear J/C(W plt-SIPA"/>
    <n v="509760"/>
    <n v="0"/>
    <s v="PC"/>
    <n v="3.0499999999999999E-2"/>
    <n v="0"/>
    <x v="21"/>
    <x v="21"/>
  </r>
  <r>
    <x v="879"/>
    <s v="7.8TO2RD-CLS-A"/>
    <s v="7.80 TO 29/25 Rnd Clear J/C(W Plt-SIPA"/>
    <n v="59760"/>
    <n v="59760"/>
    <s v="PC"/>
    <n v="7.7999999999999996E-3"/>
    <n v="0"/>
    <x v="22"/>
    <x v="22"/>
  </r>
  <r>
    <x v="880"/>
    <s v="30.5PC2RD-IGS-BH2"/>
    <s v="30.5PCO1881 ICI GreenJ/C(PP JOM HDG-SIPA"/>
    <n v="509760"/>
    <n v="509760"/>
    <s v="PC"/>
    <n v="3.0499999999999999E-2"/>
    <n v="0"/>
    <x v="31"/>
    <x v="31"/>
  </r>
  <r>
    <x v="881"/>
    <s v="12.5TO2RD-CLS-B"/>
    <s v="12.5 29/25 Rnd Clear J/C(PP"/>
    <n v="1064880"/>
    <n v="1064880"/>
    <s v="PC"/>
    <n v="1.2500000000000001E-2"/>
    <n v="0"/>
    <x v="39"/>
    <x v="39"/>
  </r>
  <r>
    <x v="882"/>
    <s v="26.6TO2RD-CL-B"/>
    <s v="26.6 TO 29/25 Rnd Clear J/C(P Plt"/>
    <n v="604800"/>
    <n v="604800"/>
    <s v="PC"/>
    <n v="2.6600000000000002E-2"/>
    <n v="0"/>
    <x v="26"/>
    <x v="26"/>
  </r>
  <r>
    <x v="883"/>
    <s v="45.0PC2RD-CLS-B"/>
    <s v="45.0 PCO 1881Rd Clear J/C(P Plt - SIPA"/>
    <n v="344448"/>
    <n v="344448"/>
    <s v="PC"/>
    <n v="4.4999999999999998E-2"/>
    <n v="0"/>
    <x v="79"/>
    <x v="78"/>
  </r>
  <r>
    <x v="884"/>
    <s v="FRG119"/>
    <s v="PET Clear Preform For Grinding"/>
    <n v="-732"/>
    <n v="-732"/>
    <s v="KG"/>
    <n v="5.0999999999999997E-2"/>
    <n v="-14352.941176470589"/>
    <x v="49"/>
    <x v="49"/>
  </r>
  <r>
    <x v="884"/>
    <s v="51.0BC1RD-CL-S"/>
    <s v="51.0 BC 38mm 3 Rnd Clear steel c"/>
    <n v="46800"/>
    <n v="46800"/>
    <s v="PC"/>
    <n v="5.0999999999999997E-2"/>
    <n v="0"/>
    <x v="49"/>
    <x v="49"/>
  </r>
  <r>
    <x v="885"/>
    <s v="45.0PC2RD-CLS-B"/>
    <s v="45.0 PCO 1881Rd Clear J/C(P Plt - SIPA"/>
    <n v="291456"/>
    <n v="291456"/>
    <s v="PC"/>
    <n v="4.4999999999999998E-2"/>
    <n v="0"/>
    <x v="79"/>
    <x v="78"/>
  </r>
  <r>
    <x v="886"/>
    <s v="30.5PC2RD-IGS-BH2"/>
    <s v="30.5PCO1881 ICI GreenJ/C(PP JOM HDG-SIPA"/>
    <n v="509760"/>
    <n v="509760"/>
    <s v="PC"/>
    <n v="3.0499999999999999E-2"/>
    <n v="0"/>
    <x v="31"/>
    <x v="31"/>
  </r>
  <r>
    <x v="887"/>
    <s v="45.0PC2RD-IGS-B"/>
    <s v="45.0 PCO 1881 ICI Green J/C(P Plt - SIPA"/>
    <n v="317952"/>
    <n v="317952"/>
    <s v="PC"/>
    <n v="4.4999999999999998E-2"/>
    <n v="0"/>
    <x v="88"/>
    <x v="87"/>
  </r>
  <r>
    <x v="888"/>
    <s v="26.6TO2RD-CL-B"/>
    <s v="26.6 TO 29/25 Rnd Clear J/C(P Plt"/>
    <n v="443520"/>
    <n v="443520"/>
    <s v="PC"/>
    <n v="2.6600000000000002E-2"/>
    <n v="0"/>
    <x v="26"/>
    <x v="26"/>
  </r>
  <r>
    <x v="889"/>
    <s v="FRG160"/>
    <s v="PET Blue Preform For Grinding"/>
    <n v="-197"/>
    <n v="-197"/>
    <s v="KG"/>
    <n v="7.45E-3"/>
    <n v="-26442.953020134228"/>
    <x v="24"/>
    <x v="24"/>
  </r>
  <r>
    <x v="889"/>
    <s v="7.45TO2RD-LBS-A"/>
    <s v="7.45TO LW 29/25 L.Blue J/C(WP-SIPA"/>
    <n v="295300"/>
    <n v="295300"/>
    <s v="PC"/>
    <n v="7.45E-3"/>
    <n v="0"/>
    <x v="24"/>
    <x v="24"/>
  </r>
  <r>
    <x v="890"/>
    <s v="7.45TO2RD-LBS2-A"/>
    <s v="7.45TO 29/25 Rnd L.Blue (≤1ppm) J/C Wplt"/>
    <n v="29880"/>
    <n v="29880"/>
    <s v="PC"/>
    <n v="7.45E-3"/>
    <n v="0"/>
    <x v="24"/>
    <x v="24"/>
  </r>
  <r>
    <x v="890"/>
    <s v="7.45TO2RD-AJBS-B"/>
    <s v="7.45TO29/25Rnd'ALM'BLUE J/C(PP-SIPA)"/>
    <n v="239040"/>
    <n v="239040"/>
    <s v="PC"/>
    <n v="7.45E-3"/>
    <n v="0"/>
    <x v="24"/>
    <x v="24"/>
  </r>
  <r>
    <x v="891"/>
    <s v="FRG160"/>
    <s v="PET Blue Preform For Grinding"/>
    <n v="-222"/>
    <n v="-222"/>
    <s v="KG"/>
    <n v="7.45E-3"/>
    <n v="-29798.657718120805"/>
    <x v="24"/>
    <x v="24"/>
  </r>
  <r>
    <x v="891"/>
    <s v="7.45TO2RD-AJBS-B"/>
    <s v="7.45TO29/25Rnd'ALM'BLUE J/C(PP-SIPA)"/>
    <n v="717120"/>
    <n v="717120"/>
    <s v="PC"/>
    <n v="7.45E-3"/>
    <n v="0"/>
    <x v="24"/>
    <x v="24"/>
  </r>
  <r>
    <x v="892"/>
    <s v="9.4TO2RD-BS12-B"/>
    <s v="9.4 TO29/25Rnd Nova Blue-PET&quot;ST-BC210&quot;"/>
    <n v="253800"/>
    <n v="253800"/>
    <s v="PC"/>
    <n v="9.4000000000000004E-3"/>
    <n v="0"/>
    <x v="70"/>
    <x v="69"/>
  </r>
  <r>
    <x v="893"/>
    <s v="FRG160"/>
    <s v="PET Blue Preform For Grinding"/>
    <n v="-238"/>
    <n v="-238"/>
    <s v="KG"/>
    <n v="9.4000000000000004E-3"/>
    <n v="-25319.148936170212"/>
    <x v="70"/>
    <x v="69"/>
  </r>
  <r>
    <x v="893"/>
    <s v="9.4TO2RD-B1-B"/>
    <s v="9.4 TO29/25 Rnd Nova Blue J/C(Ppl-SABIC"/>
    <n v="380700"/>
    <n v="380700"/>
    <s v="PC"/>
    <n v="9.4000000000000004E-3"/>
    <n v="0"/>
    <x v="70"/>
    <x v="69"/>
  </r>
  <r>
    <x v="894"/>
    <s v="9.4TO2RD-LBS-A"/>
    <s v="9.4 TO 29/25 Rnd L.Blue J/C (W plt- SIPA"/>
    <n v="456840"/>
    <n v="456840"/>
    <s v="PC"/>
    <n v="9.4000000000000004E-3"/>
    <n v="0"/>
    <x v="70"/>
    <x v="69"/>
  </r>
  <r>
    <x v="895"/>
    <s v="52.0BC1RD-CL-B"/>
    <s v="52.0 BC38mm 3 Rnd Clear J/C(P Plt"/>
    <n v="148800"/>
    <n v="148800"/>
    <s v="PC"/>
    <n v="5.1999999999999998E-2"/>
    <n v="0"/>
    <x v="6"/>
    <x v="6"/>
  </r>
  <r>
    <x v="896"/>
    <s v="FRG119"/>
    <s v="PET Clear Preform For Grinding"/>
    <n v="-498"/>
    <n v="-498"/>
    <s v="KG"/>
    <n v="5.1999999999999998E-2"/>
    <n v="-9576.923076923078"/>
    <x v="15"/>
    <x v="15"/>
  </r>
  <r>
    <x v="896"/>
    <s v="52.0BC1RD-CL-G"/>
    <s v="52.0 BC 38mm 3 Rnd Clear OJ/C(W plt"/>
    <n v="52800"/>
    <n v="52800"/>
    <s v="PC"/>
    <n v="5.1999999999999998E-2"/>
    <n v="0"/>
    <x v="15"/>
    <x v="15"/>
  </r>
  <r>
    <x v="897"/>
    <s v="FRG119"/>
    <s v="PET Clear Preform For Grinding"/>
    <n v="-228"/>
    <n v="-228"/>
    <s v="KG"/>
    <n v="3.5999999999999997E-2"/>
    <n v="-6333.3333333333339"/>
    <x v="3"/>
    <x v="3"/>
  </r>
  <r>
    <x v="897"/>
    <s v="36.0BC1RD-CL-G"/>
    <s v="36.0 BC38mm 3 Rnd Clear OJ/C(W plt"/>
    <n v="57024"/>
    <n v="57024"/>
    <s v="PC"/>
    <n v="3.5999999999999997E-2"/>
    <n v="0"/>
    <x v="3"/>
    <x v="3"/>
  </r>
  <r>
    <x v="898"/>
    <s v="45.0PC2RD-IGS-B"/>
    <s v="45.0 PCO 1881 ICI Green J/C(P Plt - SIPA"/>
    <n v="629280"/>
    <n v="629280"/>
    <s v="PC"/>
    <n v="4.4999999999999998E-2"/>
    <n v="0"/>
    <x v="88"/>
    <x v="87"/>
  </r>
  <r>
    <x v="899"/>
    <s v="30.5PC2RD-IGS-BH2"/>
    <s v="30.5PCO1881 ICI GreenJ/C(PP JOM HDG-SIPA"/>
    <n v="966420"/>
    <n v="966420"/>
    <s v="PC"/>
    <n v="3.0499999999999999E-2"/>
    <n v="0"/>
    <x v="31"/>
    <x v="31"/>
  </r>
  <r>
    <x v="900"/>
    <s v="26.6TO2RD-CL-B"/>
    <s v="26.6 TO 29/25 Rnd Clear J/C(P Plt"/>
    <n v="504000"/>
    <n v="504000"/>
    <s v="PC"/>
    <n v="2.6600000000000002E-2"/>
    <n v="0"/>
    <x v="26"/>
    <x v="26"/>
  </r>
  <r>
    <x v="901"/>
    <s v="52.0BC1RD-CL-B"/>
    <s v="52.0 BC38mm 3 Rnd Clear J/C(P Plt"/>
    <n v="350400"/>
    <n v="350400"/>
    <s v="PC"/>
    <n v="5.1999999999999998E-2"/>
    <n v="0"/>
    <x v="6"/>
    <x v="6"/>
  </r>
  <r>
    <x v="902"/>
    <s v="36.0BC1RD-CL-G"/>
    <s v="36.0 BC38mm 3 Rnd Clear OJ/C(W plt"/>
    <n v="25344"/>
    <n v="25344"/>
    <s v="PC"/>
    <n v="3.5999999999999997E-2"/>
    <n v="0"/>
    <x v="3"/>
    <x v="3"/>
  </r>
  <r>
    <x v="903"/>
    <s v="7.45TO2RD-LBS-A"/>
    <s v="7.45TO LW 29/25 L.Blue J/C(WP-SIPA"/>
    <n v="149400"/>
    <n v="0"/>
    <s v="PC"/>
    <n v="7.45E-3"/>
    <n v="0"/>
    <x v="24"/>
    <x v="24"/>
  </r>
  <r>
    <x v="903"/>
    <s v="7.45TO2RD-AJBS-B"/>
    <s v="7.45TO29/25Rnd'ALM'BLUE J/C(PP-SIPA)"/>
    <n v="179280"/>
    <n v="179280"/>
    <s v="PC"/>
    <n v="7.45E-3"/>
    <n v="0"/>
    <x v="24"/>
    <x v="24"/>
  </r>
  <r>
    <x v="904"/>
    <s v="9.4TO2RD-B1-B"/>
    <s v="9.4 TO29/25 Rnd Nova Blue J/C(Ppl-SABIC"/>
    <n v="152280"/>
    <n v="152280"/>
    <s v="PC"/>
    <n v="9.4000000000000004E-3"/>
    <n v="0"/>
    <x v="70"/>
    <x v="69"/>
  </r>
  <r>
    <x v="905"/>
    <s v="26.6TO2RD-CL-B"/>
    <s v="26.6 TO 29/25 Rnd Clear J/C(P Plt"/>
    <n v="584640"/>
    <n v="584640"/>
    <s v="PC"/>
    <n v="2.6600000000000002E-2"/>
    <n v="0"/>
    <x v="26"/>
    <x v="26"/>
  </r>
  <r>
    <x v="906"/>
    <s v="52.0BC1RD-CL-B"/>
    <s v="52.0 BC38mm 3 Rnd Clear J/C(P Plt"/>
    <n v="345600"/>
    <n v="345600"/>
    <s v="PC"/>
    <n v="5.1999999999999998E-2"/>
    <n v="0"/>
    <x v="6"/>
    <x v="6"/>
  </r>
  <r>
    <x v="907"/>
    <s v="45.0PC2RD-CLS-B"/>
    <s v="45.0 PCO 1881Rd Clear J/C(P Plt - SIPA"/>
    <n v="344448"/>
    <n v="344448"/>
    <s v="PC"/>
    <n v="4.4999999999999998E-2"/>
    <n v="0"/>
    <x v="79"/>
    <x v="78"/>
  </r>
  <r>
    <x v="908"/>
    <s v="12.5TO2RD-CLS-B"/>
    <s v="12.5 29/25 Rnd Clear J/C(PP"/>
    <n v="1920960"/>
    <n v="1920960"/>
    <s v="PC"/>
    <n v="1.2500000000000001E-2"/>
    <n v="0"/>
    <x v="39"/>
    <x v="39"/>
  </r>
  <r>
    <x v="909"/>
    <s v="FRG119"/>
    <s v="PET Clear Preform For Grinding"/>
    <n v="-304"/>
    <n v="-304"/>
    <s v="KG"/>
    <n v="3.5999999999999997E-2"/>
    <n v="-8444.4444444444453"/>
    <x v="48"/>
    <x v="48"/>
  </r>
  <r>
    <x v="909"/>
    <s v="36.0BC1RD-CJ-S"/>
    <s v="36.0 BC 38mm 3 Rnd Clear Steel C-(Aujan)"/>
    <n v="59136"/>
    <n v="59136"/>
    <s v="PC"/>
    <n v="3.5999999999999997E-2"/>
    <n v="0"/>
    <x v="48"/>
    <x v="48"/>
  </r>
  <r>
    <x v="910"/>
    <s v="FRG160"/>
    <s v="PET Blue Preform For Grinding"/>
    <n v="-140"/>
    <n v="-140"/>
    <s v="KG"/>
    <n v="1.2500000000000001E-2"/>
    <n v="-11200"/>
    <x v="98"/>
    <x v="97"/>
  </r>
  <r>
    <x v="910"/>
    <s v="12.5TO2RD-B14-B"/>
    <s v="12.5TO29/25Rnd Nova Blue J/C(Ppt-YISHeng"/>
    <n v="78072"/>
    <n v="78072"/>
    <s v="PC"/>
    <n v="1.2500000000000001E-2"/>
    <n v="0"/>
    <x v="98"/>
    <x v="97"/>
  </r>
  <r>
    <x v="911"/>
    <s v="45.0PC2RD-IGS-B"/>
    <s v="45.0 PCO 1881 ICI Green J/C(P Plt - SIPA"/>
    <n v="13248"/>
    <n v="13248"/>
    <s v="PC"/>
    <n v="4.4999999999999998E-2"/>
    <n v="0"/>
    <x v="91"/>
    <x v="90"/>
  </r>
  <r>
    <x v="912"/>
    <s v="45.0PC2RD-CLS-B"/>
    <s v="45.0 PCO 1881Rd Clear J/C(P Plt - SIPA"/>
    <n v="291456"/>
    <n v="291456"/>
    <s v="PC"/>
    <n v="4.4999999999999998E-2"/>
    <n v="0"/>
    <x v="79"/>
    <x v="78"/>
  </r>
  <r>
    <x v="913"/>
    <s v="12.5TO2RD-CLS-B"/>
    <s v="12.5 29/25 Rnd Clear J/C(PP"/>
    <n v="2004480"/>
    <n v="2004480"/>
    <s v="PC"/>
    <n v="1.2500000000000001E-2"/>
    <n v="0"/>
    <x v="39"/>
    <x v="39"/>
  </r>
  <r>
    <x v="914"/>
    <s v="26.6TO2RD-CL-B"/>
    <s v="26.6 TO 29/25 Rnd Clear J/C(P Plt"/>
    <n v="413280"/>
    <n v="413280"/>
    <s v="PC"/>
    <n v="2.6600000000000002E-2"/>
    <n v="0"/>
    <x v="26"/>
    <x v="26"/>
  </r>
  <r>
    <x v="915"/>
    <s v="30.5PC2RD-IGS-BH2"/>
    <s v="30.5PCO1881 ICI GreenJ/C(PP JOM HDG-SIPA"/>
    <n v="10620"/>
    <n v="0"/>
    <s v="PC"/>
    <n v="3.0499999999999999E-2"/>
    <n v="0"/>
    <x v="31"/>
    <x v="31"/>
  </r>
  <r>
    <x v="915"/>
    <s v="30.5PC2RD-IGS-BH1"/>
    <s v="30.5PCO1881 ICI GreenJ/C(PP AQS HDG-SIPA"/>
    <n v="10620"/>
    <n v="10620"/>
    <s v="PC"/>
    <n v="3.0499999999999999E-2"/>
    <n v="0"/>
    <x v="31"/>
    <x v="31"/>
  </r>
  <r>
    <x v="916"/>
    <s v="30.5PC2RD-IGS-V"/>
    <s v="30.5PCO1881RndICI GreenMenaBev Spec-SIPA"/>
    <n v="10620"/>
    <n v="10620"/>
    <s v="PC"/>
    <n v="3.0499999999999999E-2"/>
    <n v="0"/>
    <x v="31"/>
    <x v="31"/>
  </r>
  <r>
    <x v="917"/>
    <s v="FRG161"/>
    <s v="PET Green Preform For Grinding"/>
    <n v="-323"/>
    <n v="-323"/>
    <s v="KG"/>
    <n v="3.0499999999999999E-2"/>
    <n v="-10590.163934426229"/>
    <x v="31"/>
    <x v="31"/>
  </r>
  <r>
    <x v="917"/>
    <s v="30.5PC2RD-IGS-BH2"/>
    <s v="30.5PCO1881 ICI GreenJ/C(PP JOM HDG-SIPA"/>
    <n v="84960"/>
    <n v="84960"/>
    <s v="PC"/>
    <n v="3.0499999999999999E-2"/>
    <n v="0"/>
    <x v="31"/>
    <x v="31"/>
  </r>
  <r>
    <x v="918"/>
    <s v="52.0BC1RD-CL-B"/>
    <s v="52.0 BC38mm 3 Rnd Clear J/C(P Plt"/>
    <n v="340800"/>
    <n v="340800"/>
    <s v="PC"/>
    <n v="5.1999999999999998E-2"/>
    <n v="0"/>
    <x v="6"/>
    <x v="6"/>
  </r>
  <r>
    <x v="919"/>
    <s v="FRG119"/>
    <s v="PET Clear Preform For Grinding"/>
    <n v="-249"/>
    <n v="-249"/>
    <s v="KG"/>
    <n v="5.1999999999999998E-2"/>
    <n v="-4788.461538461539"/>
    <x v="15"/>
    <x v="15"/>
  </r>
  <r>
    <x v="919"/>
    <s v="52.0BC1RD-CL-B"/>
    <s v="52.0 BC38mm 3 Rnd Clear J/C(P Plt"/>
    <n v="48000"/>
    <n v="48000"/>
    <s v="PC"/>
    <n v="5.1999999999999998E-2"/>
    <n v="0"/>
    <x v="15"/>
    <x v="15"/>
  </r>
  <r>
    <x v="920"/>
    <s v="52.0BC1RD-CL-B"/>
    <s v="52.0 BC38mm 3 Rnd Clear J/C(P Plt"/>
    <n v="28800"/>
    <n v="28800"/>
    <s v="PC"/>
    <n v="5.1999999999999998E-2"/>
    <n v="0"/>
    <x v="15"/>
    <x v="15"/>
  </r>
  <r>
    <x v="921"/>
    <s v="FRG161"/>
    <s v="PET Green Preform For Grinding"/>
    <n v="-343"/>
    <n v="-343"/>
    <s v="KG"/>
    <n v="2.1000000000000001E-2"/>
    <n v="-16333.333333333332"/>
    <x v="19"/>
    <x v="19"/>
  </r>
  <r>
    <x v="921"/>
    <s v="21.0PC1RD-IGS-A"/>
    <s v="21.0PCO1881Rnd ICI Green J/C(W/p-SIPA"/>
    <n v="131040"/>
    <n v="131040"/>
    <s v="PC"/>
    <n v="2.1000000000000001E-2"/>
    <n v="0"/>
    <x v="19"/>
    <x v="19"/>
  </r>
  <r>
    <x v="922"/>
    <s v="12.5TO2RD-CLS-B"/>
    <s v="12.5 29/25 Rnd Clear J/C(PP"/>
    <n v="292320"/>
    <n v="292320"/>
    <s v="PC"/>
    <n v="1.2500000000000001E-2"/>
    <n v="0"/>
    <x v="39"/>
    <x v="39"/>
  </r>
  <r>
    <x v="923"/>
    <s v="52.0BC1RD-CL-B"/>
    <s v="52.0 BC38mm 3 Rnd Clear J/C(P Plt"/>
    <n v="62400"/>
    <n v="62400"/>
    <s v="PC"/>
    <n v="5.1999999999999998E-2"/>
    <n v="0"/>
    <x v="6"/>
    <x v="6"/>
  </r>
  <r>
    <x v="924"/>
    <s v="FRG160"/>
    <s v="PET Blue Preform For Grinding"/>
    <n v="-259"/>
    <n v="-259"/>
    <s v="KG"/>
    <n v="1.35E-2"/>
    <n v="-19185.185185185186"/>
    <x v="55"/>
    <x v="55"/>
  </r>
  <r>
    <x v="924"/>
    <s v="13.5TO2RD-LB-A"/>
    <s v="13.5 TO29/25 Rnd L.Blue J/C(W Plt)"/>
    <n v="211200"/>
    <n v="211200"/>
    <s v="PC"/>
    <n v="1.35E-2"/>
    <n v="0"/>
    <x v="55"/>
    <x v="55"/>
  </r>
  <r>
    <x v="925"/>
    <s v="21.0PC2RD-CLS-A"/>
    <s v="21.0PCO1881Rnd Clear J/C(W/p-SIPA"/>
    <n v="81900"/>
    <n v="81900"/>
    <s v="PC"/>
    <n v="2.1000000000000001E-2"/>
    <n v="0"/>
    <x v="9"/>
    <x v="9"/>
  </r>
  <r>
    <x v="926"/>
    <s v="45.0PC2RD-CLS-B"/>
    <s v="45.0 PCO 1881Rd Clear J/C(P Plt - SIPA"/>
    <n v="317952"/>
    <n v="317952"/>
    <s v="PC"/>
    <n v="4.4999999999999998E-2"/>
    <n v="0"/>
    <x v="79"/>
    <x v="78"/>
  </r>
  <r>
    <x v="927"/>
    <s v="45.0PC2RD-IGS-B"/>
    <s v="45.0 PCO 1881 ICI Green J/C(P Plt - SIPA"/>
    <n v="92736"/>
    <n v="92736"/>
    <s v="PC"/>
    <n v="4.4999999999999998E-2"/>
    <n v="0"/>
    <x v="88"/>
    <x v="87"/>
  </r>
  <r>
    <x v="928"/>
    <s v="FRG119"/>
    <s v="PET Clear Preform For Grinding"/>
    <n v="-213"/>
    <n v="-213"/>
    <s v="KG"/>
    <n v="1.35E-2"/>
    <n v="-15777.777777777777"/>
    <x v="107"/>
    <x v="106"/>
  </r>
  <r>
    <x v="928"/>
    <s v="13.5TO1RD-CL-A"/>
    <s v="13.5 TO29/25 Rnd Clear J/C(W Plt)"/>
    <n v="73450"/>
    <n v="73450"/>
    <s v="PC"/>
    <n v="1.35E-2"/>
    <n v="0"/>
    <x v="107"/>
    <x v="106"/>
  </r>
  <r>
    <x v="929"/>
    <s v="45.0PC2RD-IGS-B"/>
    <s v="45.0 PCO 1881 ICI Green J/C(P Plt - SIPA"/>
    <n v="225216"/>
    <n v="225216"/>
    <s v="PC"/>
    <n v="4.4999999999999998E-2"/>
    <n v="0"/>
    <x v="88"/>
    <x v="87"/>
  </r>
  <r>
    <x v="930"/>
    <s v="FRG119"/>
    <s v="PET Clear Preform For Grinding"/>
    <n v="-264.88799999999998"/>
    <n v="-264.88799999999998"/>
    <s v="KG"/>
    <n v="4.4999999999999998E-2"/>
    <n v="-5886.4"/>
    <x v="86"/>
    <x v="85"/>
  </r>
  <r>
    <x v="930"/>
    <s v="45.0PC2RD-CLS-V"/>
    <s v="45.0 PCO 1881 Rnd Clear Mena Bev"/>
    <n v="59616"/>
    <n v="0"/>
    <s v="PC"/>
    <n v="4.4999999999999998E-2"/>
    <n v="0"/>
    <x v="86"/>
    <x v="85"/>
  </r>
  <r>
    <x v="930"/>
    <s v="45.0PC2RD-CLS-B"/>
    <s v="45.0 PCO 1881Rd Clear J/C(P Plt - SIPA"/>
    <n v="59616"/>
    <n v="59616"/>
    <s v="PC"/>
    <n v="4.4999999999999998E-2"/>
    <n v="0"/>
    <x v="86"/>
    <x v="85"/>
  </r>
  <r>
    <x v="931"/>
    <s v="45.0PC2RD-IGS-B"/>
    <s v="45.0 PCO 1881 ICI Green J/C(P Plt - SIPA"/>
    <n v="317952"/>
    <n v="317952"/>
    <s v="PC"/>
    <n v="4.4999999999999998E-2"/>
    <n v="0"/>
    <x v="88"/>
    <x v="87"/>
  </r>
  <r>
    <x v="932"/>
    <s v="11.5TO2RD-AJBS-B"/>
    <s v="11.5TO29/25Rnd'ALM'BLUE J/C(PP-SIPA-HDG"/>
    <n v="83520"/>
    <n v="83520"/>
    <s v="PC"/>
    <n v="1.15E-2"/>
    <n v="0"/>
    <x v="42"/>
    <x v="42"/>
  </r>
  <r>
    <x v="933"/>
    <s v="45.0PC2RD-IGS-B"/>
    <s v="45.0 PCO 1881 ICI Green J/C(P Plt - SIPA"/>
    <n v="6624"/>
    <n v="6624"/>
    <s v="PC"/>
    <n v="4.4999999999999998E-2"/>
    <n v="0"/>
    <x v="91"/>
    <x v="90"/>
  </r>
  <r>
    <x v="934"/>
    <s v="45.0PC2RD-IGS-B"/>
    <s v="45.0 PCO 1881 ICI Green J/C(P Plt - SIPA"/>
    <n v="6624"/>
    <n v="6624"/>
    <s v="PC"/>
    <n v="4.4999999999999998E-2"/>
    <n v="0"/>
    <x v="91"/>
    <x v="90"/>
  </r>
  <r>
    <x v="935"/>
    <s v="52.0BC1RD-CL-G"/>
    <s v="52.0 BC 38mm 3 Rnd Clear OJ/C(W plt"/>
    <n v="24000"/>
    <n v="24000"/>
    <s v="PC"/>
    <n v="5.1999999999999998E-2"/>
    <n v="0"/>
    <x v="15"/>
    <x v="15"/>
  </r>
  <r>
    <x v="936"/>
    <s v="36.0BC1RD-CL-A"/>
    <s v="36.0 BC38mm 3 Rnd Clear J/C(W Plt"/>
    <n v="12172"/>
    <n v="12172"/>
    <s v="PC"/>
    <n v="3.5999999999999997E-2"/>
    <n v="0"/>
    <x v="3"/>
    <x v="3"/>
  </r>
  <r>
    <x v="937"/>
    <s v="FRG160"/>
    <s v="PET Blue Preform For Grinding"/>
    <n v="-222"/>
    <n v="-222"/>
    <s v="KG"/>
    <n v="7.45E-3"/>
    <n v="-29798.657718120805"/>
    <x v="24"/>
    <x v="24"/>
  </r>
  <r>
    <x v="937"/>
    <s v="7.45TO2RD-LBS-A"/>
    <s v="7.45TO LW 29/25 L.Blue J/C(WP-SIPA"/>
    <n v="119520"/>
    <n v="119520"/>
    <s v="PC"/>
    <n v="7.45E-3"/>
    <n v="0"/>
    <x v="24"/>
    <x v="24"/>
  </r>
  <r>
    <x v="938"/>
    <s v="45.0PC2RD-IGS-V"/>
    <s v="45.0 PCO 1881 Rnd ICI Green Mena Bev"/>
    <n v="6624"/>
    <n v="6624"/>
    <s v="PC"/>
    <n v="4.4999999999999998E-2"/>
    <n v="0"/>
    <x v="91"/>
    <x v="90"/>
  </r>
  <r>
    <x v="939"/>
    <s v="9.4TO2RD-LBS-A"/>
    <s v="9.4 TO 29/25 Rnd L.Blue J/C (W plt- SIPA"/>
    <n v="50760"/>
    <n v="50760"/>
    <s v="PC"/>
    <n v="9.4000000000000004E-3"/>
    <n v="0"/>
    <x v="4"/>
    <x v="4"/>
  </r>
  <r>
    <x v="940"/>
    <s v="FRG160"/>
    <s v="PET Blue Preform For Grinding"/>
    <n v="-238"/>
    <n v="-238"/>
    <s v="KG"/>
    <n v="9.4000000000000004E-3"/>
    <n v="-25319.148936170212"/>
    <x v="4"/>
    <x v="4"/>
  </r>
  <r>
    <x v="940"/>
    <s v="9.4TO2RD-B1-B"/>
    <s v="9.4 TO29/25 Rnd Nova Blue J/C(Ppl-SABIC"/>
    <n v="431460"/>
    <n v="431460"/>
    <s v="PC"/>
    <n v="9.4000000000000004E-3"/>
    <n v="0"/>
    <x v="4"/>
    <x v="4"/>
  </r>
  <r>
    <x v="941"/>
    <s v="7.45TO2RD-LBS2-A"/>
    <s v="7.45TO 29/25 Rnd L.Blue (≤1ppm) J/C Wplt"/>
    <n v="239040"/>
    <n v="239040"/>
    <s v="PC"/>
    <n v="7.45E-3"/>
    <n v="0"/>
    <x v="24"/>
    <x v="24"/>
  </r>
  <r>
    <x v="942"/>
    <s v="FRG160"/>
    <s v="PET Blue Preform For Grinding"/>
    <n v="-252"/>
    <n v="-252"/>
    <s v="KG"/>
    <n v="7.45E-3"/>
    <n v="-33825.503355704699"/>
    <x v="24"/>
    <x v="24"/>
  </r>
  <r>
    <x v="942"/>
    <s v="7.45TO2RD-AJBS-B"/>
    <s v="7.45TO29/25Rnd'ALM'BLUE J/C(PP-SIPA)"/>
    <n v="302800"/>
    <n v="302800"/>
    <s v="PC"/>
    <n v="7.45E-3"/>
    <n v="0"/>
    <x v="24"/>
    <x v="24"/>
  </r>
  <r>
    <x v="943"/>
    <s v="FRG119"/>
    <s v="PET Clear Preform For Grinding"/>
    <n v="-499"/>
    <n v="-499"/>
    <s v="KG"/>
    <n v="5.1999999999999998E-2"/>
    <n v="-9596.1538461538457"/>
    <x v="15"/>
    <x v="15"/>
  </r>
  <r>
    <x v="943"/>
    <s v="52.0BC1RD-CL-B"/>
    <s v="52.0 BC38mm 3 Rnd Clear J/C(P Plt"/>
    <n v="67200"/>
    <n v="67200"/>
    <s v="PC"/>
    <n v="5.1999999999999998E-2"/>
    <n v="0"/>
    <x v="15"/>
    <x v="15"/>
  </r>
  <r>
    <x v="944"/>
    <s v="45.0PC2RD-IG-A"/>
    <s v="45.0 PCO 1881 Rnd ICI Green J/C(W plt"/>
    <n v="6624"/>
    <n v="6624"/>
    <s v="PC"/>
    <n v="4.4999999999999998E-2"/>
    <n v="0"/>
    <x v="88"/>
    <x v="87"/>
  </r>
  <r>
    <x v="945"/>
    <s v="45.0PC2RD-IG-A"/>
    <s v="45.0 PCO 1881 Rnd ICI Green J/C(W plt"/>
    <n v="6624"/>
    <n v="6624"/>
    <s v="PC"/>
    <n v="4.4999999999999998E-2"/>
    <n v="0"/>
    <x v="88"/>
    <x v="87"/>
  </r>
  <r>
    <x v="946"/>
    <s v="45PC2RD-CL-A"/>
    <s v="45 PCO 1881 Rnd Clear J/C(W plt"/>
    <n v="13248"/>
    <n v="13248"/>
    <s v="PC"/>
    <n v="4.4999999999999998E-2"/>
    <n v="0"/>
    <x v="79"/>
    <x v="78"/>
  </r>
  <r>
    <x v="947"/>
    <s v="30.5PC2RD-CLS-BH2"/>
    <s v="30.5 PCO 1881Rnd CLR J/C(PP JOM HDG-SIPA"/>
    <n v="1019520"/>
    <n v="1019520"/>
    <s v="PC"/>
    <n v="3.0499999999999999E-2"/>
    <n v="0"/>
    <x v="21"/>
    <x v="21"/>
  </r>
  <r>
    <x v="948"/>
    <s v="FRG160"/>
    <s v="PET Blue Preform For Grinding"/>
    <n v="-238"/>
    <n v="-238"/>
    <s v="KG"/>
    <n v="9.4000000000000004E-3"/>
    <n v="-25319.148936170212"/>
    <x v="4"/>
    <x v="4"/>
  </r>
  <r>
    <x v="948"/>
    <s v="9.4TO2RD-B1-B"/>
    <s v="9.4 TO29/25 Rnd Nova Blue J/C(Ppl-SABIC"/>
    <n v="329940"/>
    <n v="329940"/>
    <s v="PC"/>
    <n v="9.4000000000000004E-3"/>
    <n v="0"/>
    <x v="4"/>
    <x v="4"/>
  </r>
  <r>
    <x v="949"/>
    <s v="FRG160"/>
    <s v="PET Blue Preform For Grinding"/>
    <n v="-268"/>
    <n v="-268"/>
    <s v="KG"/>
    <n v="2.6600000000000002E-2"/>
    <n v="-10075.187969924811"/>
    <x v="85"/>
    <x v="84"/>
  </r>
  <r>
    <x v="949"/>
    <s v="26.6TO2RD-AJB-BH"/>
    <s v="26.6TO29/25Rnd'ALM'BLUE J/C(PP-HDG)"/>
    <n v="30240"/>
    <n v="30240"/>
    <s v="PC"/>
    <n v="2.6600000000000002E-2"/>
    <n v="0"/>
    <x v="85"/>
    <x v="84"/>
  </r>
  <r>
    <x v="950"/>
    <s v="26.6TO2RD-B2-B"/>
    <s v="26.6TO29/25Rnd Nova Blue - (JADE)"/>
    <n v="20160"/>
    <n v="20160"/>
    <s v="PC"/>
    <n v="2.6600000000000002E-2"/>
    <n v="0"/>
    <x v="85"/>
    <x v="84"/>
  </r>
  <r>
    <x v="951"/>
    <s v="FRG119"/>
    <s v="PET Clear Preform For Grinding"/>
    <n v="-140"/>
    <n v="-140"/>
    <s v="KG"/>
    <n v="1.2699999999999999E-2"/>
    <n v="-11023.622047244095"/>
    <x v="58"/>
    <x v="58"/>
  </r>
  <r>
    <x v="951"/>
    <s v="12.7BC1EC-CL-S"/>
    <s v="12.7 BC38mm 3 ECO Clear Steel c."/>
    <n v="138528"/>
    <n v="138528"/>
    <s v="PC"/>
    <n v="1.2699999999999999E-2"/>
    <n v="0"/>
    <x v="58"/>
    <x v="58"/>
  </r>
  <r>
    <x v="952"/>
    <s v="15.5BC1RD-CL-S"/>
    <s v="15.5 BC38mm 3 Start Rnd Clear W Steel c."/>
    <n v="45000"/>
    <n v="45000"/>
    <s v="PC"/>
    <n v="1.55E-2"/>
    <n v="0"/>
    <x v="54"/>
    <x v="54"/>
  </r>
  <r>
    <x v="953"/>
    <s v="FRG160"/>
    <s v="PET Blue Preform For Grinding"/>
    <n v="-140"/>
    <n v="-140"/>
    <s v="KG"/>
    <n v="2.6600000000000002E-2"/>
    <n v="-5263.1578947368416"/>
    <x v="62"/>
    <x v="62"/>
  </r>
  <r>
    <x v="953"/>
    <s v="26.6TO2RD-LB-A"/>
    <s v="26.6 29/25 Rnd Light Blue J/C(W Plt"/>
    <n v="40320"/>
    <n v="40320"/>
    <s v="PC"/>
    <n v="2.6600000000000002E-2"/>
    <n v="0"/>
    <x v="62"/>
    <x v="62"/>
  </r>
  <r>
    <x v="954"/>
    <s v="30.5PC2RD-IGS-BH2"/>
    <s v="30.5PCO1881 ICI GreenJ/C(PP JOM HDG-SIPA"/>
    <n v="562860"/>
    <n v="562860"/>
    <s v="PC"/>
    <n v="3.0499999999999999E-2"/>
    <n v="0"/>
    <x v="31"/>
    <x v="31"/>
  </r>
  <r>
    <x v="955"/>
    <s v="7.45TO2RD-LBS2-A"/>
    <s v="7.45TO 29/25 Rnd L.Blue (≤1ppm) J/C Wplt"/>
    <n v="119520"/>
    <n v="119520"/>
    <s v="PC"/>
    <n v="7.45E-3"/>
    <n v="0"/>
    <x v="24"/>
    <x v="24"/>
  </r>
  <r>
    <x v="956"/>
    <s v="7.45TO2RD-LBS2-A"/>
    <s v="7.45TO 29/25 Rnd L.Blue (≤1ppm) J/C Wplt"/>
    <n v="119520"/>
    <n v="0"/>
    <s v="PC"/>
    <n v="7.45E-3"/>
    <n v="0"/>
    <x v="24"/>
    <x v="24"/>
  </r>
  <r>
    <x v="956"/>
    <s v="7.45TO2RD-AJBS-B"/>
    <s v="7.45TO29/25Rnd'ALM'BLUE J/C(PP-SIPA)"/>
    <n v="776880"/>
    <n v="776880"/>
    <s v="PC"/>
    <n v="7.45E-3"/>
    <n v="0"/>
    <x v="24"/>
    <x v="24"/>
  </r>
  <r>
    <x v="957"/>
    <s v="34.0BC1EC-W2-S"/>
    <s v="34.0 BC38mm 3 ECO Huayan White Steel C"/>
    <n v="99360"/>
    <n v="99360"/>
    <s v="PC"/>
    <n v="3.4000000000000002E-2"/>
    <n v="0"/>
    <x v="50"/>
    <x v="50"/>
  </r>
  <r>
    <x v="958"/>
    <s v="FRG119"/>
    <s v="PET Clear Preform For Grinding"/>
    <n v="-147"/>
    <n v="-147"/>
    <s v="KG"/>
    <n v="1.7999999999999999E-2"/>
    <n v="-8166.666666666667"/>
    <x v="64"/>
    <x v="64"/>
  </r>
  <r>
    <x v="958"/>
    <s v="18.0BC1RD-CL-S"/>
    <s v="18.0 BC38mm 3 Rnd Clear Steel C"/>
    <n v="32832"/>
    <n v="32832"/>
    <s v="PC"/>
    <n v="1.7999999999999999E-2"/>
    <n v="0"/>
    <x v="64"/>
    <x v="64"/>
  </r>
  <r>
    <x v="959"/>
    <s v="13.5BC1RD-CL-S"/>
    <s v="13.5 BC38mm 3 Rnd Clear W steel c."/>
    <n v="31968"/>
    <n v="31968"/>
    <s v="PC"/>
    <n v="1.35E-2"/>
    <n v="0"/>
    <x v="84"/>
    <x v="83"/>
  </r>
  <r>
    <x v="960"/>
    <s v="30.5PC2RD-IGS-BH2"/>
    <s v="30.5PCO1881 ICI GreenJ/C(PP JOM HDG-SIPA"/>
    <n v="1019520"/>
    <n v="1019520"/>
    <s v="PC"/>
    <n v="3.0499999999999999E-2"/>
    <n v="0"/>
    <x v="31"/>
    <x v="31"/>
  </r>
  <r>
    <x v="961"/>
    <s v="9.4TO2RD-B1-B"/>
    <s v="9.4 TO29/25 Rnd Nova Blue J/C(Ppl-SABIC"/>
    <n v="152280"/>
    <n v="152280"/>
    <s v="PC"/>
    <n v="9.4000000000000004E-3"/>
    <n v="0"/>
    <x v="4"/>
    <x v="4"/>
  </r>
  <r>
    <x v="962"/>
    <s v="10.4TO2RD-BS8-B"/>
    <s v="10.4 TO29/25Rd Nova Blue-PET&quot;ST-YISHENG&quot;"/>
    <n v="354816"/>
    <n v="354816"/>
    <s v="PC"/>
    <n v="1.04E-2"/>
    <n v="0"/>
    <x v="23"/>
    <x v="23"/>
  </r>
  <r>
    <x v="963"/>
    <s v="8.3TO2RD-LBS1-A"/>
    <s v="8.30TOLW29/25 L.Blue(≤2ppm)J/C(W pt-SIPA"/>
    <n v="162000"/>
    <n v="162000"/>
    <s v="PC"/>
    <n v="8.3000000000000001E-3"/>
    <n v="0"/>
    <x v="5"/>
    <x v="5"/>
  </r>
  <r>
    <x v="964"/>
    <s v="FRG160"/>
    <s v="PET Blue Preform For Grinding"/>
    <n v="-224"/>
    <n v="-224"/>
    <s v="KG"/>
    <n v="8.3000000000000001E-3"/>
    <n v="-26987.951807228914"/>
    <x v="5"/>
    <x v="5"/>
  </r>
  <r>
    <x v="964"/>
    <s v="8.3TO2RD-LBS-A"/>
    <s v="8.30TO LW 29/25Rd L.Blue J/C(W plt)-SIPA"/>
    <n v="243000"/>
    <n v="243000"/>
    <s v="PC"/>
    <n v="8.3000000000000001E-3"/>
    <n v="0"/>
    <x v="5"/>
    <x v="5"/>
  </r>
  <r>
    <x v="965"/>
    <s v="9.4TO2RD-LBS-A"/>
    <s v="9.4 TO 29/25 Rnd L.Blue J/C (W plt- SIPA"/>
    <n v="25380"/>
    <n v="0"/>
    <s v="PC"/>
    <n v="9.4000000000000004E-3"/>
    <n v="0"/>
    <x v="10"/>
    <x v="10"/>
  </r>
  <r>
    <x v="966"/>
    <s v="11.5TO2RD-AJBS-B"/>
    <s v="11.5TO29/25Rnd'ALM'BLUE J/C(PP-SIPA-HDG"/>
    <n v="62640"/>
    <n v="62640"/>
    <s v="PC"/>
    <n v="1.15E-2"/>
    <n v="0"/>
    <x v="42"/>
    <x v="42"/>
  </r>
  <r>
    <x v="967"/>
    <s v="FRG160"/>
    <s v="PET Blue Preform For Grinding"/>
    <n v="-240"/>
    <n v="-240"/>
    <s v="KG"/>
    <n v="1.15E-2"/>
    <n v="-20869.565217391304"/>
    <x v="102"/>
    <x v="101"/>
  </r>
  <r>
    <x v="967"/>
    <s v="11.5TO2RD-LBS-A"/>
    <s v="11.5 TO29/25Rd L.Blue J/C(WP-SIPA"/>
    <n v="83520"/>
    <n v="83520"/>
    <s v="PC"/>
    <n v="1.15E-2"/>
    <n v="0"/>
    <x v="102"/>
    <x v="101"/>
  </r>
  <r>
    <x v="968"/>
    <s v="21.0PC2RD-CLS-A"/>
    <s v="21.0PCO1881Rnd Clear J/C(W/p-SIPA"/>
    <n v="32760"/>
    <n v="32760"/>
    <s v="PC"/>
    <n v="2.1000000000000001E-2"/>
    <n v="0"/>
    <x v="9"/>
    <x v="9"/>
  </r>
  <r>
    <x v="969"/>
    <s v="FRG119"/>
    <s v="PET Clear Preform For Grinding"/>
    <n v="-323"/>
    <n v="-323"/>
    <s v="KG"/>
    <n v="3.0499999999999999E-2"/>
    <n v="-10590.163934426229"/>
    <x v="7"/>
    <x v="7"/>
  </r>
  <r>
    <x v="969"/>
    <s v="30.5PC2RD-CLS-BH2"/>
    <s v="30.5 PCO 1881Rnd CLR J/C(PP JOM HDG-SIPA"/>
    <n v="42480"/>
    <n v="42480"/>
    <s v="PC"/>
    <n v="3.0499999999999999E-2"/>
    <n v="0"/>
    <x v="7"/>
    <x v="7"/>
  </r>
  <r>
    <x v="970"/>
    <s v="45.0PC2RD-IGS-B"/>
    <s v="45.0 PCO 1881 ICI Green J/C(P Plt - SIPA"/>
    <n v="6624"/>
    <n v="6624"/>
    <s v="PC"/>
    <n v="4.4999999999999998E-2"/>
    <n v="0"/>
    <x v="88"/>
    <x v="87"/>
  </r>
  <r>
    <x v="971"/>
    <s v="45.0PC2RD-IGS-B"/>
    <s v="45.0 PCO 1881 ICI Green J/C(P Plt - SIPA"/>
    <n v="6624"/>
    <n v="6624"/>
    <s v="PC"/>
    <n v="4.4999999999999998E-2"/>
    <n v="0"/>
    <x v="88"/>
    <x v="87"/>
  </r>
  <r>
    <x v="972"/>
    <s v="10.4TO2RD-CL-B"/>
    <s v="10.4 TO 29/25 Rnd Clear J/C(P Plt"/>
    <n v="152064"/>
    <n v="152064"/>
    <s v="PC"/>
    <n v="1.04E-2"/>
    <n v="0"/>
    <x v="53"/>
    <x v="53"/>
  </r>
  <r>
    <x v="973"/>
    <s v="30.5PC2RD-CLS-BH2"/>
    <s v="30.5 PCO 1881Rnd CLR J/C(PP JOM HDG-SIPA"/>
    <n v="84960"/>
    <n v="0"/>
    <s v="PC"/>
    <n v="3.0499999999999999E-2"/>
    <n v="0"/>
    <x v="21"/>
    <x v="21"/>
  </r>
  <r>
    <x v="974"/>
    <s v="9.4TO2RD-CLS-B"/>
    <s v="9.4 TO 29/25 Rnd Clear J/C(PP)"/>
    <n v="1269000"/>
    <n v="1269000"/>
    <s v="PC"/>
    <n v="9.4000000000000004E-3"/>
    <n v="0"/>
    <x v="105"/>
    <x v="104"/>
  </r>
  <r>
    <x v="975"/>
    <s v="34.0BC1EC-W2-S"/>
    <s v="34.0 BC38mm 3 ECO Huayan White Steel C"/>
    <n v="19872"/>
    <n v="19872"/>
    <s v="PC"/>
    <n v="3.4000000000000002E-2"/>
    <n v="0"/>
    <x v="50"/>
    <x v="50"/>
  </r>
  <r>
    <x v="976"/>
    <s v="30.5PC2RD-IGS-BH2"/>
    <s v="30.5PCO1881 ICI GreenJ/C(PP JOM HDG-SIPA"/>
    <n v="84960"/>
    <n v="84960"/>
    <s v="PC"/>
    <n v="3.0499999999999999E-2"/>
    <n v="0"/>
    <x v="31"/>
    <x v="31"/>
  </r>
  <r>
    <x v="977"/>
    <s v="52.0BC1RD-CL-G"/>
    <s v="52.0 BC 38mm 3 Rnd Clear OJ/C(W plt"/>
    <n v="292800"/>
    <n v="292800"/>
    <s v="PC"/>
    <n v="5.1999999999999998E-2"/>
    <n v="0"/>
    <x v="6"/>
    <x v="6"/>
  </r>
  <r>
    <x v="978"/>
    <s v="FRG119"/>
    <s v="PET Clear Preform For Grinding"/>
    <n v="-238"/>
    <n v="-238"/>
    <s v="KG"/>
    <n v="9.4000000000000004E-3"/>
    <n v="-25319.148936170212"/>
    <x v="105"/>
    <x v="104"/>
  </r>
  <r>
    <x v="978"/>
    <s v="9.4TO2RD-CLS-B"/>
    <s v="9.4 TO 29/25 Rnd Clear J/C(PP)"/>
    <n v="1116720"/>
    <n v="1116720"/>
    <s v="PC"/>
    <n v="9.4000000000000004E-3"/>
    <n v="0"/>
    <x v="105"/>
    <x v="104"/>
  </r>
  <r>
    <x v="979"/>
    <s v="52.0BC1RD-CL-G"/>
    <s v="52.0 BC 38mm 3 Rnd Clear OJ/C(W plt"/>
    <n v="292800"/>
    <n v="292800"/>
    <s v="PC"/>
    <n v="5.1999999999999998E-2"/>
    <n v="0"/>
    <x v="6"/>
    <x v="6"/>
  </r>
  <r>
    <x v="980"/>
    <s v="26.6TO2RD-B2-B"/>
    <s v="26.6TO29/25Rnd Nova Blue - (JADE)"/>
    <n v="60480"/>
    <n v="60480"/>
    <s v="PC"/>
    <n v="2.6600000000000002E-2"/>
    <n v="0"/>
    <x v="85"/>
    <x v="84"/>
  </r>
  <r>
    <x v="981"/>
    <s v="26.6TO2RD-AJB-BH"/>
    <s v="26.6TO29/25Rnd'ALM'BLUE J/C(PP-HDG)"/>
    <n v="30240"/>
    <n v="30240"/>
    <s v="PC"/>
    <n v="2.6600000000000002E-2"/>
    <n v="0"/>
    <x v="85"/>
    <x v="84"/>
  </r>
  <r>
    <x v="982"/>
    <s v="FRG161"/>
    <s v="PET Green Preform For Grinding"/>
    <n v="-28"/>
    <n v="-28"/>
    <s v="KG"/>
    <n v="1.4E-2"/>
    <n v="-2000"/>
    <x v="47"/>
    <x v="47"/>
  </r>
  <r>
    <x v="982"/>
    <s v="14.0PC2RD-IG-A"/>
    <s v="14.0 PCO 1881 Rnd ICI Green J/C(W Plt)"/>
    <n v="20640"/>
    <n v="20640"/>
    <s v="PC"/>
    <n v="1.4E-2"/>
    <n v="0"/>
    <x v="47"/>
    <x v="47"/>
  </r>
  <r>
    <x v="983"/>
    <s v="12.7BC1EC-W1-S"/>
    <s v="12.7 BC38mm 3 ECO White Steel c."/>
    <n v="10656"/>
    <n v="10656"/>
    <s v="PC"/>
    <n v="1.2699999999999999E-2"/>
    <n v="0"/>
    <x v="106"/>
    <x v="105"/>
  </r>
  <r>
    <x v="984"/>
    <s v="36.0BC1RD-CJ-S"/>
    <s v="36.0 BC 38mm 3 Rnd Clear Steel C-(Aujan)"/>
    <n v="4224"/>
    <n v="4224"/>
    <s v="PC"/>
    <n v="3.5999999999999997E-2"/>
    <n v="0"/>
    <x v="48"/>
    <x v="48"/>
  </r>
  <r>
    <x v="985"/>
    <s v="14.0TO2RD-B4-A"/>
    <s v="14.0 TO 29/25 Rnd Arwa Blue J/C(W plt)"/>
    <n v="38400"/>
    <n v="38400"/>
    <s v="PC"/>
    <n v="1.4E-2"/>
    <n v="0"/>
    <x v="14"/>
    <x v="14"/>
  </r>
  <r>
    <x v="986"/>
    <s v="9.4TO2RD-CLS-V"/>
    <s v="9.4 29/25RndCLR AA Rdcer MenaB PP"/>
    <n v="76140"/>
    <n v="76140"/>
    <s v="PC"/>
    <n v="9.4000000000000004E-3"/>
    <n v="0"/>
    <x v="105"/>
    <x v="104"/>
  </r>
  <r>
    <x v="987"/>
    <s v="52.0BC1RD-CL-G"/>
    <s v="52.0 BC 38mm 3 Rnd Clear OJ/C(W plt"/>
    <n v="163200"/>
    <n v="163200"/>
    <s v="PC"/>
    <n v="5.1999999999999998E-2"/>
    <n v="0"/>
    <x v="6"/>
    <x v="6"/>
  </r>
  <r>
    <x v="988"/>
    <s v="26.6TO2RD-CL-B"/>
    <s v="26.6 TO 29/25 Rnd Clear J/C(P Plt"/>
    <n v="574560"/>
    <n v="574560"/>
    <s v="PC"/>
    <n v="2.6600000000000002E-2"/>
    <n v="0"/>
    <x v="26"/>
    <x v="26"/>
  </r>
  <r>
    <x v="989"/>
    <s v="12.5TO2RD-B14-B"/>
    <s v="12.5TO29/25Rnd Nova Blue J/C(Ppt-YISHeng"/>
    <n v="41760"/>
    <n v="41770"/>
    <s v="PC"/>
    <n v="1.2500000000000001E-2"/>
    <n v="0"/>
    <x v="98"/>
    <x v="97"/>
  </r>
  <r>
    <x v="990"/>
    <s v="FRG160"/>
    <s v="PET Blue Preform For Grinding"/>
    <n v="-222"/>
    <n v="-222"/>
    <s v="KG"/>
    <n v="7.45E-3"/>
    <n v="-29798.657718120805"/>
    <x v="24"/>
    <x v="24"/>
  </r>
  <r>
    <x v="990"/>
    <s v="7.45TO2RD-AJBS-B"/>
    <s v="7.45TO29/25Rnd'ALM'BLUE J/C(PP-SIPA)"/>
    <n v="537840"/>
    <n v="537840"/>
    <s v="PC"/>
    <n v="7.45E-3"/>
    <n v="0"/>
    <x v="24"/>
    <x v="24"/>
  </r>
  <r>
    <x v="991"/>
    <s v="7.45TO2RD-LBS1-A"/>
    <s v="7.45TO LW 29/25 L.Blue(≤2ppm)J/C(WP-SIPA"/>
    <n v="179280"/>
    <n v="179280"/>
    <s v="PC"/>
    <n v="7.45E-3"/>
    <n v="0"/>
    <x v="24"/>
    <x v="24"/>
  </r>
  <r>
    <x v="992"/>
    <s v="26.6TO2RD-CL-B"/>
    <s v="26.6 TO 29/25 Rnd Clear J/C(P Plt"/>
    <n v="504000"/>
    <n v="504000"/>
    <s v="PC"/>
    <n v="2.6600000000000002E-2"/>
    <n v="0"/>
    <x v="26"/>
    <x v="26"/>
  </r>
  <r>
    <x v="993"/>
    <s v="FRG119"/>
    <s v="PET Clear Preform For Grinding"/>
    <n v="-526"/>
    <n v="-526"/>
    <s v="KG"/>
    <n v="1.04E-2"/>
    <n v="-50576.923076923078"/>
    <x v="53"/>
    <x v="53"/>
  </r>
  <r>
    <x v="993"/>
    <s v="10.4TO2RD-CL-A"/>
    <s v="10.4 TO 29/25 Rnd Clear J/C(W plt"/>
    <n v="329472"/>
    <n v="329472"/>
    <s v="PC"/>
    <n v="1.04E-2"/>
    <n v="0"/>
    <x v="53"/>
    <x v="53"/>
  </r>
  <r>
    <x v="994"/>
    <s v="52.0BC1RD-CL-G"/>
    <s v="52.0 BC 38mm 3 Rnd Clear OJ/C(W plt"/>
    <n v="172800"/>
    <n v="172800"/>
    <s v="PC"/>
    <n v="5.1999999999999998E-2"/>
    <n v="0"/>
    <x v="6"/>
    <x v="6"/>
  </r>
  <r>
    <x v="995"/>
    <s v="36.0BC1RD-CJ-S"/>
    <s v="36.0 BC 38mm 3 Rnd Clear Steel C-(Aujan)"/>
    <n v="38016"/>
    <n v="38016"/>
    <s v="PC"/>
    <n v="3.5999999999999997E-2"/>
    <n v="0"/>
    <x v="48"/>
    <x v="48"/>
  </r>
  <r>
    <x v="996"/>
    <s v="30.5PC2RD-CLS-A"/>
    <s v="30.5 PCO 1881 Rnd Clear J/C(W plt-SIPA"/>
    <n v="10620"/>
    <n v="0"/>
    <s v="PC"/>
    <n v="3.0499999999999999E-2"/>
    <n v="0"/>
    <x v="108"/>
    <x v="107"/>
  </r>
  <r>
    <x v="997"/>
    <s v="30.5PC2RD-CLS-A"/>
    <s v="30.5 PCO 1881 Rnd Clear J/C(W plt-SIPA"/>
    <n v="10620"/>
    <n v="0"/>
    <s v="PC"/>
    <n v="3.0499999999999999E-2"/>
    <n v="0"/>
    <x v="109"/>
    <x v="108"/>
  </r>
  <r>
    <x v="998"/>
    <s v="45.0PC2RD-IGS-B"/>
    <s v="45.0 PCO 1881 ICI Green J/C(P Plt - SIPA"/>
    <n v="13248"/>
    <n v="0"/>
    <s v="PC"/>
    <n v="4.4999999999999998E-2"/>
    <n v="0"/>
    <x v="110"/>
    <x v="109"/>
  </r>
  <r>
    <x v="999"/>
    <s v="45.0PC2RD-IGS-B"/>
    <s v="45.0 PCO 1881 ICI Green J/C(P Plt - SIPA"/>
    <n v="6624"/>
    <n v="0"/>
    <s v="PC"/>
    <n v="4.4999999999999998E-2"/>
    <n v="0"/>
    <x v="111"/>
    <x v="110"/>
  </r>
  <r>
    <x v="1000"/>
    <s v="45.0PC2RD-IGS-B"/>
    <s v="45.0 PCO 1881 ICI Green J/C(P Plt - SIPA"/>
    <n v="6624"/>
    <n v="0"/>
    <s v="PC"/>
    <n v="4.4999999999999998E-2"/>
    <n v="0"/>
    <x v="112"/>
    <x v="111"/>
  </r>
  <r>
    <x v="1001"/>
    <s v="45.0PC2RD-IGS-B"/>
    <s v="45.0 PCO 1881 ICI Green J/C(P Plt - SIPA"/>
    <n v="6624"/>
    <n v="0"/>
    <s v="PC"/>
    <n v="4.4999999999999998E-2"/>
    <n v="0"/>
    <x v="113"/>
    <x v="112"/>
  </r>
  <r>
    <x v="1002"/>
    <s v="FRG119"/>
    <s v="PET Clear Preform For Grinding"/>
    <n v="-85"/>
    <n v="-85"/>
    <s v="KG"/>
    <n v="3.0499999999999999E-2"/>
    <n v="-2786.8852459016393"/>
    <x v="108"/>
    <x v="107"/>
  </r>
  <r>
    <x v="1002"/>
    <s v="30.5PC2RD-CLR-V"/>
    <s v="30.5PCO 1881Rd Clear RPET Mena Bev"/>
    <n v="108970"/>
    <n v="108970"/>
    <s v="PC"/>
    <n v="3.0499999999999999E-2"/>
    <n v="0"/>
    <x v="108"/>
    <x v="107"/>
  </r>
  <r>
    <x v="1003"/>
    <s v="45.0PC2RD-CLR-V"/>
    <s v="45.0 PCO 1881Rd Clear RPET Mena Bev"/>
    <n v="59616"/>
    <n v="59616"/>
    <s v="PC"/>
    <n v="4.4999999999999998E-2"/>
    <n v="0"/>
    <x v="110"/>
    <x v="109"/>
  </r>
  <r>
    <x v="1004"/>
    <s v="FRG161"/>
    <s v="PET Green Preform For Grinding"/>
    <n v="-83"/>
    <n v="-83"/>
    <s v="KG"/>
    <n v="3.0499999999999999E-2"/>
    <n v="-2721.311475409836"/>
    <x v="109"/>
    <x v="108"/>
  </r>
  <r>
    <x v="1004"/>
    <s v="30.5PC2RD-IGR-V"/>
    <s v="30.5PCO 1881 ICI Green RPET Mena Bev"/>
    <n v="87715"/>
    <n v="87715"/>
    <s v="PC"/>
    <n v="3.0499999999999999E-2"/>
    <n v="0"/>
    <x v="109"/>
    <x v="108"/>
  </r>
  <r>
    <x v="1005"/>
    <s v="FRG161"/>
    <s v="PET Green Preform For Grinding"/>
    <n v="-99"/>
    <n v="-99"/>
    <s v="KG"/>
    <n v="4.4999999999999998E-2"/>
    <n v="-2200"/>
    <x v="111"/>
    <x v="110"/>
  </r>
  <r>
    <x v="1005"/>
    <s v="45.0PC2RD-IGR-V"/>
    <s v="45.0PCO 1881 ICI Green RPET Mena Bev"/>
    <n v="68440"/>
    <n v="68440"/>
    <s v="PC"/>
    <n v="4.4999999999999998E-2"/>
    <n v="0"/>
    <x v="111"/>
    <x v="110"/>
  </r>
  <r>
    <x v="1006"/>
    <s v="7.45TO2RD-AJBS-B"/>
    <s v="7.45TO29/25Rnd'ALM'BLUE J/C(PP-SIPA)"/>
    <n v="29880"/>
    <n v="0"/>
    <s v="PC"/>
    <n v="7.45E-3"/>
    <n v="0"/>
    <x v="75"/>
    <x v="74"/>
  </r>
  <r>
    <x v="1007"/>
    <s v="47.5PC2RD-IGS-B"/>
    <s v="47.5PCO 1881 Rnd ICI Green J/C(Pplt)SIPA"/>
    <n v="609408"/>
    <n v="609408"/>
    <s v="PC"/>
    <n v="4.7500000000000001E-2"/>
    <n v="0"/>
    <x v="95"/>
    <x v="94"/>
  </r>
  <r>
    <x v="1008"/>
    <s v="26.6TO2RD-CL-B"/>
    <s v="26.6 TO 29/25 Rnd Clear J/C(P Plt"/>
    <n v="352800"/>
    <n v="352800"/>
    <s v="PC"/>
    <n v="2.6600000000000002E-2"/>
    <n v="0"/>
    <x v="26"/>
    <x v="26"/>
  </r>
  <r>
    <x v="1009"/>
    <s v="FRG119"/>
    <s v="PET Clear Preform For Grinding"/>
    <n v="-710"/>
    <n v="0"/>
    <s v="KG"/>
    <n v="5.1999999999999998E-2"/>
    <n v="0"/>
    <x v="6"/>
    <x v="6"/>
  </r>
  <r>
    <x v="1009"/>
    <s v="52.0BC1RD-CL-G"/>
    <s v="52.0 BC 38mm 3 Rnd Clear OJ/C(W plt"/>
    <n v="96000"/>
    <n v="0"/>
    <s v="PC"/>
    <n v="5.1999999999999998E-2"/>
    <n v="0"/>
    <x v="6"/>
    <x v="6"/>
  </r>
  <r>
    <x v="1010"/>
    <s v="26.6TO2RD-CL-B"/>
    <s v="26.6 TO 29/25 Rnd Clear J/C(P Plt"/>
    <n v="40320"/>
    <n v="40320"/>
    <s v="PC"/>
    <n v="2.6600000000000002E-2"/>
    <n v="0"/>
    <x v="26"/>
    <x v="26"/>
  </r>
  <r>
    <x v="1011"/>
    <s v="FRG119"/>
    <s v="PET Clear Preform For Grinding"/>
    <n v="-748"/>
    <n v="-748"/>
    <s v="KG"/>
    <n v="5.1999999999999998E-2"/>
    <n v="-14384.615384615385"/>
    <x v="15"/>
    <x v="15"/>
  </r>
  <r>
    <x v="1011"/>
    <s v="52.0BC1RD-CL-G"/>
    <s v="52.0 BC 38mm 3 Rnd Clear OJ/C(W plt"/>
    <n v="96000"/>
    <n v="96000"/>
    <s v="PC"/>
    <n v="5.1999999999999998E-2"/>
    <n v="0"/>
    <x v="15"/>
    <x v="15"/>
  </r>
  <r>
    <x v="1012"/>
    <s v="45.0PC2RD-CLR-V"/>
    <s v="45.0 PCO 1881Rd Clear RPET Mena Bev"/>
    <n v="94569"/>
    <n v="94569"/>
    <s v="PC"/>
    <n v="4.4999999999999998E-2"/>
    <n v="0"/>
    <x v="113"/>
    <x v="112"/>
  </r>
  <r>
    <x v="1013"/>
    <s v="47.5PC2RD-IGS-B"/>
    <s v="47.5PCO 1881 Rnd ICI Green J/C(Pplt)SIPA"/>
    <n v="563040"/>
    <n v="563040"/>
    <s v="PC"/>
    <n v="4.7500000000000001E-2"/>
    <n v="0"/>
    <x v="95"/>
    <x v="94"/>
  </r>
  <r>
    <x v="1014"/>
    <s v="FRG161"/>
    <s v="PET Green Preform For Grinding"/>
    <n v="-140"/>
    <n v="-140"/>
    <s v="KG"/>
    <n v="4.7500000000000001E-2"/>
    <n v="-2947.3684210526317"/>
    <x v="95"/>
    <x v="94"/>
  </r>
  <r>
    <x v="1014"/>
    <s v="47.5PC2RD-IGS-B"/>
    <s v="47.5PCO 1881 Rnd ICI Green J/C(Pplt)SIPA"/>
    <n v="86112"/>
    <n v="86112"/>
    <s v="PC"/>
    <n v="4.7500000000000001E-2"/>
    <n v="0"/>
    <x v="95"/>
    <x v="94"/>
  </r>
  <r>
    <x v="1015"/>
    <s v="FRG119"/>
    <s v="PET Clear Preform For Grinding"/>
    <n v="-45"/>
    <n v="-45"/>
    <s v="KG"/>
    <n v="3.0499999999999999E-2"/>
    <n v="-1475.4098360655737"/>
    <x v="114"/>
    <x v="113"/>
  </r>
  <r>
    <x v="1015"/>
    <s v="30.5PC2RD-CLR-V"/>
    <s v="30.5PCO 1881Rd Clear RPET Mena Bev"/>
    <n v="139542"/>
    <n v="139542"/>
    <s v="PC"/>
    <n v="3.0499999999999999E-2"/>
    <n v="0"/>
    <x v="114"/>
    <x v="113"/>
  </r>
  <r>
    <x v="1016"/>
    <s v="45.0PC2RD-CLS-B"/>
    <s v="45.0 PCO 1881Rd Clear J/C(P Plt - SIPA"/>
    <n v="635904"/>
    <n v="635904"/>
    <s v="PC"/>
    <n v="4.4999999999999998E-2"/>
    <n v="0"/>
    <x v="79"/>
    <x v="78"/>
  </r>
  <r>
    <x v="1017"/>
    <s v="FRG160"/>
    <s v="PET Blue Preform For Grinding"/>
    <n v="-268"/>
    <n v="-268"/>
    <s v="KG"/>
    <n v="2.6600000000000002E-2"/>
    <n v="-10075.187969924811"/>
    <x v="115"/>
    <x v="114"/>
  </r>
  <r>
    <x v="1017"/>
    <s v="26.6TO2RD-BS10-B"/>
    <s v="26.6TO29/25Rnd Nova Blue &quot;Reliance&quot;"/>
    <n v="100800"/>
    <n v="100800"/>
    <s v="PC"/>
    <n v="2.6600000000000002E-2"/>
    <n v="0"/>
    <x v="115"/>
    <x v="114"/>
  </r>
  <r>
    <x v="1018"/>
    <s v="FRG160"/>
    <s v="PET Blue Preform For Grinding"/>
    <n v="-238"/>
    <n v="-238"/>
    <s v="KG"/>
    <n v="9.4000000000000004E-3"/>
    <n v="-25319.148936170212"/>
    <x v="4"/>
    <x v="4"/>
  </r>
  <r>
    <x v="1018"/>
    <s v="9.4TO2RD-B1-B"/>
    <s v="9.4 TO29/25 Rnd Nova Blue J/C(Ppl-SABIC"/>
    <n v="279180"/>
    <n v="279180"/>
    <s v="PC"/>
    <n v="9.4000000000000004E-3"/>
    <n v="0"/>
    <x v="4"/>
    <x v="4"/>
  </r>
  <r>
    <x v="1019"/>
    <s v="9.4TO2RD-BS10-B"/>
    <s v="9.4 TO29/25Rnd NovaBlue-PET&quot;Reliance&quot;"/>
    <n v="50760"/>
    <n v="50760"/>
    <s v="PC"/>
    <n v="9.4000000000000004E-3"/>
    <n v="0"/>
    <x v="4"/>
    <x v="4"/>
  </r>
  <r>
    <x v="1020"/>
    <s v="26.6TO2RD-CL-B"/>
    <s v="26.6 TO 29/25 Rnd Clear J/C(P Plt"/>
    <n v="10080"/>
    <n v="10080"/>
    <s v="PC"/>
    <n v="2.6600000000000002E-2"/>
    <n v="0"/>
    <x v="26"/>
    <x v="26"/>
  </r>
  <r>
    <x v="1021"/>
    <s v="26.6TO2RD-CL-B"/>
    <s v="26.6 TO 29/25 Rnd Clear J/C(P Plt"/>
    <n v="10080"/>
    <n v="10080"/>
    <s v="PC"/>
    <n v="2.6600000000000002E-2"/>
    <n v="0"/>
    <x v="26"/>
    <x v="26"/>
  </r>
  <r>
    <x v="1022"/>
    <s v="30.5PC2RD-IGR-B"/>
    <s v="30.5PCO 1881 ICI Green RPET J/C(PP)"/>
    <n v="138060"/>
    <n v="0"/>
    <s v="PC"/>
    <n v="3.0499999999999999E-2"/>
    <n v="0"/>
    <x v="116"/>
    <x v="115"/>
  </r>
  <r>
    <x v="1022"/>
    <s v="30.5PC2RD-IGR-V"/>
    <s v="30.5PCO 1881 ICI Green RPET Mena Bev"/>
    <n v="138060"/>
    <n v="138060"/>
    <s v="PC"/>
    <n v="3.0499999999999999E-2"/>
    <n v="0"/>
    <x v="116"/>
    <x v="115"/>
  </r>
  <r>
    <x v="1023"/>
    <s v="30.5PC2RD-CLS-BH2"/>
    <s v="30.5 PCO 1881Rnd CLR J/C(PP JOM HDG-SIPA"/>
    <n v="1040760"/>
    <n v="1040760"/>
    <s v="PC"/>
    <n v="3.0499999999999999E-2"/>
    <n v="0"/>
    <x v="21"/>
    <x v="21"/>
  </r>
  <r>
    <x v="1024"/>
    <s v="45.0PC2RD-CLS-B"/>
    <s v="45.0 PCO 1881Rd Clear J/C(P Plt - SIPA"/>
    <n v="317952"/>
    <n v="317952"/>
    <s v="PC"/>
    <n v="4.4999999999999998E-2"/>
    <n v="0"/>
    <x v="79"/>
    <x v="78"/>
  </r>
  <r>
    <x v="1025"/>
    <s v="9.4TO2RD-BS10-B"/>
    <s v="9.4 TO29/25Rnd NovaBlue-PET&quot;Reliance&quot;"/>
    <n v="329940"/>
    <n v="329940"/>
    <s v="PC"/>
    <n v="9.4000000000000004E-3"/>
    <n v="0"/>
    <x v="4"/>
    <x v="4"/>
  </r>
  <r>
    <x v="1026"/>
    <s v="7.45TO2RD-LBS2-A"/>
    <s v="7.45TO 29/25 Rnd L.Blue (≤1ppm) J/C Wplt"/>
    <n v="209160"/>
    <n v="209160"/>
    <s v="PC"/>
    <n v="7.45E-3"/>
    <n v="0"/>
    <x v="75"/>
    <x v="74"/>
  </r>
  <r>
    <x v="1027"/>
    <s v="52.0BC1RD-CL-B"/>
    <s v="52.0 BC38mm 3 Rnd Clear J/C(P Plt"/>
    <n v="158400"/>
    <n v="158400"/>
    <s v="PC"/>
    <n v="5.1999999999999998E-2"/>
    <n v="0"/>
    <x v="6"/>
    <x v="6"/>
  </r>
  <r>
    <x v="1028"/>
    <s v="45.0PC2RD-IGR-V"/>
    <s v="45.0PCO 1881 ICI Green RPET Mena Bev"/>
    <n v="26496"/>
    <n v="26496"/>
    <s v="PC"/>
    <n v="4.4999999999999998E-2"/>
    <n v="0"/>
    <x v="112"/>
    <x v="111"/>
  </r>
  <r>
    <x v="1029"/>
    <s v="52.0BC1RD-CL-B"/>
    <s v="52.0 BC38mm 3 Rnd Clear J/C(P Plt"/>
    <n v="398400"/>
    <n v="398400"/>
    <s v="PC"/>
    <n v="5.1999999999999998E-2"/>
    <n v="0"/>
    <x v="6"/>
    <x v="6"/>
  </r>
  <r>
    <x v="1030"/>
    <s v="FRG160"/>
    <s v="PET Blue Preform For Grinding"/>
    <n v="-261"/>
    <n v="-261"/>
    <s v="KG"/>
    <n v="1.2500000000000001E-2"/>
    <n v="-20880"/>
    <x v="117"/>
    <x v="116"/>
  </r>
  <r>
    <x v="1030"/>
    <s v="12.5TO2RD-BS10-B"/>
    <s v="12.5TO29/25Rnd Nova Blue-PET&quot;Reliance&quot;"/>
    <n v="167040"/>
    <n v="167040"/>
    <s v="PC"/>
    <n v="1.2500000000000001E-2"/>
    <n v="0"/>
    <x v="117"/>
    <x v="116"/>
  </r>
  <r>
    <x v="1031"/>
    <s v="30.5PC2RD-CLS-V"/>
    <s v="30.5 PCO 1881 Rnd CLR Mena Bev Spec-SIPA"/>
    <n v="53100"/>
    <n v="53100"/>
    <s v="PC"/>
    <n v="3.0499999999999999E-2"/>
    <n v="0"/>
    <x v="21"/>
    <x v="21"/>
  </r>
  <r>
    <x v="1032"/>
    <s v="30.5PC2RD-CLS-A"/>
    <s v="30.5 PCO 1881 Rnd Clear J/C(W plt-SIPA"/>
    <n v="10620"/>
    <n v="10620"/>
    <s v="PC"/>
    <n v="3.0499999999999999E-2"/>
    <n v="0"/>
    <x v="21"/>
    <x v="21"/>
  </r>
  <r>
    <x v="1033"/>
    <s v="30.5PC2RD-CLS-BH2"/>
    <s v="30.5 PCO 1881Rnd CLR J/C(PP JOM HDG-SIPA"/>
    <n v="10620"/>
    <n v="10620"/>
    <s v="PC"/>
    <n v="3.0499999999999999E-2"/>
    <n v="0"/>
    <x v="21"/>
    <x v="21"/>
  </r>
  <r>
    <x v="1034"/>
    <s v="FRG119"/>
    <s v="PET Clear Preform For Grinding"/>
    <n v="-249"/>
    <n v="-249"/>
    <s v="KG"/>
    <n v="5.1999999999999998E-2"/>
    <n v="-4788.461538461539"/>
    <x v="15"/>
    <x v="15"/>
  </r>
  <r>
    <x v="1034"/>
    <s v="52.0BC1RD-CL-B"/>
    <s v="52.0 BC38mm 3 Rnd Clear J/C(P Plt"/>
    <n v="38400"/>
    <n v="38400"/>
    <s v="PC"/>
    <n v="5.1999999999999998E-2"/>
    <n v="0"/>
    <x v="15"/>
    <x v="15"/>
  </r>
  <r>
    <x v="1035"/>
    <s v="9.4TO2RD-CLS-B"/>
    <s v="9.4 TO 29/25 Rnd Clear J/C(PP)"/>
    <n v="1218240"/>
    <n v="1218240"/>
    <s v="PC"/>
    <n v="9.4000000000000004E-3"/>
    <n v="0"/>
    <x v="105"/>
    <x v="104"/>
  </r>
  <r>
    <x v="1036"/>
    <s v="45.0PC2RD-CLS-B"/>
    <s v="45.0 PCO 1881Rd Clear J/C(P Plt - SIPA"/>
    <n v="19872"/>
    <n v="19872"/>
    <s v="PC"/>
    <n v="4.4999999999999998E-2"/>
    <n v="0"/>
    <x v="86"/>
    <x v="85"/>
  </r>
  <r>
    <x v="1037"/>
    <s v="45.0PC2RD-CLS-V"/>
    <s v="45.0 PCO 1881 Rnd Clear Mena Bev"/>
    <n v="6624"/>
    <n v="6624"/>
    <s v="PC"/>
    <n v="4.4999999999999998E-2"/>
    <n v="0"/>
    <x v="86"/>
    <x v="85"/>
  </r>
  <r>
    <x v="1038"/>
    <s v="45.0PC2RD-CLS-V"/>
    <s v="45.0 PCO 1881 Rnd Clear Mena Bev"/>
    <n v="6624"/>
    <n v="6624"/>
    <s v="PC"/>
    <n v="4.4999999999999998E-2"/>
    <n v="0"/>
    <x v="86"/>
    <x v="85"/>
  </r>
  <r>
    <x v="1039"/>
    <s v="45.0PC2RD-CLS-V"/>
    <s v="45.0 PCO 1881 Rnd Clear Mena Bev"/>
    <n v="6624"/>
    <n v="6624"/>
    <s v="PC"/>
    <n v="4.4999999999999998E-2"/>
    <n v="0"/>
    <x v="86"/>
    <x v="85"/>
  </r>
  <r>
    <x v="1040"/>
    <s v="52.0BC1RD-CL-B"/>
    <s v="52.0 BC38mm 3 Rnd Clear J/C(P Plt"/>
    <n v="388800"/>
    <n v="388800"/>
    <s v="PC"/>
    <n v="5.1999999999999998E-2"/>
    <n v="0"/>
    <x v="6"/>
    <x v="6"/>
  </r>
  <r>
    <x v="1041"/>
    <s v="FRG160"/>
    <s v="PET Blue Preform For Grinding"/>
    <n v="-1200"/>
    <n v="-1200"/>
    <s v="KG"/>
    <n v="1.15E-2"/>
    <n v="-104347.82608695653"/>
    <x v="102"/>
    <x v="101"/>
  </r>
  <r>
    <x v="1041"/>
    <s v="11.5TO2RD-LBS-A"/>
    <s v="11.5 TO29/25Rd L.Blue J/C(WP-SIPA"/>
    <n v="250560"/>
    <n v="250560"/>
    <s v="PC"/>
    <n v="1.15E-2"/>
    <n v="0"/>
    <x v="102"/>
    <x v="101"/>
  </r>
  <r>
    <x v="1042"/>
    <s v="9.4TO2RD-CLS-B"/>
    <s v="9.4 TO 29/25 Rnd Clear J/C(PP)"/>
    <n v="2436480"/>
    <n v="2436480"/>
    <s v="PC"/>
    <n v="9.4000000000000004E-3"/>
    <n v="0"/>
    <x v="105"/>
    <x v="104"/>
  </r>
  <r>
    <x v="1043"/>
    <s v="9.4TO2RD-BS10-B"/>
    <s v="9.4 TO29/25Rnd NovaBlue-PET&quot;Reliance&quot;"/>
    <n v="50760"/>
    <n v="50760"/>
    <s v="PC"/>
    <n v="9.4000000000000004E-3"/>
    <n v="0"/>
    <x v="4"/>
    <x v="4"/>
  </r>
  <r>
    <x v="1044"/>
    <s v="FRG119"/>
    <s v="PET Clear Preform For Grinding"/>
    <n v="-140"/>
    <n v="-140"/>
    <s v="KG"/>
    <n v="5.0999999999999997E-2"/>
    <n v="-2745.0980392156866"/>
    <x v="49"/>
    <x v="49"/>
  </r>
  <r>
    <x v="1044"/>
    <s v="51.0BC1RD-CL-S"/>
    <s v="51.0 BC 38mm 3 Rnd Clear steel c"/>
    <n v="7200"/>
    <n v="7200"/>
    <s v="PC"/>
    <n v="5.0999999999999997E-2"/>
    <n v="0"/>
    <x v="49"/>
    <x v="49"/>
  </r>
  <r>
    <x v="1045"/>
    <s v="52.0BC1RD-CL-B"/>
    <s v="52.0 BC38mm 3 Rnd Clear J/C(P Plt"/>
    <n v="72000"/>
    <n v="72000"/>
    <s v="PC"/>
    <n v="5.1999999999999998E-2"/>
    <n v="0"/>
    <x v="6"/>
    <x v="6"/>
  </r>
  <r>
    <x v="1046"/>
    <s v="FRG160"/>
    <s v="PET Blue Preform For Grinding"/>
    <n v="-259"/>
    <n v="-259"/>
    <s v="KG"/>
    <n v="1.35E-2"/>
    <n v="-19185.185185185186"/>
    <x v="55"/>
    <x v="55"/>
  </r>
  <r>
    <x v="1046"/>
    <s v="13.5TO2RD-LB-A"/>
    <s v="13.5 TO29/25 Rnd L.Blue J/C(W Plt)"/>
    <n v="134400"/>
    <n v="134400"/>
    <s v="PC"/>
    <n v="1.35E-2"/>
    <n v="0"/>
    <x v="55"/>
    <x v="55"/>
  </r>
  <r>
    <x v="1047"/>
    <s v="FRG119"/>
    <s v="PET Clear Preform For Grinding"/>
    <n v="-249"/>
    <n v="-249"/>
    <s v="KG"/>
    <n v="5.1999999999999998E-2"/>
    <n v="-4788.461538461539"/>
    <x v="15"/>
    <x v="15"/>
  </r>
  <r>
    <x v="1047"/>
    <s v="52.0BC1RD-CL-B"/>
    <s v="52.0 BC38mm 3 Rnd Clear J/C(P Plt"/>
    <n v="48000"/>
    <n v="48000"/>
    <s v="PC"/>
    <n v="5.1999999999999998E-2"/>
    <n v="0"/>
    <x v="15"/>
    <x v="15"/>
  </r>
  <r>
    <x v="1048"/>
    <s v="26.6TO2RD-LB-A"/>
    <s v="26.6 29/25 Rnd Light Blue J/C(W Plt"/>
    <n v="80640"/>
    <n v="80640"/>
    <s v="PC"/>
    <n v="2.6600000000000002E-2"/>
    <n v="0"/>
    <x v="62"/>
    <x v="62"/>
  </r>
  <r>
    <x v="1049"/>
    <s v="9.4TO2RD-LBS1-A"/>
    <s v="9.4TO 29/25Rnd L.Blue J/CWplt(≤2ppm)SIPA"/>
    <n v="50760"/>
    <n v="50760"/>
    <s v="PC"/>
    <n v="9.4000000000000004E-3"/>
    <n v="0"/>
    <x v="4"/>
    <x v="4"/>
  </r>
  <r>
    <x v="1050"/>
    <s v="11.5TO2RD-CLS-V"/>
    <s v="11.5 TO29/25 Rnd Clear MenaBev (PP)"/>
    <n v="41760"/>
    <n v="41760"/>
    <s v="PC"/>
    <n v="1.15E-2"/>
    <n v="0"/>
    <x v="65"/>
    <x v="65"/>
  </r>
  <r>
    <x v="1051"/>
    <s v="7.45TO2RD-LBS1-A"/>
    <s v="7.45TO LW 29/25 L.Blue(≤2ppm)J/C(WP-SIPA"/>
    <n v="149400"/>
    <n v="149400"/>
    <s v="PC"/>
    <n v="7.45E-3"/>
    <n v="0"/>
    <x v="24"/>
    <x v="24"/>
  </r>
  <r>
    <x v="1052"/>
    <s v="7.45TO2RD-AJBS-B"/>
    <s v="7.45TO29/25Rnd'ALM'BLUE J/C(PP-SIPA)"/>
    <n v="89640"/>
    <n v="89640"/>
    <s v="PC"/>
    <n v="7.45E-3"/>
    <n v="0"/>
    <x v="24"/>
    <x v="24"/>
  </r>
  <r>
    <x v="1053"/>
    <s v="45.0PC2RD-CLR-V"/>
    <s v="45.0 PCO 1881Rd Clear RPET Mena Bev"/>
    <n v="4791"/>
    <n v="4791"/>
    <s v="PC"/>
    <n v="4.4999999999999998E-2"/>
    <n v="0"/>
    <x v="113"/>
    <x v="112"/>
  </r>
  <r>
    <x v="1053"/>
    <s v="45.0PC2RD-CLR-B"/>
    <s v="45.0 PCO 1881Rd Clear RPET J/C(PP)"/>
    <n v="8457"/>
    <n v="8456"/>
    <s v="PC"/>
    <n v="4.4999999999999998E-2"/>
    <n v="0"/>
    <x v="113"/>
    <x v="112"/>
  </r>
  <r>
    <x v="1054"/>
    <s v="45.0PC2RD-IGR-V"/>
    <s v="45.0PCO 1881 ICI Green RPET Mena Bev"/>
    <n v="13248"/>
    <n v="13248"/>
    <s v="PC"/>
    <n v="4.4999999999999998E-2"/>
    <n v="0"/>
    <x v="112"/>
    <x v="111"/>
  </r>
  <r>
    <x v="1055"/>
    <s v="36.0BC1RD-CL-G"/>
    <s v="36.0 BC38mm 3 Rnd Clear OJ/C(W plt"/>
    <n v="82368"/>
    <n v="82368"/>
    <s v="PC"/>
    <n v="3.5999999999999997E-2"/>
    <n v="0"/>
    <x v="3"/>
    <x v="3"/>
  </r>
  <r>
    <x v="1055"/>
    <s v="FRG119"/>
    <s v="PET Clear Preform For Grinding"/>
    <n v="-10.462"/>
    <n v="0"/>
    <s v="KG"/>
    <n v="3.5999999999999997E-2"/>
    <n v="0"/>
    <x v="3"/>
    <x v="3"/>
  </r>
  <r>
    <x v="1056"/>
    <s v="45.0PC2RD-CLS-B"/>
    <s v="45.0 PCO 1881Rd Clear J/C(P Plt - SIPA"/>
    <n v="317952"/>
    <n v="317952"/>
    <s v="PC"/>
    <n v="4.4999999999999998E-2"/>
    <n v="0"/>
    <x v="79"/>
    <x v="78"/>
  </r>
  <r>
    <x v="1057"/>
    <s v="9.4TO2RD-CLS-B"/>
    <s v="9.4 TO 29/25 Rnd Clear J/C(PP)"/>
    <n v="1218240"/>
    <n v="1218240"/>
    <s v="PC"/>
    <n v="9.4000000000000004E-3"/>
    <n v="0"/>
    <x v="105"/>
    <x v="104"/>
  </r>
  <r>
    <x v="1058"/>
    <s v="34.0BC1EC-CL2-S"/>
    <s v="34.0 BC38mm 3 ECO Huayan Clear steel C"/>
    <n v="54648"/>
    <n v="54648"/>
    <s v="PC"/>
    <n v="3.4000000000000002E-2"/>
    <n v="0"/>
    <x v="51"/>
    <x v="51"/>
  </r>
  <r>
    <x v="1058"/>
    <s v="FRG119"/>
    <s v="PET Clear Preform For Grinding"/>
    <n v="-507"/>
    <n v="-507"/>
    <s v="KG"/>
    <n v="3.4000000000000002E-2"/>
    <n v="-14911.764705882351"/>
    <x v="51"/>
    <x v="51"/>
  </r>
  <r>
    <x v="1059"/>
    <s v="9.4TO2RD-BS10-B"/>
    <s v="9.4 TO29/25Rnd NovaBlue-PET&quot;Reliance&quot;"/>
    <n v="50760"/>
    <n v="50760"/>
    <s v="PC"/>
    <n v="9.4000000000000004E-3"/>
    <n v="0"/>
    <x v="4"/>
    <x v="4"/>
  </r>
  <r>
    <x v="1060"/>
    <s v="26.6TO2RD-BS10-B"/>
    <s v="26.6TO29/25Rnd Nova Blue &quot;Reliance&quot;"/>
    <n v="30240"/>
    <n v="30240"/>
    <s v="PC"/>
    <n v="2.6600000000000002E-2"/>
    <n v="0"/>
    <x v="115"/>
    <x v="114"/>
  </r>
  <r>
    <x v="1061"/>
    <s v="18.0BC1RD-CL-S"/>
    <s v="18.0 BC38mm 3 Rnd Clear Steel C"/>
    <n v="90288"/>
    <n v="90288"/>
    <s v="PC"/>
    <n v="1.7999999999999999E-2"/>
    <n v="0"/>
    <x v="64"/>
    <x v="64"/>
  </r>
  <r>
    <x v="1061"/>
    <s v="FRG119"/>
    <s v="PET Clear Preform For Grinding"/>
    <n v="-441"/>
    <n v="-441"/>
    <s v="KG"/>
    <n v="1.7999999999999999E-2"/>
    <n v="-24500.000000000004"/>
    <x v="64"/>
    <x v="64"/>
  </r>
  <r>
    <x v="1062"/>
    <s v="30.5PC2RD-IGS-BH2"/>
    <s v="30.5PCO1881 ICI GreenJ/C(PP JOM HDG-SIPA"/>
    <n v="509760"/>
    <n v="509760"/>
    <s v="PC"/>
    <n v="3.0499999999999999E-2"/>
    <n v="0"/>
    <x v="31"/>
    <x v="31"/>
  </r>
  <r>
    <x v="1063"/>
    <s v="9.4TO2RD-CLS-B"/>
    <s v="9.4 TO 29/25 Rnd Clear J/C(PP)"/>
    <n v="1218240"/>
    <n v="1218240"/>
    <s v="PC"/>
    <n v="9.4000000000000004E-3"/>
    <n v="0"/>
    <x v="105"/>
    <x v="104"/>
  </r>
  <r>
    <x v="1064"/>
    <s v="45.0PC2RD-CLS-B"/>
    <s v="45.0 PCO 1881Rd Clear J/C(P Plt - SIPA"/>
    <n v="635904"/>
    <n v="635904"/>
    <s v="PC"/>
    <n v="4.4999999999999998E-2"/>
    <n v="0"/>
    <x v="79"/>
    <x v="78"/>
  </r>
  <r>
    <x v="1065"/>
    <s v="45.0PC2RD-IGS-B"/>
    <s v="45.0 PCO 1881 ICI Green J/C(P Plt - SIPA"/>
    <n v="304704"/>
    <n v="304704"/>
    <s v="PC"/>
    <n v="4.4999999999999998E-2"/>
    <n v="0"/>
    <x v="88"/>
    <x v="87"/>
  </r>
  <r>
    <x v="1066"/>
    <s v="30.5PC2RD-CLS-BH2"/>
    <s v="30.5 PCO 1881Rnd CLR J/C(PP JOM HDG-SIPA"/>
    <n v="817740"/>
    <n v="817740"/>
    <s v="PC"/>
    <n v="3.0499999999999999E-2"/>
    <n v="0"/>
    <x v="21"/>
    <x v="21"/>
  </r>
  <r>
    <x v="1067"/>
    <s v="8.3TO2RD-LBS1-A"/>
    <s v="8.30TOLW29/25 L.Blue(≤2ppm)J/C(W pt-SIPA"/>
    <n v="81000"/>
    <n v="81000"/>
    <s v="PC"/>
    <n v="8.3000000000000001E-3"/>
    <n v="0"/>
    <x v="5"/>
    <x v="5"/>
  </r>
  <r>
    <x v="1068"/>
    <s v="30.5PC2RD-IGS-BH2"/>
    <s v="30.5PCO1881 ICI GreenJ/C(PP JOM HDG-SIPA"/>
    <n v="21240"/>
    <n v="21240"/>
    <s v="PC"/>
    <n v="3.0499999999999999E-2"/>
    <n v="0"/>
    <x v="31"/>
    <x v="31"/>
  </r>
  <r>
    <x v="1069"/>
    <s v="FRG161"/>
    <s v="PET Green Preform For Grinding"/>
    <n v="-31"/>
    <n v="-31"/>
    <s v="KG"/>
    <n v="3.0499999999999999E-2"/>
    <n v="-1016.3934426229508"/>
    <x v="31"/>
    <x v="31"/>
  </r>
  <r>
    <x v="1069"/>
    <s v="30.5PC2RD-IGS-A"/>
    <s v="30.5 PCO 1881 Rnd ICI Green J/C(WP-SIPA"/>
    <n v="22260"/>
    <n v="22260"/>
    <s v="PC"/>
    <n v="3.0499999999999999E-2"/>
    <n v="0"/>
    <x v="31"/>
    <x v="31"/>
  </r>
  <r>
    <x v="1070"/>
    <s v="30.5PC2RD-CLS-A"/>
    <s v="30.5 PCO 1881 Rnd Clear J/C(W plt-SIPA"/>
    <n v="21240"/>
    <n v="21240"/>
    <s v="PC"/>
    <n v="3.0499999999999999E-2"/>
    <n v="0"/>
    <x v="21"/>
    <x v="21"/>
  </r>
  <r>
    <x v="1071"/>
    <s v="9.4TO2RD-BS10-B"/>
    <s v="9.4 TO29/25Rnd NovaBlue-PET&quot;Reliance&quot;"/>
    <n v="126900"/>
    <n v="126900"/>
    <s v="PC"/>
    <n v="9.4000000000000004E-3"/>
    <n v="0"/>
    <x v="4"/>
    <x v="4"/>
  </r>
  <r>
    <x v="1072"/>
    <s v="45.0PC2RD-CLS-B"/>
    <s v="45.0 PCO 1881Rd Clear J/C(P Plt - SIPA"/>
    <n v="33120"/>
    <n v="33120"/>
    <s v="PC"/>
    <n v="4.4999999999999998E-2"/>
    <n v="0"/>
    <x v="86"/>
    <x v="85"/>
  </r>
  <r>
    <x v="1073"/>
    <s v="45.0PC2RD-CLS-V"/>
    <s v="45.0 PCO 1881 Rnd Clear Mena Bev"/>
    <n v="6624"/>
    <n v="6624"/>
    <s v="PC"/>
    <n v="4.4999999999999998E-2"/>
    <n v="0"/>
    <x v="86"/>
    <x v="85"/>
  </r>
  <r>
    <x v="1074"/>
    <s v="7.45TO2RD-LBS1-A"/>
    <s v="7.45TO LW 29/25 L.Blue(≤2ppm)J/C(WP-SIPA"/>
    <n v="119520"/>
    <n v="119520"/>
    <s v="PC"/>
    <n v="7.45E-3"/>
    <n v="0"/>
    <x v="24"/>
    <x v="24"/>
  </r>
  <r>
    <x v="1075"/>
    <s v="7.45TO2RD-LBS-A"/>
    <s v="7.45TO LW 29/25 L.Blue J/C(WP-SIPA"/>
    <n v="59760"/>
    <n v="59760"/>
    <s v="PC"/>
    <n v="7.45E-3"/>
    <n v="0"/>
    <x v="24"/>
    <x v="24"/>
  </r>
  <r>
    <x v="1076"/>
    <s v="45.0PC2RD-IGS-B"/>
    <s v="45.0 PCO 1881 ICI Green J/C(P Plt - SIPA"/>
    <n v="238464"/>
    <n v="238464"/>
    <s v="PC"/>
    <n v="4.4999999999999998E-2"/>
    <n v="0"/>
    <x v="88"/>
    <x v="87"/>
  </r>
  <r>
    <x v="1077"/>
    <s v="30.5PC2RD-CLS-BH2"/>
    <s v="30.5 PCO 1881Rnd CLR J/C(PP JOM HDG-SIPA"/>
    <n v="382320"/>
    <n v="382320"/>
    <s v="PC"/>
    <n v="3.0499999999999999E-2"/>
    <n v="0"/>
    <x v="21"/>
    <x v="21"/>
  </r>
  <r>
    <x v="1078"/>
    <s v="7.45TO2RD-LBS-A"/>
    <s v="7.45TO LW 29/25 L.Blue J/C(WP-SIPA"/>
    <n v="59760"/>
    <n v="59760"/>
    <s v="PC"/>
    <n v="7.45E-3"/>
    <n v="0"/>
    <x v="24"/>
    <x v="24"/>
  </r>
  <r>
    <x v="1079"/>
    <s v="7.45TO2RD-LBS1-A"/>
    <s v="7.45TO LW 29/25 L.Blue(≤2ppm)J/C(WP-SIPA"/>
    <n v="59760"/>
    <n v="59760"/>
    <s v="PC"/>
    <n v="7.45E-3"/>
    <n v="0"/>
    <x v="24"/>
    <x v="24"/>
  </r>
  <r>
    <x v="1080"/>
    <s v="26.6TO2RD-BS10-B"/>
    <s v="26.6TO29/25Rnd Nova Blue &quot;Reliance&quot;"/>
    <n v="40320"/>
    <n v="40320"/>
    <s v="PC"/>
    <n v="2.6600000000000002E-2"/>
    <n v="0"/>
    <x v="115"/>
    <x v="114"/>
  </r>
  <r>
    <x v="1081"/>
    <s v="9.4TO2RD-BS10-B"/>
    <s v="9.4 TO29/25Rnd NovaBlue-PET&quot;Reliance&quot;"/>
    <n v="76140"/>
    <n v="76140"/>
    <s v="PC"/>
    <n v="9.4000000000000004E-3"/>
    <n v="0"/>
    <x v="4"/>
    <x v="4"/>
  </r>
  <r>
    <x v="1082"/>
    <s v="36.0BC1RD-CJ-S"/>
    <s v="36.0 BC 38mm 3 Rnd Clear Steel C-(Aujan)"/>
    <n v="33792"/>
    <n v="33792"/>
    <s v="PC"/>
    <n v="3.5999999999999997E-2"/>
    <n v="0"/>
    <x v="48"/>
    <x v="48"/>
  </r>
  <r>
    <x v="1083"/>
    <s v="12.7BC1EC-CL-S"/>
    <s v="12.7 BC38mm 3 ECO Clear Steel c."/>
    <n v="42624"/>
    <n v="42624"/>
    <s v="PC"/>
    <n v="1.2699999999999999E-2"/>
    <n v="0"/>
    <x v="58"/>
    <x v="58"/>
  </r>
  <r>
    <x v="1084"/>
    <s v="45.0PC2RD-CLS-V"/>
    <s v="45.0 PCO 1881 Rnd Clear Mena Bev"/>
    <n v="6624"/>
    <n v="6624"/>
    <s v="PC"/>
    <n v="4.4999999999999998E-2"/>
    <n v="0"/>
    <x v="86"/>
    <x v="85"/>
  </r>
  <r>
    <x v="1085"/>
    <s v="30.5PC2RD-CLS-BH2"/>
    <s v="30.5 PCO 1881Rnd CLR J/C(PP JOM HDG-SIPA"/>
    <n v="127440"/>
    <n v="0"/>
    <s v="PC"/>
    <n v="3.0499999999999999E-2"/>
    <n v="0"/>
    <x v="21"/>
    <x v="21"/>
  </r>
  <r>
    <x v="1086"/>
    <s v="7.45TO2RD-LBS1-A"/>
    <s v="7.45TO LW 29/25 L.Blue(≤2ppm)J/C(WP-SIPA"/>
    <n v="152280"/>
    <n v="0"/>
    <s v="PC"/>
    <n v="7.4000000000000003E-3"/>
    <n v="0"/>
    <x v="10"/>
    <x v="10"/>
  </r>
  <r>
    <x v="1086"/>
    <s v="FRG160"/>
    <s v="PET Blue Preform For Grinding"/>
    <n v="-21.5"/>
    <n v="0"/>
    <s v="KG"/>
    <n v="7.45E-3"/>
    <n v="0"/>
    <x v="10"/>
    <x v="10"/>
  </r>
  <r>
    <x v="1087"/>
    <s v="52.0BC1RD-CL-B"/>
    <s v="52.0 BC38mm 3 Rnd Clear J/C(P Plt"/>
    <n v="1"/>
    <n v="0"/>
    <s v="PC"/>
    <n v="5.1999999999999998E-2"/>
    <n v="0"/>
    <x v="6"/>
    <x v="6"/>
  </r>
  <r>
    <x v="1088"/>
    <s v="52.0BC1RD-CL-B"/>
    <s v="52.0 BC38mm 3 Rnd Clear J/C(P Plt"/>
    <n v="355200"/>
    <n v="355200"/>
    <s v="PC"/>
    <n v="5.1999999999999998E-2"/>
    <n v="0"/>
    <x v="6"/>
    <x v="6"/>
  </r>
  <r>
    <x v="1089"/>
    <s v="FRG160"/>
    <s v="PET Blue Preform For Grinding"/>
    <n v="-22"/>
    <n v="-22"/>
    <s v="KG"/>
    <n v="7.45E-3"/>
    <n v="-2953.020134228188"/>
    <x v="24"/>
    <x v="24"/>
  </r>
  <r>
    <x v="1089"/>
    <s v="7.45TO2RD-LBS1-A"/>
    <s v="7.45TO LW 29/25 L.Blue(≤2ppm)J/C(WP-SIPA"/>
    <n v="152280"/>
    <n v="152280"/>
    <s v="PC"/>
    <n v="7.45E-3"/>
    <n v="0"/>
    <x v="24"/>
    <x v="24"/>
  </r>
  <r>
    <x v="1090"/>
    <s v="30.5PC2RD-CLS-BH2"/>
    <s v="30.5 PCO 1881Rnd CLR J/C(PP JOM HDG-SIPA"/>
    <n v="127440"/>
    <n v="127440"/>
    <s v="PC"/>
    <n v="3.0499999999999999E-2"/>
    <n v="0"/>
    <x v="21"/>
    <x v="21"/>
  </r>
  <r>
    <x v="1091"/>
    <s v="FRG160"/>
    <s v="PET Blue Preform For Grinding"/>
    <n v="-536"/>
    <n v="-536"/>
    <s v="KG"/>
    <n v="2.6600000000000002E-2"/>
    <n v="-20150.375939849622"/>
    <x v="115"/>
    <x v="114"/>
  </r>
  <r>
    <x v="1091"/>
    <s v="26.6TO2RD-BS10-B"/>
    <s v="26.6TO29/25Rnd Nova Blue &quot;Reliance&quot;"/>
    <n v="80640"/>
    <n v="80640"/>
    <s v="PC"/>
    <n v="2.6600000000000002E-2"/>
    <n v="0"/>
    <x v="115"/>
    <x v="114"/>
  </r>
  <r>
    <x v="1092"/>
    <s v="52.0BC1RD-CL-B"/>
    <s v="52.0 BC38mm 3 Rnd Clear J/C(P Plt"/>
    <n v="268800"/>
    <n v="268800"/>
    <s v="PC"/>
    <n v="5.1999999999999998E-2"/>
    <n v="0"/>
    <x v="6"/>
    <x v="6"/>
  </r>
  <r>
    <x v="1093"/>
    <s v="30.5PC2RD-IGS-BH2"/>
    <s v="30.5PCO1881 ICI GreenJ/C(PP JOM HDG-SIPA"/>
    <n v="382320"/>
    <n v="382320"/>
    <s v="PC"/>
    <n v="3.0499999999999999E-2"/>
    <n v="0"/>
    <x v="31"/>
    <x v="31"/>
  </r>
  <r>
    <x v="1094"/>
    <s v="36.0BC1RD-CJ-S"/>
    <s v="36.0 BC 38mm 3 Rnd Clear Steel C-(Aujan)"/>
    <n v="8448"/>
    <n v="8448"/>
    <s v="PC"/>
    <n v="3.5999999999999997E-2"/>
    <n v="0"/>
    <x v="48"/>
    <x v="48"/>
  </r>
  <r>
    <x v="1095"/>
    <s v="26.6TO2RD-CL-B"/>
    <s v="26.6 TO 29/25 Rnd Clear J/C(P Plt"/>
    <n v="463680"/>
    <n v="463680"/>
    <s v="PC"/>
    <n v="2.6600000000000002E-2"/>
    <n v="0"/>
    <x v="26"/>
    <x v="26"/>
  </r>
  <r>
    <x v="1096"/>
    <s v="52.0BC1RD-CL-B"/>
    <s v="52.0 BC38mm 3 Rnd Clear J/C(P Plt"/>
    <n v="379200"/>
    <n v="379200"/>
    <s v="PC"/>
    <n v="5.1999999999999998E-2"/>
    <n v="0"/>
    <x v="6"/>
    <x v="6"/>
  </r>
  <r>
    <x v="1097"/>
    <s v="30.5PC2RD-IGS-BH2"/>
    <s v="30.5PCO1881 ICI GreenJ/C(PP JOM HDG-SIPA"/>
    <n v="637200"/>
    <n v="637200"/>
    <s v="PC"/>
    <n v="3.0499999999999999E-2"/>
    <n v="0"/>
    <x v="31"/>
    <x v="31"/>
  </r>
  <r>
    <x v="1098"/>
    <s v="26.6TO2RD-CL-B"/>
    <s v="26.6 TO 29/25 Rnd Clear J/C(P Plt"/>
    <n v="282240"/>
    <n v="282240"/>
    <s v="PC"/>
    <n v="2.6600000000000002E-2"/>
    <n v="0"/>
    <x v="26"/>
    <x v="26"/>
  </r>
  <r>
    <x v="1099"/>
    <s v="12.5TO2RD-BS10-B"/>
    <s v="12.5TO29/25Rnd Nova Blue-PET&quot;Reliance&quot;"/>
    <n v="516000"/>
    <n v="516000"/>
    <s v="PC"/>
    <n v="1.2500000000000001E-2"/>
    <n v="0"/>
    <x v="117"/>
    <x v="116"/>
  </r>
  <r>
    <x v="1099"/>
    <s v="12.5TO2RD-BS10-B"/>
    <s v="12.5TO29/25Rnd Nova Blue-PET&quot;Reliance&quot;"/>
    <n v="6000"/>
    <n v="6000"/>
    <s v="PC"/>
    <n v="1.2500000000000001E-2"/>
    <n v="0"/>
    <x v="117"/>
    <x v="116"/>
  </r>
  <r>
    <x v="1099"/>
    <s v="FRG160"/>
    <s v="PET Blue Preform For Grinding"/>
    <n v="-230"/>
    <n v="-230"/>
    <s v="KG"/>
    <n v="1.2500000000000001E-2"/>
    <n v="-18400"/>
    <x v="117"/>
    <x v="116"/>
  </r>
  <r>
    <x v="1099"/>
    <s v="FRG160"/>
    <s v="PET Blue Preform For Grinding"/>
    <n v="-230"/>
    <n v="-230"/>
    <s v="KG"/>
    <n v="1.2500000000000001E-2"/>
    <n v="-18400"/>
    <x v="117"/>
    <x v="116"/>
  </r>
  <r>
    <x v="1100"/>
    <s v="45.0PC2RD-IGS-B"/>
    <s v="45.0 PCO 1881 ICI Green J/C(P Plt - SIPA"/>
    <n v="404064"/>
    <n v="404064"/>
    <s v="PC"/>
    <n v="4.4999999999999998E-2"/>
    <n v="0"/>
    <x v="88"/>
    <x v="87"/>
  </r>
  <r>
    <x v="1101"/>
    <s v="26.6TO2RD-CL-B"/>
    <s v="26.6 TO 29/25 Rnd Clear J/C(P Plt"/>
    <n v="201600"/>
    <n v="201600"/>
    <s v="PC"/>
    <n v="2.6600000000000002E-2"/>
    <n v="0"/>
    <x v="26"/>
    <x v="26"/>
  </r>
  <r>
    <x v="1102"/>
    <s v="52.0BC1RD-CL-B"/>
    <s v="52.0 BC38mm 3 Rnd Clear J/C(P Plt"/>
    <n v="153600"/>
    <n v="153600"/>
    <s v="PC"/>
    <n v="5.1999999999999998E-2"/>
    <n v="0"/>
    <x v="6"/>
    <x v="6"/>
  </r>
  <r>
    <x v="1103"/>
    <s v="26.6TO2RD-CL-B"/>
    <s v="26.6 TO 29/25 Rnd Clear J/C(P Plt"/>
    <n v="20160"/>
    <n v="20160"/>
    <s v="PC"/>
    <n v="2.6600000000000002E-2"/>
    <n v="0"/>
    <x v="26"/>
    <x v="26"/>
  </r>
  <r>
    <x v="1104"/>
    <s v="9.4TO2RD-BS10-B"/>
    <s v="9.4 TO29/25Rnd NovaBlue-PET&quot;Reliance&quot;"/>
    <n v="406080"/>
    <n v="406080"/>
    <s v="PC"/>
    <n v="9.4000000000000004E-3"/>
    <n v="0"/>
    <x v="4"/>
    <x v="4"/>
  </r>
  <r>
    <x v="1105"/>
    <s v="FRG119"/>
    <s v="PET Clear Preform For Grinding"/>
    <n v="-285"/>
    <n v="-285"/>
    <s v="KG"/>
    <n v="1.67E-2"/>
    <n v="-17065.868263473054"/>
    <x v="97"/>
    <x v="96"/>
  </r>
  <r>
    <x v="1105"/>
    <s v="16.7PC2RD-CL-A"/>
    <s v="16.7 PCO 1881 Rnd Clear J/C(W plt"/>
    <n v="148992"/>
    <n v="148992"/>
    <s v="PC"/>
    <n v="1.67E-2"/>
    <n v="0"/>
    <x v="97"/>
    <x v="96"/>
  </r>
  <r>
    <x v="1106"/>
    <s v="52.0BC1RD-CL-B"/>
    <s v="52.0 BC38mm 3 Rnd Clear J/C(P Plt"/>
    <n v="19200"/>
    <n v="19200"/>
    <s v="PC"/>
    <n v="5.1999999999999998E-2"/>
    <n v="0"/>
    <x v="15"/>
    <x v="15"/>
  </r>
  <r>
    <x v="1107"/>
    <s v="45.0PC2RD-IGS-B"/>
    <s v="45.0 PCO 1881 ICI Green J/C(P Plt - SIPA"/>
    <n v="231840"/>
    <n v="231840"/>
    <s v="PC"/>
    <n v="4.4999999999999998E-2"/>
    <n v="0"/>
    <x v="88"/>
    <x v="87"/>
  </r>
  <r>
    <x v="1108"/>
    <s v="FRG119"/>
    <s v="PET Clear Preform For Grinding"/>
    <n v="-249"/>
    <n v="-249"/>
    <s v="KG"/>
    <n v="5.1999999999999998E-2"/>
    <n v="-4788.461538461539"/>
    <x v="15"/>
    <x v="15"/>
  </r>
  <r>
    <x v="1108"/>
    <s v="52.0BC1RD-CL-B"/>
    <s v="52.0 BC38mm 3 Rnd Clear J/C(P Plt"/>
    <n v="72000"/>
    <n v="72000"/>
    <s v="PC"/>
    <n v="5.1999999999999998E-2"/>
    <n v="0"/>
    <x v="15"/>
    <x v="15"/>
  </r>
  <r>
    <x v="1109"/>
    <s v="FRG160"/>
    <s v="PET Blue Preform For Grinding"/>
    <n v="-40"/>
    <n v="-40"/>
    <s v="KG"/>
    <n v="8.3000000000000001E-3"/>
    <n v="-4819.2771084337346"/>
    <x v="5"/>
    <x v="5"/>
  </r>
  <r>
    <x v="1109"/>
    <s v="8.3TO2RD-LBS-A"/>
    <s v="8.30TO LW 29/25Rd L.Blue J/C(W plt)-SIPA"/>
    <n v="194100"/>
    <n v="194100"/>
    <s v="PC"/>
    <n v="8.3000000000000001E-3"/>
    <n v="0"/>
    <x v="5"/>
    <x v="5"/>
  </r>
  <r>
    <x v="1110"/>
    <s v="45.0PC2RD-IGS-B"/>
    <s v="45.0 PCO 1881 ICI Green J/C(P Plt - SIPA"/>
    <n v="708768"/>
    <n v="708768"/>
    <s v="PC"/>
    <n v="4.4999999999999998E-2"/>
    <n v="0"/>
    <x v="88"/>
    <x v="87"/>
  </r>
  <r>
    <x v="1111"/>
    <s v="52.0BC1RD-CL-G"/>
    <s v="52.0 BC 38mm 3 Rnd Clear OJ/C(W plt"/>
    <n v="19200"/>
    <n v="19200"/>
    <s v="PC"/>
    <n v="5.1999999999999998E-2"/>
    <n v="0"/>
    <x v="15"/>
    <x v="15"/>
  </r>
  <r>
    <x v="1112"/>
    <s v="34.0BC1EC-CL2-S"/>
    <s v="34.0 BC38mm 3 ECO Huayan Clear steel C"/>
    <n v="14904"/>
    <n v="14904"/>
    <s v="PC"/>
    <n v="3.4000000000000002E-2"/>
    <n v="0"/>
    <x v="51"/>
    <x v="51"/>
  </r>
  <r>
    <x v="1113"/>
    <s v="34.0BC1EC-W2-S"/>
    <s v="34.0 BC38mm 3 ECO Huayan White Steel C"/>
    <n v="34776"/>
    <n v="34776"/>
    <s v="PC"/>
    <n v="3.4000000000000002E-2"/>
    <n v="0"/>
    <x v="50"/>
    <x v="50"/>
  </r>
  <r>
    <x v="1114"/>
    <s v="7.45TO2RD-LBS-A"/>
    <s v="7.45TO LW 29/25 L.Blue J/C(WP-SIPA"/>
    <n v="89640"/>
    <n v="89640"/>
    <s v="PC"/>
    <n v="7.4000000000000003E-3"/>
    <n v="0"/>
    <x v="10"/>
    <x v="10"/>
  </r>
  <r>
    <x v="1115"/>
    <s v="FRG119"/>
    <s v="PET Clear Preform For Grinding"/>
    <n v="-285"/>
    <n v="-285"/>
    <s v="KG"/>
    <n v="1.67E-2"/>
    <n v="-17065.868263473054"/>
    <x v="97"/>
    <x v="96"/>
  </r>
  <r>
    <x v="1115"/>
    <s v="16.7PC2RD-CL-A"/>
    <s v="16.7 PCO 1881 Rnd Clear J/C(W plt"/>
    <n v="91620"/>
    <n v="91620"/>
    <s v="PC"/>
    <n v="1.67E-2"/>
    <n v="0"/>
    <x v="97"/>
    <x v="96"/>
  </r>
  <r>
    <x v="1116"/>
    <s v="45.0PC2RD-IGS-B"/>
    <s v="45.0 PCO 1881 ICI Green J/C(P Plt - SIPA"/>
    <n v="205344"/>
    <n v="205344"/>
    <s v="PC"/>
    <n v="4.4999999999999998E-2"/>
    <n v="0"/>
    <x v="88"/>
    <x v="87"/>
  </r>
  <r>
    <x v="1117"/>
    <s v="34.0BC1EC-W2-S"/>
    <s v="34.0 BC38mm 3 ECO Huayan White Steel C"/>
    <n v="19872"/>
    <n v="19872"/>
    <s v="PC"/>
    <n v="3.4000000000000002E-2"/>
    <n v="0"/>
    <x v="50"/>
    <x v="50"/>
  </r>
  <r>
    <x v="1118"/>
    <s v="FRG119"/>
    <s v="PET Clear Preform For Grinding"/>
    <n v="-366"/>
    <n v="-366"/>
    <s v="KG"/>
    <n v="5.0999999999999997E-2"/>
    <n v="-7176.4705882352946"/>
    <x v="49"/>
    <x v="49"/>
  </r>
  <r>
    <x v="1118"/>
    <s v="51.0BC1RD-CL-S"/>
    <s v="51.0 BC 38mm 3 Rnd Clear steel c"/>
    <n v="25200"/>
    <n v="25200"/>
    <s v="PC"/>
    <n v="5.0999999999999997E-2"/>
    <n v="0"/>
    <x v="49"/>
    <x v="49"/>
  </r>
  <r>
    <x v="1119"/>
    <s v="7.45TO2RD-AJBS-B"/>
    <s v="7.45TO29/25Rnd'ALM'BLUE J/C(PP-SIPA)"/>
    <n v="59760"/>
    <n v="59760"/>
    <s v="PC"/>
    <n v="7.45E-3"/>
    <n v="0"/>
    <x v="24"/>
    <x v="24"/>
  </r>
  <r>
    <x v="1120"/>
    <s v="7.45TO2RD-LBS2-A"/>
    <s v="7.45TO 29/25 Rnd L.Blue (≤1ppm) J/C Wplt"/>
    <n v="89640"/>
    <n v="89640"/>
    <s v="PC"/>
    <n v="7.45E-3"/>
    <n v="0"/>
    <x v="24"/>
    <x v="24"/>
  </r>
  <r>
    <x v="1121"/>
    <s v="7.45TO2RD-LBS2-A"/>
    <s v="7.45TO 29/25 Rnd L.Blue (≤1ppm) J/C Wplt"/>
    <n v="27000"/>
    <n v="0"/>
    <s v="PC"/>
    <n v="7.45E-3"/>
    <n v="0"/>
    <x v="24"/>
    <x v="24"/>
  </r>
  <r>
    <x v="1121"/>
    <s v="7.45TO2RD-LBS1-A"/>
    <s v="7.45TO LW 29/25 L.Blue(≤2ppm)J/C(WP-SIPA"/>
    <n v="27000"/>
    <n v="27000"/>
    <s v="PC"/>
    <n v="7.45E-3"/>
    <n v="0"/>
    <x v="24"/>
    <x v="24"/>
  </r>
  <r>
    <x v="1122"/>
    <s v="FRG160"/>
    <s v="PET Blue Preform For Grinding"/>
    <n v="-63"/>
    <n v="-63"/>
    <s v="KG"/>
    <n v="4.4999999999999998E-2"/>
    <n v="-1400"/>
    <x v="88"/>
    <x v="87"/>
  </r>
  <r>
    <x v="1122"/>
    <s v="45.0PC2RD-IGS-B"/>
    <s v="45.0 PCO 1881 ICI Green J/C(P Plt - SIPA"/>
    <n v="14662"/>
    <n v="14662"/>
    <s v="PC"/>
    <n v="4.4999999999999998E-2"/>
    <n v="0"/>
    <x v="88"/>
    <x v="87"/>
  </r>
  <r>
    <x v="1123"/>
    <s v="45.0PC2RD-IGS-V"/>
    <s v="45.0 PCO 1881 Rnd ICI Green Mena Bev"/>
    <n v="6624"/>
    <n v="6624"/>
    <s v="PC"/>
    <n v="4.4999999999999998E-2"/>
    <n v="0"/>
    <x v="88"/>
    <x v="87"/>
  </r>
  <r>
    <x v="1124"/>
    <s v="FRG160"/>
    <s v="PET Blue Preform For Grinding"/>
    <n v="-268"/>
    <n v="-268"/>
    <s v="KG"/>
    <n v="2.6600000000000002E-2"/>
    <n v="-10075.187969924811"/>
    <x v="62"/>
    <x v="62"/>
  </r>
  <r>
    <x v="1124"/>
    <s v="26.6TO2RD-LB-A"/>
    <s v="26.6 29/25 Rnd Light Blue J/C(W Plt"/>
    <n v="50400"/>
    <n v="50400"/>
    <s v="PC"/>
    <n v="2.6600000000000002E-2"/>
    <n v="0"/>
    <x v="62"/>
    <x v="62"/>
  </r>
  <r>
    <x v="1125"/>
    <s v="30.5PC2RD-IGS-V"/>
    <s v="30.5PCO1881RndICI GreenMenaBev Spec-SIPA"/>
    <n v="31860"/>
    <n v="31860"/>
    <s v="PC"/>
    <n v="3.0499999999999999E-2"/>
    <n v="0"/>
    <x v="31"/>
    <x v="31"/>
  </r>
  <r>
    <x v="1126"/>
    <s v="30.5PC2RD-IGS-BH2"/>
    <s v="30.5PCO1881 ICI GreenJ/C(PP JOM HDG-SIPA"/>
    <n v="42480"/>
    <n v="42480"/>
    <s v="PC"/>
    <n v="3.0499999999999999E-2"/>
    <n v="0"/>
    <x v="31"/>
    <x v="31"/>
  </r>
  <r>
    <x v="1127"/>
    <s v="7.45TO2RD-LBS-A"/>
    <s v="7.45TO LW 29/25 L.Blue J/C(WP-SIPA"/>
    <n v="1000"/>
    <n v="500"/>
    <s v="PC"/>
    <n v="7.45E-3"/>
    <n v="0"/>
    <x v="24"/>
    <x v="24"/>
  </r>
  <r>
    <x v="1128"/>
    <s v="7.45TO2RD-LBS-A"/>
    <s v="7.45TO LW 29/25 L.Blue J/C(WP-SIPA"/>
    <n v="1000"/>
    <n v="1000"/>
    <s v="PC"/>
    <n v="7.45E-3"/>
    <n v="0"/>
    <x v="24"/>
    <x v="24"/>
  </r>
  <r>
    <x v="1129"/>
    <s v="30.5PC2RD-CLS-BH2"/>
    <s v="30.5 PCO 1881Rnd CLR J/C(PP JOM HDG-SIPA"/>
    <n v="21240"/>
    <n v="21240"/>
    <s v="PC"/>
    <n v="3.0499999999999999E-2"/>
    <n v="0"/>
    <x v="21"/>
    <x v="21"/>
  </r>
  <r>
    <x v="1130"/>
    <s v="26.6TO2RD-CL-B"/>
    <s v="26.6 TO 29/25 Rnd Clear J/C(P Plt"/>
    <n v="10080"/>
    <n v="10080"/>
    <s v="PC"/>
    <n v="2.6600000000000002E-2"/>
    <n v="0"/>
    <x v="26"/>
    <x v="26"/>
  </r>
  <r>
    <x v="1131"/>
    <s v="36.0BC1RD-CL-G"/>
    <s v="36.0 BC38mm 3 Rnd Clear OJ/C(W plt"/>
    <n v="6336"/>
    <n v="6336"/>
    <s v="PC"/>
    <n v="3.5999999999999997E-2"/>
    <n v="0"/>
    <x v="3"/>
    <x v="3"/>
  </r>
  <r>
    <x v="1132"/>
    <s v="26.6TO2RD-BS10-B"/>
    <s v="26.6TO29/25Rnd Nova Blue &quot;Reliance&quot;"/>
    <n v="20160"/>
    <n v="20160"/>
    <s v="PC"/>
    <n v="2.6600000000000002E-2"/>
    <n v="0"/>
    <x v="115"/>
    <x v="114"/>
  </r>
  <r>
    <x v="1133"/>
    <s v="12.5TO2RD-CLS-B"/>
    <s v="12.5 29/25 Rnd Clear J/C(PP"/>
    <n v="20880"/>
    <n v="20880"/>
    <s v="PC"/>
    <n v="1.2500000000000001E-2"/>
    <n v="0"/>
    <x v="39"/>
    <x v="39"/>
  </r>
  <r>
    <x v="1134"/>
    <s v="FRG160"/>
    <s v="PET Blue Preform For Grinding"/>
    <n v="-41"/>
    <n v="-41"/>
    <s v="KG"/>
    <n v="1.2500000000000001E-2"/>
    <n v="-3280"/>
    <x v="117"/>
    <x v="116"/>
  </r>
  <r>
    <x v="1134"/>
    <s v="12.5TO2RD-BS10-B"/>
    <s v="12.5TO29/25Rnd Nova Blue-PET&quot;Reliance&quot;"/>
    <n v="107714"/>
    <n v="107714"/>
    <s v="PC"/>
    <n v="1.2500000000000001E-2"/>
    <n v="0"/>
    <x v="117"/>
    <x v="116"/>
  </r>
  <r>
    <x v="1135"/>
    <s v="13.5BC1RD-R1-G"/>
    <s v="13.5 BC38mm 3 Rnd Red OJ/C(WP)"/>
    <n v="160704"/>
    <n v="160704"/>
    <s v="PC"/>
    <n v="1.35E-2"/>
    <n v="0"/>
    <x v="118"/>
    <x v="117"/>
  </r>
  <r>
    <x v="1136"/>
    <s v="29-1.27-2TP-B4-A"/>
    <s v="29/25 1.27g CAP TP Nova Blue (=2%)-WP"/>
    <n v="4000000"/>
    <n v="4000000"/>
    <s v="PC"/>
    <n v="2.9000000000000001E-2"/>
    <n v="0"/>
    <x v="104"/>
    <x v="103"/>
  </r>
  <r>
    <x v="1137"/>
    <s v="26.6TO2RD-BS10-B"/>
    <s v="26.6TO29/25Rnd Nova Blue &quot;Reliance&quot;"/>
    <n v="30240"/>
    <n v="30240"/>
    <s v="PC"/>
    <n v="2.6600000000000002E-2"/>
    <n v="0"/>
    <x v="115"/>
    <x v="114"/>
  </r>
  <r>
    <x v="1138"/>
    <s v="13.5BC1RD-G1-G"/>
    <s v="13.5 BC38mm 3 Rnd Green OJ/C(WP)"/>
    <n v="142848"/>
    <n v="160704"/>
    <s v="PC"/>
    <n v="1.35E-2"/>
    <n v="0"/>
    <x v="119"/>
    <x v="118"/>
  </r>
  <r>
    <x v="1139"/>
    <s v="13.5BC1RD-O1-G"/>
    <s v="13.5 BC38mm 3 Rnd Orange OJ/C(WP)"/>
    <n v="71424"/>
    <n v="71424"/>
    <s v="PC"/>
    <n v="1.35E-2"/>
    <n v="0"/>
    <x v="120"/>
    <x v="119"/>
  </r>
  <r>
    <x v="1140"/>
    <s v="12.5TO2RD-BS10-B"/>
    <s v="12.5TO29/25Rnd Nova Blue-PET&quot;Reliance&quot;"/>
    <n v="17566"/>
    <n v="17566"/>
    <s v="PC"/>
    <n v="1.2500000000000001E-2"/>
    <n v="0"/>
    <x v="117"/>
    <x v="116"/>
  </r>
  <r>
    <x v="1141"/>
    <s v="9.4TO2RD-BS10-B"/>
    <s v="9.4 TO29/25Rnd NovaBlue-PET&quot;Reliance&quot;"/>
    <n v="101520"/>
    <n v="101520"/>
    <s v="PC"/>
    <n v="9.4000000000000004E-3"/>
    <n v="0"/>
    <x v="4"/>
    <x v="4"/>
  </r>
  <r>
    <x v="1142"/>
    <s v="FRG119"/>
    <s v="PET Clear Preform For Grinding"/>
    <n v="-288"/>
    <n v="-288"/>
    <s v="KG"/>
    <n v="1.55E-2"/>
    <n v="-18580.645161290322"/>
    <x v="121"/>
    <x v="120"/>
  </r>
  <r>
    <x v="1142"/>
    <s v="15.5PC2RD-CL-V"/>
    <s v="15.5 PCO 1881 Rnd Clear MenaBev PP"/>
    <n v="130368"/>
    <n v="130368"/>
    <s v="PC"/>
    <n v="1.55E-2"/>
    <n v="0"/>
    <x v="121"/>
    <x v="120"/>
  </r>
  <r>
    <x v="1143"/>
    <s v="15.5PC2RD-CL-V"/>
    <s v="15.5 PCO 1881 Rnd Clear MenaBev PP"/>
    <n v="18624"/>
    <n v="18624"/>
    <s v="PC"/>
    <n v="1.55E-2"/>
    <n v="0"/>
    <x v="122"/>
    <x v="121"/>
  </r>
  <r>
    <x v="1144"/>
    <s v="FRG119"/>
    <s v="PET Clear Preform For Grinding"/>
    <n v="-241"/>
    <n v="-241"/>
    <s v="KG"/>
    <n v="1.35E-2"/>
    <n v="-17851.85185185185"/>
    <x v="46"/>
    <x v="46"/>
  </r>
  <r>
    <x v="1144"/>
    <s v="13.5BC1RD-CL-G"/>
    <s v="13.5 BC38mm 3 Rnd Clear OJ/C(p plt"/>
    <n v="214272"/>
    <n v="214272"/>
    <s v="PC"/>
    <n v="1.35E-2"/>
    <n v="0"/>
    <x v="46"/>
    <x v="46"/>
  </r>
  <r>
    <x v="1145"/>
    <s v="12.7BC1EC-W1-S"/>
    <s v="12.7 BC38mm 3 ECO White Steel c."/>
    <n v="21312"/>
    <n v="21312"/>
    <s v="PC"/>
    <n v="1.2699999999999999E-2"/>
    <n v="0"/>
    <x v="106"/>
    <x v="105"/>
  </r>
  <r>
    <x v="1146"/>
    <s v="29-1.27-2TP-B4-A"/>
    <s v="29/25 1.27g CAP TP Nova Blue (=2%)-WP"/>
    <n v="3504000"/>
    <n v="3504000"/>
    <s v="PC"/>
    <n v="2.9000000000000001E-2"/>
    <n v="0"/>
    <x v="104"/>
    <x v="103"/>
  </r>
  <r>
    <x v="1147"/>
    <s v="9.4TO2RD-BS10-B"/>
    <s v="9.4 TO29/25Rnd NovaBlue-PET&quot;Reliance&quot;"/>
    <n v="50760"/>
    <n v="50760"/>
    <s v="PC"/>
    <n v="9.4000000000000004E-3"/>
    <n v="0"/>
    <x v="4"/>
    <x v="4"/>
  </r>
  <r>
    <x v="1148"/>
    <s v="12.7BC1EC-W1-S"/>
    <s v="12.7 BC38mm 3 ECO White Steel c."/>
    <n v="10656"/>
    <n v="10656"/>
    <s v="PC"/>
    <n v="1.2699999999999999E-2"/>
    <n v="0"/>
    <x v="106"/>
    <x v="105"/>
  </r>
  <r>
    <x v="1149"/>
    <s v="12.7BC1EC-CL-S"/>
    <s v="12.7 BC38mm 3 ECO Clear Steel c."/>
    <n v="127872"/>
    <n v="127872"/>
    <s v="PC"/>
    <n v="1.2699999999999999E-2"/>
    <n v="0"/>
    <x v="58"/>
    <x v="58"/>
  </r>
  <r>
    <x v="1150"/>
    <s v="45.0PC2RD-IGR-V"/>
    <s v="45.0PCO 1881 ICI Green RPET Mena Bev"/>
    <n v="26496"/>
    <n v="26496"/>
    <s v="PC"/>
    <n v="4.4999999999999998E-2"/>
    <n v="0"/>
    <x v="112"/>
    <x v="111"/>
  </r>
  <r>
    <x v="1151"/>
    <s v="45.0PC2RD-IGR-V"/>
    <s v="45.0PCO 1881 ICI Green RPET Mena Bev"/>
    <n v="26496"/>
    <n v="26496"/>
    <s v="PC"/>
    <n v="4.4999999999999998E-2"/>
    <n v="0"/>
    <x v="112"/>
    <x v="111"/>
  </r>
  <r>
    <x v="1152"/>
    <s v="18.0BC1RD-CL-S"/>
    <s v="18.0 BC38mm 3 Rnd Clear Steel C"/>
    <n v="32832"/>
    <n v="32832"/>
    <s v="PC"/>
    <n v="1.7999999999999999E-2"/>
    <n v="0"/>
    <x v="64"/>
    <x v="64"/>
  </r>
  <r>
    <x v="1153"/>
    <s v="9.4TO2RD-BS10-B"/>
    <s v="9.4 TO29/25Rnd NovaBlue-PET&quot;Reliance&quot;"/>
    <n v="177660"/>
    <n v="177660"/>
    <s v="PC"/>
    <n v="9.4000000000000004E-3"/>
    <n v="0"/>
    <x v="4"/>
    <x v="4"/>
  </r>
  <r>
    <x v="1154"/>
    <s v="12.7BC1EC-CL-S"/>
    <s v="12.7 BC38mm 3 ECO Clear Steel c."/>
    <n v="31968"/>
    <n v="31968"/>
    <s v="PC"/>
    <n v="1.2699999999999999E-2"/>
    <n v="0"/>
    <x v="58"/>
    <x v="58"/>
  </r>
  <r>
    <x v="1155"/>
    <s v="16.7PC2RD-CL-A"/>
    <s v="16.7 PCO 1881 Rnd Clear J/C(W plt"/>
    <n v="18624"/>
    <n v="18624"/>
    <s v="PC"/>
    <n v="1.67E-2"/>
    <n v="0"/>
    <x v="97"/>
    <x v="96"/>
  </r>
  <r>
    <x v="1156"/>
    <s v="26.6TO2RD-BS10-B"/>
    <s v="26.6TO29/25Rnd Nova Blue &quot;Reliance&quot;"/>
    <n v="40320"/>
    <n v="40320"/>
    <s v="PC"/>
    <n v="2.6600000000000002E-2"/>
    <n v="0"/>
    <x v="115"/>
    <x v="114"/>
  </r>
  <r>
    <x v="1157"/>
    <s v="9.4TO2RD-BS10-B"/>
    <s v="9.4 TO29/25Rnd NovaBlue-PET&quot;Reliance&quot;"/>
    <n v="76140"/>
    <n v="76140"/>
    <s v="PC"/>
    <n v="9.4000000000000004E-3"/>
    <n v="0"/>
    <x v="4"/>
    <x v="4"/>
  </r>
  <r>
    <x v="1158"/>
    <s v="FRG119"/>
    <s v="PET Clear Preform For Grinding"/>
    <n v="-323"/>
    <n v="-323"/>
    <s v="KG"/>
    <n v="3.0499999999999999E-2"/>
    <n v="-10590.163934426229"/>
    <x v="7"/>
    <x v="7"/>
  </r>
  <r>
    <x v="1158"/>
    <s v="30.5PC2RD-CLS-A"/>
    <s v="30.5 PCO 1881 Rnd Clear J/C(W plt-SIPA"/>
    <n v="95580"/>
    <n v="95580"/>
    <s v="PC"/>
    <n v="3.0499999999999999E-2"/>
    <n v="0"/>
    <x v="7"/>
    <x v="7"/>
  </r>
  <r>
    <x v="1159"/>
    <s v="26.6TO2RD-BS10-B"/>
    <s v="26.6TO29/25Rnd Nova Blue &quot;Reliance&quot;"/>
    <n v="20160"/>
    <n v="20160"/>
    <s v="PC"/>
    <n v="2.6600000000000002E-2"/>
    <n v="0"/>
    <x v="115"/>
    <x v="114"/>
  </r>
  <r>
    <x v="1160"/>
    <s v="45.0PC2RD-IGS-B"/>
    <s v="45.0 PCO 1881 ICI Green J/C(P Plt - SIPA"/>
    <n v="298080"/>
    <n v="298080"/>
    <s v="PC"/>
    <n v="4.4999999999999998E-2"/>
    <n v="0"/>
    <x v="88"/>
    <x v="87"/>
  </r>
  <r>
    <x v="1161"/>
    <s v="30.5PC2RD-CLS-BH2"/>
    <s v="30.5 PCO 1881Rnd CLR J/C(PP JOM HDG-SIPA"/>
    <n v="10620"/>
    <n v="10620"/>
    <s v="PC"/>
    <n v="3.0499999999999999E-2"/>
    <n v="0"/>
    <x v="21"/>
    <x v="21"/>
  </r>
  <r>
    <x v="1162"/>
    <s v="30.5PC2RD-CLS-BH2"/>
    <s v="30.5 PCO 1881Rnd CLR J/C(PP JOM HDG-SIPA"/>
    <n v="10620"/>
    <n v="10620"/>
    <s v="PC"/>
    <n v="3.0499999999999999E-2"/>
    <n v="0"/>
    <x v="21"/>
    <x v="21"/>
  </r>
  <r>
    <x v="1163"/>
    <s v="26.6TO2RD-CL-B"/>
    <s v="26.6 TO 29/25 Rnd Clear J/C(P Plt"/>
    <n v="30240"/>
    <n v="30240"/>
    <s v="PC"/>
    <n v="2.6600000000000002E-2"/>
    <n v="0"/>
    <x v="26"/>
    <x v="26"/>
  </r>
  <r>
    <x v="1164"/>
    <s v="26.6TO2RD-CL-A"/>
    <s v="26.6 29/25 Rnd Clear J/C(W Plt"/>
    <n v="30240"/>
    <n v="30240"/>
    <s v="PC"/>
    <n v="2.6600000000000002E-2"/>
    <n v="0"/>
    <x v="26"/>
    <x v="26"/>
  </r>
  <r>
    <x v="1165"/>
    <s v="45.0PC2RD-IGS-B"/>
    <s v="45.0 PCO 1881 ICI Green J/C(P Plt - SIPA"/>
    <n v="337824"/>
    <n v="337824"/>
    <s v="PC"/>
    <n v="4.4999999999999998E-2"/>
    <n v="0"/>
    <x v="88"/>
    <x v="87"/>
  </r>
  <r>
    <x v="1166"/>
    <s v="45.0PC2RD-IGS-V"/>
    <s v="45.0 PCO 1881 Rnd ICI Green Mena Bev"/>
    <n v="317952"/>
    <n v="317952"/>
    <s v="PC"/>
    <n v="4.4999999999999998E-2"/>
    <n v="0"/>
    <x v="88"/>
    <x v="87"/>
  </r>
  <r>
    <x v="1167"/>
    <s v="52.0BC1RD-CL-B"/>
    <s v="52.0 BC38mm 3 Rnd Clear J/C(P Plt"/>
    <n v="211200"/>
    <n v="211200"/>
    <s v="PC"/>
    <n v="5.1999999999999998E-2"/>
    <n v="0"/>
    <x v="6"/>
    <x v="6"/>
  </r>
  <r>
    <x v="1168"/>
    <s v="52.0BC1RD-CL-G"/>
    <s v="52.0 BC 38mm 3 Rnd Clear OJ/C(W plt"/>
    <n v="0"/>
    <n v="0"/>
    <s v="PC"/>
    <n v="5.1999999999999998E-2"/>
    <n v="0"/>
    <x v="15"/>
    <x v="15"/>
  </r>
  <r>
    <x v="1168"/>
    <s v="FRG119"/>
    <s v="PET Clear Preform For Grinding"/>
    <n v="-249"/>
    <n v="-249"/>
    <s v="KG"/>
    <n v="5.1999999999999998E-2"/>
    <n v="-4788.461538461539"/>
    <x v="15"/>
    <x v="15"/>
  </r>
  <r>
    <x v="1168"/>
    <s v="52.0BC1RD-CL-G"/>
    <s v="52.0 BC 38mm 3 Rnd Clear OJ/C(W plt"/>
    <n v="19200"/>
    <n v="19200"/>
    <s v="PC"/>
    <n v="5.1999999999999998E-2"/>
    <n v="0"/>
    <x v="15"/>
    <x v="15"/>
  </r>
  <r>
    <x v="1169"/>
    <s v="30.5PC2RD-CLS-A"/>
    <s v="30.5 PCO 1881 Rnd Clear J/C(W plt-SIPA"/>
    <n v="10620"/>
    <n v="10620"/>
    <s v="PC"/>
    <n v="3.0499999999999999E-2"/>
    <n v="0"/>
    <x v="7"/>
    <x v="7"/>
  </r>
  <r>
    <x v="1170"/>
    <s v="30.5PC2RD-CLS-A"/>
    <s v="30.5 PCO 1881 Rnd Clear J/C(W plt-SIPA"/>
    <n v="10620"/>
    <n v="10620"/>
    <s v="PC"/>
    <n v="3.0499999999999999E-2"/>
    <n v="0"/>
    <x v="7"/>
    <x v="7"/>
  </r>
  <r>
    <x v="1171"/>
    <s v="45.0PC2RD-IGS-B"/>
    <s v="45.0 PCO 1881 ICI Green J/C(P Plt - SIPA"/>
    <n v="390816"/>
    <n v="390816"/>
    <s v="PC"/>
    <n v="4.4999999999999998E-2"/>
    <n v="0"/>
    <x v="88"/>
    <x v="87"/>
  </r>
  <r>
    <x v="1172"/>
    <s v="52.0BC1RD-CL-B"/>
    <s v="52.0 BC38mm 3 Rnd Clear J/C(P Plt"/>
    <n v="187200"/>
    <n v="187200"/>
    <s v="PC"/>
    <n v="5.1999999999999998E-2"/>
    <n v="0"/>
    <x v="6"/>
    <x v="6"/>
  </r>
  <r>
    <x v="1173"/>
    <s v="52.0BC1RD-CL-B"/>
    <s v="52.0 BC38mm 3 Rnd Clear J/C(P Plt"/>
    <n v="38400"/>
    <n v="38400"/>
    <s v="PC"/>
    <n v="5.1999999999999998E-2"/>
    <n v="0"/>
    <x v="15"/>
    <x v="15"/>
  </r>
  <r>
    <x v="1174"/>
    <s v="45.0PC2RD-IGS-B"/>
    <s v="45.0 PCO 1881 ICI Green J/C(P Plt - SIPA"/>
    <n v="2000"/>
    <n v="2000"/>
    <s v="PC"/>
    <n v="4.4999999999999998E-2"/>
    <n v="0"/>
    <x v="88"/>
    <x v="87"/>
  </r>
  <r>
    <x v="1175"/>
    <s v="26.6TO2RD-AJB-BH"/>
    <s v="26.6TO29/25Rnd'ALM'BLUE J/C(PP-HDG)"/>
    <n v="30240"/>
    <n v="30240"/>
    <s v="PC"/>
    <n v="2.6600000000000002E-2"/>
    <n v="0"/>
    <x v="63"/>
    <x v="63"/>
  </r>
  <r>
    <x v="1176"/>
    <s v="45.0PC2RD-IGS-V"/>
    <s v="45.0 PCO 1881 Rnd ICI Green Mena Bev"/>
    <n v="6624"/>
    <n v="6624"/>
    <s v="PC"/>
    <n v="0"/>
    <n v="0"/>
    <x v="57"/>
    <x v="57"/>
  </r>
  <r>
    <x v="1177"/>
    <s v="8.3TO2RD-LBS-A"/>
    <s v="8.30TO LW 29/25Rd L.Blue J/C(W plt)-SIPA"/>
    <n v="1255500"/>
    <n v="1255500"/>
    <s v="PC"/>
    <n v="8.3000000000000001E-3"/>
    <n v="0"/>
    <x v="5"/>
    <x v="5"/>
  </r>
  <r>
    <x v="1177"/>
    <s v="FRG160"/>
    <s v="PET Blue Preform For Grinding"/>
    <n v="-336"/>
    <n v="-336"/>
    <s v="KG"/>
    <n v="8.3000000000000001E-3"/>
    <n v="-40481.927710843374"/>
    <x v="5"/>
    <x v="5"/>
  </r>
  <r>
    <x v="1178"/>
    <s v="45.0PC2RD-IGS-B"/>
    <s v="45.0 PCO 1881 ICI Green J/C(P Plt - SIPA"/>
    <n v="56202"/>
    <n v="56202"/>
    <s v="PC"/>
    <n v="4.4999999999999998E-2"/>
    <n v="0"/>
    <x v="88"/>
    <x v="87"/>
  </r>
  <r>
    <x v="1178"/>
    <s v="FRG161"/>
    <s v="PET Green Preform For Grinding"/>
    <n v="-144"/>
    <n v="-144"/>
    <s v="KG"/>
    <n v="4.4999999999999998E-2"/>
    <n v="-3200"/>
    <x v="88"/>
    <x v="87"/>
  </r>
  <r>
    <x v="1179"/>
    <s v="45.0PC2RD-IGS-V"/>
    <s v="45.0 PCO 1881 Rnd ICI Green Mena Bev"/>
    <n v="26496"/>
    <n v="26496"/>
    <s v="PC"/>
    <n v="4.4999999999999998E-2"/>
    <n v="0"/>
    <x v="88"/>
    <x v="87"/>
  </r>
  <r>
    <x v="1180"/>
    <s v="30.5PC2RD-CLS-A"/>
    <s v="30.5 PCO 1881 Rnd Clear J/C(W plt-SIPA"/>
    <n v="31860"/>
    <n v="31860"/>
    <s v="PC"/>
    <n v="3.0499999999999999E-2"/>
    <n v="0"/>
    <x v="21"/>
    <x v="21"/>
  </r>
  <r>
    <x v="1181"/>
    <s v="30.5PC2RD-CLS-BH2"/>
    <s v="30.5 PCO 1881Rnd CLR J/C(PP JOM HDG-SIPA"/>
    <n v="21240"/>
    <n v="21240"/>
    <s v="PC"/>
    <n v="3.0499999999999999E-2"/>
    <n v="0"/>
    <x v="21"/>
    <x v="21"/>
  </r>
  <r>
    <x v="1182"/>
    <s v="30.5PC2RD-CLS-V"/>
    <s v="30.5 PCO 1881 Rnd CLR Mena Bev Spec-SIPA"/>
    <n v="53100"/>
    <n v="53100"/>
    <s v="PC"/>
    <n v="3.0499999999999999E-2"/>
    <n v="0"/>
    <x v="21"/>
    <x v="21"/>
  </r>
  <r>
    <x v="1182"/>
    <s v="FRG119"/>
    <s v="PET Clear Preform For Grinding"/>
    <n v="-323"/>
    <n v="-323"/>
    <s v="KG"/>
    <n v="3.0499999999999999E-2"/>
    <n v="-10590.163934426229"/>
    <x v="21"/>
    <x v="21"/>
  </r>
  <r>
    <x v="1183"/>
    <s v="26.6TO2RD-CL-B"/>
    <s v="26.6 TO 29/25 Rnd Clear J/C(P Plt"/>
    <n v="493920"/>
    <n v="493920"/>
    <s v="PC"/>
    <n v="2.6600000000000002E-2"/>
    <n v="0"/>
    <x v="26"/>
    <x v="26"/>
  </r>
  <r>
    <x v="1184"/>
    <s v="8.3TO2RD-LBS-A"/>
    <s v="8.30TO LW 29/25Rd L.Blue J/C(W plt)-SIPA"/>
    <n v="102900"/>
    <n v="102900"/>
    <s v="PC"/>
    <n v="8.3000000000000001E-3"/>
    <n v="0"/>
    <x v="5"/>
    <x v="5"/>
  </r>
  <r>
    <x v="1184"/>
    <s v="FRG160"/>
    <s v="PET Blue Preform For Grinding"/>
    <n v="-181"/>
    <n v="-181"/>
    <s v="KG"/>
    <n v="8.3000000000000001E-3"/>
    <n v="-21807.22891566265"/>
    <x v="5"/>
    <x v="5"/>
  </r>
  <r>
    <x v="1185"/>
    <s v="26.6TO2RD-AJB-BH"/>
    <s v="26.6TO29/25Rnd'ALM'BLUE J/C(PP-HDG)"/>
    <n v="10080"/>
    <n v="10080"/>
    <s v="PC"/>
    <n v="2.6600000000000002E-2"/>
    <n v="0"/>
    <x v="63"/>
    <x v="63"/>
  </r>
  <r>
    <x v="1186"/>
    <s v="26.6TO2RD-BS10-B"/>
    <s v="26.6TO29/25Rnd Nova Blue &quot;Reliance&quot;"/>
    <n v="30240"/>
    <n v="30240"/>
    <s v="PC"/>
    <n v="2.6600000000000002E-2"/>
    <n v="0"/>
    <x v="115"/>
    <x v="114"/>
  </r>
  <r>
    <x v="1187"/>
    <s v="26.6TO2RD-CL-B"/>
    <s v="26.6 TO 29/25 Rnd Clear J/C(P Plt"/>
    <n v="493920"/>
    <n v="493920"/>
    <s v="PC"/>
    <n v="2.6600000000000002E-2"/>
    <n v="0"/>
    <x v="26"/>
    <x v="26"/>
  </r>
  <r>
    <x v="1188"/>
    <s v="11.5TO2RD-AJBS-B"/>
    <s v="11.5TO29/25Rnd'ALM'BLUE J/C(PP-SIPA-HDG"/>
    <n v="41760"/>
    <n v="41760"/>
    <s v="PC"/>
    <n v="1.15E-2"/>
    <n v="0"/>
    <x v="42"/>
    <x v="42"/>
  </r>
  <r>
    <x v="1189"/>
    <s v="9.4TO2RD-BS10-B"/>
    <s v="9.4 TO29/25Rnd NovaBlue-PET&quot;Reliance&quot;"/>
    <n v="355320"/>
    <n v="355320"/>
    <s v="PC"/>
    <n v="9.4000000000000004E-3"/>
    <n v="0"/>
    <x v="4"/>
    <x v="4"/>
  </r>
  <r>
    <x v="1189"/>
    <s v="FRG160"/>
    <s v="PET Blue Preform For Grinding"/>
    <n v="-238"/>
    <n v="-238"/>
    <s v="KG"/>
    <n v="9.4000000000000004E-3"/>
    <n v="-25319.148936170212"/>
    <x v="4"/>
    <x v="4"/>
  </r>
  <r>
    <x v="1190"/>
    <s v="26.6TO2RD-BS10-B"/>
    <s v="26.6TO29/25Rnd Nova Blue &quot;Reliance&quot;"/>
    <n v="30240"/>
    <n v="30240"/>
    <s v="PC"/>
    <n v="2.6600000000000002E-2"/>
    <n v="0"/>
    <x v="115"/>
    <x v="114"/>
  </r>
  <r>
    <x v="1191"/>
    <s v="30.5PC2RD-IGS-V"/>
    <s v="30.5PCO1881RndICI GreenMenaBev Spec-SIPA"/>
    <n v="31860"/>
    <n v="31860"/>
    <s v="PC"/>
    <n v="3.0499999999999999E-2"/>
    <n v="0"/>
    <x v="31"/>
    <x v="31"/>
  </r>
  <r>
    <x v="1192"/>
    <s v="30.5PC2RD-IGS-BH1"/>
    <s v="30.5PCO1881 ICI GreenJ/C(PP AQS HDG-SIPA"/>
    <n v="42480"/>
    <n v="42480"/>
    <s v="PC"/>
    <n v="3.0499999999999999E-2"/>
    <n v="0"/>
    <x v="31"/>
    <x v="31"/>
  </r>
  <r>
    <x v="1193"/>
    <s v="30.5PC2RD-IGS-BH2"/>
    <s v="30.5PCO1881 ICI GreenJ/C(PP JOM HDG-SIPA"/>
    <n v="116820"/>
    <n v="116820"/>
    <s v="PC"/>
    <n v="3.0499999999999999E-2"/>
    <n v="0"/>
    <x v="31"/>
    <x v="31"/>
  </r>
  <r>
    <x v="1194"/>
    <s v="36.0BC1RD-CJ-S"/>
    <s v="36.0 BC 38mm 3 Rnd Clear Steel C-(Aujan)"/>
    <n v="54912"/>
    <n v="54912"/>
    <s v="PC"/>
    <n v="3.5999999999999997E-2"/>
    <n v="0"/>
    <x v="48"/>
    <x v="48"/>
  </r>
  <r>
    <x v="1195"/>
    <s v="FRG160"/>
    <s v="PET Blue Preform For Grinding"/>
    <n v="-238"/>
    <n v="-238"/>
    <s v="KG"/>
    <n v="9.4000000000000004E-3"/>
    <n v="-25319.148936170212"/>
    <x v="4"/>
    <x v="4"/>
  </r>
  <r>
    <x v="1195"/>
    <s v="9.4TO2RD-BS10-B"/>
    <s v="9.4 TO29/25Rnd NovaBlue-PET&quot;Reliance&quot;"/>
    <n v="253800"/>
    <n v="253800"/>
    <s v="PC"/>
    <n v="9.4000000000000004E-3"/>
    <n v="0"/>
    <x v="4"/>
    <x v="4"/>
  </r>
  <r>
    <x v="1196"/>
    <s v="FRG119"/>
    <s v="PET Clear Preform For Grinding"/>
    <n v="-304"/>
    <n v="-304"/>
    <s v="KG"/>
    <n v="3.5999999999999997E-2"/>
    <n v="-8444.4444444444453"/>
    <x v="48"/>
    <x v="48"/>
  </r>
  <r>
    <x v="1196"/>
    <s v="36.0BC1RD-CJ-S"/>
    <s v="36.0 BC 38mm 3 Rnd Clear Steel C-(Aujan)"/>
    <n v="25344"/>
    <n v="25344"/>
    <s v="PC"/>
    <n v="3.5999999999999997E-2"/>
    <n v="0"/>
    <x v="48"/>
    <x v="48"/>
  </r>
  <r>
    <x v="1197"/>
    <s v="26.6TO2RD-BS10-B"/>
    <s v="26.6TO29/25Rnd Nova Blue &quot;Reliance&quot;"/>
    <n v="10080"/>
    <n v="10080"/>
    <s v="PC"/>
    <n v="2.6600000000000002E-2"/>
    <n v="0"/>
    <x v="115"/>
    <x v="114"/>
  </r>
  <r>
    <x v="1198"/>
    <s v="45.0PC2RD-IGS-B"/>
    <s v="45.0 PCO 1881 ICI Green J/C(P Plt - SIPA"/>
    <n v="145728"/>
    <n v="145728"/>
    <s v="PC"/>
    <n v="4.4999999999999998E-2"/>
    <n v="0"/>
    <x v="88"/>
    <x v="87"/>
  </r>
  <r>
    <x v="1199"/>
    <s v="8.3TO2RD-LBS-A"/>
    <s v="8.30TO LW 29/25Rd L.Blue J/C(W plt)-SIPA"/>
    <n v="81000"/>
    <n v="81000"/>
    <s v="PC"/>
    <n v="8.3000000000000001E-3"/>
    <n v="0"/>
    <x v="5"/>
    <x v="5"/>
  </r>
  <r>
    <x v="1200"/>
    <s v="45.0PC2RD-IGS-B"/>
    <s v="45.0 PCO 1881 ICI Green J/C(P Plt - SIPA"/>
    <n v="708768"/>
    <n v="708768"/>
    <s v="PC"/>
    <n v="4.4999999999999998E-2"/>
    <n v="0"/>
    <x v="88"/>
    <x v="87"/>
  </r>
  <r>
    <x v="1201"/>
    <s v="FRG160"/>
    <s v="PET Blue Preform For Grinding"/>
    <n v="-238"/>
    <n v="-238"/>
    <s v="KG"/>
    <n v="9.4000000000000004E-3"/>
    <n v="-25319.148936170212"/>
    <x v="4"/>
    <x v="4"/>
  </r>
  <r>
    <x v="1201"/>
    <s v="9.4TO2RD-BS10-B"/>
    <s v="9.4 TO29/25Rnd NovaBlue-PET&quot;Reliance&quot;"/>
    <n v="101520"/>
    <n v="101520"/>
    <s v="PC"/>
    <n v="9.4000000000000004E-3"/>
    <n v="0"/>
    <x v="4"/>
    <x v="4"/>
  </r>
  <r>
    <x v="1202"/>
    <s v="30.5PC2RD-CLS-A"/>
    <s v="30.5 PCO 1881 Rnd Clear J/C(W plt-SIPA"/>
    <n v="42840"/>
    <n v="42840"/>
    <s v="PC"/>
    <n v="3.0499999999999999E-2"/>
    <n v="0"/>
    <x v="7"/>
    <x v="7"/>
  </r>
  <r>
    <x v="1203"/>
    <s v="22.3PC2RD-G1S-V"/>
    <s v="22.3PCO 1881 Rnd Green MenaBev Spec SIPA"/>
    <n v="2000"/>
    <n v="2000"/>
    <s v="PC"/>
    <n v="2.23E-2"/>
    <n v="0"/>
    <x v="28"/>
    <x v="28"/>
  </r>
  <r>
    <x v="1204"/>
    <s v="45.0PC2RD-IGS-B"/>
    <s v="45.0 PCO 1881 ICI Green J/C(P Plt - SIPA"/>
    <n v="755136"/>
    <n v="755136"/>
    <s v="PC"/>
    <n v="4.4999999999999998E-2"/>
    <n v="0"/>
    <x v="88"/>
    <x v="87"/>
  </r>
  <r>
    <x v="1205"/>
    <s v="30.5PC2RD-CLS-BH2"/>
    <s v="30.5 PCO 1881Rnd CLR J/C(PP JOM HDG-SIPA"/>
    <n v="509760"/>
    <n v="509760"/>
    <s v="PC"/>
    <n v="3.0499999999999999E-2"/>
    <n v="0"/>
    <x v="21"/>
    <x v="21"/>
  </r>
  <r>
    <x v="1206"/>
    <s v="26.6TO2RD-LB-A"/>
    <s v="26.6 29/25 Rnd Light Blue J/C(W Plt"/>
    <n v="40320"/>
    <n v="40320"/>
    <s v="PC"/>
    <n v="2.6600000000000002E-2"/>
    <n v="0"/>
    <x v="62"/>
    <x v="62"/>
  </r>
  <r>
    <x v="1207"/>
    <s v="30.5PC2RD-CLS-A"/>
    <s v="30.5 PCO 1881 Rnd Clear J/C(W plt-SIPA"/>
    <n v="10620"/>
    <n v="10260"/>
    <s v="PC"/>
    <n v="3.0499999999999999E-2"/>
    <n v="0"/>
    <x v="7"/>
    <x v="7"/>
  </r>
  <r>
    <x v="1208"/>
    <s v="30.5PC2RD-CLS-A"/>
    <s v="30.5 PCO 1881 Rnd Clear J/C(W plt-SIPA"/>
    <n v="10620"/>
    <n v="10620"/>
    <s v="PC"/>
    <n v="3.0499999999999999E-2"/>
    <n v="0"/>
    <x v="7"/>
    <x v="7"/>
  </r>
  <r>
    <x v="1209"/>
    <s v="45.0PC2RD-IGS-B"/>
    <s v="45.0 PCO 1881 ICI Green J/C(P Plt - SIPA"/>
    <n v="139104"/>
    <n v="139104"/>
    <s v="PC"/>
    <n v="4.4999999999999998E-2"/>
    <n v="0"/>
    <x v="88"/>
    <x v="87"/>
  </r>
  <r>
    <x v="1210"/>
    <s v="7.45TO2RD-LBS-A"/>
    <s v="7.45TO LW 29/25 L.Blue J/C(WP-SIPA"/>
    <n v="149400"/>
    <n v="149400"/>
    <s v="PC"/>
    <n v="7.45E-3"/>
    <n v="0"/>
    <x v="24"/>
    <x v="24"/>
  </r>
  <r>
    <x v="1211"/>
    <s v="52.0BC1RD-CL-G"/>
    <s v="52.0 BC 38mm 3 Rnd Clear OJ/C(W plt"/>
    <n v="19200"/>
    <n v="19200"/>
    <s v="PC"/>
    <n v="5.1999999999999998E-2"/>
    <n v="0"/>
    <x v="15"/>
    <x v="15"/>
  </r>
  <r>
    <x v="1212"/>
    <s v="30.5PC2RD-IGS-BH2"/>
    <s v="30.5PCO1881 ICI GreenJ/C(PP JOM HDG-SIPA"/>
    <n v="509760"/>
    <n v="509760"/>
    <s v="PC"/>
    <n v="3.0499999999999999E-2"/>
    <n v="0"/>
    <x v="31"/>
    <x v="31"/>
  </r>
  <r>
    <x v="1213"/>
    <s v="26.6TO2RD-CL-B"/>
    <s v="26.6 TO 29/25 Rnd Clear J/C(P Plt"/>
    <n v="463680"/>
    <n v="463680"/>
    <s v="PC"/>
    <n v="2.6600000000000002E-2"/>
    <n v="0"/>
    <x v="26"/>
    <x v="26"/>
  </r>
  <r>
    <x v="1214"/>
    <s v="52.0BC1RD-CL-G"/>
    <s v="52.0 BC 38mm 3 Rnd Clear OJ/C(W plt"/>
    <n v="19200"/>
    <n v="19200"/>
    <s v="PC"/>
    <n v="5.1999999999999998E-2"/>
    <n v="0"/>
    <x v="15"/>
    <x v="15"/>
  </r>
  <r>
    <x v="1215"/>
    <s v="11.5TO2RD-AJBS-B"/>
    <s v="11.5TO29/25Rnd'ALM'BLUE J/C(PP-SIPA-HDG"/>
    <n v="62640"/>
    <n v="62640"/>
    <s v="PC"/>
    <n v="1.15E-2"/>
    <n v="0"/>
    <x v="42"/>
    <x v="42"/>
  </r>
  <r>
    <x v="1216"/>
    <s v="7.45TO2RD-AJBS-B"/>
    <s v="7.45TO29/25Rnd'ALM'BLUE J/C(PP-SIPA)"/>
    <n v="89640"/>
    <n v="89640"/>
    <s v="PC"/>
    <n v="7.45E-3"/>
    <n v="0"/>
    <x v="75"/>
    <x v="74"/>
  </r>
  <r>
    <x v="1217"/>
    <s v="30.5PC2RD-IGS-BH2"/>
    <s v="30.5PCO1881 ICI GreenJ/C(PP JOM HDG-SIPA"/>
    <n v="10620"/>
    <n v="10620"/>
    <s v="PC"/>
    <n v="3.0499999999999999E-2"/>
    <n v="0"/>
    <x v="31"/>
    <x v="31"/>
  </r>
  <r>
    <x v="1218"/>
    <s v="26.6TO2RD-CL-B"/>
    <s v="26.6 TO 29/25 Rnd Clear J/C(P Plt"/>
    <n v="483840"/>
    <n v="483840"/>
    <s v="PC"/>
    <n v="2.6600000000000002E-2"/>
    <n v="0"/>
    <x v="26"/>
    <x v="26"/>
  </r>
  <r>
    <x v="1219"/>
    <s v="30.5PC2RD-IGR-V"/>
    <s v="30.5PCO 1881 ICI Green RPET Mena Bev"/>
    <n v="1019520"/>
    <n v="1019520"/>
    <s v="PC"/>
    <n v="3.0499999999999999E-2"/>
    <n v="0"/>
    <x v="109"/>
    <x v="108"/>
  </r>
  <r>
    <x v="1220"/>
    <s v="52.0BC1RD-CL-B"/>
    <s v="52.0 BC38mm 3 Rnd Clear J/C(P Plt"/>
    <n v="273600"/>
    <n v="273600"/>
    <s v="PC"/>
    <n v="5.1999999999999998E-2"/>
    <n v="0"/>
    <x v="6"/>
    <x v="6"/>
  </r>
  <r>
    <x v="1221"/>
    <s v="8.3TO2RD-LBS-A"/>
    <s v="8.30TO LW 29/25Rd L.Blue J/C(W plt)-SIPA"/>
    <n v="108000"/>
    <n v="108000"/>
    <s v="PC"/>
    <n v="8.3000000000000001E-3"/>
    <n v="0"/>
    <x v="5"/>
    <x v="5"/>
  </r>
  <r>
    <x v="1222"/>
    <s v="45.0PC2RD-IGS-B"/>
    <s v="45.0 PCO 1881 ICI Green J/C(P Plt - SIPA"/>
    <n v="635904"/>
    <n v="635904"/>
    <s v="PC"/>
    <n v="4.4999999999999998E-2"/>
    <n v="0"/>
    <x v="88"/>
    <x v="87"/>
  </r>
  <r>
    <x v="1223"/>
    <s v="30.5PC2RD-IGR-V"/>
    <s v="30.5PCO 1881 ICI Green RPET Mena Bev"/>
    <n v="307980"/>
    <n v="307980"/>
    <s v="PC"/>
    <n v="3.0499999999999999E-2"/>
    <n v="0"/>
    <x v="109"/>
    <x v="108"/>
  </r>
  <r>
    <x v="1224"/>
    <s v="8.3TO2RD-LBS1-A"/>
    <s v="8.30TOLW29/25 L.Blue(≤2ppm)J/C(W pt-SIPA"/>
    <n v="27000"/>
    <n v="27000"/>
    <s v="PC"/>
    <n v="8.3000000000000001E-3"/>
    <n v="0"/>
    <x v="5"/>
    <x v="5"/>
  </r>
  <r>
    <x v="1225"/>
    <s v="48.0BC1RD-CL-A"/>
    <s v="48.0 BC38mm 3 Rnd Clear J/C(W plt"/>
    <n v="14592"/>
    <n v="14592"/>
    <s v="PC"/>
    <n v="4.8000000000000001E-2"/>
    <n v="0"/>
    <x v="80"/>
    <x v="79"/>
  </r>
  <r>
    <x v="1225"/>
    <s v="FRG119"/>
    <s v="PET Clear Preform For Grinding"/>
    <n v="-233"/>
    <n v="-233"/>
    <s v="KG"/>
    <n v="4.8000000000000001E-2"/>
    <n v="-4854.166666666667"/>
    <x v="80"/>
    <x v="79"/>
  </r>
  <r>
    <x v="1226"/>
    <s v="30.5PC2RD-IGR-V"/>
    <s v="30.5PCO 1881 ICI Green RPET Mena Bev"/>
    <n v="477900"/>
    <n v="477900"/>
    <s v="PC"/>
    <n v="3.0499999999999999E-2"/>
    <n v="0"/>
    <x v="109"/>
    <x v="108"/>
  </r>
  <r>
    <x v="1227"/>
    <s v="52.0BC1RD-CL-B"/>
    <s v="52.0 BC38mm 3 Rnd Clear J/C(P Plt"/>
    <n v="340800"/>
    <n v="340800"/>
    <s v="PC"/>
    <n v="5.1999999999999998E-2"/>
    <n v="0"/>
    <x v="6"/>
    <x v="6"/>
  </r>
  <r>
    <x v="1228"/>
    <s v="36.0BC1RD-CJ-S"/>
    <s v="36.0 BC 38mm 3 Rnd Clear Steel C-(Aujan)"/>
    <n v="16896"/>
    <n v="16896"/>
    <s v="PC"/>
    <n v="3.5999999999999997E-2"/>
    <n v="0"/>
    <x v="48"/>
    <x v="48"/>
  </r>
  <r>
    <x v="1229"/>
    <s v="52.0BC1RD-CL-B"/>
    <s v="52.0 BC38mm 3 Rnd Clear J/C(P Plt"/>
    <n v="360000"/>
    <n v="360000"/>
    <s v="PC"/>
    <n v="5.1999999999999998E-2"/>
    <n v="0"/>
    <x v="6"/>
    <x v="6"/>
  </r>
  <r>
    <x v="1230"/>
    <s v="30.5PC2RD-IGR-V"/>
    <s v="30.5PCO 1881 ICI Green RPET Mena Bev"/>
    <n v="283985"/>
    <n v="283985"/>
    <s v="PC"/>
    <n v="3.0499999999999999E-2"/>
    <n v="0"/>
    <x v="109"/>
    <x v="108"/>
  </r>
  <r>
    <x v="1231"/>
    <s v="52.0BC1RD-CL-B"/>
    <s v="52.0 BC38mm 3 Rnd Clear J/C(P Plt"/>
    <n v="43200"/>
    <n v="43200"/>
    <s v="PC"/>
    <n v="5.1999999999999998E-2"/>
    <n v="0"/>
    <x v="15"/>
    <x v="15"/>
  </r>
  <r>
    <x v="1232"/>
    <s v="52.0BC1RD-CL-B"/>
    <s v="52.0 BC38mm 3 Rnd Clear J/C(P Plt"/>
    <n v="57600"/>
    <n v="57600"/>
    <s v="PC"/>
    <n v="5.1999999999999998E-2"/>
    <n v="0"/>
    <x v="6"/>
    <x v="6"/>
  </r>
  <r>
    <x v="1233"/>
    <s v="52.0BC1RD-CL-B"/>
    <s v="52.0 BC38mm 3 Rnd Clear J/C(P Plt"/>
    <n v="19200"/>
    <n v="0"/>
    <s v="PC"/>
    <n v="5.1999999999999998E-2"/>
    <n v="0"/>
    <x v="15"/>
    <x v="15"/>
  </r>
  <r>
    <x v="1233"/>
    <s v="FRG119"/>
    <s v="PET Clear Preform For Grinding"/>
    <n v="-249"/>
    <n v="-249"/>
    <s v="KG"/>
    <n v="5.1999999999999998E-2"/>
    <n v="-4788.461538461539"/>
    <x v="15"/>
    <x v="15"/>
  </r>
  <r>
    <x v="1233"/>
    <s v="52.0BC1RD-CL-B"/>
    <s v="52.0 BC38mm 3 Rnd Clear J/C(P Plt"/>
    <n v="19200"/>
    <n v="19200"/>
    <s v="PC"/>
    <n v="5.1999999999999998E-2"/>
    <n v="0"/>
    <x v="15"/>
    <x v="15"/>
  </r>
  <r>
    <x v="1234"/>
    <s v="45.0PC2RD-IGS-B"/>
    <s v="45.0 PCO 1881 ICI Green J/C(P Plt - SIPA"/>
    <n v="688896"/>
    <n v="688896"/>
    <s v="PC"/>
    <n v="4.4999999999999998E-2"/>
    <n v="0"/>
    <x v="88"/>
    <x v="87"/>
  </r>
  <r>
    <x v="1235"/>
    <s v="26.6TO2RD-CL-B"/>
    <s v="26.6 TO 29/25 Rnd Clear J/C(P Plt"/>
    <n v="483840"/>
    <n v="483840"/>
    <s v="PC"/>
    <n v="2.6600000000000002E-2"/>
    <n v="0"/>
    <x v="26"/>
    <x v="26"/>
  </r>
  <r>
    <x v="1236"/>
    <s v="30.5PC2RD-CLR-V"/>
    <s v="30.5PCO 1881Rd Clear RPET Mena Bev"/>
    <n v="509760"/>
    <n v="509760"/>
    <s v="PC"/>
    <n v="3.0499999999999999E-2"/>
    <n v="0"/>
    <x v="108"/>
    <x v="107"/>
  </r>
  <r>
    <x v="1237"/>
    <s v="9.4TO2RD-BS10-B"/>
    <s v="9.4 TO29/25Rnd NovaBlue-PET&quot;Reliance&quot;"/>
    <n v="558360"/>
    <n v="558360"/>
    <s v="PC"/>
    <n v="9.4000000000000004E-3"/>
    <n v="0"/>
    <x v="123"/>
    <x v="122"/>
  </r>
  <r>
    <x v="1238"/>
    <s v="45.0PC2RD-IGS-B"/>
    <s v="45.0 PCO 1881 ICI Green J/C(P Plt - SIPA"/>
    <n v="264960"/>
    <n v="264960"/>
    <s v="PC"/>
    <n v="4.4999999999999998E-2"/>
    <n v="0"/>
    <x v="88"/>
    <x v="87"/>
  </r>
  <r>
    <x v="1239"/>
    <s v="30.5PC2RD-CLR-V"/>
    <s v="30.5PCO 1881Rd Clear RPET Mena Bev"/>
    <n v="509760"/>
    <n v="509760"/>
    <s v="PC"/>
    <n v="3.0499999999999999E-2"/>
    <n v="0"/>
    <x v="108"/>
    <x v="107"/>
  </r>
  <r>
    <x v="1240"/>
    <s v="9.4TO2RD-BS10-B"/>
    <s v="9.4 TO29/25Rnd NovaBlue-PET&quot;Reliance&quot;"/>
    <n v="558360"/>
    <n v="558360"/>
    <s v="PC"/>
    <n v="9.4000000000000004E-3"/>
    <n v="0"/>
    <x v="123"/>
    <x v="122"/>
  </r>
  <r>
    <x v="1241"/>
    <s v="52.0BC1RD-CL-B"/>
    <s v="52.0 BC38mm 3 Rnd Clear J/C(P Plt"/>
    <n v="33600"/>
    <n v="33600"/>
    <s v="PC"/>
    <n v="5.1999999999999998E-2"/>
    <n v="0"/>
    <x v="15"/>
    <x v="15"/>
  </r>
  <r>
    <x v="1242"/>
    <s v="48.0BC1RD-CL-A"/>
    <s v="48.0 BC38mm 3 Rnd Clear J/C(W plt"/>
    <n v="4864"/>
    <n v="0"/>
    <s v="PC"/>
    <n v="5.1999999999999998E-2"/>
    <n v="0"/>
    <x v="124"/>
    <x v="123"/>
  </r>
  <r>
    <x v="1243"/>
    <s v="45.0PC2RD-CLS-B"/>
    <s v="45.0 PCO 1881Rd Clear J/C(P Plt - SIPA"/>
    <n v="423936"/>
    <n v="423936"/>
    <s v="PC"/>
    <n v="4.4999999999999998E-2"/>
    <n v="0"/>
    <x v="79"/>
    <x v="78"/>
  </r>
  <r>
    <x v="1244"/>
    <s v="30.5PC2RD-CLR-V"/>
    <s v="30.5PCO 1881Rd Clear RPET Mena Bev"/>
    <n v="637200"/>
    <n v="637200"/>
    <s v="PC"/>
    <n v="3.0499999999999999E-2"/>
    <n v="0"/>
    <x v="108"/>
    <x v="107"/>
  </r>
  <r>
    <x v="1245"/>
    <s v="45.0PC2RD-CLS-B"/>
    <s v="45.0 PCO 1881Rd Clear J/C(P Plt - SIPA"/>
    <n v="536544"/>
    <n v="536544"/>
    <s v="PC"/>
    <n v="4.4999999999999998E-2"/>
    <n v="0"/>
    <x v="79"/>
    <x v="78"/>
  </r>
  <r>
    <x v="1246"/>
    <s v="FRG160"/>
    <s v="PET Blue Preform For Grinding"/>
    <n v="-476"/>
    <n v="-476"/>
    <s v="KG"/>
    <n v="9.4000000000000004E-3"/>
    <n v="-50638.297872340423"/>
    <x v="4"/>
    <x v="4"/>
  </r>
  <r>
    <x v="1246"/>
    <s v="9.4TO2RD-BS10-B"/>
    <s v="9.4 TO29/25Rnd NovaBlue-PET&quot;Reliance&quot;"/>
    <n v="380700"/>
    <n v="380700"/>
    <s v="PC"/>
    <n v="9.4000000000000004E-3"/>
    <n v="0"/>
    <x v="4"/>
    <x v="4"/>
  </r>
  <r>
    <x v="1247"/>
    <s v="48.0BC1RD-CL-A"/>
    <s v="48.0 BC38mm 3 Rnd Clear J/C(W plt"/>
    <n v="4864"/>
    <n v="4864"/>
    <s v="PC"/>
    <n v="4.8000000000000001E-2"/>
    <n v="0"/>
    <x v="80"/>
    <x v="79"/>
  </r>
  <r>
    <x v="1248"/>
    <s v="30.5PC2RD-CLR-V"/>
    <s v="30.5PCO 1881Rd Clear RPET Mena Bev"/>
    <n v="552240"/>
    <n v="552240"/>
    <s v="PC"/>
    <n v="3.0499999999999999E-2"/>
    <n v="0"/>
    <x v="108"/>
    <x v="107"/>
  </r>
  <r>
    <x v="1249"/>
    <s v="FRG161"/>
    <s v="PET Green Preform For Grinding"/>
    <n v="-178"/>
    <n v="-178"/>
    <s v="KG"/>
    <n v="4.4999999999999998E-2"/>
    <n v="-3955.5555555555557"/>
    <x v="91"/>
    <x v="90"/>
  </r>
  <r>
    <x v="1249"/>
    <s v="45.0PC2RD-IGS-B"/>
    <s v="45.0 PCO 1881 ICI Green J/C(P Plt - SIPA"/>
    <n v="37074"/>
    <n v="39744"/>
    <s v="PC"/>
    <n v="4.4999999999999998E-2"/>
    <n v="0"/>
    <x v="91"/>
    <x v="90"/>
  </r>
  <r>
    <x v="1250"/>
    <s v="FRG119"/>
    <s v="PET Clear Preform For Grinding"/>
    <n v="-409"/>
    <n v="-409"/>
    <s v="KG"/>
    <n v="5.0099999999999999E-2"/>
    <n v="-8163.6726546906193"/>
    <x v="66"/>
    <x v="66"/>
  </r>
  <r>
    <x v="1250"/>
    <s v="50.1PC2RD-CL-B"/>
    <s v="50.1 PCO 1881 Rnd Clear J/C(P plt"/>
    <n v="87668"/>
    <n v="87668"/>
    <s v="PC"/>
    <n v="5.0099999999999999E-2"/>
    <n v="0"/>
    <x v="66"/>
    <x v="66"/>
  </r>
  <r>
    <x v="1251"/>
    <s v="52.0BC1RD-CL-B"/>
    <s v="52.0 BC38mm 3 Rnd Clear J/C(P Plt"/>
    <n v="216000"/>
    <n v="216000"/>
    <s v="PC"/>
    <n v="5.1999999999999998E-2"/>
    <n v="0"/>
    <x v="6"/>
    <x v="6"/>
  </r>
  <r>
    <x v="1252"/>
    <s v="30.5PC2RD-IGR-V"/>
    <s v="30.5PCO 1881 ICI Green RPET Mena Bev"/>
    <n v="562860"/>
    <n v="562860"/>
    <s v="PC"/>
    <n v="3.0499999999999999E-2"/>
    <n v="0"/>
    <x v="109"/>
    <x v="108"/>
  </r>
  <r>
    <x v="1253"/>
    <s v="30.5PC2RD-CLR-V"/>
    <s v="30.5PCO 1881Rd Clear RPET Mena Bev"/>
    <n v="180540"/>
    <n v="180540"/>
    <s v="PC"/>
    <n v="3.0499999999999999E-2"/>
    <n v="0"/>
    <x v="108"/>
    <x v="107"/>
  </r>
  <r>
    <x v="1254"/>
    <s v="36.0BC1RD-CL-G"/>
    <s v="36.0 BC38mm 3 Rnd Clear OJ/C(W plt"/>
    <n v="120384"/>
    <n v="120384"/>
    <s v="PC"/>
    <n v="3.5999999999999997E-2"/>
    <n v="0"/>
    <x v="3"/>
    <x v="3"/>
  </r>
  <r>
    <x v="1254"/>
    <s v="FRG119"/>
    <s v="PET Clear Preform For Grinding"/>
    <n v="-456"/>
    <n v="-456"/>
    <s v="KG"/>
    <n v="3.5999999999999997E-2"/>
    <n v="-12666.666666666668"/>
    <x v="3"/>
    <x v="3"/>
  </r>
  <r>
    <x v="1255"/>
    <s v="30.5PC2RD-IGR-V"/>
    <s v="30.5PCO 1881 ICI Green RPET Mena Bev"/>
    <n v="637200"/>
    <n v="637200"/>
    <s v="PC"/>
    <n v="3.0499999999999999E-2"/>
    <n v="0"/>
    <x v="109"/>
    <x v="108"/>
  </r>
  <r>
    <x v="1256"/>
    <s v="52.0BC1RD-CL-B"/>
    <s v="52.0 BC38mm 3 Rnd Clear J/C(P Plt"/>
    <n v="326400"/>
    <n v="326400"/>
    <s v="PC"/>
    <n v="5.1999999999999998E-2"/>
    <n v="0"/>
    <x v="6"/>
    <x v="6"/>
  </r>
  <r>
    <x v="1257"/>
    <s v="FRG119"/>
    <s v="PET Clear Preform For Grinding"/>
    <n v="-152"/>
    <n v="-152"/>
    <s v="KG"/>
    <n v="3.5999999999999997E-2"/>
    <n v="-4222.2222222222226"/>
    <x v="48"/>
    <x v="48"/>
  </r>
  <r>
    <x v="1257"/>
    <s v="36.0BC1RD-CJ-S"/>
    <s v="36.0 BC 38mm 3 Rnd Clear Steel C-(Aujan)"/>
    <n v="59136"/>
    <n v="59136"/>
    <s v="PC"/>
    <n v="3.5999999999999997E-2"/>
    <n v="0"/>
    <x v="48"/>
    <x v="48"/>
  </r>
  <r>
    <x v="1258"/>
    <s v="26.6TO2RD-CL-B"/>
    <s v="26.6 TO 29/25 Rnd Clear J/C(P Plt"/>
    <n v="624960"/>
    <n v="624960"/>
    <s v="PC"/>
    <n v="2.6600000000000002E-2"/>
    <n v="0"/>
    <x v="26"/>
    <x v="26"/>
  </r>
  <r>
    <x v="1259"/>
    <s v="850W34-SFI-1FFL10"/>
    <s v="Safi 850ml PET WHT BT-F.F Laban-25D V2"/>
    <n v="37800"/>
    <n v="0"/>
    <s v="PC"/>
    <n v="0.85"/>
    <n v="0"/>
    <x v="103"/>
    <x v="102"/>
  </r>
  <r>
    <x v="1260"/>
    <s v="850W34-SFI-1FFL10"/>
    <s v="Safi 850ml PET WHT BT-F.F Laban-25D V2"/>
    <n v="37800"/>
    <n v="37800"/>
    <s v="PC"/>
    <n v="0.85"/>
    <n v="0"/>
    <x v="125"/>
    <x v="124"/>
  </r>
  <r>
    <x v="1261"/>
    <s v="30.5PC2RD-IGR-V"/>
    <s v="30.5PCO 1881 ICI Green RPET Mena Bev"/>
    <n v="244260"/>
    <n v="244260"/>
    <s v="PC"/>
    <n v="3.0499999999999999E-2"/>
    <n v="0"/>
    <x v="10"/>
    <x v="10"/>
  </r>
  <r>
    <x v="1261"/>
    <s v="FRG161"/>
    <s v="PET Green Preform For Grinding"/>
    <n v="-646"/>
    <n v="-646"/>
    <s v="KG"/>
    <n v="3.0499999999999999E-2"/>
    <n v="-21180.327868852459"/>
    <x v="10"/>
    <x v="10"/>
  </r>
  <r>
    <x v="1262"/>
    <s v="30.5PC2RD-IGR-B"/>
    <s v="30.5PCO 1881 ICI Green RPET J/C(PP)"/>
    <n v="138060"/>
    <n v="138060"/>
    <s v="PC"/>
    <n v="3.0499999999999999E-2"/>
    <n v="0"/>
    <x v="109"/>
    <x v="108"/>
  </r>
  <r>
    <x v="1263"/>
    <s v="52.0BC1RD-CL-B"/>
    <s v="52.0 BC38mm 3 Rnd Clear J/C(P Plt"/>
    <n v="249600"/>
    <n v="249600"/>
    <s v="PC"/>
    <n v="5.1999999999999998E-2"/>
    <n v="0"/>
    <x v="6"/>
    <x v="6"/>
  </r>
  <r>
    <x v="1264"/>
    <s v="26.6TO2RD-CL-B"/>
    <s v="26.6 TO 29/25 Rnd Clear J/C(P Plt"/>
    <n v="483840"/>
    <n v="483840"/>
    <s v="PC"/>
    <n v="2.6600000000000002E-2"/>
    <n v="0"/>
    <x v="26"/>
    <x v="26"/>
  </r>
  <r>
    <x v="1265"/>
    <s v="30.5PC2RD-CLR-V"/>
    <s v="30.5PCO 1881Rd Clear RPET Mena Bev"/>
    <n v="361080"/>
    <n v="361080"/>
    <s v="PC"/>
    <n v="3.0499999999999999E-2"/>
    <n v="0"/>
    <x v="108"/>
    <x v="107"/>
  </r>
  <r>
    <x v="1266"/>
    <s v="34.0BC1EC-W2-S"/>
    <s v="34.0 BC38mm 3 ECO Huayan White Steel C"/>
    <n v="24840"/>
    <n v="24840"/>
    <s v="PC"/>
    <n v="3.4000000000000002E-2"/>
    <n v="0"/>
    <x v="50"/>
    <x v="50"/>
  </r>
  <r>
    <x v="1267"/>
    <s v="850W34-SFI-1FFL10"/>
    <s v="Safi 850ml PET WHT BT-F.F Laban-25D V2"/>
    <n v="18900"/>
    <n v="18900"/>
    <s v="PC"/>
    <n v="0.85"/>
    <n v="0"/>
    <x v="125"/>
    <x v="124"/>
  </r>
  <r>
    <x v="1268"/>
    <s v="30.5PC2RD-CLR-V"/>
    <s v="30.5PCO 1881Rd Clear RPET Mena Bev"/>
    <n v="679680"/>
    <n v="679680"/>
    <s v="PC"/>
    <n v="3.0499999999999999E-2"/>
    <n v="0"/>
    <x v="108"/>
    <x v="107"/>
  </r>
  <r>
    <x v="1269"/>
    <s v="52.0BC1RD-CL-B"/>
    <s v="52.0 BC38mm 3 Rnd Clear J/C(P Plt"/>
    <n v="312000"/>
    <n v="312000"/>
    <s v="PC"/>
    <n v="5.1999999999999998E-2"/>
    <n v="0"/>
    <x v="6"/>
    <x v="6"/>
  </r>
  <r>
    <x v="1270"/>
    <s v="30.5PC2RD-CLR-B"/>
    <s v="30.5PCO 1881Rd Clear RPET J/C(PP)"/>
    <n v="138060"/>
    <n v="138060"/>
    <s v="PC"/>
    <n v="3.0499999999999999E-2"/>
    <n v="0"/>
    <x v="108"/>
    <x v="107"/>
  </r>
  <r>
    <x v="1271"/>
    <s v="34.0BC1EC-W2-S"/>
    <s v="34.0 BC38mm 3 ECO Huayan White Steel C"/>
    <n v="9936"/>
    <n v="9936"/>
    <s v="PC"/>
    <n v="3.4000000000000002E-2"/>
    <n v="0"/>
    <x v="50"/>
    <x v="50"/>
  </r>
  <r>
    <x v="1272"/>
    <s v="850W34-SFI-1FFL10"/>
    <s v="Safi 850ml PET WHT BT-F.F Laban-25D V2"/>
    <n v="18900"/>
    <n v="18900"/>
    <s v="PC"/>
    <n v="0.85"/>
    <n v="0"/>
    <x v="125"/>
    <x v="124"/>
  </r>
  <r>
    <x v="1273"/>
    <s v="FRG119"/>
    <s v="PET Clear Preform For Grinding"/>
    <n v="-323"/>
    <n v="-323"/>
    <s v="KG"/>
    <n v="3.0499999999999999E-2"/>
    <n v="-10590.163934426229"/>
    <x v="108"/>
    <x v="107"/>
  </r>
  <r>
    <x v="1273"/>
    <s v="30.5PC2RD-CLR-V"/>
    <s v="30.5PCO 1881Rd Clear RPET Mena Bev"/>
    <n v="191160"/>
    <n v="191160"/>
    <s v="PC"/>
    <n v="3.0499999999999999E-2"/>
    <n v="0"/>
    <x v="108"/>
    <x v="107"/>
  </r>
  <r>
    <x v="1274"/>
    <s v="52.0BC1RD-CL-B"/>
    <s v="52.0 BC38mm 3 Rnd Clear J/C(P Plt"/>
    <n v="120000"/>
    <n v="120000"/>
    <s v="PC"/>
    <n v="5.1999999999999998E-2"/>
    <n v="0"/>
    <x v="6"/>
    <x v="6"/>
  </r>
  <r>
    <x v="1275"/>
    <s v="30.5PC2RD-CLS-A"/>
    <s v="30.5 PCO 1881 Rnd Clear J/C(W plt-SIPA"/>
    <n v="509760"/>
    <n v="509760"/>
    <s v="PC"/>
    <n v="3.0499999999999999E-2"/>
    <n v="0"/>
    <x v="7"/>
    <x v="7"/>
  </r>
  <r>
    <x v="1276"/>
    <s v="45.0PC2RD-IGS-B"/>
    <s v="45.0 PCO 1881 ICI Green J/C(P Plt - SIPA"/>
    <n v="317952"/>
    <n v="317952"/>
    <s v="PC"/>
    <n v="4.4999999999999998E-2"/>
    <n v="0"/>
    <x v="88"/>
    <x v="87"/>
  </r>
  <r>
    <x v="1277"/>
    <s v="30.5PC2RD-IGS-BH2"/>
    <s v="30.5PCO1881 ICI GreenJ/C(PP JOM HDG-SIPA"/>
    <n v="446040"/>
    <n v="446040"/>
    <s v="PC"/>
    <n v="3.0499999999999999E-2"/>
    <n v="0"/>
    <x v="31"/>
    <x v="31"/>
  </r>
  <r>
    <x v="1277"/>
    <s v="FRG161"/>
    <s v="PET Green Preform For Grinding"/>
    <n v="-1269"/>
    <n v="-1269"/>
    <s v="KG"/>
    <n v="3.0499999999999999E-2"/>
    <n v="-41606.557377049183"/>
    <x v="31"/>
    <x v="31"/>
  </r>
  <r>
    <x v="1278"/>
    <s v="850W34-SFI-1FFL10"/>
    <s v="Safi 850ml PET WHT BT-F.F Laban-25D V2"/>
    <n v="49140"/>
    <n v="49140"/>
    <s v="PC"/>
    <n v="0.85"/>
    <n v="0"/>
    <x v="125"/>
    <x v="124"/>
  </r>
  <r>
    <x v="1279"/>
    <s v="14.0PC2RD-CJA-S"/>
    <s v="14.0 PCO 1881 Rnd W/UV Steel C-(Aujan)"/>
    <n v="12192"/>
    <n v="12192"/>
    <s v="PC"/>
    <n v="1.4E-2"/>
    <n v="0"/>
    <x v="126"/>
    <x v="125"/>
  </r>
  <r>
    <x v="1280"/>
    <s v="30.5PC2RD-CLS-A"/>
    <s v="30.5 PCO 1881 Rnd Clear J/C(W plt-SIPA"/>
    <n v="509760"/>
    <n v="509760"/>
    <s v="PC"/>
    <n v="3.0499999999999999E-2"/>
    <n v="0"/>
    <x v="7"/>
    <x v="7"/>
  </r>
  <r>
    <x v="1281"/>
    <s v="45.0PC2RD-IGS-B"/>
    <s v="45.0 PCO 1881 ICI Green J/C(P Plt - SIPA"/>
    <n v="317952"/>
    <n v="317952"/>
    <s v="PC"/>
    <n v="4.4999999999999998E-2"/>
    <n v="0"/>
    <x v="88"/>
    <x v="87"/>
  </r>
  <r>
    <x v="1282"/>
    <s v="14.0PC2RD-CJA-S"/>
    <s v="14.0 PCO 1881 Rnd W/UV Steel C-(Aujan)"/>
    <n v="36576"/>
    <n v="36576"/>
    <s v="PC"/>
    <n v="1.4E-2"/>
    <n v="0"/>
    <x v="126"/>
    <x v="125"/>
  </r>
  <r>
    <x v="1283"/>
    <s v="30.5PC2RD-IGR-V"/>
    <s v="30.5PCO 1881 ICI Green RPET Mena Bev"/>
    <n v="10620"/>
    <n v="10620"/>
    <s v="PC"/>
    <n v="3.0499999999999999E-2"/>
    <n v="0"/>
    <x v="109"/>
    <x v="108"/>
  </r>
  <r>
    <x v="1284"/>
    <s v="FRG161"/>
    <s v="PET Green Preform For Grinding"/>
    <n v="-323"/>
    <n v="-323"/>
    <s v="KG"/>
    <n v="3.0499999999999999E-2"/>
    <n v="-10590.163934426229"/>
    <x v="31"/>
    <x v="31"/>
  </r>
  <r>
    <x v="1284"/>
    <s v="30.5PC2RD-IGS-BH2"/>
    <s v="30.5PCO1881 ICI GreenJ/C(PP JOM HDG-SIPA"/>
    <n v="63720"/>
    <n v="63720"/>
    <s v="PC"/>
    <n v="3.0499999999999999E-2"/>
    <n v="0"/>
    <x v="31"/>
    <x v="31"/>
  </r>
  <r>
    <x v="1285"/>
    <s v="FRG119"/>
    <s v="PET Clear Preform For Grinding"/>
    <n v="-1340"/>
    <n v="-1340"/>
    <s v="KG"/>
    <n v="3.0499999999999999E-2"/>
    <n v="-43934.426229508201"/>
    <x v="7"/>
    <x v="7"/>
  </r>
  <r>
    <x v="1285"/>
    <s v="30.5PC2RD-CLS-A"/>
    <s v="30.5 PCO 1881 Rnd Clear J/C(W plt-SIPA"/>
    <n v="98140"/>
    <n v="98140"/>
    <s v="PC"/>
    <n v="3.0499999999999999E-2"/>
    <n v="0"/>
    <x v="7"/>
    <x v="7"/>
  </r>
  <r>
    <x v="1286"/>
    <s v="52.0BC1RD-CL-B"/>
    <s v="52.0 BC38mm 3 Rnd Clear J/C(P Plt"/>
    <n v="100800"/>
    <n v="100800"/>
    <s v="PC"/>
    <n v="5.1999999999999998E-2"/>
    <n v="0"/>
    <x v="6"/>
    <x v="6"/>
  </r>
  <r>
    <x v="1287"/>
    <s v="FRG161"/>
    <s v="PET Green Preform For Grinding"/>
    <n v="-323"/>
    <n v="-323"/>
    <s v="KG"/>
    <n v="3.0499999999999999E-2"/>
    <n v="-10590.163934426229"/>
    <x v="31"/>
    <x v="31"/>
  </r>
  <r>
    <x v="1287"/>
    <s v="30.5PC2RD-IGS-BH2"/>
    <s v="30.5PCO1881 ICI GreenJ/C(PP JOM HDG-SIPA"/>
    <n v="488520"/>
    <n v="488520"/>
    <s v="PC"/>
    <n v="3.0499999999999999E-2"/>
    <n v="0"/>
    <x v="31"/>
    <x v="31"/>
  </r>
  <r>
    <x v="1288"/>
    <s v="FRG119"/>
    <s v="PET Clear Preform For Grinding"/>
    <n v="-170"/>
    <n v="-170"/>
    <s v="KG"/>
    <n v="1.4E-2"/>
    <n v="-12142.857142857143"/>
    <x v="126"/>
    <x v="125"/>
  </r>
  <r>
    <x v="1288"/>
    <s v="14.0PC2RD-CJA-S"/>
    <s v="14.0 PCO 1881 Rnd W/UV Steel C-(Aujan)"/>
    <n v="48768"/>
    <n v="48768"/>
    <s v="PC"/>
    <n v="1.4E-2"/>
    <n v="0"/>
    <x v="126"/>
    <x v="125"/>
  </r>
  <r>
    <x v="1289"/>
    <s v="52.0BC1RD-CL-B"/>
    <s v="52.0 BC38mm 3 Rnd Clear J/C(P Plt"/>
    <n v="67200"/>
    <n v="67200"/>
    <s v="PC"/>
    <n v="5.1999999999999998E-2"/>
    <n v="0"/>
    <x v="6"/>
    <x v="6"/>
  </r>
  <r>
    <x v="1290"/>
    <s v="11.5TO2RD-CLS-B"/>
    <s v="11.5 29/25 Rnd Clear J/C(PP"/>
    <n v="41760"/>
    <n v="41760"/>
    <s v="PC"/>
    <n v="1.15E-2"/>
    <n v="0"/>
    <x v="127"/>
    <x v="126"/>
  </r>
  <r>
    <x v="1291"/>
    <s v="45.0PC2RD-IGS-B"/>
    <s v="45.0 PCO 1881 ICI Green J/C(P Plt - SIPA"/>
    <n v="291456"/>
    <n v="291456"/>
    <s v="PC"/>
    <n v="4.4999999999999998E-2"/>
    <n v="0"/>
    <x v="88"/>
    <x v="87"/>
  </r>
  <r>
    <x v="1292"/>
    <s v="45.0PC2RD-IGS-V"/>
    <s v="45.0 PCO 1881 Rnd ICI Green Mena Bev"/>
    <n v="26496"/>
    <n v="26496"/>
    <s v="PC"/>
    <n v="4.4999999999999998E-2"/>
    <n v="0"/>
    <x v="88"/>
    <x v="87"/>
  </r>
  <r>
    <x v="1293"/>
    <s v="FRG160"/>
    <s v="PET Blue Preform For Grinding"/>
    <n v="-240"/>
    <n v="-240"/>
    <s v="KG"/>
    <n v="1.15E-2"/>
    <n v="-20869.565217391304"/>
    <x v="42"/>
    <x v="42"/>
  </r>
  <r>
    <x v="1293"/>
    <s v="11.5TO2RD-AJBS-B"/>
    <s v="11.5TO29/25Rnd'ALM'BLUE J/C(PP-SIPA-HDG"/>
    <n v="730800"/>
    <n v="730800"/>
    <s v="PC"/>
    <n v="1.15E-2"/>
    <n v="0"/>
    <x v="42"/>
    <x v="42"/>
  </r>
  <r>
    <x v="1294"/>
    <s v="34.0BC1EC-CL2-S"/>
    <s v="34.0 BC38mm 3 ECO Huayan Clear steel C"/>
    <n v="9936"/>
    <n v="9936"/>
    <s v="PC"/>
    <n v="3.4000000000000002E-2"/>
    <n v="0"/>
    <x v="51"/>
    <x v="51"/>
  </r>
  <r>
    <x v="1295"/>
    <s v="52.0BC1RD-CL-B"/>
    <s v="52.0 BC38mm 3 Rnd Clear J/C(P Plt"/>
    <n v="398400"/>
    <n v="398400"/>
    <s v="PC"/>
    <n v="5.1999999999999998E-2"/>
    <n v="0"/>
    <x v="6"/>
    <x v="6"/>
  </r>
  <r>
    <x v="1296"/>
    <s v="FRG161"/>
    <s v="PET Green Preform For Grinding"/>
    <n v="-323"/>
    <n v="-323"/>
    <s v="KG"/>
    <n v="3.0499999999999999E-2"/>
    <n v="-10590.163934426229"/>
    <x v="31"/>
    <x v="31"/>
  </r>
  <r>
    <x v="1296"/>
    <s v="30.5PC2RD-IGS-BH2"/>
    <s v="30.5PCO1881 ICI GreenJ/C(PP JOM HDG-SIPA"/>
    <n v="690300"/>
    <n v="690300"/>
    <s v="PC"/>
    <n v="3.0499999999999999E-2"/>
    <n v="0"/>
    <x v="31"/>
    <x v="31"/>
  </r>
  <r>
    <x v="1297"/>
    <s v="FRG119"/>
    <s v="PET Clear Preform For Grinding"/>
    <n v="-140"/>
    <n v="-140"/>
    <s v="KG"/>
    <n v="3.4000000000000002E-2"/>
    <n v="-4117.6470588235288"/>
    <x v="51"/>
    <x v="51"/>
  </r>
  <r>
    <x v="1297"/>
    <s v="34.0BC1EC-CL2-S"/>
    <s v="34.0 BC38mm 3 ECO Huayan Clear steel C"/>
    <n v="24840"/>
    <n v="24840"/>
    <s v="PC"/>
    <n v="3.4000000000000002E-2"/>
    <n v="0"/>
    <x v="51"/>
    <x v="51"/>
  </r>
  <r>
    <x v="1298"/>
    <s v="FRG160"/>
    <s v="PET Blue Preform For Grinding"/>
    <n v="-222"/>
    <n v="-222"/>
    <s v="KG"/>
    <n v="7.45E-3"/>
    <n v="-29798.657718120805"/>
    <x v="128"/>
    <x v="127"/>
  </r>
  <r>
    <x v="1298"/>
    <s v="7.45TO2RD-LBS2-A"/>
    <s v="7.45TO 29/25 Rnd L.Blue (≤1ppm) J/C Wplt"/>
    <n v="149400"/>
    <n v="149400"/>
    <s v="PC"/>
    <n v="7.45E-3"/>
    <n v="0"/>
    <x v="128"/>
    <x v="127"/>
  </r>
  <r>
    <x v="1299"/>
    <s v="45.0PC2RD-IGS-B"/>
    <s v="45.0 PCO 1881 ICI Green J/C(P Plt - SIPA"/>
    <n v="317952"/>
    <n v="317952"/>
    <s v="PC"/>
    <n v="4.4999999999999998E-2"/>
    <n v="0"/>
    <x v="88"/>
    <x v="87"/>
  </r>
  <r>
    <x v="1300"/>
    <s v="45.0PC2RD-IGS-B"/>
    <s v="45.0 PCO 1881 ICI Green J/C(P Plt - SIPA"/>
    <n v="99360"/>
    <n v="99360"/>
    <s v="PC"/>
    <n v="4.4999999999999998E-2"/>
    <n v="0"/>
    <x v="88"/>
    <x v="87"/>
  </r>
  <r>
    <x v="1301"/>
    <s v="FRG160"/>
    <s v="PET Blue Preform For Grinding"/>
    <n v="-480"/>
    <n v="-480"/>
    <s v="KG"/>
    <n v="1.15E-2"/>
    <n v="-41739.130434782608"/>
    <x v="42"/>
    <x v="42"/>
  </r>
  <r>
    <x v="1301"/>
    <s v="11.5TO2RD-AJBS-B"/>
    <s v="11.5TO29/25Rnd'ALM'BLUE J/C(PP-SIPA-HDG"/>
    <n v="1002240"/>
    <n v="1002240"/>
    <s v="PC"/>
    <n v="1.15E-2"/>
    <n v="0"/>
    <x v="42"/>
    <x v="42"/>
  </r>
  <r>
    <x v="1302"/>
    <s v="FRG119"/>
    <s v="PET Clear Preform For Grinding"/>
    <n v="-366"/>
    <n v="-366"/>
    <s v="KG"/>
    <n v="5.0999999999999997E-2"/>
    <n v="-7176.4705882352946"/>
    <x v="49"/>
    <x v="49"/>
  </r>
  <r>
    <x v="1302"/>
    <s v="51.0BC1RD-CL-S"/>
    <s v="51.0 BC 38mm 3 Rnd Clear steel c"/>
    <n v="25200"/>
    <n v="25200"/>
    <s v="PC"/>
    <n v="5.0999999999999997E-2"/>
    <n v="0"/>
    <x v="49"/>
    <x v="49"/>
  </r>
  <r>
    <x v="1303"/>
    <s v="FRG119"/>
    <s v="PET Clear Preform For Grinding"/>
    <n v="-135"/>
    <n v="-135"/>
    <s v="KG"/>
    <n v="1.2699999999999999E-2"/>
    <n v="-10629.92125984252"/>
    <x v="58"/>
    <x v="58"/>
  </r>
  <r>
    <x v="1303"/>
    <s v="12.7BC1EC-CL-S"/>
    <s v="12.7 BC38mm 3 ECO Clear Steel c."/>
    <n v="53280"/>
    <n v="53280"/>
    <s v="PC"/>
    <n v="1.2699999999999999E-2"/>
    <n v="0"/>
    <x v="58"/>
    <x v="58"/>
  </r>
  <r>
    <x v="1304"/>
    <s v="12.7BC1EC-W1-S"/>
    <s v="12.7 BC38mm 3 ECO White Steel c."/>
    <n v="10656"/>
    <n v="10656"/>
    <s v="PC"/>
    <n v="1.2699999999999999E-2"/>
    <n v="0"/>
    <x v="106"/>
    <x v="105"/>
  </r>
  <r>
    <x v="1305"/>
    <s v="11.5TO2RD-AJBS-B"/>
    <s v="11.5TO29/25Rnd'ALM'BLUE J/C(PP-SIPA-HDG"/>
    <n v="334080"/>
    <n v="334080"/>
    <s v="PC"/>
    <n v="1.15E-2"/>
    <n v="0"/>
    <x v="42"/>
    <x v="42"/>
  </r>
  <r>
    <x v="1306"/>
    <s v="29.3TO2RD-B1-B"/>
    <s v="29.3 TO 29/25 Rnd Nova Blue J/C(PPYISHN"/>
    <n v="15120"/>
    <n v="15120"/>
    <s v="PC"/>
    <n v="0"/>
    <n v="0"/>
    <x v="129"/>
    <x v="128"/>
  </r>
  <r>
    <x v="1307"/>
    <s v="45.0PC2RD-CL-B"/>
    <s v="45.0 PCO 1881Rd Clear J/C(P Plt"/>
    <n v="6624"/>
    <n v="6624"/>
    <s v="PC"/>
    <n v="0"/>
    <n v="0"/>
    <x v="56"/>
    <x v="56"/>
  </r>
  <r>
    <x v="1308"/>
    <s v="30.5PC2RD-CLS-BH2"/>
    <s v="30.5 PCO 1881Rnd CLR J/C(PP JOM HDG-SIPA"/>
    <n v="10620"/>
    <n v="10620"/>
    <s v="PC"/>
    <n v="0"/>
    <n v="0"/>
    <x v="56"/>
    <x v="56"/>
  </r>
  <r>
    <x v="1309"/>
    <s v="45.0PC2RD-IGS-B"/>
    <s v="45.0 PCO 1881 ICI Green J/C(P Plt - SIPA"/>
    <n v="6624"/>
    <n v="6624"/>
    <s v="PC"/>
    <n v="0"/>
    <n v="0"/>
    <x v="57"/>
    <x v="57"/>
  </r>
  <r>
    <x v="1310"/>
    <s v="50.1PC2RD-IGR-B"/>
    <s v="50.1PCO 1881 ICI Green rPET J/C(P Pt"/>
    <n v="6624"/>
    <n v="6624"/>
    <s v="PC"/>
    <n v="0"/>
    <n v="0"/>
    <x v="57"/>
    <x v="57"/>
  </r>
  <r>
    <x v="1311"/>
    <s v="45.0PC2RD-IGS-B"/>
    <s v="45.0 PCO 1881 ICI Green J/C(P Plt - SIPA"/>
    <n v="635904"/>
    <n v="635904"/>
    <s v="PC"/>
    <n v="4.4999999999999998E-2"/>
    <n v="0"/>
    <x v="88"/>
    <x v="87"/>
  </r>
  <r>
    <x v="1312"/>
    <s v="FRG160"/>
    <s v="PET Blue Preform For Grinding"/>
    <n v="-240"/>
    <n v="-240"/>
    <s v="KG"/>
    <n v="1.15E-2"/>
    <n v="-20869.565217391304"/>
    <x v="42"/>
    <x v="42"/>
  </r>
  <r>
    <x v="1312"/>
    <s v="11.5TO2RD-AJBS-B"/>
    <s v="11.5TO29/25Rnd'ALM'BLUE J/C(PP-SIPA-HDG"/>
    <n v="563760"/>
    <n v="563760"/>
    <s v="PC"/>
    <n v="1.15E-2"/>
    <n v="0"/>
    <x v="42"/>
    <x v="42"/>
  </r>
  <r>
    <x v="1313"/>
    <s v="FRG160"/>
    <s v="PET Blue Preform For Grinding"/>
    <n v="-240"/>
    <n v="-240"/>
    <s v="KG"/>
    <n v="1.15E-2"/>
    <n v="-20869.565217391304"/>
    <x v="42"/>
    <x v="42"/>
  </r>
  <r>
    <x v="1313"/>
    <s v="11.5TO2RD-AJBS-B"/>
    <s v="11.5TO29/25Rnd'ALM'BLUE J/C(PP-SIPA-HDG"/>
    <n v="292320"/>
    <n v="292320"/>
    <s v="PC"/>
    <n v="1.15E-2"/>
    <n v="0"/>
    <x v="42"/>
    <x v="42"/>
  </r>
  <r>
    <x v="1314"/>
    <s v="18.0BC1RD-CL-S"/>
    <s v="18.0 BC38mm 3 Rnd Clear Steel C"/>
    <n v="32832"/>
    <n v="32832"/>
    <s v="PC"/>
    <n v="1.7999999999999999E-2"/>
    <n v="0"/>
    <x v="64"/>
    <x v="64"/>
  </r>
  <r>
    <x v="1315"/>
    <s v="FRG119"/>
    <s v="PET Clear Preform For Grinding"/>
    <n v="-183"/>
    <n v="-183"/>
    <s v="KG"/>
    <n v="5.0999999999999997E-2"/>
    <n v="-3588.2352941176473"/>
    <x v="49"/>
    <x v="49"/>
  </r>
  <r>
    <x v="1315"/>
    <s v="51.0BC1RD-CL-S"/>
    <s v="51.0 BC 38mm 3 Rnd Clear steel c"/>
    <n v="14400"/>
    <n v="14400"/>
    <s v="PC"/>
    <n v="5.0999999999999997E-2"/>
    <n v="0"/>
    <x v="49"/>
    <x v="49"/>
  </r>
  <r>
    <x v="1316"/>
    <s v="30.5PC2RD-IGR-V"/>
    <s v="30.5PCO 1881 ICI Green RPET Mena Bev"/>
    <n v="180540"/>
    <n v="180540"/>
    <s v="PC"/>
    <n v="3.0499999999999999E-2"/>
    <n v="0"/>
    <x v="109"/>
    <x v="108"/>
  </r>
  <r>
    <x v="1317"/>
    <s v="45.0PC2RD-IGS-B"/>
    <s v="45.0 PCO 1881 ICI Green J/C(P Plt - SIPA"/>
    <n v="231840"/>
    <n v="231840"/>
    <s v="PC"/>
    <n v="4.4999999999999998E-2"/>
    <n v="0"/>
    <x v="88"/>
    <x v="87"/>
  </r>
  <r>
    <x v="1318"/>
    <s v="30.5PC2RD-IGS-BH2"/>
    <s v="30.5PCO1881 ICI GreenJ/C(PP JOM HDG-SIPA"/>
    <n v="361080"/>
    <n v="361080"/>
    <s v="PC"/>
    <n v="3.0499999999999999E-2"/>
    <n v="0"/>
    <x v="31"/>
    <x v="31"/>
  </r>
  <r>
    <x v="1319"/>
    <s v="12.5TO2RD-CLS-B"/>
    <s v="12.5 29/25 Rnd Clear J/C(PP"/>
    <n v="2004480"/>
    <n v="2004480"/>
    <s v="PC"/>
    <n v="1.2500000000000001E-2"/>
    <n v="0"/>
    <x v="39"/>
    <x v="39"/>
  </r>
  <r>
    <x v="1320"/>
    <s v="12.5TO2RD-CLS-B"/>
    <s v="12.5 29/25 Rnd Clear J/C(PP"/>
    <n v="20880"/>
    <n v="20880"/>
    <s v="PC"/>
    <n v="1.2500000000000001E-2"/>
    <n v="0"/>
    <x v="39"/>
    <x v="39"/>
  </r>
  <r>
    <x v="1321"/>
    <s v="26.6TO2RD-CL-B"/>
    <s v="26.6 TO 29/25 Rnd Clear J/C(P Plt"/>
    <n v="171360"/>
    <n v="171360"/>
    <s v="PC"/>
    <n v="2.6600000000000002E-2"/>
    <n v="0"/>
    <x v="26"/>
    <x v="26"/>
  </r>
  <r>
    <x v="1322"/>
    <s v="30.5PC2RD-IGS-BH2"/>
    <s v="30.5PCO1881 ICI GreenJ/C(PP JOM HDG-SIPA"/>
    <n v="700920"/>
    <n v="700920"/>
    <s v="PC"/>
    <n v="3.0499999999999999E-2"/>
    <n v="0"/>
    <x v="31"/>
    <x v="31"/>
  </r>
  <r>
    <x v="1323"/>
    <s v="45.0PC2RD-IGS-B"/>
    <s v="45.0 PCO 1881 ICI Green J/C(P Plt - SIPA"/>
    <n v="423936"/>
    <n v="423936"/>
    <s v="PC"/>
    <n v="4.4999999999999998E-2"/>
    <n v="0"/>
    <x v="88"/>
    <x v="87"/>
  </r>
  <r>
    <x v="1324"/>
    <s v="36.0BC1RD-CJ-S"/>
    <s v="36.0 BC 38mm 3 Rnd Clear Steel C-(Aujan)"/>
    <n v="25344"/>
    <n v="25344"/>
    <s v="PC"/>
    <n v="3.5999999999999997E-2"/>
    <n v="0"/>
    <x v="48"/>
    <x v="48"/>
  </r>
  <r>
    <x v="1325"/>
    <s v="26.6TO2RD-CL-B"/>
    <s v="26.6 TO 29/25 Rnd Clear J/C(P Plt"/>
    <n v="493920"/>
    <n v="493920"/>
    <s v="PC"/>
    <n v="2.6600000000000002E-2"/>
    <n v="0"/>
    <x v="26"/>
    <x v="26"/>
  </r>
  <r>
    <x v="1326"/>
    <s v="30.5PC2RD-IGS-BH2"/>
    <s v="30.5PCO1881 ICI GreenJ/C(PP JOM HDG-SIPA"/>
    <n v="658440"/>
    <n v="658440"/>
    <s v="PC"/>
    <n v="3.0499999999999999E-2"/>
    <n v="0"/>
    <x v="31"/>
    <x v="31"/>
  </r>
  <r>
    <x v="1327"/>
    <s v="45.0PC2RD-IGS-B"/>
    <s v="45.0 PCO 1881 ICI Green J/C(P Plt - SIPA"/>
    <n v="417312"/>
    <n v="417312"/>
    <s v="PC"/>
    <n v="4.4999999999999998E-2"/>
    <n v="0"/>
    <x v="88"/>
    <x v="87"/>
  </r>
  <r>
    <x v="1328"/>
    <s v="30.5PC2RD-IGS-BH2"/>
    <s v="30.5PCO1881 ICI GreenJ/C(PP JOM HDG-SIPA"/>
    <n v="148680"/>
    <n v="148680"/>
    <s v="PC"/>
    <n v="3.0499999999999999E-2"/>
    <n v="0"/>
    <x v="31"/>
    <x v="31"/>
  </r>
  <r>
    <x v="1329"/>
    <s v="30.5PC2RD-CLS-BH2"/>
    <s v="30.5 PCO 1881Rnd CLR J/C(PP JOM HDG-SIPA"/>
    <n v="509760"/>
    <n v="509760"/>
    <s v="PC"/>
    <n v="3.0499999999999999E-2"/>
    <n v="0"/>
    <x v="21"/>
    <x v="21"/>
  </r>
  <r>
    <x v="1330"/>
    <s v="30.5PC2RD-IGS-BH2"/>
    <s v="30.5PCO1881 ICI GreenJ/C(PP JOM HDG-SIPA"/>
    <n v="541620"/>
    <n v="541620"/>
    <s v="PC"/>
    <n v="3.0499999999999999E-2"/>
    <n v="0"/>
    <x v="31"/>
    <x v="31"/>
  </r>
  <r>
    <x v="1331"/>
    <s v="26.6TO2RD-CL-B"/>
    <s v="26.6 TO 29/25 Rnd Clear J/C(P Plt"/>
    <n v="413280"/>
    <n v="413280"/>
    <s v="PC"/>
    <n v="2.6600000000000002E-2"/>
    <n v="0"/>
    <x v="26"/>
    <x v="26"/>
  </r>
  <r>
    <x v="1332"/>
    <s v="45.0PC2RD-IGS-B"/>
    <s v="45.0 PCO 1881 ICI Green J/C(P Plt - SIPA"/>
    <n v="86112"/>
    <n v="86112"/>
    <s v="PC"/>
    <n v="4.4999999999999998E-2"/>
    <n v="0"/>
    <x v="88"/>
    <x v="87"/>
  </r>
  <r>
    <x v="1333"/>
    <s v="52.0BC1RD-CL-B"/>
    <s v="52.0 BC38mm 3 Rnd Clear J/C(P Plt"/>
    <n v="264000"/>
    <n v="264000"/>
    <s v="PC"/>
    <n v="5.1999999999999998E-2"/>
    <n v="0"/>
    <x v="6"/>
    <x v="6"/>
  </r>
  <r>
    <x v="1334"/>
    <s v="30.5PC2RD-IGS-BH2"/>
    <s v="30.5PCO1881 ICI GreenJ/C(PP JOM HDG-SIPA"/>
    <n v="669060"/>
    <n v="669060"/>
    <s v="PC"/>
    <n v="3.0499999999999999E-2"/>
    <n v="0"/>
    <x v="31"/>
    <x v="31"/>
  </r>
  <r>
    <x v="1335"/>
    <s v="26.6TO2RD-CL-B"/>
    <s v="26.6 TO 29/25 Rnd Clear J/C(P Plt"/>
    <n v="393120"/>
    <n v="393120"/>
    <s v="PC"/>
    <n v="2.6600000000000002E-2"/>
    <n v="0"/>
    <x v="26"/>
    <x v="26"/>
  </r>
  <r>
    <x v="1336"/>
    <s v="30.5PC2RD-CLS-BH2"/>
    <s v="30.5 PCO 1881Rnd CLR J/C(PP JOM HDG-SIPA"/>
    <n v="807120"/>
    <n v="807120"/>
    <s v="PC"/>
    <n v="3.0499999999999999E-2"/>
    <n v="0"/>
    <x v="21"/>
    <x v="21"/>
  </r>
  <r>
    <x v="1337"/>
    <s v="52.0BC1RD-CL-B"/>
    <s v="52.0 BC38mm 3 Rnd Clear J/C(P Plt"/>
    <n v="384000"/>
    <n v="384000"/>
    <s v="PC"/>
    <n v="5.1999999999999998E-2"/>
    <n v="0"/>
    <x v="10"/>
    <x v="10"/>
  </r>
  <r>
    <x v="1338"/>
    <s v="30.5PC2RD-IGS-BH2"/>
    <s v="30.5PCO1881 ICI GreenJ/C(PP JOM HDG-SIPA"/>
    <n v="584100"/>
    <n v="584100"/>
    <s v="PC"/>
    <n v="3.0499999999999999E-2"/>
    <n v="0"/>
    <x v="31"/>
    <x v="31"/>
  </r>
  <r>
    <x v="1338"/>
    <s v="FRG161"/>
    <s v="PET Green Preform For Grinding"/>
    <n v="-3230"/>
    <n v="-3230"/>
    <s v="KG"/>
    <n v="3.0499999999999999E-2"/>
    <n v="-105901.63934426229"/>
    <x v="31"/>
    <x v="31"/>
  </r>
  <r>
    <x v="1339"/>
    <s v="30.5PC2RD-CLS-BH2"/>
    <s v="30.5 PCO 1881Rnd CLR J/C(PP JOM HDG-SIPA"/>
    <n v="870840"/>
    <n v="870840"/>
    <s v="PC"/>
    <n v="3.0499999999999999E-2"/>
    <n v="0"/>
    <x v="21"/>
    <x v="21"/>
  </r>
  <r>
    <x v="1340"/>
    <s v="52.0BC1RD-CL-B"/>
    <s v="52.0 BC38mm 3 Rnd Clear J/C(P Plt"/>
    <n v="374400"/>
    <n v="374400"/>
    <s v="PC"/>
    <n v="5.1999999999999998E-2"/>
    <n v="0"/>
    <x v="6"/>
    <x v="6"/>
  </r>
  <r>
    <x v="1341"/>
    <s v="45.0PC2RD-IGS-B"/>
    <s v="45.0 PCO 1881 ICI Green J/C(P Plt - SIPA"/>
    <n v="635904"/>
    <n v="635904"/>
    <s v="PC"/>
    <n v="4.4999999999999998E-2"/>
    <n v="0"/>
    <x v="91"/>
    <x v="90"/>
  </r>
  <r>
    <x v="1342"/>
    <s v="52.0BC1RD-CL-B"/>
    <s v="52.0 BC38mm 3 Rnd Clear J/C(P Plt"/>
    <n v="292800"/>
    <n v="292800"/>
    <s v="PC"/>
    <n v="5.1999999999999998E-2"/>
    <n v="0"/>
    <x v="6"/>
    <x v="6"/>
  </r>
  <r>
    <x v="1343"/>
    <s v="45.0PC2RD-IGS-V"/>
    <s v="45.0 PCO 1881 Rnd ICI Green Mena Bev"/>
    <n v="423936"/>
    <n v="423936"/>
    <s v="PC"/>
    <n v="4.4999999999999998E-2"/>
    <n v="0"/>
    <x v="91"/>
    <x v="90"/>
  </r>
  <r>
    <x v="1344"/>
    <s v="45.0PC2RD-IGS-B"/>
    <s v="45.0 PCO 1881 ICI Green J/C(P Plt - SIPA"/>
    <n v="6624"/>
    <n v="6624"/>
    <s v="PC"/>
    <n v="4.4999999999999998E-2"/>
    <n v="0"/>
    <x v="88"/>
    <x v="87"/>
  </r>
  <r>
    <x v="1345"/>
    <s v="45.0PC2RD-IGS-B"/>
    <s v="45.0 PCO 1881 ICI Green J/C(P Plt - SIPA"/>
    <n v="6624"/>
    <n v="6624"/>
    <s v="PC"/>
    <n v="4.4999999999999998E-2"/>
    <n v="0"/>
    <x v="88"/>
    <x v="87"/>
  </r>
  <r>
    <x v="1346"/>
    <s v="30.5PC2RD-CLS-BH2"/>
    <s v="30.5 PCO 1881Rnd CLR J/C(PP JOM HDG-SIPA"/>
    <n v="21240"/>
    <n v="21240"/>
    <s v="PC"/>
    <n v="3.0499999999999999E-2"/>
    <n v="0"/>
    <x v="21"/>
    <x v="21"/>
  </r>
  <r>
    <x v="1347"/>
    <s v="30.5PC2RD-IGS-BH2"/>
    <s v="30.5PCO1881 ICI GreenJ/C(PP JOM HDG-SIPA"/>
    <n v="350460"/>
    <n v="350460"/>
    <s v="PC"/>
    <n v="3.0499999999999999E-2"/>
    <n v="0"/>
    <x v="31"/>
    <x v="31"/>
  </r>
  <r>
    <x v="1348"/>
    <s v="14.0PC2RD-IG-A"/>
    <s v="14.0 PCO 1881 Rnd ICI Green J/C(W Plt)"/>
    <n v="61920"/>
    <n v="61920"/>
    <s v="PC"/>
    <n v="1.4E-2"/>
    <n v="0"/>
    <x v="47"/>
    <x v="47"/>
  </r>
  <r>
    <x v="1349"/>
    <s v="45.0PC2RD-IGS-V"/>
    <s v="45.0 PCO 1881 Rnd ICI Green Mena Bev"/>
    <n v="457056"/>
    <n v="457056"/>
    <s v="PC"/>
    <n v="4.4999999999999998E-2"/>
    <n v="0"/>
    <x v="91"/>
    <x v="90"/>
  </r>
  <r>
    <x v="1350"/>
    <s v="FRG161"/>
    <s v="PET Green Preform For Grinding"/>
    <n v="-288"/>
    <n v="-288"/>
    <s v="KG"/>
    <n v="1.4E-2"/>
    <n v="-20571.428571428572"/>
    <x v="47"/>
    <x v="47"/>
  </r>
  <r>
    <x v="1350"/>
    <s v="14.0PC2RD-IG-A"/>
    <s v="14.0 PCO 1881 Rnd ICI Green J/C(W Plt)"/>
    <n v="123840"/>
    <n v="123840"/>
    <s v="PC"/>
    <n v="1.4E-2"/>
    <n v="0"/>
    <x v="47"/>
    <x v="47"/>
  </r>
  <r>
    <x v="1351"/>
    <s v="30.5PC2RD-IGS-BH2"/>
    <s v="30.5PCO1881 ICI GreenJ/C(PP JOM HDG-SIPA"/>
    <n v="1019520"/>
    <n v="1019520"/>
    <s v="PC"/>
    <n v="3.0499999999999999E-2"/>
    <n v="0"/>
    <x v="31"/>
    <x v="31"/>
  </r>
  <r>
    <x v="1352"/>
    <s v="FRG119"/>
    <s v="PET Clear Preform For Grinding"/>
    <n v="-140"/>
    <n v="-140"/>
    <s v="KG"/>
    <n v="5.0999999999999997E-2"/>
    <n v="-2745.0980392156866"/>
    <x v="49"/>
    <x v="49"/>
  </r>
  <r>
    <x v="1352"/>
    <s v="51.0BC1RD-CL-S"/>
    <s v="51.0 BC 38mm 3 Rnd Clear steel c"/>
    <n v="54000"/>
    <n v="54000"/>
    <s v="PC"/>
    <n v="5.0999999999999997E-2"/>
    <n v="0"/>
    <x v="49"/>
    <x v="49"/>
  </r>
  <r>
    <x v="1353"/>
    <s v="45.0PC2RD-IGS-V"/>
    <s v="45.0 PCO 1881 Rnd ICI Green Mena Bev"/>
    <n v="72864"/>
    <n v="72864"/>
    <s v="PC"/>
    <n v="4.4999999999999998E-2"/>
    <n v="0"/>
    <x v="91"/>
    <x v="90"/>
  </r>
  <r>
    <x v="1354"/>
    <s v="7.45TO2RD-LBS-A"/>
    <s v="7.45TO LW 29/25 L.Blue J/C(WP-SIPA"/>
    <n v="1434240"/>
    <n v="1434240"/>
    <s v="PC"/>
    <n v="7.45E-3"/>
    <n v="0"/>
    <x v="77"/>
    <x v="76"/>
  </r>
  <r>
    <x v="1355"/>
    <s v="45.0PC2RD-IGS-B"/>
    <s v="45.0 PCO 1881 ICI Green J/C(P Plt - SIPA"/>
    <n v="390816"/>
    <n v="390816"/>
    <s v="PC"/>
    <n v="4.4999999999999998E-2"/>
    <n v="0"/>
    <x v="88"/>
    <x v="87"/>
  </r>
  <r>
    <x v="1356"/>
    <s v="30.5PC2RD-CLS-BH2"/>
    <s v="30.5 PCO 1881Rnd CLR J/C(PP JOM HDG-SIPA"/>
    <n v="849600"/>
    <n v="849600"/>
    <s v="PC"/>
    <n v="3.0499999999999999E-2"/>
    <n v="0"/>
    <x v="21"/>
    <x v="21"/>
  </r>
  <r>
    <x v="1357"/>
    <s v="FRG160"/>
    <s v="PET Blue Preform For Grinding"/>
    <n v="-239"/>
    <n v="-239"/>
    <s v="KG"/>
    <n v="9.4000000000000004E-3"/>
    <n v="-25425.531914893618"/>
    <x v="123"/>
    <x v="122"/>
  </r>
  <r>
    <x v="1357"/>
    <s v="9.4TO2RD-BS10-B"/>
    <s v="9.4 TO29/25Rnd NovaBlue-PET&quot;Reliance&quot;"/>
    <n v="355320"/>
    <n v="355320"/>
    <s v="PC"/>
    <n v="9.4000000000000004E-3"/>
    <n v="0"/>
    <x v="123"/>
    <x v="122"/>
  </r>
  <r>
    <x v="1358"/>
    <s v="9.4TO2RD-BS6-B"/>
    <s v="9.4TO29/25 Rd Nova Blue-PET&quot;ST-BC211"/>
    <n v="76140"/>
    <n v="76140"/>
    <s v="PC"/>
    <n v="9.4000000000000004E-3"/>
    <n v="0"/>
    <x v="123"/>
    <x v="122"/>
  </r>
  <r>
    <x v="1359"/>
    <s v="FRG160"/>
    <s v="PET Blue Preform For Grinding"/>
    <n v="-536"/>
    <n v="-536"/>
    <s v="KG"/>
    <n v="2.6600000000000002E-2"/>
    <n v="-20150.375939849622"/>
    <x v="115"/>
    <x v="114"/>
  </r>
  <r>
    <x v="1359"/>
    <s v="26.6TO2RD-BS10-B"/>
    <s v="26.6TO29/25Rnd Nova Blue &quot;Reliance&quot;"/>
    <n v="171360"/>
    <n v="171360"/>
    <s v="PC"/>
    <n v="2.6600000000000002E-2"/>
    <n v="0"/>
    <x v="115"/>
    <x v="114"/>
  </r>
  <r>
    <x v="1360"/>
    <s v="FRG119"/>
    <s v="PET Clear Preform For Grinding"/>
    <n v="-183"/>
    <n v="-183"/>
    <s v="KG"/>
    <n v="5.0999999999999997E-2"/>
    <n v="-3588.2352941176473"/>
    <x v="49"/>
    <x v="49"/>
  </r>
  <r>
    <x v="1360"/>
    <s v="51.0BC1RD-CL-S"/>
    <s v="51.0 BC 38mm 3 Rnd Clear steel c"/>
    <n v="18000"/>
    <n v="18000"/>
    <s v="PC"/>
    <n v="5.0999999999999997E-2"/>
    <n v="0"/>
    <x v="49"/>
    <x v="49"/>
  </r>
  <r>
    <x v="1361"/>
    <s v="38.0BC1RS-CL-A"/>
    <s v="38.0 BC 38mm short 112.7mm Clear J/C(Wpt"/>
    <n v="19008"/>
    <n v="19008"/>
    <s v="PC"/>
    <n v="3.7999999999999999E-2"/>
    <n v="0"/>
    <x v="130"/>
    <x v="129"/>
  </r>
  <r>
    <x v="1362"/>
    <s v="36.0BC1RD-CL-G"/>
    <s v="36.0 BC38mm 3 Rnd Clear OJ/C(W plt"/>
    <n v="6336"/>
    <n v="6336"/>
    <s v="PC"/>
    <n v="3.5999999999999997E-2"/>
    <n v="0"/>
    <x v="131"/>
    <x v="130"/>
  </r>
  <r>
    <x v="1363"/>
    <s v="850W34-SFI-1FFL10"/>
    <s v="Safi 850ml PET WHT BT-F.F Laban-25D V2"/>
    <n v="7560"/>
    <n v="7560"/>
    <s v="PC"/>
    <n v="0.85"/>
    <n v="0"/>
    <x v="125"/>
    <x v="124"/>
  </r>
  <r>
    <x v="1364"/>
    <s v="45.0PC2RD-IGS-B"/>
    <s v="45.0 PCO 1881 ICI Green J/C(P Plt - SIPA"/>
    <n v="563040"/>
    <n v="563040"/>
    <s v="PC"/>
    <n v="4.4999999999999998E-2"/>
    <n v="0"/>
    <x v="88"/>
    <x v="87"/>
  </r>
  <r>
    <x v="1365"/>
    <s v="FRG160"/>
    <s v="PET Blue Preform For Grinding"/>
    <n v="-522"/>
    <n v="-522"/>
    <s v="KG"/>
    <n v="1.2500000000000001E-2"/>
    <n v="-41760"/>
    <x v="117"/>
    <x v="116"/>
  </r>
  <r>
    <x v="1365"/>
    <s v="12.5TO2RD-BS10-B"/>
    <s v="12.5TO29/25Rnd Nova Blue-PET&quot;Reliance&quot;"/>
    <n v="438480"/>
    <n v="438480"/>
    <s v="PC"/>
    <n v="1.2500000000000001E-2"/>
    <n v="0"/>
    <x v="117"/>
    <x v="116"/>
  </r>
  <r>
    <x v="1366"/>
    <s v="30.5PC2RD-CLS-BH2"/>
    <s v="30.5 PCO 1881Rnd CLR J/C(PP JOM HDG-SIPA"/>
    <n v="509760"/>
    <n v="509760"/>
    <s v="PC"/>
    <n v="3.0499999999999999E-2"/>
    <n v="0"/>
    <x v="21"/>
    <x v="21"/>
  </r>
  <r>
    <x v="1367"/>
    <s v="FRG119"/>
    <s v="PET Clear Preform For Grinding"/>
    <n v="-268"/>
    <n v="-268"/>
    <s v="KG"/>
    <n v="2.6600000000000002E-2"/>
    <n v="-10075.187969924811"/>
    <x v="26"/>
    <x v="26"/>
  </r>
  <r>
    <x v="1367"/>
    <s v="26.6TO2RD-CL-B"/>
    <s v="26.6 TO 29/25 Rnd Clear J/C(P Plt"/>
    <n v="221760"/>
    <n v="221760"/>
    <s v="PC"/>
    <n v="2.6600000000000002E-2"/>
    <n v="0"/>
    <x v="26"/>
    <x v="26"/>
  </r>
  <r>
    <x v="1368"/>
    <s v="45.0PC2RD-IGS-V"/>
    <s v="45.0 PCO 1881 Rnd ICI Green Mena Bev"/>
    <n v="357696"/>
    <n v="357696"/>
    <s v="PC"/>
    <n v="4.4999999999999998E-2"/>
    <n v="0"/>
    <x v="88"/>
    <x v="87"/>
  </r>
  <r>
    <x v="1369"/>
    <s v="26.6TO2RD-CL-B"/>
    <s v="26.6 TO 29/25 Rnd Clear J/C(P Plt"/>
    <n v="544320"/>
    <n v="544320"/>
    <s v="PC"/>
    <n v="2.6600000000000002E-2"/>
    <n v="0"/>
    <x v="26"/>
    <x v="26"/>
  </r>
  <r>
    <x v="1370"/>
    <s v="FRG119"/>
    <s v="PET Clear Preform For Grinding"/>
    <n v="-534"/>
    <n v="-534"/>
    <s v="KG"/>
    <n v="2.6600000000000002E-2"/>
    <n v="-20075.187969924809"/>
    <x v="26"/>
    <x v="26"/>
  </r>
  <r>
    <x v="1370"/>
    <s v="26.6TO2RD-CL-B"/>
    <s v="26.6 TO 29/25 Rnd Clear J/C(P Plt"/>
    <n v="321567"/>
    <n v="321567"/>
    <s v="PC"/>
    <n v="2.6600000000000002E-2"/>
    <n v="0"/>
    <x v="26"/>
    <x v="26"/>
  </r>
  <r>
    <x v="1371"/>
    <s v="FRG119"/>
    <s v="PET Clear Preform For Grinding"/>
    <n v="-804"/>
    <n v="-804"/>
    <s v="KG"/>
    <n v="2.6600000000000002E-2"/>
    <n v="-30225.563909774435"/>
    <x v="26"/>
    <x v="26"/>
  </r>
  <r>
    <x v="1371"/>
    <s v="26.6TO2RD-CL-A"/>
    <s v="26.6 29/25 Rnd Clear J/C(W Plt"/>
    <n v="110880"/>
    <n v="80640"/>
    <s v="PC"/>
    <n v="2.6600000000000002E-2"/>
    <n v="0"/>
    <x v="26"/>
    <x v="26"/>
  </r>
  <r>
    <x v="1372"/>
    <s v="45.0PC2RD-IGS-V"/>
    <s v="45.0 PCO 1881 Rnd ICI Green Mena Bev"/>
    <n v="258336"/>
    <n v="258336"/>
    <s v="PC"/>
    <n v="4.4999999999999998E-2"/>
    <n v="0"/>
    <x v="88"/>
    <x v="87"/>
  </r>
  <r>
    <x v="1373"/>
    <s v="45.0PC2RD-IGS-V"/>
    <s v="45.0 PCO 1881 Rnd ICI Green Mena Bev"/>
    <n v="264960"/>
    <n v="264960"/>
    <s v="PC"/>
    <n v="4.4999999999999998E-2"/>
    <n v="0"/>
    <x v="88"/>
    <x v="87"/>
  </r>
  <r>
    <x v="1374"/>
    <s v="30.5PC2RD-IGR-V"/>
    <s v="30.5PCO 1881 ICI Green RPET Mena Bev"/>
    <n v="509760"/>
    <n v="509760"/>
    <s v="PC"/>
    <n v="3.0499999999999999E-2"/>
    <n v="0"/>
    <x v="109"/>
    <x v="108"/>
  </r>
  <r>
    <x v="1375"/>
    <s v="FRG119"/>
    <s v="PET Clear Preform For Grinding"/>
    <n v="-63"/>
    <n v="-63"/>
    <s v="KG"/>
    <n v="1.2699999999999999E-2"/>
    <n v="-4960.6299212598424"/>
    <x v="58"/>
    <x v="58"/>
  </r>
  <r>
    <x v="1375"/>
    <s v="12.7BC1EC-CL-S"/>
    <s v="12.7 BC38mm 3 ECO Clear Steel c."/>
    <n v="63936"/>
    <n v="63936"/>
    <s v="PC"/>
    <n v="1.2699999999999999E-2"/>
    <n v="0"/>
    <x v="58"/>
    <x v="58"/>
  </r>
  <r>
    <x v="1376"/>
    <s v="FRG160"/>
    <s v="PET Blue Preform For Grinding"/>
    <n v="-252"/>
    <n v="-252"/>
    <s v="KG"/>
    <n v="2.6600000000000002E-2"/>
    <n v="-9473.6842105263149"/>
    <x v="62"/>
    <x v="62"/>
  </r>
  <r>
    <x v="1376"/>
    <s v="26.6TO2RD-LB-A"/>
    <s v="26.6 29/25 Rnd Light Blue J/C(W Plt"/>
    <n v="40320"/>
    <n v="40320"/>
    <s v="PC"/>
    <n v="2.6600000000000002E-2"/>
    <n v="0"/>
    <x v="62"/>
    <x v="62"/>
  </r>
  <r>
    <x v="1377"/>
    <s v="45.0PC2RD-IGS-B"/>
    <s v="45.0 PCO 1881 ICI Green J/C(P Plt - SIPA"/>
    <n v="46368"/>
    <n v="46368"/>
    <s v="PC"/>
    <n v="4.4999999999999998E-2"/>
    <n v="0"/>
    <x v="88"/>
    <x v="87"/>
  </r>
  <r>
    <x v="1378"/>
    <s v="30.5PC2RD-IGR-V"/>
    <s v="30.5PCO 1881 ICI Green RPET Mena Bev"/>
    <n v="509760"/>
    <n v="509760"/>
    <s v="PC"/>
    <n v="3.0499999999999999E-2"/>
    <n v="0"/>
    <x v="109"/>
    <x v="108"/>
  </r>
  <r>
    <x v="1379"/>
    <s v="52.0BC1RD-CL-B"/>
    <s v="52.0 BC38mm 3 Rnd Clear J/C(P Plt"/>
    <n v="249600"/>
    <n v="249600"/>
    <s v="PC"/>
    <n v="5.1999999999999998E-2"/>
    <n v="0"/>
    <x v="6"/>
    <x v="6"/>
  </r>
  <r>
    <x v="1380"/>
    <s v="30.5PC2RD-IGR-V"/>
    <s v="30.5PCO 1881 ICI Green RPET Mena Bev"/>
    <n v="1019520"/>
    <n v="1019520"/>
    <s v="PC"/>
    <n v="3.0499999999999999E-2"/>
    <n v="0"/>
    <x v="109"/>
    <x v="108"/>
  </r>
  <r>
    <x v="1381"/>
    <s v="52.0BC1RD-CL-B"/>
    <s v="52.0 BC38mm 3 Rnd Clear J/C(P Plt"/>
    <n v="549600"/>
    <n v="549600"/>
    <s v="PC"/>
    <n v="5.1999999999999998E-2"/>
    <n v="0"/>
    <x v="6"/>
    <x v="6"/>
  </r>
  <r>
    <x v="1382"/>
    <s v="52.0BC1RD-CL-B"/>
    <s v="52.0 BC38mm 3 Rnd Clear J/C(P Plt"/>
    <n v="549600"/>
    <n v="549600"/>
    <s v="PC"/>
    <n v="5.1999999999999998E-2"/>
    <n v="0"/>
    <x v="6"/>
    <x v="6"/>
  </r>
  <r>
    <x v="1383"/>
    <s v="52.0BC1RD-CL-B"/>
    <s v="52.0 BC38mm 3 Rnd Clear J/C(P Plt"/>
    <n v="4800"/>
    <n v="0"/>
    <s v="PC"/>
    <n v="5.1999999999999998E-2"/>
    <n v="0"/>
    <x v="132"/>
    <x v="131"/>
  </r>
  <r>
    <x v="1384"/>
    <s v="30.5PC2RD-IGS-BH2"/>
    <s v="30.5PCO1881 ICI GreenJ/C(PP JOM HDG-SIPA"/>
    <n v="9500"/>
    <n v="9500"/>
    <s v="PC"/>
    <n v="0"/>
    <n v="0"/>
    <x v="57"/>
    <x v="57"/>
  </r>
  <r>
    <x v="1385"/>
    <s v="52.0BC1RD-CL-B"/>
    <s v="52.0 BC38mm 3 Rnd Clear J/C(P Plt"/>
    <n v="748800"/>
    <n v="748800"/>
    <s v="PC"/>
    <n v="5.1999999999999998E-2"/>
    <n v="0"/>
    <x v="132"/>
    <x v="131"/>
  </r>
  <r>
    <x v="1386"/>
    <s v="36.0BC1RD-CJ-S"/>
    <s v="36.0 BC 38mm 3 Rnd Clear Steel C-(Aujan)"/>
    <n v="92928"/>
    <n v="92928"/>
    <s v="PC"/>
    <n v="3.5999999999999997E-2"/>
    <n v="0"/>
    <x v="48"/>
    <x v="48"/>
  </r>
  <r>
    <x v="1386"/>
    <s v="FRG119"/>
    <s v="PET Clear Preform For Grinding"/>
    <n v="-152"/>
    <n v="-152"/>
    <s v="KG"/>
    <n v="3.5999999999999997E-2"/>
    <n v="-4222.2222222222226"/>
    <x v="48"/>
    <x v="48"/>
  </r>
  <r>
    <x v="1387"/>
    <s v="30.5PC2RD-IGR-V"/>
    <s v="30.5PCO 1881 ICI Green RPET Mena Bev"/>
    <n v="509760"/>
    <n v="509760"/>
    <s v="PC"/>
    <n v="3.0499999999999999E-2"/>
    <n v="0"/>
    <x v="109"/>
    <x v="108"/>
  </r>
  <r>
    <x v="1388"/>
    <s v="30.5PC2RD-IGR-V"/>
    <s v="30.5PCO 1881 ICI Green RPET Mena Bev"/>
    <n v="509760"/>
    <n v="509760"/>
    <s v="PC"/>
    <n v="3.0499999999999999E-2"/>
    <n v="0"/>
    <x v="109"/>
    <x v="108"/>
  </r>
  <r>
    <x v="1389"/>
    <s v="45.0PC2RD-CLS-B"/>
    <s v="45.0 PCO 1881Rd Clear J/C(P Plt - SIPA"/>
    <n v="317952"/>
    <n v="317952"/>
    <s v="PC"/>
    <n v="4.4999999999999998E-2"/>
    <n v="0"/>
    <x v="79"/>
    <x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BDE8E-2B16-439B-9E03-71CCFE09F9E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94" firstHeaderRow="1" firstDataRow="1" firstDataCol="3"/>
  <pivotFields count="10">
    <pivotField axis="axisRow" compact="0" outline="0" showAll="0" defaultSubtotal="0">
      <items count="13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3">
        <item x="53"/>
        <item x="67"/>
        <item x="23"/>
        <item x="42"/>
        <item x="40"/>
        <item x="127"/>
        <item x="65"/>
        <item x="102"/>
        <item x="98"/>
        <item x="117"/>
        <item x="78"/>
        <item x="69"/>
        <item x="39"/>
        <item x="90"/>
        <item x="37"/>
        <item x="87"/>
        <item x="58"/>
        <item x="106"/>
        <item x="46"/>
        <item x="84"/>
        <item x="119"/>
        <item x="120"/>
        <item x="118"/>
        <item x="107"/>
        <item x="32"/>
        <item x="55"/>
        <item x="52"/>
        <item x="72"/>
        <item x="126"/>
        <item x="25"/>
        <item x="47"/>
        <item x="18"/>
        <item x="14"/>
        <item x="89"/>
        <item x="73"/>
        <item x="44"/>
        <item x="54"/>
        <item x="122"/>
        <item x="121"/>
        <item x="97"/>
        <item x="64"/>
        <item x="76"/>
        <item x="19"/>
        <item x="9"/>
        <item x="20"/>
        <item x="28"/>
        <item x="63"/>
        <item x="85"/>
        <item x="115"/>
        <item x="99"/>
        <item x="100"/>
        <item x="26"/>
        <item x="17"/>
        <item x="62"/>
        <item x="61"/>
        <item x="36"/>
        <item x="11"/>
        <item x="104"/>
        <item x="1"/>
        <item x="114"/>
        <item x="108"/>
        <item x="7"/>
        <item x="21"/>
        <item x="71"/>
        <item x="116"/>
        <item x="109"/>
        <item x="30"/>
        <item x="82"/>
        <item x="31"/>
        <item x="81"/>
        <item x="51"/>
        <item x="50"/>
        <item x="48"/>
        <item x="131"/>
        <item x="3"/>
        <item x="130"/>
        <item x="16"/>
        <item x="113"/>
        <item x="110"/>
        <item x="79"/>
        <item x="86"/>
        <item x="13"/>
        <item x="29"/>
        <item x="0"/>
        <item x="112"/>
        <item x="111"/>
        <item x="88"/>
        <item x="91"/>
        <item x="34"/>
        <item x="43"/>
        <item x="94"/>
        <item x="95"/>
        <item x="80"/>
        <item x="93"/>
        <item x="66"/>
        <item x="45"/>
        <item x="68"/>
        <item x="96"/>
        <item x="49"/>
        <item x="12"/>
        <item x="6"/>
        <item x="15"/>
        <item x="132"/>
        <item x="124"/>
        <item x="35"/>
        <item x="101"/>
        <item x="83"/>
        <item x="75"/>
        <item x="77"/>
        <item x="128"/>
        <item x="24"/>
        <item x="41"/>
        <item x="22"/>
        <item x="38"/>
        <item x="59"/>
        <item x="8"/>
        <item x="27"/>
        <item x="5"/>
        <item x="74"/>
        <item x="103"/>
        <item x="125"/>
        <item x="92"/>
        <item x="123"/>
        <item x="105"/>
        <item x="60"/>
        <item x="70"/>
        <item x="33"/>
        <item x="4"/>
        <item x="2"/>
        <item x="56"/>
        <item x="129"/>
        <item x="5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3">
        <item x="53"/>
        <item x="23"/>
        <item x="126"/>
        <item x="65"/>
        <item x="40"/>
        <item x="101"/>
        <item x="42"/>
        <item x="77"/>
        <item x="89"/>
        <item x="39"/>
        <item x="68"/>
        <item x="86"/>
        <item x="37"/>
        <item x="97"/>
        <item x="116"/>
        <item x="58"/>
        <item x="105"/>
        <item x="46"/>
        <item x="83"/>
        <item x="118"/>
        <item x="119"/>
        <item x="117"/>
        <item x="106"/>
        <item x="55"/>
        <item x="32"/>
        <item x="25"/>
        <item x="47"/>
        <item x="125"/>
        <item x="14"/>
        <item x="88"/>
        <item x="18"/>
        <item x="44"/>
        <item x="54"/>
        <item x="120"/>
        <item x="121"/>
        <item x="96"/>
        <item x="64"/>
        <item x="75"/>
        <item x="20"/>
        <item x="9"/>
        <item x="19"/>
        <item x="28"/>
        <item x="99"/>
        <item x="62"/>
        <item x="26"/>
        <item x="17"/>
        <item x="84"/>
        <item x="114"/>
        <item x="98"/>
        <item x="63"/>
        <item x="61"/>
        <item x="36"/>
        <item x="11"/>
        <item x="1"/>
        <item x="103"/>
        <item x="7"/>
        <item x="70"/>
        <item x="30"/>
        <item x="21"/>
        <item x="115"/>
        <item x="108"/>
        <item x="113"/>
        <item x="107"/>
        <item x="81"/>
        <item x="31"/>
        <item x="80"/>
        <item x="51"/>
        <item x="50"/>
        <item x="48"/>
        <item x="130"/>
        <item x="3"/>
        <item x="129"/>
        <item x="43"/>
        <item x="0"/>
        <item x="87"/>
        <item x="34"/>
        <item x="85"/>
        <item x="13"/>
        <item x="29"/>
        <item x="90"/>
        <item x="16"/>
        <item x="78"/>
        <item x="112"/>
        <item x="109"/>
        <item x="111"/>
        <item x="110"/>
        <item x="93"/>
        <item x="94"/>
        <item x="79"/>
        <item x="66"/>
        <item x="92"/>
        <item x="95"/>
        <item x="67"/>
        <item x="45"/>
        <item x="49"/>
        <item x="12"/>
        <item x="15"/>
        <item x="6"/>
        <item x="123"/>
        <item x="131"/>
        <item x="35"/>
        <item x="127"/>
        <item x="76"/>
        <item x="24"/>
        <item x="74"/>
        <item x="22"/>
        <item x="38"/>
        <item x="59"/>
        <item x="41"/>
        <item x="8"/>
        <item x="5"/>
        <item x="27"/>
        <item x="60"/>
        <item x="104"/>
        <item x="4"/>
        <item x="91"/>
        <item x="122"/>
        <item x="33"/>
        <item x="69"/>
        <item x="2"/>
        <item x="128"/>
        <item x="82"/>
        <item x="56"/>
        <item x="57"/>
        <item x="100"/>
        <item x="52"/>
        <item x="71"/>
        <item x="72"/>
        <item x="73"/>
        <item x="102"/>
        <item x="12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8"/>
    <field x="9"/>
  </rowFields>
  <rowItems count="1391">
    <i>
      <x/>
      <x v="83"/>
      <x v="73"/>
    </i>
    <i>
      <x v="1"/>
      <x v="58"/>
      <x v="53"/>
    </i>
    <i>
      <x v="2"/>
      <x v="128"/>
      <x v="119"/>
    </i>
    <i>
      <x v="3"/>
      <x v="74"/>
      <x v="70"/>
    </i>
    <i>
      <x v="4"/>
      <x v="127"/>
      <x v="114"/>
    </i>
    <i>
      <x v="5"/>
      <x v="117"/>
      <x v="110"/>
    </i>
    <i>
      <x v="6"/>
      <x v="100"/>
      <x v="97"/>
    </i>
    <i>
      <x v="7"/>
      <x v="61"/>
      <x v="55"/>
    </i>
    <i>
      <x v="8"/>
      <x v="115"/>
      <x v="109"/>
    </i>
    <i>
      <x v="9"/>
      <x v="43"/>
      <x v="39"/>
    </i>
    <i>
      <x v="10"/>
      <x v="83"/>
      <x v="73"/>
    </i>
    <i>
      <x v="11"/>
      <x v="132"/>
      <x v="131"/>
    </i>
    <i>
      <x v="12"/>
      <x v="83"/>
      <x v="73"/>
    </i>
    <i>
      <x v="13"/>
      <x v="128"/>
      <x v="119"/>
    </i>
    <i>
      <x v="14"/>
      <x v="117"/>
      <x v="110"/>
    </i>
    <i>
      <x v="15"/>
      <x v="127"/>
      <x v="114"/>
    </i>
    <i>
      <x v="16"/>
      <x v="83"/>
      <x v="73"/>
    </i>
    <i>
      <x v="17"/>
      <x v="83"/>
      <x v="73"/>
    </i>
    <i>
      <x v="18"/>
      <x v="56"/>
      <x v="52"/>
    </i>
    <i>
      <x v="19"/>
      <x v="128"/>
      <x v="119"/>
    </i>
    <i>
      <x v="20"/>
      <x v="100"/>
      <x v="97"/>
    </i>
    <i>
      <x v="21"/>
      <x v="117"/>
      <x v="110"/>
    </i>
    <i>
      <x v="22"/>
      <x v="115"/>
      <x v="109"/>
    </i>
    <i>
      <x v="23"/>
      <x v="115"/>
      <x v="109"/>
    </i>
    <i>
      <x v="24"/>
      <x v="99"/>
      <x v="95"/>
    </i>
    <i>
      <x v="25"/>
      <x v="81"/>
      <x v="77"/>
    </i>
    <i>
      <x v="26"/>
      <x v="81"/>
      <x v="77"/>
    </i>
    <i>
      <x v="27"/>
      <x v="127"/>
      <x v="114"/>
    </i>
    <i>
      <x v="28"/>
      <x v="128"/>
      <x v="119"/>
    </i>
    <i>
      <x v="29"/>
      <x v="100"/>
      <x v="97"/>
    </i>
    <i>
      <x v="30"/>
      <x v="32"/>
      <x v="28"/>
    </i>
    <i>
      <x v="31"/>
      <x v="101"/>
      <x v="96"/>
    </i>
    <i>
      <x v="32"/>
      <x v="76"/>
      <x v="80"/>
    </i>
    <i>
      <x v="33"/>
      <x v="52"/>
      <x v="45"/>
    </i>
    <i>
      <x v="34"/>
      <x v="76"/>
      <x v="80"/>
    </i>
    <i>
      <x v="35"/>
      <x v="128"/>
      <x v="119"/>
    </i>
    <i>
      <x v="36"/>
      <x v="32"/>
      <x v="28"/>
    </i>
    <i>
      <x v="37"/>
      <x v="100"/>
      <x v="97"/>
    </i>
    <i>
      <x v="38"/>
      <x v="100"/>
      <x v="97"/>
    </i>
    <i>
      <x v="39"/>
      <x v="76"/>
      <x v="80"/>
    </i>
    <i>
      <x v="40"/>
      <x v="100"/>
      <x v="97"/>
    </i>
    <i>
      <x v="41"/>
      <x v="101"/>
      <x v="96"/>
    </i>
    <i>
      <x v="42"/>
      <x v="32"/>
      <x v="28"/>
    </i>
    <i>
      <x v="43"/>
      <x v="31"/>
      <x v="30"/>
    </i>
    <i>
      <x v="44"/>
      <x v="76"/>
      <x v="80"/>
    </i>
    <i>
      <x v="45"/>
      <x v="42"/>
      <x v="40"/>
    </i>
    <i>
      <x v="46"/>
      <x v="83"/>
      <x v="73"/>
    </i>
    <i>
      <x v="47"/>
      <x v="101"/>
      <x v="96"/>
    </i>
    <i>
      <x v="48"/>
      <x v="100"/>
      <x v="97"/>
    </i>
    <i>
      <x v="49"/>
      <x v="44"/>
      <x v="38"/>
    </i>
    <i>
      <x v="50"/>
      <x v="44"/>
      <x v="38"/>
    </i>
    <i>
      <x v="51"/>
      <x v="81"/>
      <x v="77"/>
    </i>
    <i>
      <x v="52"/>
      <x v="83"/>
      <x v="73"/>
    </i>
    <i>
      <x v="53"/>
      <x v="44"/>
      <x v="38"/>
    </i>
    <i>
      <x v="54"/>
      <x v="100"/>
      <x v="97"/>
    </i>
    <i>
      <x v="55"/>
      <x v="62"/>
      <x v="58"/>
    </i>
    <i>
      <x v="56"/>
      <x v="83"/>
      <x v="73"/>
    </i>
    <i>
      <x v="57"/>
      <x v="112"/>
      <x v="105"/>
    </i>
    <i>
      <x v="58"/>
      <x v="2"/>
      <x v="1"/>
    </i>
    <i>
      <x v="59"/>
      <x v="110"/>
      <x v="103"/>
    </i>
    <i>
      <x v="60"/>
      <x v="62"/>
      <x v="58"/>
    </i>
    <i>
      <x v="61"/>
      <x v="29"/>
      <x v="25"/>
    </i>
    <i>
      <x v="62"/>
      <x v="83"/>
      <x v="73"/>
    </i>
    <i>
      <x v="63"/>
      <x v="100"/>
      <x v="97"/>
    </i>
    <i>
      <x v="64"/>
      <x v="51"/>
      <x v="44"/>
    </i>
    <i>
      <x v="65"/>
      <x v="76"/>
      <x v="80"/>
    </i>
    <i>
      <x v="66"/>
      <x v="101"/>
      <x v="96"/>
    </i>
    <i>
      <x v="67"/>
      <x v="116"/>
      <x v="111"/>
    </i>
    <i>
      <x v="68"/>
      <x v="45"/>
      <x v="41"/>
    </i>
    <i>
      <x v="69"/>
      <x v="82"/>
      <x v="78"/>
    </i>
    <i>
      <x v="70"/>
      <x v="66"/>
      <x v="57"/>
    </i>
    <i>
      <x v="71"/>
      <x v="45"/>
      <x v="41"/>
    </i>
    <i>
      <x v="72"/>
      <x v="83"/>
      <x v="73"/>
    </i>
    <i>
      <x v="73"/>
      <x v="100"/>
      <x v="97"/>
    </i>
    <i>
      <x v="74"/>
      <x v="68"/>
      <x v="64"/>
    </i>
    <i>
      <x v="75"/>
      <x v="51"/>
      <x v="44"/>
    </i>
    <i>
      <x v="76"/>
      <x v="132"/>
      <x v="131"/>
    </i>
    <i>
      <x v="77"/>
      <x v="24"/>
      <x v="24"/>
    </i>
    <i>
      <x v="78"/>
      <x v="83"/>
      <x v="73"/>
    </i>
    <i>
      <x v="79"/>
      <x v="126"/>
      <x v="117"/>
    </i>
    <i>
      <x v="80"/>
      <x v="68"/>
      <x v="64"/>
    </i>
    <i>
      <x v="81"/>
      <x v="51"/>
      <x v="44"/>
    </i>
    <i>
      <x v="82"/>
      <x v="88"/>
      <x v="75"/>
    </i>
    <i>
      <x v="83"/>
      <x v="100"/>
      <x v="97"/>
    </i>
    <i>
      <x v="84"/>
      <x v="101"/>
      <x v="96"/>
    </i>
    <i>
      <x v="85"/>
      <x v="101"/>
      <x v="96"/>
    </i>
    <i>
      <x v="86"/>
      <x v="104"/>
      <x v="100"/>
    </i>
    <i>
      <x v="87"/>
      <x v="100"/>
      <x v="97"/>
    </i>
    <i>
      <x v="88"/>
      <x v="126"/>
      <x v="117"/>
    </i>
    <i>
      <x v="89"/>
      <x v="104"/>
      <x v="100"/>
    </i>
    <i>
      <x v="90"/>
      <x v="68"/>
      <x v="64"/>
    </i>
    <i>
      <x v="91"/>
      <x v="101"/>
      <x v="96"/>
    </i>
    <i>
      <x v="92"/>
      <x v="126"/>
      <x v="117"/>
    </i>
    <i>
      <x v="93"/>
      <x v="100"/>
      <x v="97"/>
    </i>
    <i>
      <x v="94"/>
      <x v="55"/>
      <x v="51"/>
    </i>
    <i>
      <x v="95"/>
      <x v="76"/>
      <x v="80"/>
    </i>
    <i>
      <x v="96"/>
      <x v="100"/>
      <x v="97"/>
    </i>
    <i>
      <x v="97"/>
      <x v="126"/>
      <x v="117"/>
    </i>
    <i>
      <x v="98"/>
      <x v="29"/>
      <x v="25"/>
    </i>
    <i>
      <x v="99"/>
      <x v="76"/>
      <x v="80"/>
    </i>
    <i>
      <x v="100"/>
      <x v="126"/>
      <x v="117"/>
    </i>
    <i>
      <x v="101"/>
      <x v="76"/>
      <x v="80"/>
    </i>
    <i>
      <x v="102"/>
      <x v="62"/>
      <x v="58"/>
    </i>
    <i>
      <x v="103"/>
      <x v="14"/>
      <x v="12"/>
    </i>
    <i>
      <x v="104"/>
      <x v="115"/>
      <x v="109"/>
    </i>
    <i>
      <x v="105"/>
      <x v="126"/>
      <x v="117"/>
    </i>
    <i>
      <x v="106"/>
      <x v="68"/>
      <x v="64"/>
    </i>
    <i>
      <x v="107"/>
      <x v="83"/>
      <x v="73"/>
    </i>
    <i>
      <x v="108"/>
      <x v="127"/>
      <x v="114"/>
    </i>
    <i>
      <x v="109"/>
      <x v="127"/>
      <x v="114"/>
    </i>
    <i>
      <x v="110"/>
      <x v="127"/>
      <x v="114"/>
    </i>
    <i>
      <x v="111"/>
      <x v="76"/>
      <x v="80"/>
    </i>
    <i>
      <x v="112"/>
      <x v="113"/>
      <x v="106"/>
    </i>
    <i>
      <x v="113"/>
      <x v="83"/>
      <x v="73"/>
    </i>
    <i>
      <x v="114"/>
      <x v="76"/>
      <x v="80"/>
    </i>
    <i>
      <x v="115"/>
      <x v="76"/>
      <x v="80"/>
    </i>
    <i>
      <x v="116"/>
      <x v="12"/>
      <x v="9"/>
    </i>
    <i>
      <x v="117"/>
      <x v="83"/>
      <x v="73"/>
    </i>
    <i>
      <x v="118"/>
      <x v="68"/>
      <x v="64"/>
    </i>
    <i>
      <x v="119"/>
      <x v="100"/>
      <x v="97"/>
    </i>
    <i>
      <x v="120"/>
      <x v="4"/>
      <x v="4"/>
    </i>
    <i>
      <x v="121"/>
      <x v="68"/>
      <x v="64"/>
    </i>
    <i>
      <x v="122"/>
      <x v="83"/>
      <x v="73"/>
    </i>
    <i>
      <x v="123"/>
      <x v="100"/>
      <x v="97"/>
    </i>
    <i>
      <x v="124"/>
      <x v="12"/>
      <x v="9"/>
    </i>
    <i>
      <x v="125"/>
      <x v="101"/>
      <x v="96"/>
    </i>
    <i>
      <x v="126"/>
      <x v="83"/>
      <x v="73"/>
    </i>
    <i>
      <x v="127"/>
      <x v="83"/>
      <x v="73"/>
    </i>
    <i>
      <x v="128"/>
      <x v="100"/>
      <x v="97"/>
    </i>
    <i>
      <x v="129"/>
      <x v="62"/>
      <x v="58"/>
    </i>
    <i>
      <x v="130"/>
      <x v="113"/>
      <x v="106"/>
    </i>
    <i>
      <x v="131"/>
      <x v="113"/>
      <x v="106"/>
    </i>
    <i>
      <x v="132"/>
      <x v="111"/>
      <x v="108"/>
    </i>
    <i>
      <x v="133"/>
      <x v="101"/>
      <x v="96"/>
    </i>
    <i>
      <x v="134"/>
      <x v="3"/>
      <x v="6"/>
    </i>
    <i>
      <x v="135"/>
      <x v="100"/>
      <x v="97"/>
    </i>
    <i>
      <x v="136"/>
      <x v="83"/>
      <x v="73"/>
    </i>
    <i>
      <x v="137"/>
      <x v="101"/>
      <x v="96"/>
    </i>
    <i>
      <x v="138"/>
      <x v="101"/>
      <x v="96"/>
    </i>
    <i>
      <x v="139"/>
      <x v="83"/>
      <x v="73"/>
    </i>
    <i>
      <x v="140"/>
      <x v="89"/>
      <x v="72"/>
    </i>
    <i>
      <x v="141"/>
      <x v="35"/>
      <x v="31"/>
    </i>
    <i>
      <x v="142"/>
      <x v="62"/>
      <x v="58"/>
    </i>
    <i>
      <x v="143"/>
      <x v="100"/>
      <x v="97"/>
    </i>
    <i>
      <x v="144"/>
      <x v="113"/>
      <x v="106"/>
    </i>
    <i>
      <x v="145"/>
      <x v="101"/>
      <x v="96"/>
    </i>
    <i>
      <x v="146"/>
      <x v="83"/>
      <x v="73"/>
    </i>
    <i>
      <x v="147"/>
      <x v="101"/>
      <x v="96"/>
    </i>
    <i>
      <x v="148"/>
      <x v="76"/>
      <x v="80"/>
    </i>
    <i>
      <x v="149"/>
      <x v="76"/>
      <x v="80"/>
    </i>
    <i>
      <x v="150"/>
      <x v="95"/>
      <x v="93"/>
    </i>
    <i>
      <x v="151"/>
      <x v="83"/>
      <x v="73"/>
    </i>
    <i>
      <x v="152"/>
      <x v="88"/>
      <x v="75"/>
    </i>
    <i>
      <x v="153"/>
      <x v="88"/>
      <x v="75"/>
    </i>
    <i>
      <x v="154"/>
      <x v="18"/>
      <x v="17"/>
    </i>
    <i>
      <x v="155"/>
      <x v="51"/>
      <x v="44"/>
    </i>
    <i>
      <x v="156"/>
      <x v="51"/>
      <x v="44"/>
    </i>
    <i>
      <x v="157"/>
      <x v="68"/>
      <x v="64"/>
    </i>
    <i>
      <x v="158"/>
      <x v="30"/>
      <x v="26"/>
    </i>
    <i>
      <x v="159"/>
      <x v="30"/>
      <x v="26"/>
    </i>
    <i>
      <x v="160"/>
      <x v="74"/>
      <x v="70"/>
    </i>
    <i>
      <x v="161"/>
      <x v="18"/>
      <x v="17"/>
    </i>
    <i>
      <x v="162"/>
      <x v="68"/>
      <x v="64"/>
    </i>
    <i>
      <x v="163"/>
      <x v="76"/>
      <x v="80"/>
    </i>
    <i>
      <x v="164"/>
      <x v="72"/>
      <x v="68"/>
    </i>
    <i>
      <x v="165"/>
      <x v="61"/>
      <x v="55"/>
    </i>
    <i>
      <x v="166"/>
      <x v="61"/>
      <x v="55"/>
    </i>
    <i>
      <x v="167"/>
      <x v="98"/>
      <x v="94"/>
    </i>
    <i>
      <x v="168"/>
      <x v="71"/>
      <x v="67"/>
    </i>
    <i>
      <x v="169"/>
      <x v="70"/>
      <x v="66"/>
    </i>
    <i>
      <x v="170"/>
      <x v="62"/>
      <x v="58"/>
    </i>
    <i>
      <x v="171"/>
      <x v="76"/>
      <x v="80"/>
    </i>
    <i>
      <x v="172"/>
      <x v="2"/>
      <x v="1"/>
    </i>
    <i>
      <x v="173"/>
      <x v="68"/>
      <x v="64"/>
    </i>
    <i>
      <x v="174"/>
      <x v="68"/>
      <x v="64"/>
    </i>
    <i>
      <x v="175"/>
      <x v="68"/>
      <x v="64"/>
    </i>
    <i>
      <x v="176"/>
      <x v="66"/>
      <x v="57"/>
    </i>
    <i>
      <x v="177"/>
      <x v="61"/>
      <x v="55"/>
    </i>
    <i>
      <x v="178"/>
      <x v="26"/>
      <x v="125"/>
    </i>
    <i>
      <x v="179"/>
      <x v="68"/>
      <x v="64"/>
    </i>
    <i>
      <x v="180"/>
      <x v="132"/>
      <x v="131"/>
    </i>
    <i>
      <x v="181"/>
      <x v="62"/>
      <x v="58"/>
    </i>
    <i>
      <x v="182"/>
      <x v="61"/>
      <x v="55"/>
    </i>
    <i>
      <x v="183"/>
      <x v="61"/>
      <x v="55"/>
    </i>
    <i>
      <x v="184"/>
      <x v="68"/>
      <x v="64"/>
    </i>
    <i>
      <x v="185"/>
      <x v="68"/>
      <x v="64"/>
    </i>
    <i>
      <x v="186"/>
      <x v="62"/>
      <x v="58"/>
    </i>
    <i>
      <x v="187"/>
      <x v="68"/>
      <x v="64"/>
    </i>
    <i>
      <x v="188"/>
      <x v="76"/>
      <x v="80"/>
    </i>
    <i>
      <x v="189"/>
      <x v="110"/>
      <x v="103"/>
    </i>
    <i>
      <x v="190"/>
      <x/>
      <x/>
    </i>
    <i>
      <x v="191"/>
      <x/>
      <x/>
    </i>
    <i>
      <x v="192"/>
      <x v="68"/>
      <x v="64"/>
    </i>
    <i>
      <x v="193"/>
      <x v="83"/>
      <x v="73"/>
    </i>
    <i>
      <x v="194"/>
      <x v="83"/>
      <x v="73"/>
    </i>
    <i>
      <x v="195"/>
      <x v="128"/>
      <x v="119"/>
    </i>
    <i>
      <x v="196"/>
      <x v="36"/>
      <x v="32"/>
    </i>
    <i>
      <x v="197"/>
      <x v="36"/>
      <x v="32"/>
    </i>
    <i>
      <x v="198"/>
      <x v="12"/>
      <x v="9"/>
    </i>
    <i>
      <x v="199"/>
      <x v="100"/>
      <x v="97"/>
    </i>
    <i>
      <x v="200"/>
      <x v="111"/>
      <x v="108"/>
    </i>
    <i>
      <x v="201"/>
      <x v="62"/>
      <x v="58"/>
    </i>
    <i>
      <x v="202"/>
      <x v="100"/>
      <x v="97"/>
    </i>
    <i>
      <x v="203"/>
      <x v="83"/>
      <x v="73"/>
    </i>
    <i>
      <x v="204"/>
      <x v="68"/>
      <x v="64"/>
    </i>
    <i>
      <x v="205"/>
      <x v="25"/>
      <x v="23"/>
    </i>
    <i>
      <x v="206"/>
      <x v="62"/>
      <x v="58"/>
    </i>
    <i>
      <x v="207"/>
      <x v="129"/>
      <x v="122"/>
    </i>
    <i>
      <x v="208"/>
      <x v="131"/>
      <x v="123"/>
    </i>
    <i>
      <x v="209"/>
      <x v="81"/>
      <x v="77"/>
    </i>
    <i>
      <x v="210"/>
      <x v="88"/>
      <x v="75"/>
    </i>
    <i>
      <x v="211"/>
      <x v="83"/>
      <x v="73"/>
    </i>
    <i>
      <x v="212"/>
      <x v="68"/>
      <x v="64"/>
    </i>
    <i>
      <x v="213"/>
      <x v="76"/>
      <x v="80"/>
    </i>
    <i>
      <x v="214"/>
      <x v="100"/>
      <x v="97"/>
    </i>
    <i>
      <x v="215"/>
      <x v="101"/>
      <x v="96"/>
    </i>
    <i>
      <x v="216"/>
      <x v="14"/>
      <x v="12"/>
    </i>
    <i>
      <x v="217"/>
      <x v="14"/>
      <x v="12"/>
    </i>
    <i>
      <x v="218"/>
      <x v="76"/>
      <x v="80"/>
    </i>
    <i>
      <x v="219"/>
      <x v="68"/>
      <x v="64"/>
    </i>
    <i>
      <x v="220"/>
      <x v="100"/>
      <x v="97"/>
    </i>
    <i>
      <x v="221"/>
      <x v="83"/>
      <x v="73"/>
    </i>
    <i>
      <x v="222"/>
      <x v="101"/>
      <x v="96"/>
    </i>
    <i>
      <x v="223"/>
      <x v="16"/>
      <x v="15"/>
    </i>
    <i>
      <x v="224"/>
      <x v="132"/>
      <x v="131"/>
    </i>
    <i>
      <x v="225"/>
      <x v="132"/>
      <x v="131"/>
    </i>
    <i>
      <x v="226"/>
      <x v="132"/>
      <x v="131"/>
    </i>
    <i>
      <x v="227"/>
      <x v="132"/>
      <x v="131"/>
    </i>
    <i>
      <x v="228"/>
      <x v="132"/>
      <x v="131"/>
    </i>
    <i>
      <x v="229"/>
      <x v="126"/>
      <x v="117"/>
    </i>
    <i>
      <x v="230"/>
      <x v="114"/>
      <x v="107"/>
    </i>
    <i>
      <x v="231"/>
      <x v="124"/>
      <x v="112"/>
    </i>
    <i>
      <x v="232"/>
      <x v="114"/>
      <x v="107"/>
    </i>
    <i>
      <x v="233"/>
      <x v="114"/>
      <x v="107"/>
    </i>
    <i>
      <x v="234"/>
      <x v="76"/>
      <x v="80"/>
    </i>
    <i>
      <x v="235"/>
      <x v="68"/>
      <x v="64"/>
    </i>
    <i>
      <x v="236"/>
      <x v="83"/>
      <x v="73"/>
    </i>
    <i>
      <x v="237"/>
      <x v="54"/>
      <x v="50"/>
    </i>
    <i>
      <x v="238"/>
      <x v="53"/>
      <x v="43"/>
    </i>
    <i>
      <x v="239"/>
      <x v="54"/>
      <x v="50"/>
    </i>
    <i>
      <x v="240"/>
      <x v="83"/>
      <x v="73"/>
    </i>
    <i>
      <x v="241"/>
      <x v="83"/>
      <x v="73"/>
    </i>
    <i>
      <x v="242"/>
      <x v="46"/>
      <x v="49"/>
    </i>
    <i>
      <x v="243"/>
      <x v="68"/>
      <x v="64"/>
    </i>
    <i>
      <x v="244"/>
      <x v="68"/>
      <x v="64"/>
    </i>
    <i>
      <x v="245"/>
      <x v="68"/>
      <x v="64"/>
    </i>
    <i>
      <x v="246"/>
      <x v="101"/>
      <x v="96"/>
    </i>
    <i>
      <x v="247"/>
      <x v="124"/>
      <x v="112"/>
    </i>
    <i>
      <x v="248"/>
      <x v="124"/>
      <x v="112"/>
    </i>
    <i>
      <x v="249"/>
      <x v="62"/>
      <x v="58"/>
    </i>
    <i>
      <x v="250"/>
      <x v="76"/>
      <x v="80"/>
    </i>
    <i>
      <x v="251"/>
      <x v="40"/>
      <x v="36"/>
    </i>
    <i>
      <x v="252"/>
      <x v="54"/>
      <x v="50"/>
    </i>
    <i>
      <x v="253"/>
      <x v="24"/>
      <x v="24"/>
    </i>
    <i>
      <x v="254"/>
      <x v="127"/>
      <x v="114"/>
    </i>
    <i>
      <x v="255"/>
      <x v="126"/>
      <x v="117"/>
    </i>
    <i>
      <x v="256"/>
      <x v="62"/>
      <x v="58"/>
    </i>
    <i>
      <x v="257"/>
      <x v="76"/>
      <x v="80"/>
    </i>
    <i>
      <x v="258"/>
      <x v="24"/>
      <x v="24"/>
    </i>
    <i>
      <x v="259"/>
      <x v="127"/>
      <x v="114"/>
    </i>
    <i>
      <x v="260"/>
      <x v="127"/>
      <x v="114"/>
    </i>
    <i>
      <x v="261"/>
      <x v="126"/>
      <x v="117"/>
    </i>
    <i>
      <x v="262"/>
      <x v="76"/>
      <x v="80"/>
    </i>
    <i>
      <x v="263"/>
      <x v="124"/>
      <x v="112"/>
    </i>
    <i>
      <x v="264"/>
      <x v="54"/>
      <x v="50"/>
    </i>
    <i>
      <x v="265"/>
      <x v="76"/>
      <x v="80"/>
    </i>
    <i>
      <x v="266"/>
      <x v="126"/>
      <x v="117"/>
    </i>
    <i>
      <x v="267"/>
      <x v="70"/>
      <x v="66"/>
    </i>
    <i>
      <x v="268"/>
      <x v="6"/>
      <x v="3"/>
    </i>
    <i>
      <x v="269"/>
      <x v="127"/>
      <x v="114"/>
    </i>
    <i>
      <x v="270"/>
      <x v="114"/>
      <x v="107"/>
    </i>
    <i>
      <x v="271"/>
      <x v="114"/>
      <x v="107"/>
    </i>
    <i>
      <x v="272"/>
      <x v="94"/>
      <x v="89"/>
    </i>
    <i>
      <x v="273"/>
      <x v="51"/>
      <x v="44"/>
    </i>
    <i>
      <x v="274"/>
      <x v="68"/>
      <x v="64"/>
    </i>
    <i>
      <x v="275"/>
      <x v="83"/>
      <x v="73"/>
    </i>
    <i>
      <x v="276"/>
      <x v="126"/>
      <x v="117"/>
    </i>
    <i>
      <x v="277"/>
      <x v="127"/>
      <x v="114"/>
    </i>
    <i>
      <x v="278"/>
      <x v="76"/>
      <x v="80"/>
    </i>
    <i>
      <x v="279"/>
      <x v="76"/>
      <x v="80"/>
    </i>
    <i>
      <x v="280"/>
      <x v="61"/>
      <x v="55"/>
    </i>
    <i>
      <x v="281"/>
      <x v="71"/>
      <x v="67"/>
    </i>
    <i>
      <x v="282"/>
      <x v="124"/>
      <x v="112"/>
    </i>
    <i>
      <x v="283"/>
      <x v="94"/>
      <x v="89"/>
    </i>
    <i>
      <x v="284"/>
      <x v="94"/>
      <x v="89"/>
    </i>
    <i>
      <x v="285"/>
      <x v="68"/>
      <x v="64"/>
    </i>
    <i>
      <x v="286"/>
      <x v="83"/>
      <x v="73"/>
    </i>
    <i>
      <x v="287"/>
      <x v="51"/>
      <x v="44"/>
    </i>
    <i>
      <x v="288"/>
      <x v="1"/>
      <x/>
    </i>
    <i>
      <x v="289"/>
      <x v="51"/>
      <x v="44"/>
    </i>
    <i>
      <x v="290"/>
      <x v="117"/>
      <x v="110"/>
    </i>
    <i>
      <x v="291"/>
      <x v="62"/>
      <x v="58"/>
    </i>
    <i>
      <x v="292"/>
      <x v="111"/>
      <x v="108"/>
    </i>
    <i>
      <x v="293"/>
      <x v="94"/>
      <x v="89"/>
    </i>
    <i>
      <x v="294"/>
      <x v="62"/>
      <x v="58"/>
    </i>
    <i>
      <x v="295"/>
      <x v="83"/>
      <x v="73"/>
    </i>
    <i>
      <x v="296"/>
      <x v="51"/>
      <x v="44"/>
    </i>
    <i>
      <x v="297"/>
      <x v="115"/>
      <x v="109"/>
    </i>
    <i>
      <x v="298"/>
      <x v="18"/>
      <x v="17"/>
    </i>
    <i>
      <x v="299"/>
      <x v="12"/>
      <x v="9"/>
    </i>
    <i>
      <x v="300"/>
      <x v="115"/>
      <x v="109"/>
    </i>
    <i>
      <x v="301"/>
      <x v="18"/>
      <x v="17"/>
    </i>
    <i>
      <x v="302"/>
      <x v="83"/>
      <x v="73"/>
    </i>
    <i>
      <x v="303"/>
      <x v="94"/>
      <x v="89"/>
    </i>
    <i>
      <x v="304"/>
      <x v="46"/>
      <x v="49"/>
    </i>
    <i>
      <x v="305"/>
      <x v="68"/>
      <x v="64"/>
    </i>
    <i>
      <x v="306"/>
      <x v="62"/>
      <x v="58"/>
    </i>
    <i>
      <x v="307"/>
      <x v="62"/>
      <x v="58"/>
    </i>
    <i>
      <x v="308"/>
      <x v="61"/>
      <x v="55"/>
    </i>
    <i>
      <x v="309"/>
      <x v="68"/>
      <x v="64"/>
    </i>
    <i>
      <x v="310"/>
      <x v="96"/>
      <x v="92"/>
    </i>
    <i>
      <x v="311"/>
      <x v="110"/>
      <x v="103"/>
    </i>
    <i>
      <x v="312"/>
      <x v="132"/>
      <x v="131"/>
    </i>
    <i>
      <x v="313"/>
      <x v="94"/>
      <x v="89"/>
    </i>
    <i>
      <x v="314"/>
      <x v="98"/>
      <x v="94"/>
    </i>
    <i>
      <x v="315"/>
      <x v="61"/>
      <x v="55"/>
    </i>
    <i>
      <x v="316"/>
      <x v="88"/>
      <x v="75"/>
    </i>
    <i>
      <x v="317"/>
      <x v="11"/>
      <x v="10"/>
    </i>
    <i>
      <x v="318"/>
      <x v="117"/>
      <x v="110"/>
    </i>
    <i>
      <x v="319"/>
      <x v="110"/>
      <x v="103"/>
    </i>
    <i>
      <x v="320"/>
      <x v="100"/>
      <x v="97"/>
    </i>
    <i>
      <x v="321"/>
      <x v="101"/>
      <x v="96"/>
    </i>
    <i>
      <x v="322"/>
      <x v="100"/>
      <x v="97"/>
    </i>
    <i>
      <x v="323"/>
      <x v="101"/>
      <x v="96"/>
    </i>
    <i>
      <x v="324"/>
      <x v="117"/>
      <x v="110"/>
    </i>
    <i>
      <x v="325"/>
      <x v="24"/>
      <x v="24"/>
    </i>
    <i>
      <x v="326"/>
      <x v="81"/>
      <x v="77"/>
    </i>
    <i>
      <x v="327"/>
      <x v="94"/>
      <x v="89"/>
    </i>
    <i>
      <x v="328"/>
      <x v="100"/>
      <x v="97"/>
    </i>
    <i>
      <x v="329"/>
      <x v="51"/>
      <x v="44"/>
    </i>
    <i>
      <x v="330"/>
      <x v="88"/>
      <x v="75"/>
    </i>
    <i>
      <x v="331"/>
      <x v="100"/>
      <x v="97"/>
    </i>
    <i>
      <x v="332"/>
      <x v="51"/>
      <x v="44"/>
    </i>
    <i>
      <x v="333"/>
      <x v="16"/>
      <x v="15"/>
    </i>
    <i>
      <x v="334"/>
      <x v="16"/>
      <x v="15"/>
    </i>
    <i>
      <x v="335"/>
      <x v="29"/>
      <x v="25"/>
    </i>
    <i>
      <x v="336"/>
      <x v="127"/>
      <x v="114"/>
    </i>
    <i>
      <x v="337"/>
      <x v="127"/>
      <x v="114"/>
    </i>
    <i>
      <x v="338"/>
      <x v="125"/>
      <x v="118"/>
    </i>
    <i>
      <x v="339"/>
      <x v="125"/>
      <x v="118"/>
    </i>
    <i>
      <x v="340"/>
      <x v="96"/>
      <x v="92"/>
    </i>
    <i>
      <x v="341"/>
      <x v="62"/>
      <x v="58"/>
    </i>
    <i>
      <x v="342"/>
      <x v="51"/>
      <x v="44"/>
    </i>
    <i>
      <x v="343"/>
      <x v="51"/>
      <x v="44"/>
    </i>
    <i>
      <x v="344"/>
      <x v="32"/>
      <x v="28"/>
    </i>
    <i>
      <x v="345"/>
      <x v="68"/>
      <x v="64"/>
    </i>
    <i>
      <x v="346"/>
      <x v="51"/>
      <x v="44"/>
    </i>
    <i>
      <x v="347"/>
      <x v="68"/>
      <x v="64"/>
    </i>
    <i>
      <x v="348"/>
      <x v="100"/>
      <x v="97"/>
    </i>
    <i>
      <x v="349"/>
      <x v="117"/>
      <x v="110"/>
    </i>
    <i>
      <x v="350"/>
      <x v="66"/>
      <x v="57"/>
    </i>
    <i>
      <x v="351"/>
      <x v="66"/>
      <x v="57"/>
    </i>
    <i>
      <x v="352"/>
      <x v="66"/>
      <x v="57"/>
    </i>
    <i>
      <x v="353"/>
      <x v="68"/>
      <x v="64"/>
    </i>
    <i>
      <x v="354"/>
      <x v="74"/>
      <x v="70"/>
    </i>
    <i>
      <x v="355"/>
      <x v="94"/>
      <x v="89"/>
    </i>
    <i>
      <x v="356"/>
      <x v="63"/>
      <x v="56"/>
    </i>
    <i>
      <x v="357"/>
      <x v="100"/>
      <x v="97"/>
    </i>
    <i>
      <x v="358"/>
      <x v="101"/>
      <x v="96"/>
    </i>
    <i>
      <x v="359"/>
      <x v="68"/>
      <x v="64"/>
    </i>
    <i>
      <x v="360"/>
      <x v="61"/>
      <x v="55"/>
    </i>
    <i>
      <x v="361"/>
      <x v="61"/>
      <x v="55"/>
    </i>
    <i>
      <x v="362"/>
      <x v="113"/>
      <x v="106"/>
    </i>
    <i>
      <x v="363"/>
      <x v="27"/>
      <x v="126"/>
    </i>
    <i>
      <x v="364"/>
      <x v="34"/>
      <x v="127"/>
    </i>
    <i>
      <x v="365"/>
      <x v="118"/>
      <x v="128"/>
    </i>
    <i>
      <x v="366"/>
      <x v="83"/>
      <x v="73"/>
    </i>
    <i>
      <x v="367"/>
      <x v="81"/>
      <x v="77"/>
    </i>
    <i>
      <x v="368"/>
      <x v="124"/>
      <x v="112"/>
    </i>
    <i>
      <x v="369"/>
      <x v="74"/>
      <x v="70"/>
    </i>
    <i>
      <x v="370"/>
      <x v="127"/>
      <x v="114"/>
    </i>
    <i>
      <x v="371"/>
      <x v="127"/>
      <x v="114"/>
    </i>
    <i>
      <x v="372"/>
      <x v="12"/>
      <x v="9"/>
    </i>
    <i>
      <x v="373"/>
      <x v="29"/>
      <x v="25"/>
    </i>
    <i>
      <x v="374"/>
      <x v="12"/>
      <x v="9"/>
    </i>
    <i>
      <x v="375"/>
      <x v="107"/>
      <x v="104"/>
    </i>
    <i>
      <x v="376"/>
      <x v="41"/>
      <x v="37"/>
    </i>
    <i>
      <x v="377"/>
      <x v="107"/>
      <x v="104"/>
    </i>
    <i>
      <x v="378"/>
      <x v="12"/>
      <x v="9"/>
    </i>
    <i>
      <x v="379"/>
      <x v="83"/>
      <x v="73"/>
    </i>
    <i>
      <x v="380"/>
      <x v="101"/>
      <x v="96"/>
    </i>
    <i>
      <x v="381"/>
      <x v="108"/>
      <x v="102"/>
    </i>
    <i>
      <x v="382"/>
      <x v="88"/>
      <x v="75"/>
    </i>
    <i>
      <x v="383"/>
      <x v="10"/>
      <x v="7"/>
    </i>
    <i>
      <x v="384"/>
      <x v="127"/>
      <x v="114"/>
    </i>
    <i>
      <x v="385"/>
      <x v="81"/>
      <x v="77"/>
    </i>
    <i>
      <x v="386"/>
      <x v="88"/>
      <x v="75"/>
    </i>
    <i>
      <x v="387"/>
      <x v="6"/>
      <x v="3"/>
    </i>
    <i>
      <x v="388"/>
      <x v="12"/>
      <x v="9"/>
    </i>
    <i>
      <x v="389"/>
      <x v="12"/>
      <x v="9"/>
    </i>
    <i>
      <x v="390"/>
      <x v="83"/>
      <x v="73"/>
    </i>
    <i>
      <x v="391"/>
      <x v="12"/>
      <x v="9"/>
    </i>
    <i>
      <x v="392"/>
      <x v="83"/>
      <x v="73"/>
    </i>
    <i>
      <x v="393"/>
      <x v="51"/>
      <x v="44"/>
    </i>
    <i>
      <x v="394"/>
      <x v="12"/>
      <x v="9"/>
    </i>
    <i>
      <x v="395"/>
      <x v="12"/>
      <x v="9"/>
    </i>
    <i>
      <x v="396"/>
      <x v="68"/>
      <x v="64"/>
    </i>
    <i>
      <x v="397"/>
      <x v="100"/>
      <x v="97"/>
    </i>
    <i>
      <x v="398"/>
      <x v="83"/>
      <x v="73"/>
    </i>
    <i>
      <x v="399"/>
      <x v="51"/>
      <x v="44"/>
    </i>
    <i>
      <x v="400"/>
      <x v="116"/>
      <x v="111"/>
    </i>
    <i>
      <x v="401"/>
      <x v="74"/>
      <x v="70"/>
    </i>
    <i>
      <x v="402"/>
      <x v="32"/>
      <x v="28"/>
    </i>
    <i>
      <x v="403"/>
      <x v="79"/>
      <x v="81"/>
    </i>
    <i>
      <x v="404"/>
      <x v="92"/>
      <x v="88"/>
    </i>
    <i>
      <x v="405"/>
      <x v="68"/>
      <x v="64"/>
    </i>
    <i>
      <x v="406"/>
      <x v="12"/>
      <x v="9"/>
    </i>
    <i>
      <x v="407"/>
      <x v="51"/>
      <x v="44"/>
    </i>
    <i>
      <x v="408"/>
      <x v="100"/>
      <x v="97"/>
    </i>
    <i>
      <x v="409"/>
      <x v="83"/>
      <x v="73"/>
    </i>
    <i>
      <x v="410"/>
      <x v="79"/>
      <x v="81"/>
    </i>
    <i>
      <x v="411"/>
      <x v="69"/>
      <x v="65"/>
    </i>
    <i>
      <x v="412"/>
      <x v="88"/>
      <x v="75"/>
    </i>
    <i>
      <x v="413"/>
      <x v="68"/>
      <x v="64"/>
    </i>
    <i>
      <x v="414"/>
      <x v="126"/>
      <x v="117"/>
    </i>
    <i>
      <x v="415"/>
      <x v="29"/>
      <x v="25"/>
    </i>
    <i>
      <x v="416"/>
      <x v="127"/>
      <x v="114"/>
    </i>
    <i>
      <x v="417"/>
      <x v="100"/>
      <x v="97"/>
    </i>
    <i>
      <x v="418"/>
      <x v="51"/>
      <x v="44"/>
    </i>
    <i>
      <x v="419"/>
      <x v="67"/>
      <x v="63"/>
    </i>
    <i>
      <x v="420"/>
      <x v="106"/>
      <x v="121"/>
    </i>
    <i>
      <x v="421"/>
      <x v="127"/>
      <x v="114"/>
    </i>
    <i>
      <x v="422"/>
      <x v="19"/>
      <x v="18"/>
    </i>
    <i>
      <x v="423"/>
      <x v="98"/>
      <x v="94"/>
    </i>
    <i>
      <x v="424"/>
      <x v="101"/>
      <x v="96"/>
    </i>
    <i>
      <x v="425"/>
      <x v="68"/>
      <x v="64"/>
    </i>
    <i>
      <x v="426"/>
      <x v="47"/>
      <x v="46"/>
    </i>
    <i>
      <x v="427"/>
      <x v="68"/>
      <x v="64"/>
    </i>
    <i>
      <x v="428"/>
      <x v="24"/>
      <x v="24"/>
    </i>
    <i>
      <x v="429"/>
      <x v="80"/>
      <x v="76"/>
    </i>
    <i>
      <x v="430"/>
      <x v="51"/>
      <x v="44"/>
    </i>
    <i>
      <x v="431"/>
      <x v="51"/>
      <x v="44"/>
    </i>
    <i>
      <x v="432"/>
      <x v="29"/>
      <x v="25"/>
    </i>
    <i>
      <x v="433"/>
      <x v="11"/>
      <x v="10"/>
    </i>
    <i>
      <x v="434"/>
      <x v="15"/>
      <x v="11"/>
    </i>
    <i>
      <x v="435"/>
      <x v="68"/>
      <x v="64"/>
    </i>
    <i>
      <x v="436"/>
      <x v="107"/>
      <x v="104"/>
    </i>
    <i>
      <x v="437"/>
      <x v="18"/>
      <x v="17"/>
    </i>
    <i>
      <x v="438"/>
      <x v="128"/>
      <x v="119"/>
    </i>
    <i>
      <x v="439"/>
      <x v="132"/>
      <x v="131"/>
    </i>
    <i>
      <x v="440"/>
      <x v="51"/>
      <x v="44"/>
    </i>
    <i>
      <x v="441"/>
      <x v="24"/>
      <x v="24"/>
    </i>
    <i>
      <x v="442"/>
      <x v="12"/>
      <x v="9"/>
    </i>
    <i>
      <x v="443"/>
      <x v="44"/>
      <x v="38"/>
    </i>
    <i>
      <x v="444"/>
      <x v="110"/>
      <x v="103"/>
    </i>
    <i>
      <x v="445"/>
      <x v="128"/>
      <x v="119"/>
    </i>
    <i>
      <x v="446"/>
      <x v="18"/>
      <x v="17"/>
    </i>
    <i>
      <x v="447"/>
      <x v="128"/>
      <x v="119"/>
    </i>
    <i>
      <x v="448"/>
      <x v="12"/>
      <x v="9"/>
    </i>
    <i>
      <x v="449"/>
      <x v="115"/>
      <x v="109"/>
    </i>
    <i>
      <x v="450"/>
      <x v="107"/>
      <x v="104"/>
    </i>
    <i>
      <x v="451"/>
      <x v="24"/>
      <x v="24"/>
    </i>
    <i>
      <x v="452"/>
      <x v="110"/>
      <x v="103"/>
    </i>
    <i>
      <x v="453"/>
      <x v="110"/>
      <x v="103"/>
    </i>
    <i>
      <x v="454"/>
      <x v="79"/>
      <x v="81"/>
    </i>
    <i>
      <x v="455"/>
      <x v="86"/>
      <x v="74"/>
    </i>
    <i>
      <x v="456"/>
      <x v="100"/>
      <x v="97"/>
    </i>
    <i>
      <x v="457"/>
      <x v="47"/>
      <x v="46"/>
    </i>
    <i>
      <x v="458"/>
      <x v="47"/>
      <x v="46"/>
    </i>
    <i>
      <x v="459"/>
      <x v="80"/>
      <x v="76"/>
    </i>
    <i>
      <x v="460"/>
      <x v="117"/>
      <x v="110"/>
    </i>
    <i>
      <x v="461"/>
      <x v="12"/>
      <x v="9"/>
    </i>
    <i>
      <x v="462"/>
      <x v="128"/>
      <x v="119"/>
    </i>
    <i>
      <x v="463"/>
      <x v="110"/>
      <x v="103"/>
    </i>
    <i>
      <x v="464"/>
      <x v="86"/>
      <x v="74"/>
    </i>
    <i>
      <x v="465"/>
      <x v="12"/>
      <x v="9"/>
    </i>
    <i>
      <x v="466"/>
      <x v="74"/>
      <x v="70"/>
    </i>
    <i>
      <x v="467"/>
      <x v="44"/>
      <x v="38"/>
    </i>
    <i>
      <x v="468"/>
      <x v="29"/>
      <x v="25"/>
    </i>
    <i>
      <x v="469"/>
      <x v="100"/>
      <x v="97"/>
    </i>
    <i>
      <x v="470"/>
      <x v="86"/>
      <x v="74"/>
    </i>
    <i>
      <x v="471"/>
      <x v="116"/>
      <x v="111"/>
    </i>
    <i>
      <x v="472"/>
      <x v="86"/>
      <x v="74"/>
    </i>
    <i>
      <x v="473"/>
      <x v="33"/>
      <x v="29"/>
    </i>
    <i>
      <x v="474"/>
      <x v="86"/>
      <x v="74"/>
    </i>
    <i>
      <x v="475"/>
      <x v="24"/>
      <x v="24"/>
    </i>
    <i>
      <x v="476"/>
      <x v="51"/>
      <x v="44"/>
    </i>
    <i>
      <x v="477"/>
      <x v="128"/>
      <x v="119"/>
    </i>
    <i>
      <x v="478"/>
      <x v="100"/>
      <x v="97"/>
    </i>
    <i>
      <x v="479"/>
      <x v="25"/>
      <x v="23"/>
    </i>
    <i>
      <x v="480"/>
      <x v="86"/>
      <x v="74"/>
    </i>
    <i>
      <x v="481"/>
      <x v="13"/>
      <x v="8"/>
    </i>
    <i>
      <x v="482"/>
      <x v="101"/>
      <x v="96"/>
    </i>
    <i>
      <x v="483"/>
      <x v="14"/>
      <x v="12"/>
    </i>
    <i>
      <x v="484"/>
      <x v="24"/>
      <x v="24"/>
    </i>
    <i>
      <x v="485"/>
      <x v="127"/>
      <x v="114"/>
    </i>
    <i>
      <x v="486"/>
      <x v="128"/>
      <x v="119"/>
    </i>
    <i>
      <x v="487"/>
      <x v="51"/>
      <x v="44"/>
    </i>
    <i>
      <x v="488"/>
      <x v="51"/>
      <x v="44"/>
    </i>
    <i>
      <x v="489"/>
      <x v="87"/>
      <x v="79"/>
    </i>
    <i>
      <x v="490"/>
      <x v="51"/>
      <x v="44"/>
    </i>
    <i>
      <x v="491"/>
      <x v="124"/>
      <x v="112"/>
    </i>
    <i>
      <x v="492"/>
      <x v="117"/>
      <x v="110"/>
    </i>
    <i>
      <x v="493"/>
      <x v="127"/>
      <x v="114"/>
    </i>
    <i>
      <x v="494"/>
      <x v="121"/>
      <x v="115"/>
    </i>
    <i>
      <x v="495"/>
      <x v="55"/>
      <x v="51"/>
    </i>
    <i>
      <x v="496"/>
      <x v="127"/>
      <x v="114"/>
    </i>
    <i>
      <x v="497"/>
      <x v="87"/>
      <x v="79"/>
    </i>
    <i>
      <x v="498"/>
      <x v="51"/>
      <x v="44"/>
    </i>
    <i>
      <x v="499"/>
      <x v="127"/>
      <x v="114"/>
    </i>
    <i>
      <x v="500"/>
      <x v="51"/>
      <x v="44"/>
    </i>
    <i>
      <x v="501"/>
      <x v="131"/>
      <x v="123"/>
    </i>
    <i>
      <x v="502"/>
      <x v="72"/>
      <x v="68"/>
    </i>
    <i>
      <x v="503"/>
      <x v="93"/>
      <x v="90"/>
    </i>
    <i>
      <x v="504"/>
      <x v="93"/>
      <x v="90"/>
    </i>
    <i>
      <x v="505"/>
      <x v="100"/>
      <x v="97"/>
    </i>
    <i>
      <x v="506"/>
      <x v="90"/>
      <x v="86"/>
    </i>
    <i>
      <x v="507"/>
      <x v="101"/>
      <x v="96"/>
    </i>
    <i>
      <x v="508"/>
      <x v="96"/>
      <x v="92"/>
    </i>
    <i>
      <x v="509"/>
      <x v="91"/>
      <x v="87"/>
    </i>
    <i>
      <x v="510"/>
      <x v="107"/>
      <x v="104"/>
    </i>
    <i>
      <x v="511"/>
      <x v="100"/>
      <x v="97"/>
    </i>
    <i>
      <x v="512"/>
      <x v="68"/>
      <x v="64"/>
    </i>
    <i>
      <x v="513"/>
      <x v="101"/>
      <x v="96"/>
    </i>
    <i>
      <x v="514"/>
      <x v="91"/>
      <x v="87"/>
    </i>
    <i>
      <x v="515"/>
      <x v="97"/>
      <x v="91"/>
    </i>
    <i>
      <x v="516"/>
      <x v="39"/>
      <x v="35"/>
    </i>
    <i>
      <x v="517"/>
      <x v="43"/>
      <x v="39"/>
    </i>
    <i>
      <x v="518"/>
      <x v="97"/>
      <x v="91"/>
    </i>
    <i>
      <x v="519"/>
      <x v="110"/>
      <x v="103"/>
    </i>
    <i>
      <x v="520"/>
      <x v="110"/>
      <x v="103"/>
    </i>
    <i>
      <x v="521"/>
      <x v="101"/>
      <x v="96"/>
    </i>
    <i>
      <x v="522"/>
      <x v="40"/>
      <x v="36"/>
    </i>
    <i>
      <x v="523"/>
      <x v="29"/>
      <x v="25"/>
    </i>
    <i>
      <x v="524"/>
      <x v="100"/>
      <x v="97"/>
    </i>
    <i>
      <x v="525"/>
      <x v="97"/>
      <x v="91"/>
    </i>
    <i>
      <x v="526"/>
      <x v="86"/>
      <x v="74"/>
    </i>
    <i>
      <x v="527"/>
      <x v="62"/>
      <x v="58"/>
    </i>
    <i>
      <x v="528"/>
      <x v="79"/>
      <x v="81"/>
    </i>
    <i>
      <x v="529"/>
      <x v="79"/>
      <x v="81"/>
    </i>
    <i>
      <x v="530"/>
      <x v="79"/>
      <x v="81"/>
    </i>
    <i>
      <x v="531"/>
      <x v="93"/>
      <x v="90"/>
    </i>
    <i>
      <x v="532"/>
      <x v="68"/>
      <x v="64"/>
    </i>
    <i>
      <x v="533"/>
      <x v="68"/>
      <x v="64"/>
    </i>
    <i>
      <x v="534"/>
      <x v="100"/>
      <x v="97"/>
    </i>
    <i>
      <x v="535"/>
      <x v="74"/>
      <x v="70"/>
    </i>
    <i>
      <x v="536"/>
      <x v="62"/>
      <x v="58"/>
    </i>
    <i>
      <x v="537"/>
      <x v="42"/>
      <x v="40"/>
    </i>
    <i>
      <x v="538"/>
      <x v="86"/>
      <x v="74"/>
    </i>
    <i>
      <x v="539"/>
      <x v="72"/>
      <x v="68"/>
    </i>
    <i>
      <x v="540"/>
      <x v="43"/>
      <x v="39"/>
    </i>
    <i>
      <x v="541"/>
      <x v="101"/>
      <x v="96"/>
    </i>
    <i>
      <x v="542"/>
      <x v="86"/>
      <x v="74"/>
    </i>
    <i>
      <x v="543"/>
      <x v="62"/>
      <x v="58"/>
    </i>
    <i>
      <x v="544"/>
      <x v="98"/>
      <x v="94"/>
    </i>
    <i>
      <x v="545"/>
      <x v="68"/>
      <x v="64"/>
    </i>
    <i>
      <x v="546"/>
      <x v="51"/>
      <x v="44"/>
    </i>
    <i>
      <x v="547"/>
      <x v="101"/>
      <x v="96"/>
    </i>
    <i>
      <x v="548"/>
      <x v="51"/>
      <x v="44"/>
    </i>
    <i>
      <x v="549"/>
      <x v="61"/>
      <x v="55"/>
    </i>
    <i>
      <x v="550"/>
      <x v="16"/>
      <x v="15"/>
    </i>
    <i>
      <x v="551"/>
      <x v="68"/>
      <x v="64"/>
    </i>
    <i>
      <x v="552"/>
      <x v="107"/>
      <x v="104"/>
    </i>
    <i>
      <x v="553"/>
      <x v="47"/>
      <x v="46"/>
    </i>
    <i>
      <x v="554"/>
      <x v="107"/>
      <x v="104"/>
    </i>
    <i>
      <x v="555"/>
      <x v="51"/>
      <x v="44"/>
    </i>
    <i>
      <x v="556"/>
      <x v="68"/>
      <x v="64"/>
    </i>
    <i>
      <x v="557"/>
      <x v="127"/>
      <x v="114"/>
    </i>
    <i>
      <x v="558"/>
      <x v="127"/>
      <x v="114"/>
    </i>
    <i>
      <x v="559"/>
      <x v="117"/>
      <x v="110"/>
    </i>
    <i>
      <x v="560"/>
      <x v="117"/>
      <x v="110"/>
    </i>
    <i>
      <x v="561"/>
      <x v="110"/>
      <x v="103"/>
    </i>
    <i>
      <x v="562"/>
      <x v="86"/>
      <x v="74"/>
    </i>
    <i>
      <x v="563"/>
      <x v="19"/>
      <x v="18"/>
    </i>
    <i>
      <x v="564"/>
      <x v="51"/>
      <x v="44"/>
    </i>
    <i>
      <x v="565"/>
      <x v="8"/>
      <x v="13"/>
    </i>
    <i>
      <x v="566"/>
      <x v="86"/>
      <x v="74"/>
    </i>
    <i>
      <x v="567"/>
      <x v="127"/>
      <x v="114"/>
    </i>
    <i>
      <x v="568"/>
      <x v="66"/>
      <x v="57"/>
    </i>
    <i>
      <x v="569"/>
      <x v="66"/>
      <x v="57"/>
    </i>
    <i>
      <x v="570"/>
      <x v="8"/>
      <x v="13"/>
    </i>
    <i>
      <x v="571"/>
      <x v="49"/>
      <x v="48"/>
    </i>
    <i>
      <x v="572"/>
      <x v="49"/>
      <x v="48"/>
    </i>
    <i>
      <x v="573"/>
      <x v="49"/>
      <x v="48"/>
    </i>
    <i>
      <x v="574"/>
      <x v="72"/>
      <x v="68"/>
    </i>
    <i>
      <x v="575"/>
      <x v="49"/>
      <x v="48"/>
    </i>
    <i>
      <x v="576"/>
      <x v="86"/>
      <x v="74"/>
    </i>
    <i>
      <x v="577"/>
      <x v="110"/>
      <x v="103"/>
    </i>
    <i>
      <x v="578"/>
      <x v="3"/>
      <x v="6"/>
    </i>
    <i>
      <x v="579"/>
      <x v="86"/>
      <x v="74"/>
    </i>
    <i>
      <x v="580"/>
      <x v="80"/>
      <x v="76"/>
    </i>
    <i>
      <x v="581"/>
      <x v="100"/>
      <x v="97"/>
    </i>
    <i>
      <x v="582"/>
      <x v="110"/>
      <x v="103"/>
    </i>
    <i>
      <x v="583"/>
      <x v="86"/>
      <x v="74"/>
    </i>
    <i>
      <x v="584"/>
      <x v="100"/>
      <x v="97"/>
    </i>
    <i>
      <x v="585"/>
      <x v="110"/>
      <x v="103"/>
    </i>
    <i>
      <x v="586"/>
      <x v="86"/>
      <x v="74"/>
    </i>
    <i>
      <x v="587"/>
      <x v="110"/>
      <x v="103"/>
    </i>
    <i>
      <x v="588"/>
      <x v="86"/>
      <x v="74"/>
    </i>
    <i>
      <x v="589"/>
      <x v="100"/>
      <x v="97"/>
    </i>
    <i>
      <x v="590"/>
      <x v="101"/>
      <x v="96"/>
    </i>
    <i>
      <x v="591"/>
      <x v="51"/>
      <x v="44"/>
    </i>
    <i>
      <x v="592"/>
      <x v="29"/>
      <x v="25"/>
    </i>
    <i>
      <x v="593"/>
      <x v="51"/>
      <x v="44"/>
    </i>
    <i>
      <x v="594"/>
      <x v="110"/>
      <x v="103"/>
    </i>
    <i>
      <x v="595"/>
      <x v="110"/>
      <x v="103"/>
    </i>
    <i>
      <x v="596"/>
      <x v="72"/>
      <x v="68"/>
    </i>
    <i>
      <x v="597"/>
      <x v="74"/>
      <x v="70"/>
    </i>
    <i>
      <x v="598"/>
      <x v="74"/>
      <x v="70"/>
    </i>
    <i>
      <x v="599"/>
      <x v="86"/>
      <x v="74"/>
    </i>
    <i>
      <x v="600"/>
      <x v="79"/>
      <x v="81"/>
    </i>
    <i>
      <x v="601"/>
      <x v="79"/>
      <x v="81"/>
    </i>
    <i>
      <x v="602"/>
      <x v="110"/>
      <x v="103"/>
    </i>
    <i>
      <x v="603"/>
      <x v="3"/>
      <x v="6"/>
    </i>
    <i>
      <x v="604"/>
      <x v="86"/>
      <x v="74"/>
    </i>
    <i>
      <x v="605"/>
      <x v="66"/>
      <x v="57"/>
    </i>
    <i>
      <x v="606"/>
      <x v="66"/>
      <x v="57"/>
    </i>
    <i>
      <x v="607"/>
      <x v="132"/>
      <x v="131"/>
    </i>
    <i>
      <x v="608"/>
      <x v="62"/>
      <x v="58"/>
    </i>
    <i>
      <x v="609"/>
      <x v="62"/>
      <x v="58"/>
    </i>
    <i>
      <x v="610"/>
      <x v="127"/>
      <x v="114"/>
    </i>
    <i>
      <x v="611"/>
      <x v="51"/>
      <x v="44"/>
    </i>
    <i>
      <x v="612"/>
      <x v="51"/>
      <x v="44"/>
    </i>
    <i>
      <x v="613"/>
      <x v="50"/>
      <x v="42"/>
    </i>
    <i>
      <x v="614"/>
      <x v="46"/>
      <x v="49"/>
    </i>
    <i>
      <x v="615"/>
      <x v="49"/>
      <x v="48"/>
    </i>
    <i>
      <x v="616"/>
      <x v="74"/>
      <x v="70"/>
    </i>
    <i>
      <x v="617"/>
      <x v="74"/>
      <x v="70"/>
    </i>
    <i>
      <x v="618"/>
      <x v="12"/>
      <x v="9"/>
    </i>
    <i>
      <x v="619"/>
      <x v="72"/>
      <x v="68"/>
    </i>
    <i>
      <x v="620"/>
      <x v="100"/>
      <x v="97"/>
    </i>
    <i>
      <x v="621"/>
      <x v="131"/>
      <x v="123"/>
    </i>
    <i>
      <x v="622"/>
      <x v="105"/>
      <x v="124"/>
    </i>
    <i>
      <x v="623"/>
      <x v="129"/>
      <x v="122"/>
    </i>
    <i>
      <x v="624"/>
      <x v="62"/>
      <x v="58"/>
    </i>
    <i>
      <x v="625"/>
      <x v="29"/>
      <x v="25"/>
    </i>
    <i>
      <x v="626"/>
      <x v="12"/>
      <x v="9"/>
    </i>
    <i>
      <x v="627"/>
      <x v="62"/>
      <x v="58"/>
    </i>
    <i>
      <x v="628"/>
      <x v="80"/>
      <x v="76"/>
    </i>
    <i>
      <x v="629"/>
      <x v="80"/>
      <x v="76"/>
    </i>
    <i>
      <x v="630"/>
      <x v="6"/>
      <x v="3"/>
    </i>
    <i>
      <x v="631"/>
      <x v="98"/>
      <x v="94"/>
    </i>
    <i>
      <x v="632"/>
      <x v="70"/>
      <x v="66"/>
    </i>
    <i>
      <x v="633"/>
      <x v="61"/>
      <x v="55"/>
    </i>
    <i>
      <x v="634"/>
      <x v="29"/>
      <x v="25"/>
    </i>
    <i>
      <x v="635"/>
      <x v="86"/>
      <x v="74"/>
    </i>
    <i>
      <x v="636"/>
      <x v="86"/>
      <x v="74"/>
    </i>
    <i>
      <x v="637"/>
      <x v="62"/>
      <x v="58"/>
    </i>
    <i>
      <x v="638"/>
      <x v="16"/>
      <x v="15"/>
    </i>
    <i>
      <x v="639"/>
      <x v="8"/>
      <x v="13"/>
    </i>
    <i>
      <x v="640"/>
      <x v="117"/>
      <x v="110"/>
    </i>
    <i>
      <x v="641"/>
      <x v="117"/>
      <x v="110"/>
    </i>
    <i>
      <x v="642"/>
      <x v="71"/>
      <x v="67"/>
    </i>
    <i>
      <x v="643"/>
      <x v="86"/>
      <x v="74"/>
    </i>
    <i>
      <x v="644"/>
      <x v="40"/>
      <x v="36"/>
    </i>
    <i>
      <x v="645"/>
      <x v="127"/>
      <x v="114"/>
    </i>
    <i>
      <x v="646"/>
      <x v="100"/>
      <x v="97"/>
    </i>
    <i>
      <x v="647"/>
      <x v="86"/>
      <x v="74"/>
    </i>
    <i>
      <x v="648"/>
      <x v="100"/>
      <x v="97"/>
    </i>
    <i>
      <x v="649"/>
      <x v="68"/>
      <x v="64"/>
    </i>
    <i>
      <x v="650"/>
      <x v="86"/>
      <x v="74"/>
    </i>
    <i>
      <x v="651"/>
      <x v="100"/>
      <x v="97"/>
    </i>
    <i>
      <x v="652"/>
      <x v="68"/>
      <x v="64"/>
    </i>
    <i>
      <x v="653"/>
      <x v="128"/>
      <x v="119"/>
    </i>
    <i>
      <x v="654"/>
      <x v="12"/>
      <x v="9"/>
    </i>
    <i>
      <x v="655"/>
      <x v="79"/>
      <x v="81"/>
    </i>
    <i>
      <x v="656"/>
      <x v="61"/>
      <x v="55"/>
    </i>
    <i>
      <x v="657"/>
      <x v="61"/>
      <x v="55"/>
    </i>
    <i>
      <x v="658"/>
      <x v="128"/>
      <x v="119"/>
    </i>
    <i>
      <x v="659"/>
      <x v="51"/>
      <x v="44"/>
    </i>
    <i>
      <x v="660"/>
      <x v="79"/>
      <x v="81"/>
    </i>
    <i>
      <x v="661"/>
      <x v="68"/>
      <x v="64"/>
    </i>
    <i>
      <x v="662"/>
      <x v="128"/>
      <x v="119"/>
    </i>
    <i>
      <x v="663"/>
      <x v="51"/>
      <x v="44"/>
    </i>
    <i>
      <x v="664"/>
      <x v="100"/>
      <x v="97"/>
    </i>
    <i>
      <x v="665"/>
      <x v="8"/>
      <x v="13"/>
    </i>
    <i>
      <x v="666"/>
      <x v="12"/>
      <x v="9"/>
    </i>
    <i>
      <x v="667"/>
      <x v="68"/>
      <x v="64"/>
    </i>
    <i>
      <x v="668"/>
      <x v="51"/>
      <x v="44"/>
    </i>
    <i>
      <x v="669"/>
      <x v="68"/>
      <x v="64"/>
    </i>
    <i>
      <x v="670"/>
      <x v="51"/>
      <x v="44"/>
    </i>
    <i>
      <x v="671"/>
      <x v="128"/>
      <x v="119"/>
    </i>
    <i>
      <x v="672"/>
      <x v="68"/>
      <x v="64"/>
    </i>
    <i>
      <x v="673"/>
      <x v="68"/>
      <x v="64"/>
    </i>
    <i>
      <x v="674"/>
      <x v="51"/>
      <x v="44"/>
    </i>
    <i>
      <x v="675"/>
      <x v="100"/>
      <x v="97"/>
    </i>
    <i>
      <x v="676"/>
      <x v="128"/>
      <x v="119"/>
    </i>
    <i>
      <x v="677"/>
      <x v="87"/>
      <x v="79"/>
    </i>
    <i>
      <x v="678"/>
      <x v="128"/>
      <x v="119"/>
    </i>
    <i>
      <x v="679"/>
      <x v="68"/>
      <x v="64"/>
    </i>
    <i>
      <x v="680"/>
      <x v="51"/>
      <x v="44"/>
    </i>
    <i>
      <x v="681"/>
      <x v="51"/>
      <x v="44"/>
    </i>
    <i>
      <x v="682"/>
      <x v="100"/>
      <x v="97"/>
    </i>
    <i>
      <x v="683"/>
      <x v="128"/>
      <x v="119"/>
    </i>
    <i>
      <x v="684"/>
      <x v="68"/>
      <x v="64"/>
    </i>
    <i>
      <x v="685"/>
      <x v="87"/>
      <x v="79"/>
    </i>
    <i>
      <x v="686"/>
      <x v="68"/>
      <x v="64"/>
    </i>
    <i>
      <x v="687"/>
      <x v="72"/>
      <x v="68"/>
    </i>
    <i>
      <x v="688"/>
      <x v="7"/>
      <x v="5"/>
    </i>
    <i>
      <x v="689"/>
      <x v="68"/>
      <x v="64"/>
    </i>
    <i>
      <x v="690"/>
      <x v="128"/>
      <x v="119"/>
    </i>
    <i>
      <x v="691"/>
      <x v="74"/>
      <x v="70"/>
    </i>
    <i>
      <x v="692"/>
      <x v="74"/>
      <x v="70"/>
    </i>
    <i>
      <x v="693"/>
      <x v="101"/>
      <x v="96"/>
    </i>
    <i>
      <x v="694"/>
      <x v="117"/>
      <x v="110"/>
    </i>
    <i>
      <x v="695"/>
      <x v="51"/>
      <x v="44"/>
    </i>
    <i>
      <x v="696"/>
      <x v="128"/>
      <x v="119"/>
    </i>
    <i>
      <x v="697"/>
      <x v="62"/>
      <x v="58"/>
    </i>
    <i>
      <x v="698"/>
      <x v="127"/>
      <x v="114"/>
    </i>
    <i>
      <x v="699"/>
      <x v="127"/>
      <x v="114"/>
    </i>
    <i>
      <x v="700"/>
      <x v="127"/>
      <x v="114"/>
    </i>
    <i>
      <x v="701"/>
      <x v="128"/>
      <x v="119"/>
    </i>
    <i>
      <x v="702"/>
      <x v="70"/>
      <x v="66"/>
    </i>
    <i>
      <x v="703"/>
      <x v="68"/>
      <x v="64"/>
    </i>
    <i>
      <x v="704"/>
      <x v="107"/>
      <x v="104"/>
    </i>
    <i>
      <x v="705"/>
      <x v="53"/>
      <x v="43"/>
    </i>
    <i>
      <x v="706"/>
      <x v="53"/>
      <x v="43"/>
    </i>
    <i>
      <x v="707"/>
      <x v="15"/>
      <x v="11"/>
    </i>
    <i>
      <x v="708"/>
      <x v="15"/>
      <x v="11"/>
    </i>
    <i>
      <x v="709"/>
      <x v="15"/>
      <x v="11"/>
    </i>
    <i>
      <x v="710"/>
      <x v="100"/>
      <x v="97"/>
    </i>
    <i>
      <x v="711"/>
      <x v="129"/>
      <x v="122"/>
    </i>
    <i>
      <x v="712"/>
      <x v="119"/>
      <x v="129"/>
    </i>
    <i>
      <x v="713"/>
      <x v="62"/>
      <x v="58"/>
    </i>
    <i>
      <x v="714"/>
      <x v="62"/>
      <x v="58"/>
    </i>
    <i>
      <x v="715"/>
      <x v="62"/>
      <x v="58"/>
    </i>
    <i>
      <x v="716"/>
      <x v="68"/>
      <x v="64"/>
    </i>
    <i>
      <x v="717"/>
      <x v="68"/>
      <x v="64"/>
    </i>
    <i>
      <x v="718"/>
      <x v="110"/>
      <x v="103"/>
    </i>
    <i>
      <x v="719"/>
      <x v="124"/>
      <x v="112"/>
    </i>
    <i>
      <x v="720"/>
      <x v="49"/>
      <x v="48"/>
    </i>
    <i>
      <x v="721"/>
      <x v="72"/>
      <x v="68"/>
    </i>
    <i>
      <x v="722"/>
      <x v="16"/>
      <x v="15"/>
    </i>
    <i>
      <x v="723"/>
      <x v="128"/>
      <x v="119"/>
    </i>
    <i>
      <x v="724"/>
      <x v="61"/>
      <x v="55"/>
    </i>
    <i>
      <x v="725"/>
      <x v="128"/>
      <x v="119"/>
    </i>
    <i>
      <x v="726"/>
      <x v="86"/>
      <x v="74"/>
    </i>
    <i>
      <x v="727"/>
      <x v="62"/>
      <x v="58"/>
    </i>
    <i>
      <x v="728"/>
      <x v="62"/>
      <x v="58"/>
    </i>
    <i>
      <x v="729"/>
      <x v="51"/>
      <x v="44"/>
    </i>
    <i>
      <x v="730"/>
      <x v="128"/>
      <x v="119"/>
    </i>
    <i>
      <x v="731"/>
      <x v="51"/>
      <x v="44"/>
    </i>
    <i>
      <x v="732"/>
      <x v="74"/>
      <x v="70"/>
    </i>
    <i>
      <x v="733"/>
      <x v="101"/>
      <x v="96"/>
    </i>
    <i>
      <x v="734"/>
      <x v="101"/>
      <x v="96"/>
    </i>
    <i>
      <x v="735"/>
      <x v="62"/>
      <x v="58"/>
    </i>
    <i>
      <x v="736"/>
      <x v="86"/>
      <x v="74"/>
    </i>
    <i>
      <x v="737"/>
      <x v="128"/>
      <x v="119"/>
    </i>
    <i>
      <x v="738"/>
      <x v="51"/>
      <x v="44"/>
    </i>
    <i>
      <x v="739"/>
      <x v="100"/>
      <x v="97"/>
    </i>
    <i>
      <x v="740"/>
      <x v="51"/>
      <x v="44"/>
    </i>
    <i>
      <x v="741"/>
      <x v="68"/>
      <x v="64"/>
    </i>
    <i>
      <x v="742"/>
      <x v="100"/>
      <x v="97"/>
    </i>
    <i>
      <x v="743"/>
      <x v="86"/>
      <x v="74"/>
    </i>
    <i>
      <x v="744"/>
      <x v="62"/>
      <x v="58"/>
    </i>
    <i>
      <x v="745"/>
      <x v="40"/>
      <x v="36"/>
    </i>
    <i>
      <x v="746"/>
      <x v="98"/>
      <x v="94"/>
    </i>
    <i>
      <x v="747"/>
      <x v="68"/>
      <x v="64"/>
    </i>
    <i>
      <x v="748"/>
      <x v="86"/>
      <x v="74"/>
    </i>
    <i>
      <x v="749"/>
      <x v="79"/>
      <x v="81"/>
    </i>
    <i>
      <x v="750"/>
      <x v="51"/>
      <x v="44"/>
    </i>
    <i>
      <x v="751"/>
      <x v="100"/>
      <x v="97"/>
    </i>
    <i>
      <x v="752"/>
      <x v="51"/>
      <x v="44"/>
    </i>
    <i>
      <x v="753"/>
      <x v="100"/>
      <x v="97"/>
    </i>
    <i>
      <x v="754"/>
      <x v="68"/>
      <x v="64"/>
    </i>
    <i>
      <x v="755"/>
      <x v="51"/>
      <x v="44"/>
    </i>
    <i>
      <x v="756"/>
      <x v="128"/>
      <x v="119"/>
    </i>
    <i>
      <x v="757"/>
      <x v="86"/>
      <x v="74"/>
    </i>
    <i>
      <x v="758"/>
      <x v="86"/>
      <x v="74"/>
    </i>
    <i>
      <x v="759"/>
      <x v="99"/>
      <x v="95"/>
    </i>
    <i>
      <x v="760"/>
      <x v="79"/>
      <x v="81"/>
    </i>
    <i>
      <x v="761"/>
      <x v="51"/>
      <x v="44"/>
    </i>
    <i>
      <x v="762"/>
      <x v="47"/>
      <x v="46"/>
    </i>
    <i>
      <x v="763"/>
      <x v="47"/>
      <x v="46"/>
    </i>
    <i>
      <x v="764"/>
      <x v="68"/>
      <x v="64"/>
    </i>
    <i>
      <x v="765"/>
      <x v="110"/>
      <x v="103"/>
    </i>
    <i>
      <x v="766"/>
      <x v="62"/>
      <x v="58"/>
    </i>
    <i>
      <x v="767"/>
      <x v="101"/>
      <x v="96"/>
    </i>
    <i>
      <x v="768"/>
      <x/>
      <x/>
    </i>
    <i>
      <x v="769"/>
      <x v="86"/>
      <x v="74"/>
    </i>
    <i>
      <x v="770"/>
      <x v="101"/>
      <x v="96"/>
    </i>
    <i>
      <x v="771"/>
      <x v="110"/>
      <x v="103"/>
    </i>
    <i>
      <x v="772"/>
      <x v="6"/>
      <x v="3"/>
    </i>
    <i>
      <x v="773"/>
      <x v="6"/>
      <x v="3"/>
    </i>
    <i>
      <x v="774"/>
      <x v="63"/>
      <x v="56"/>
    </i>
    <i>
      <x v="775"/>
      <x v="63"/>
      <x v="56"/>
    </i>
    <i>
      <x v="776"/>
      <x v="79"/>
      <x v="81"/>
    </i>
    <i>
      <x v="777"/>
      <x v="101"/>
      <x v="96"/>
    </i>
    <i>
      <x v="778"/>
      <x v="101"/>
      <x v="96"/>
    </i>
    <i>
      <x v="779"/>
      <x v="63"/>
      <x v="56"/>
    </i>
    <i>
      <x v="780"/>
      <x v="117"/>
      <x v="110"/>
    </i>
    <i>
      <x v="781"/>
      <x v="117"/>
      <x v="110"/>
    </i>
    <i>
      <x v="782"/>
      <x v="72"/>
      <x v="68"/>
    </i>
    <i>
      <x v="783"/>
      <x v="62"/>
      <x v="58"/>
    </i>
    <i>
      <x v="784"/>
      <x v="68"/>
      <x v="64"/>
    </i>
    <i>
      <x v="785"/>
      <x v="74"/>
      <x v="70"/>
    </i>
    <i>
      <x v="786"/>
      <x v="72"/>
      <x v="68"/>
    </i>
    <i>
      <x v="787"/>
      <x v="3"/>
      <x v="6"/>
    </i>
    <i>
      <x v="788"/>
      <x v="68"/>
      <x v="64"/>
    </i>
    <i>
      <x v="789"/>
      <x v="79"/>
      <x v="81"/>
    </i>
    <i>
      <x v="790"/>
      <x v="63"/>
      <x v="56"/>
    </i>
    <i>
      <x v="791"/>
      <x v="127"/>
      <x v="114"/>
    </i>
    <i>
      <x v="792"/>
      <x v="86"/>
      <x v="74"/>
    </i>
    <i>
      <x v="793"/>
      <x v="127"/>
      <x v="114"/>
    </i>
    <i>
      <x v="794"/>
      <x v="127"/>
      <x v="114"/>
    </i>
    <i>
      <x v="795"/>
      <x v="127"/>
      <x v="114"/>
    </i>
    <i>
      <x v="796"/>
      <x v="117"/>
      <x v="110"/>
    </i>
    <i>
      <x v="797"/>
      <x v="127"/>
      <x v="114"/>
    </i>
    <i>
      <x v="798"/>
      <x v="110"/>
      <x v="103"/>
    </i>
    <i>
      <x v="799"/>
      <x v="68"/>
      <x v="64"/>
    </i>
    <i>
      <x v="800"/>
      <x v="79"/>
      <x v="81"/>
    </i>
    <i>
      <x v="801"/>
      <x v="79"/>
      <x v="81"/>
    </i>
    <i>
      <x v="802"/>
      <x v="74"/>
      <x v="70"/>
    </i>
    <i>
      <x v="803"/>
      <x v="110"/>
      <x v="103"/>
    </i>
    <i>
      <x v="804"/>
      <x v="86"/>
      <x v="74"/>
    </i>
    <i>
      <x v="805"/>
      <x v="100"/>
      <x v="97"/>
    </i>
    <i>
      <x v="806"/>
      <x v="62"/>
      <x v="58"/>
    </i>
    <i>
      <x v="807"/>
      <x v="86"/>
      <x v="74"/>
    </i>
    <i>
      <x v="808"/>
      <x v="68"/>
      <x v="64"/>
    </i>
    <i>
      <x v="809"/>
      <x v="100"/>
      <x v="97"/>
    </i>
    <i>
      <x v="810"/>
      <x v="101"/>
      <x v="96"/>
    </i>
    <i>
      <x v="811"/>
      <x v="51"/>
      <x v="44"/>
    </i>
    <i>
      <x v="812"/>
      <x v="101"/>
      <x v="96"/>
    </i>
    <i>
      <x v="813"/>
      <x v="87"/>
      <x v="79"/>
    </i>
    <i>
      <x v="814"/>
      <x v="86"/>
      <x v="74"/>
    </i>
    <i>
      <x v="815"/>
      <x v="68"/>
      <x v="64"/>
    </i>
    <i>
      <x v="816"/>
      <x v="100"/>
      <x v="97"/>
    </i>
    <i>
      <x v="817"/>
      <x v="29"/>
      <x v="25"/>
    </i>
    <i>
      <x v="818"/>
      <x v="101"/>
      <x v="96"/>
    </i>
    <i>
      <x v="819"/>
      <x v="30"/>
      <x v="26"/>
    </i>
    <i>
      <x v="820"/>
      <x v="79"/>
      <x v="81"/>
    </i>
    <i>
      <x v="821"/>
      <x v="57"/>
      <x v="54"/>
    </i>
    <i>
      <x v="822"/>
      <x v="100"/>
      <x v="97"/>
    </i>
    <i>
      <x v="823"/>
      <x v="101"/>
      <x v="96"/>
    </i>
    <i>
      <x v="824"/>
      <x v="6"/>
      <x v="3"/>
    </i>
    <i>
      <x v="825"/>
      <x v="80"/>
      <x v="76"/>
    </i>
    <i>
      <x v="826"/>
      <x v="86"/>
      <x v="74"/>
    </i>
    <i>
      <x v="827"/>
      <x v="62"/>
      <x v="58"/>
    </i>
    <i>
      <x v="828"/>
      <x v="68"/>
      <x v="64"/>
    </i>
    <i>
      <x v="829"/>
      <x v="47"/>
      <x v="46"/>
    </i>
    <i>
      <x v="830"/>
      <x v="51"/>
      <x v="44"/>
    </i>
    <i>
      <x v="831"/>
      <x v="127"/>
      <x v="114"/>
    </i>
    <i>
      <x v="832"/>
      <x v="127"/>
      <x v="114"/>
    </i>
    <i>
      <x v="833"/>
      <x v="127"/>
      <x v="114"/>
    </i>
    <i>
      <x v="834"/>
      <x v="3"/>
      <x v="6"/>
    </i>
    <i>
      <x v="835"/>
      <x v="98"/>
      <x v="94"/>
    </i>
    <i>
      <x v="836"/>
      <x v="110"/>
      <x v="103"/>
    </i>
    <i>
      <x v="837"/>
      <x v="123"/>
      <x v="113"/>
    </i>
    <i>
      <x v="838"/>
      <x v="123"/>
      <x v="113"/>
    </i>
    <i>
      <x v="839"/>
      <x v="132"/>
      <x v="131"/>
    </i>
    <i>
      <x v="840"/>
      <x v="94"/>
      <x v="89"/>
    </i>
    <i>
      <x v="841"/>
      <x v="117"/>
      <x v="110"/>
    </i>
    <i>
      <x v="842"/>
      <x v="51"/>
      <x v="44"/>
    </i>
    <i>
      <x v="843"/>
      <x v="74"/>
      <x v="70"/>
    </i>
    <i>
      <x v="844"/>
      <x v="16"/>
      <x v="15"/>
    </i>
    <i>
      <x v="845"/>
      <x v="51"/>
      <x v="44"/>
    </i>
    <i>
      <x v="846"/>
      <x v="51"/>
      <x v="44"/>
    </i>
    <i>
      <x v="847"/>
      <x v="86"/>
      <x v="74"/>
    </i>
    <i>
      <x v="848"/>
      <x v="93"/>
      <x v="90"/>
    </i>
    <i>
      <x v="849"/>
      <x v="97"/>
      <x v="91"/>
    </i>
    <i>
      <x v="850"/>
      <x v="68"/>
      <x v="64"/>
    </i>
    <i>
      <x v="851"/>
      <x v="68"/>
      <x v="64"/>
    </i>
    <i>
      <x v="852"/>
      <x v="8"/>
      <x v="13"/>
    </i>
    <i>
      <x v="853"/>
      <x v="40"/>
      <x v="36"/>
    </i>
    <i>
      <x v="854"/>
      <x v="47"/>
      <x v="46"/>
    </i>
    <i>
      <x v="855"/>
      <x v="87"/>
      <x v="79"/>
    </i>
    <i>
      <x v="856"/>
      <x v="87"/>
      <x v="79"/>
    </i>
    <i>
      <x v="857"/>
      <x v="86"/>
      <x v="74"/>
    </i>
    <i>
      <x v="858"/>
      <x v="117"/>
      <x v="110"/>
    </i>
    <i>
      <x v="859"/>
      <x v="47"/>
      <x v="46"/>
    </i>
    <i>
      <x v="860"/>
      <x v="86"/>
      <x v="74"/>
    </i>
    <i>
      <x v="861"/>
      <x v="62"/>
      <x v="58"/>
    </i>
    <i>
      <x v="862"/>
      <x v="79"/>
      <x v="81"/>
    </i>
    <i>
      <x v="863"/>
      <x v="17"/>
      <x v="16"/>
    </i>
    <i>
      <x v="864"/>
      <x v="61"/>
      <x v="55"/>
    </i>
    <i>
      <x v="865"/>
      <x v="61"/>
      <x v="55"/>
    </i>
    <i>
      <x v="866"/>
      <x v="12"/>
      <x v="9"/>
    </i>
    <i>
      <x v="867"/>
      <x v="97"/>
      <x v="91"/>
    </i>
    <i>
      <x v="868"/>
      <x v="12"/>
      <x v="9"/>
    </i>
    <i>
      <x v="869"/>
      <x v="68"/>
      <x v="64"/>
    </i>
    <i>
      <x v="870"/>
      <x v="8"/>
      <x v="13"/>
    </i>
    <i>
      <x v="871"/>
      <x v="32"/>
      <x v="28"/>
    </i>
    <i>
      <x v="872"/>
      <x v="86"/>
      <x v="74"/>
    </i>
    <i>
      <x v="873"/>
      <x v="117"/>
      <x v="110"/>
    </i>
    <i>
      <x v="874"/>
      <x v="12"/>
      <x v="9"/>
    </i>
    <i>
      <x v="875"/>
      <x v="79"/>
      <x v="81"/>
    </i>
    <i>
      <x v="876"/>
      <x v="132"/>
      <x v="131"/>
    </i>
    <i>
      <x v="877"/>
      <x v="46"/>
      <x v="49"/>
    </i>
    <i>
      <x v="878"/>
      <x v="62"/>
      <x v="58"/>
    </i>
    <i>
      <x v="879"/>
      <x v="112"/>
      <x v="105"/>
    </i>
    <i>
      <x v="880"/>
      <x v="68"/>
      <x v="64"/>
    </i>
    <i>
      <x v="881"/>
      <x v="12"/>
      <x v="9"/>
    </i>
    <i>
      <x v="882"/>
      <x v="51"/>
      <x v="44"/>
    </i>
    <i>
      <x v="883"/>
      <x v="79"/>
      <x v="81"/>
    </i>
    <i>
      <x v="884"/>
      <x v="98"/>
      <x v="94"/>
    </i>
    <i>
      <x v="885"/>
      <x v="79"/>
      <x v="81"/>
    </i>
    <i>
      <x v="886"/>
      <x v="68"/>
      <x v="64"/>
    </i>
    <i>
      <x v="887"/>
      <x v="86"/>
      <x v="74"/>
    </i>
    <i>
      <x v="888"/>
      <x v="51"/>
      <x v="44"/>
    </i>
    <i>
      <x v="889"/>
      <x v="110"/>
      <x v="103"/>
    </i>
    <i>
      <x v="890"/>
      <x v="110"/>
      <x v="103"/>
    </i>
    <i>
      <x v="891"/>
      <x v="110"/>
      <x v="103"/>
    </i>
    <i>
      <x v="892"/>
      <x v="125"/>
      <x v="118"/>
    </i>
    <i>
      <x v="893"/>
      <x v="125"/>
      <x v="118"/>
    </i>
    <i>
      <x v="894"/>
      <x v="125"/>
      <x v="118"/>
    </i>
    <i>
      <x v="895"/>
      <x v="100"/>
      <x v="97"/>
    </i>
    <i>
      <x v="896"/>
      <x v="101"/>
      <x v="96"/>
    </i>
    <i>
      <x v="897"/>
      <x v="74"/>
      <x v="70"/>
    </i>
    <i>
      <x v="898"/>
      <x v="86"/>
      <x v="74"/>
    </i>
    <i>
      <x v="899"/>
      <x v="68"/>
      <x v="64"/>
    </i>
    <i>
      <x v="900"/>
      <x v="51"/>
      <x v="44"/>
    </i>
    <i>
      <x v="901"/>
      <x v="100"/>
      <x v="97"/>
    </i>
    <i>
      <x v="902"/>
      <x v="74"/>
      <x v="70"/>
    </i>
    <i>
      <x v="903"/>
      <x v="110"/>
      <x v="103"/>
    </i>
    <i>
      <x v="904"/>
      <x v="125"/>
      <x v="118"/>
    </i>
    <i>
      <x v="905"/>
      <x v="51"/>
      <x v="44"/>
    </i>
    <i>
      <x v="906"/>
      <x v="100"/>
      <x v="97"/>
    </i>
    <i>
      <x v="907"/>
      <x v="79"/>
      <x v="81"/>
    </i>
    <i>
      <x v="908"/>
      <x v="12"/>
      <x v="9"/>
    </i>
    <i>
      <x v="909"/>
      <x v="72"/>
      <x v="68"/>
    </i>
    <i>
      <x v="910"/>
      <x v="8"/>
      <x v="13"/>
    </i>
    <i>
      <x v="911"/>
      <x v="87"/>
      <x v="79"/>
    </i>
    <i>
      <x v="912"/>
      <x v="79"/>
      <x v="81"/>
    </i>
    <i>
      <x v="913"/>
      <x v="12"/>
      <x v="9"/>
    </i>
    <i>
      <x v="914"/>
      <x v="51"/>
      <x v="44"/>
    </i>
    <i>
      <x v="915"/>
      <x v="68"/>
      <x v="64"/>
    </i>
    <i>
      <x v="916"/>
      <x v="68"/>
      <x v="64"/>
    </i>
    <i>
      <x v="917"/>
      <x v="68"/>
      <x v="64"/>
    </i>
    <i>
      <x v="918"/>
      <x v="100"/>
      <x v="97"/>
    </i>
    <i>
      <x v="919"/>
      <x v="101"/>
      <x v="96"/>
    </i>
    <i>
      <x v="920"/>
      <x v="101"/>
      <x v="96"/>
    </i>
    <i>
      <x v="921"/>
      <x v="42"/>
      <x v="40"/>
    </i>
    <i>
      <x v="922"/>
      <x v="12"/>
      <x v="9"/>
    </i>
    <i>
      <x v="923"/>
      <x v="100"/>
      <x v="97"/>
    </i>
    <i>
      <x v="924"/>
      <x v="25"/>
      <x v="23"/>
    </i>
    <i>
      <x v="925"/>
      <x v="43"/>
      <x v="39"/>
    </i>
    <i>
      <x v="926"/>
      <x v="79"/>
      <x v="81"/>
    </i>
    <i>
      <x v="927"/>
      <x v="86"/>
      <x v="74"/>
    </i>
    <i>
      <x v="928"/>
      <x v="23"/>
      <x v="22"/>
    </i>
    <i>
      <x v="929"/>
      <x v="86"/>
      <x v="74"/>
    </i>
    <i>
      <x v="930"/>
      <x v="80"/>
      <x v="76"/>
    </i>
    <i>
      <x v="931"/>
      <x v="86"/>
      <x v="74"/>
    </i>
    <i>
      <x v="932"/>
      <x v="3"/>
      <x v="6"/>
    </i>
    <i>
      <x v="933"/>
      <x v="87"/>
      <x v="79"/>
    </i>
    <i>
      <x v="934"/>
      <x v="87"/>
      <x v="79"/>
    </i>
    <i>
      <x v="935"/>
      <x v="101"/>
      <x v="96"/>
    </i>
    <i>
      <x v="936"/>
      <x v="74"/>
      <x v="70"/>
    </i>
    <i>
      <x v="937"/>
      <x v="110"/>
      <x v="103"/>
    </i>
    <i>
      <x v="938"/>
      <x v="87"/>
      <x v="79"/>
    </i>
    <i>
      <x v="939"/>
      <x v="127"/>
      <x v="114"/>
    </i>
    <i>
      <x v="940"/>
      <x v="127"/>
      <x v="114"/>
    </i>
    <i>
      <x v="941"/>
      <x v="110"/>
      <x v="103"/>
    </i>
    <i>
      <x v="942"/>
      <x v="110"/>
      <x v="103"/>
    </i>
    <i>
      <x v="943"/>
      <x v="101"/>
      <x v="96"/>
    </i>
    <i>
      <x v="944"/>
      <x v="86"/>
      <x v="74"/>
    </i>
    <i>
      <x v="945"/>
      <x v="86"/>
      <x v="74"/>
    </i>
    <i>
      <x v="946"/>
      <x v="79"/>
      <x v="81"/>
    </i>
    <i>
      <x v="947"/>
      <x v="62"/>
      <x v="58"/>
    </i>
    <i>
      <x v="948"/>
      <x v="127"/>
      <x v="114"/>
    </i>
    <i>
      <x v="949"/>
      <x v="47"/>
      <x v="46"/>
    </i>
    <i>
      <x v="950"/>
      <x v="47"/>
      <x v="46"/>
    </i>
    <i>
      <x v="951"/>
      <x v="16"/>
      <x v="15"/>
    </i>
    <i>
      <x v="952"/>
      <x v="36"/>
      <x v="32"/>
    </i>
    <i>
      <x v="953"/>
      <x v="53"/>
      <x v="43"/>
    </i>
    <i>
      <x v="954"/>
      <x v="68"/>
      <x v="64"/>
    </i>
    <i>
      <x v="955"/>
      <x v="110"/>
      <x v="103"/>
    </i>
    <i>
      <x v="956"/>
      <x v="110"/>
      <x v="103"/>
    </i>
    <i>
      <x v="957"/>
      <x v="71"/>
      <x v="67"/>
    </i>
    <i>
      <x v="958"/>
      <x v="40"/>
      <x v="36"/>
    </i>
    <i>
      <x v="959"/>
      <x v="19"/>
      <x v="18"/>
    </i>
    <i>
      <x v="960"/>
      <x v="68"/>
      <x v="64"/>
    </i>
    <i>
      <x v="961"/>
      <x v="127"/>
      <x v="114"/>
    </i>
    <i>
      <x v="962"/>
      <x v="2"/>
      <x v="1"/>
    </i>
    <i>
      <x v="963"/>
      <x v="117"/>
      <x v="110"/>
    </i>
    <i>
      <x v="964"/>
      <x v="117"/>
      <x v="110"/>
    </i>
    <i>
      <x v="965"/>
      <x v="132"/>
      <x v="131"/>
    </i>
    <i>
      <x v="966"/>
      <x v="3"/>
      <x v="6"/>
    </i>
    <i>
      <x v="967"/>
      <x v="7"/>
      <x v="5"/>
    </i>
    <i>
      <x v="968"/>
      <x v="43"/>
      <x v="39"/>
    </i>
    <i>
      <x v="969"/>
      <x v="61"/>
      <x v="55"/>
    </i>
    <i>
      <x v="970"/>
      <x v="86"/>
      <x v="74"/>
    </i>
    <i>
      <x v="971"/>
      <x v="86"/>
      <x v="74"/>
    </i>
    <i>
      <x v="972"/>
      <x/>
      <x/>
    </i>
    <i>
      <x v="973"/>
      <x v="62"/>
      <x v="58"/>
    </i>
    <i>
      <x v="974"/>
      <x v="123"/>
      <x v="113"/>
    </i>
    <i>
      <x v="975"/>
      <x v="71"/>
      <x v="67"/>
    </i>
    <i>
      <x v="976"/>
      <x v="68"/>
      <x v="64"/>
    </i>
    <i>
      <x v="977"/>
      <x v="100"/>
      <x v="97"/>
    </i>
    <i>
      <x v="978"/>
      <x v="123"/>
      <x v="113"/>
    </i>
    <i>
      <x v="979"/>
      <x v="100"/>
      <x v="97"/>
    </i>
    <i>
      <x v="980"/>
      <x v="47"/>
      <x v="46"/>
    </i>
    <i>
      <x v="981"/>
      <x v="47"/>
      <x v="46"/>
    </i>
    <i>
      <x v="982"/>
      <x v="30"/>
      <x v="26"/>
    </i>
    <i>
      <x v="983"/>
      <x v="17"/>
      <x v="16"/>
    </i>
    <i>
      <x v="984"/>
      <x v="72"/>
      <x v="68"/>
    </i>
    <i>
      <x v="985"/>
      <x v="32"/>
      <x v="28"/>
    </i>
    <i>
      <x v="986"/>
      <x v="123"/>
      <x v="113"/>
    </i>
    <i>
      <x v="987"/>
      <x v="100"/>
      <x v="97"/>
    </i>
    <i>
      <x v="988"/>
      <x v="51"/>
      <x v="44"/>
    </i>
    <i>
      <x v="989"/>
      <x v="8"/>
      <x v="13"/>
    </i>
    <i>
      <x v="990"/>
      <x v="110"/>
      <x v="103"/>
    </i>
    <i>
      <x v="991"/>
      <x v="110"/>
      <x v="103"/>
    </i>
    <i>
      <x v="992"/>
      <x v="51"/>
      <x v="44"/>
    </i>
    <i>
      <x v="993"/>
      <x/>
      <x/>
    </i>
    <i>
      <x v="994"/>
      <x v="100"/>
      <x v="97"/>
    </i>
    <i>
      <x v="995"/>
      <x v="72"/>
      <x v="68"/>
    </i>
    <i>
      <x v="996"/>
      <x v="60"/>
      <x v="62"/>
    </i>
    <i>
      <x v="997"/>
      <x v="65"/>
      <x v="60"/>
    </i>
    <i>
      <x v="998"/>
      <x v="78"/>
      <x v="83"/>
    </i>
    <i>
      <x v="999"/>
      <x v="85"/>
      <x v="85"/>
    </i>
    <i>
      <x v="1000"/>
      <x v="84"/>
      <x v="84"/>
    </i>
    <i>
      <x v="1001"/>
      <x v="77"/>
      <x v="82"/>
    </i>
    <i>
      <x v="1002"/>
      <x v="60"/>
      <x v="62"/>
    </i>
    <i>
      <x v="1003"/>
      <x v="78"/>
      <x v="83"/>
    </i>
    <i>
      <x v="1004"/>
      <x v="65"/>
      <x v="60"/>
    </i>
    <i>
      <x v="1005"/>
      <x v="85"/>
      <x v="85"/>
    </i>
    <i>
      <x v="1006"/>
      <x v="107"/>
      <x v="104"/>
    </i>
    <i>
      <x v="1007"/>
      <x v="91"/>
      <x v="87"/>
    </i>
    <i>
      <x v="1008"/>
      <x v="51"/>
      <x v="44"/>
    </i>
    <i>
      <x v="1009"/>
      <x v="100"/>
      <x v="97"/>
    </i>
    <i>
      <x v="1010"/>
      <x v="51"/>
      <x v="44"/>
    </i>
    <i>
      <x v="1011"/>
      <x v="101"/>
      <x v="96"/>
    </i>
    <i>
      <x v="1012"/>
      <x v="77"/>
      <x v="82"/>
    </i>
    <i>
      <x v="1013"/>
      <x v="91"/>
      <x v="87"/>
    </i>
    <i>
      <x v="1014"/>
      <x v="91"/>
      <x v="87"/>
    </i>
    <i>
      <x v="1015"/>
      <x v="59"/>
      <x v="61"/>
    </i>
    <i>
      <x v="1016"/>
      <x v="79"/>
      <x v="81"/>
    </i>
    <i>
      <x v="1017"/>
      <x v="48"/>
      <x v="47"/>
    </i>
    <i>
      <x v="1018"/>
      <x v="127"/>
      <x v="114"/>
    </i>
    <i>
      <x v="1019"/>
      <x v="127"/>
      <x v="114"/>
    </i>
    <i>
      <x v="1020"/>
      <x v="51"/>
      <x v="44"/>
    </i>
    <i>
      <x v="1021"/>
      <x v="51"/>
      <x v="44"/>
    </i>
    <i>
      <x v="1022"/>
      <x v="64"/>
      <x v="59"/>
    </i>
    <i>
      <x v="1023"/>
      <x v="62"/>
      <x v="58"/>
    </i>
    <i>
      <x v="1024"/>
      <x v="79"/>
      <x v="81"/>
    </i>
    <i>
      <x v="1025"/>
      <x v="127"/>
      <x v="114"/>
    </i>
    <i>
      <x v="1026"/>
      <x v="107"/>
      <x v="104"/>
    </i>
    <i>
      <x v="1027"/>
      <x v="100"/>
      <x v="97"/>
    </i>
    <i>
      <x v="1028"/>
      <x v="84"/>
      <x v="84"/>
    </i>
    <i>
      <x v="1029"/>
      <x v="100"/>
      <x v="97"/>
    </i>
    <i>
      <x v="1030"/>
      <x v="9"/>
      <x v="14"/>
    </i>
    <i>
      <x v="1031"/>
      <x v="62"/>
      <x v="58"/>
    </i>
    <i>
      <x v="1032"/>
      <x v="62"/>
      <x v="58"/>
    </i>
    <i>
      <x v="1033"/>
      <x v="62"/>
      <x v="58"/>
    </i>
    <i>
      <x v="1034"/>
      <x v="101"/>
      <x v="96"/>
    </i>
    <i>
      <x v="1035"/>
      <x v="123"/>
      <x v="113"/>
    </i>
    <i>
      <x v="1036"/>
      <x v="80"/>
      <x v="76"/>
    </i>
    <i>
      <x v="1037"/>
      <x v="80"/>
      <x v="76"/>
    </i>
    <i>
      <x v="1038"/>
      <x v="80"/>
      <x v="76"/>
    </i>
    <i>
      <x v="1039"/>
      <x v="80"/>
      <x v="76"/>
    </i>
    <i>
      <x v="1040"/>
      <x v="100"/>
      <x v="97"/>
    </i>
    <i>
      <x v="1041"/>
      <x v="7"/>
      <x v="5"/>
    </i>
    <i>
      <x v="1042"/>
      <x v="123"/>
      <x v="113"/>
    </i>
    <i>
      <x v="1043"/>
      <x v="127"/>
      <x v="114"/>
    </i>
    <i>
      <x v="1044"/>
      <x v="98"/>
      <x v="94"/>
    </i>
    <i>
      <x v="1045"/>
      <x v="100"/>
      <x v="97"/>
    </i>
    <i>
      <x v="1046"/>
      <x v="25"/>
      <x v="23"/>
    </i>
    <i>
      <x v="1047"/>
      <x v="101"/>
      <x v="96"/>
    </i>
    <i>
      <x v="1048"/>
      <x v="53"/>
      <x v="43"/>
    </i>
    <i>
      <x v="1049"/>
      <x v="127"/>
      <x v="114"/>
    </i>
    <i>
      <x v="1050"/>
      <x v="6"/>
      <x v="3"/>
    </i>
    <i>
      <x v="1051"/>
      <x v="110"/>
      <x v="103"/>
    </i>
    <i>
      <x v="1052"/>
      <x v="110"/>
      <x v="103"/>
    </i>
    <i>
      <x v="1053"/>
      <x v="77"/>
      <x v="82"/>
    </i>
    <i>
      <x v="1054"/>
      <x v="84"/>
      <x v="84"/>
    </i>
    <i>
      <x v="1055"/>
      <x v="74"/>
      <x v="70"/>
    </i>
    <i>
      <x v="1056"/>
      <x v="79"/>
      <x v="81"/>
    </i>
    <i>
      <x v="1057"/>
      <x v="123"/>
      <x v="113"/>
    </i>
    <i>
      <x v="1058"/>
      <x v="70"/>
      <x v="66"/>
    </i>
    <i>
      <x v="1059"/>
      <x v="127"/>
      <x v="114"/>
    </i>
    <i>
      <x v="1060"/>
      <x v="48"/>
      <x v="47"/>
    </i>
    <i>
      <x v="1061"/>
      <x v="40"/>
      <x v="36"/>
    </i>
    <i>
      <x v="1062"/>
      <x v="68"/>
      <x v="64"/>
    </i>
    <i>
      <x v="1063"/>
      <x v="123"/>
      <x v="113"/>
    </i>
    <i>
      <x v="1064"/>
      <x v="79"/>
      <x v="81"/>
    </i>
    <i>
      <x v="1065"/>
      <x v="86"/>
      <x v="74"/>
    </i>
    <i>
      <x v="1066"/>
      <x v="62"/>
      <x v="58"/>
    </i>
    <i>
      <x v="1067"/>
      <x v="117"/>
      <x v="110"/>
    </i>
    <i>
      <x v="1068"/>
      <x v="68"/>
      <x v="64"/>
    </i>
    <i>
      <x v="1069"/>
      <x v="68"/>
      <x v="64"/>
    </i>
    <i>
      <x v="1070"/>
      <x v="62"/>
      <x v="58"/>
    </i>
    <i>
      <x v="1071"/>
      <x v="127"/>
      <x v="114"/>
    </i>
    <i>
      <x v="1072"/>
      <x v="80"/>
      <x v="76"/>
    </i>
    <i>
      <x v="1073"/>
      <x v="80"/>
      <x v="76"/>
    </i>
    <i>
      <x v="1074"/>
      <x v="110"/>
      <x v="103"/>
    </i>
    <i>
      <x v="1075"/>
      <x v="110"/>
      <x v="103"/>
    </i>
    <i>
      <x v="1076"/>
      <x v="86"/>
      <x v="74"/>
    </i>
    <i>
      <x v="1077"/>
      <x v="62"/>
      <x v="58"/>
    </i>
    <i>
      <x v="1078"/>
      <x v="110"/>
      <x v="103"/>
    </i>
    <i>
      <x v="1079"/>
      <x v="110"/>
      <x v="103"/>
    </i>
    <i>
      <x v="1080"/>
      <x v="48"/>
      <x v="47"/>
    </i>
    <i>
      <x v="1081"/>
      <x v="127"/>
      <x v="114"/>
    </i>
    <i>
      <x v="1082"/>
      <x v="72"/>
      <x v="68"/>
    </i>
    <i>
      <x v="1083"/>
      <x v="16"/>
      <x v="15"/>
    </i>
    <i>
      <x v="1084"/>
      <x v="80"/>
      <x v="76"/>
    </i>
    <i>
      <x v="1085"/>
      <x v="62"/>
      <x v="58"/>
    </i>
    <i>
      <x v="1086"/>
      <x v="132"/>
      <x v="131"/>
    </i>
    <i>
      <x v="1087"/>
      <x v="100"/>
      <x v="97"/>
    </i>
    <i>
      <x v="1088"/>
      <x v="100"/>
      <x v="97"/>
    </i>
    <i>
      <x v="1089"/>
      <x v="110"/>
      <x v="103"/>
    </i>
    <i>
      <x v="1090"/>
      <x v="62"/>
      <x v="58"/>
    </i>
    <i>
      <x v="1091"/>
      <x v="48"/>
      <x v="47"/>
    </i>
    <i>
      <x v="1092"/>
      <x v="100"/>
      <x v="97"/>
    </i>
    <i>
      <x v="1093"/>
      <x v="68"/>
      <x v="64"/>
    </i>
    <i>
      <x v="1094"/>
      <x v="72"/>
      <x v="68"/>
    </i>
    <i>
      <x v="1095"/>
      <x v="51"/>
      <x v="44"/>
    </i>
    <i>
      <x v="1096"/>
      <x v="100"/>
      <x v="97"/>
    </i>
    <i>
      <x v="1097"/>
      <x v="68"/>
      <x v="64"/>
    </i>
    <i>
      <x v="1098"/>
      <x v="51"/>
      <x v="44"/>
    </i>
    <i>
      <x v="1099"/>
      <x v="9"/>
      <x v="14"/>
    </i>
    <i>
      <x v="1100"/>
      <x v="86"/>
      <x v="74"/>
    </i>
    <i>
      <x v="1101"/>
      <x v="51"/>
      <x v="44"/>
    </i>
    <i>
      <x v="1102"/>
      <x v="100"/>
      <x v="97"/>
    </i>
    <i>
      <x v="1103"/>
      <x v="51"/>
      <x v="44"/>
    </i>
    <i>
      <x v="1104"/>
      <x v="127"/>
      <x v="114"/>
    </i>
    <i>
      <x v="1105"/>
      <x v="39"/>
      <x v="35"/>
    </i>
    <i>
      <x v="1106"/>
      <x v="101"/>
      <x v="96"/>
    </i>
    <i>
      <x v="1107"/>
      <x v="86"/>
      <x v="74"/>
    </i>
    <i>
      <x v="1108"/>
      <x v="101"/>
      <x v="96"/>
    </i>
    <i>
      <x v="1109"/>
      <x v="117"/>
      <x v="110"/>
    </i>
    <i>
      <x v="1110"/>
      <x v="86"/>
      <x v="74"/>
    </i>
    <i>
      <x v="1111"/>
      <x v="101"/>
      <x v="96"/>
    </i>
    <i>
      <x v="1112"/>
      <x v="70"/>
      <x v="66"/>
    </i>
    <i>
      <x v="1113"/>
      <x v="71"/>
      <x v="67"/>
    </i>
    <i>
      <x v="1114"/>
      <x v="132"/>
      <x v="131"/>
    </i>
    <i>
      <x v="1115"/>
      <x v="39"/>
      <x v="35"/>
    </i>
    <i>
      <x v="1116"/>
      <x v="86"/>
      <x v="74"/>
    </i>
    <i>
      <x v="1117"/>
      <x v="71"/>
      <x v="67"/>
    </i>
    <i>
      <x v="1118"/>
      <x v="98"/>
      <x v="94"/>
    </i>
    <i>
      <x v="1119"/>
      <x v="110"/>
      <x v="103"/>
    </i>
    <i>
      <x v="1120"/>
      <x v="110"/>
      <x v="103"/>
    </i>
    <i>
      <x v="1121"/>
      <x v="110"/>
      <x v="103"/>
    </i>
    <i>
      <x v="1122"/>
      <x v="86"/>
      <x v="74"/>
    </i>
    <i>
      <x v="1123"/>
      <x v="86"/>
      <x v="74"/>
    </i>
    <i>
      <x v="1124"/>
      <x v="53"/>
      <x v="43"/>
    </i>
    <i>
      <x v="1125"/>
      <x v="68"/>
      <x v="64"/>
    </i>
    <i>
      <x v="1126"/>
      <x v="68"/>
      <x v="64"/>
    </i>
    <i>
      <x v="1127"/>
      <x v="110"/>
      <x v="103"/>
    </i>
    <i>
      <x v="1128"/>
      <x v="110"/>
      <x v="103"/>
    </i>
    <i>
      <x v="1129"/>
      <x v="62"/>
      <x v="58"/>
    </i>
    <i>
      <x v="1130"/>
      <x v="51"/>
      <x v="44"/>
    </i>
    <i>
      <x v="1131"/>
      <x v="74"/>
      <x v="70"/>
    </i>
    <i>
      <x v="1132"/>
      <x v="48"/>
      <x v="47"/>
    </i>
    <i>
      <x v="1133"/>
      <x v="12"/>
      <x v="9"/>
    </i>
    <i>
      <x v="1134"/>
      <x v="9"/>
      <x v="14"/>
    </i>
    <i>
      <x v="1135"/>
      <x v="22"/>
      <x v="21"/>
    </i>
    <i>
      <x v="1136"/>
      <x v="57"/>
      <x v="54"/>
    </i>
    <i>
      <x v="1137"/>
      <x v="48"/>
      <x v="47"/>
    </i>
    <i>
      <x v="1138"/>
      <x v="20"/>
      <x v="19"/>
    </i>
    <i>
      <x v="1139"/>
      <x v="21"/>
      <x v="20"/>
    </i>
    <i>
      <x v="1140"/>
      <x v="9"/>
      <x v="14"/>
    </i>
    <i>
      <x v="1141"/>
      <x v="127"/>
      <x v="114"/>
    </i>
    <i>
      <x v="1142"/>
      <x v="38"/>
      <x v="33"/>
    </i>
    <i>
      <x v="1143"/>
      <x v="37"/>
      <x v="34"/>
    </i>
    <i>
      <x v="1144"/>
      <x v="18"/>
      <x v="17"/>
    </i>
    <i>
      <x v="1145"/>
      <x v="17"/>
      <x v="16"/>
    </i>
    <i>
      <x v="1146"/>
      <x v="57"/>
      <x v="54"/>
    </i>
    <i>
      <x v="1147"/>
      <x v="127"/>
      <x v="114"/>
    </i>
    <i>
      <x v="1148"/>
      <x v="17"/>
      <x v="16"/>
    </i>
    <i>
      <x v="1149"/>
      <x v="16"/>
      <x v="15"/>
    </i>
    <i>
      <x v="1150"/>
      <x v="84"/>
      <x v="84"/>
    </i>
    <i>
      <x v="1151"/>
      <x v="84"/>
      <x v="84"/>
    </i>
    <i>
      <x v="1152"/>
      <x v="40"/>
      <x v="36"/>
    </i>
    <i>
      <x v="1153"/>
      <x v="127"/>
      <x v="114"/>
    </i>
    <i>
      <x v="1154"/>
      <x v="16"/>
      <x v="15"/>
    </i>
    <i>
      <x v="1155"/>
      <x v="39"/>
      <x v="35"/>
    </i>
    <i>
      <x v="1156"/>
      <x v="48"/>
      <x v="47"/>
    </i>
    <i>
      <x v="1157"/>
      <x v="127"/>
      <x v="114"/>
    </i>
    <i>
      <x v="1158"/>
      <x v="61"/>
      <x v="55"/>
    </i>
    <i>
      <x v="1159"/>
      <x v="48"/>
      <x v="47"/>
    </i>
    <i>
      <x v="1160"/>
      <x v="86"/>
      <x v="74"/>
    </i>
    <i>
      <x v="1161"/>
      <x v="62"/>
      <x v="58"/>
    </i>
    <i>
      <x v="1162"/>
      <x v="62"/>
      <x v="58"/>
    </i>
    <i>
      <x v="1163"/>
      <x v="51"/>
      <x v="44"/>
    </i>
    <i>
      <x v="1164"/>
      <x v="51"/>
      <x v="44"/>
    </i>
    <i>
      <x v="1165"/>
      <x v="86"/>
      <x v="74"/>
    </i>
    <i>
      <x v="1166"/>
      <x v="86"/>
      <x v="74"/>
    </i>
    <i>
      <x v="1167"/>
      <x v="100"/>
      <x v="97"/>
    </i>
    <i>
      <x v="1168"/>
      <x v="101"/>
      <x v="96"/>
    </i>
    <i>
      <x v="1169"/>
      <x v="61"/>
      <x v="55"/>
    </i>
    <i>
      <x v="1170"/>
      <x v="61"/>
      <x v="55"/>
    </i>
    <i>
      <x v="1171"/>
      <x v="86"/>
      <x v="74"/>
    </i>
    <i>
      <x v="1172"/>
      <x v="100"/>
      <x v="97"/>
    </i>
    <i>
      <x v="1173"/>
      <x v="101"/>
      <x v="96"/>
    </i>
    <i>
      <x v="1174"/>
      <x v="86"/>
      <x v="74"/>
    </i>
    <i>
      <x v="1175"/>
      <x v="46"/>
      <x v="49"/>
    </i>
    <i>
      <x v="1176"/>
      <x v="131"/>
      <x v="123"/>
    </i>
    <i>
      <x v="1177"/>
      <x v="117"/>
      <x v="110"/>
    </i>
    <i>
      <x v="1178"/>
      <x v="86"/>
      <x v="74"/>
    </i>
    <i>
      <x v="1179"/>
      <x v="86"/>
      <x v="74"/>
    </i>
    <i>
      <x v="1180"/>
      <x v="62"/>
      <x v="58"/>
    </i>
    <i>
      <x v="1181"/>
      <x v="62"/>
      <x v="58"/>
    </i>
    <i>
      <x v="1182"/>
      <x v="62"/>
      <x v="58"/>
    </i>
    <i>
      <x v="1183"/>
      <x v="51"/>
      <x v="44"/>
    </i>
    <i>
      <x v="1184"/>
      <x v="117"/>
      <x v="110"/>
    </i>
    <i>
      <x v="1185"/>
      <x v="46"/>
      <x v="49"/>
    </i>
    <i>
      <x v="1186"/>
      <x v="48"/>
      <x v="47"/>
    </i>
    <i>
      <x v="1187"/>
      <x v="51"/>
      <x v="44"/>
    </i>
    <i>
      <x v="1188"/>
      <x v="3"/>
      <x v="6"/>
    </i>
    <i>
      <x v="1189"/>
      <x v="127"/>
      <x v="114"/>
    </i>
    <i>
      <x v="1190"/>
      <x v="48"/>
      <x v="47"/>
    </i>
    <i>
      <x v="1191"/>
      <x v="68"/>
      <x v="64"/>
    </i>
    <i>
      <x v="1192"/>
      <x v="68"/>
      <x v="64"/>
    </i>
    <i>
      <x v="1193"/>
      <x v="68"/>
      <x v="64"/>
    </i>
    <i>
      <x v="1194"/>
      <x v="72"/>
      <x v="68"/>
    </i>
    <i>
      <x v="1195"/>
      <x v="127"/>
      <x v="114"/>
    </i>
    <i>
      <x v="1196"/>
      <x v="72"/>
      <x v="68"/>
    </i>
    <i>
      <x v="1197"/>
      <x v="48"/>
      <x v="47"/>
    </i>
    <i>
      <x v="1198"/>
      <x v="86"/>
      <x v="74"/>
    </i>
    <i>
      <x v="1199"/>
      <x v="117"/>
      <x v="110"/>
    </i>
    <i>
      <x v="1200"/>
      <x v="86"/>
      <x v="74"/>
    </i>
    <i>
      <x v="1201"/>
      <x v="127"/>
      <x v="114"/>
    </i>
    <i>
      <x v="1202"/>
      <x v="61"/>
      <x v="55"/>
    </i>
    <i>
      <x v="1203"/>
      <x v="45"/>
      <x v="41"/>
    </i>
    <i>
      <x v="1204"/>
      <x v="86"/>
      <x v="74"/>
    </i>
    <i>
      <x v="1205"/>
      <x v="62"/>
      <x v="58"/>
    </i>
    <i>
      <x v="1206"/>
      <x v="53"/>
      <x v="43"/>
    </i>
    <i>
      <x v="1207"/>
      <x v="61"/>
      <x v="55"/>
    </i>
    <i>
      <x v="1208"/>
      <x v="61"/>
      <x v="55"/>
    </i>
    <i>
      <x v="1209"/>
      <x v="86"/>
      <x v="74"/>
    </i>
    <i>
      <x v="1210"/>
      <x v="110"/>
      <x v="103"/>
    </i>
    <i>
      <x v="1211"/>
      <x v="101"/>
      <x v="96"/>
    </i>
    <i>
      <x v="1212"/>
      <x v="68"/>
      <x v="64"/>
    </i>
    <i>
      <x v="1213"/>
      <x v="51"/>
      <x v="44"/>
    </i>
    <i>
      <x v="1214"/>
      <x v="101"/>
      <x v="96"/>
    </i>
    <i>
      <x v="1215"/>
      <x v="3"/>
      <x v="6"/>
    </i>
    <i>
      <x v="1216"/>
      <x v="107"/>
      <x v="104"/>
    </i>
    <i>
      <x v="1217"/>
      <x v="68"/>
      <x v="64"/>
    </i>
    <i>
      <x v="1218"/>
      <x v="51"/>
      <x v="44"/>
    </i>
    <i>
      <x v="1219"/>
      <x v="65"/>
      <x v="60"/>
    </i>
    <i>
      <x v="1220"/>
      <x v="100"/>
      <x v="97"/>
    </i>
    <i>
      <x v="1221"/>
      <x v="117"/>
      <x v="110"/>
    </i>
    <i>
      <x v="1222"/>
      <x v="86"/>
      <x v="74"/>
    </i>
    <i>
      <x v="1223"/>
      <x v="65"/>
      <x v="60"/>
    </i>
    <i>
      <x v="1224"/>
      <x v="117"/>
      <x v="110"/>
    </i>
    <i>
      <x v="1225"/>
      <x v="92"/>
      <x v="88"/>
    </i>
    <i>
      <x v="1226"/>
      <x v="65"/>
      <x v="60"/>
    </i>
    <i>
      <x v="1227"/>
      <x v="100"/>
      <x v="97"/>
    </i>
    <i>
      <x v="1228"/>
      <x v="72"/>
      <x v="68"/>
    </i>
    <i>
      <x v="1229"/>
      <x v="100"/>
      <x v="97"/>
    </i>
    <i>
      <x v="1230"/>
      <x v="65"/>
      <x v="60"/>
    </i>
    <i>
      <x v="1231"/>
      <x v="101"/>
      <x v="96"/>
    </i>
    <i>
      <x v="1232"/>
      <x v="100"/>
      <x v="97"/>
    </i>
    <i>
      <x v="1233"/>
      <x v="101"/>
      <x v="96"/>
    </i>
    <i>
      <x v="1234"/>
      <x v="86"/>
      <x v="74"/>
    </i>
    <i>
      <x v="1235"/>
      <x v="51"/>
      <x v="44"/>
    </i>
    <i>
      <x v="1236"/>
      <x v="60"/>
      <x v="62"/>
    </i>
    <i>
      <x v="1237"/>
      <x v="122"/>
      <x v="116"/>
    </i>
    <i>
      <x v="1238"/>
      <x v="86"/>
      <x v="74"/>
    </i>
    <i>
      <x v="1239"/>
      <x v="60"/>
      <x v="62"/>
    </i>
    <i>
      <x v="1240"/>
      <x v="122"/>
      <x v="116"/>
    </i>
    <i>
      <x v="1241"/>
      <x v="101"/>
      <x v="96"/>
    </i>
    <i>
      <x v="1242"/>
      <x v="103"/>
      <x v="98"/>
    </i>
    <i>
      <x v="1243"/>
      <x v="79"/>
      <x v="81"/>
    </i>
    <i>
      <x v="1244"/>
      <x v="60"/>
      <x v="62"/>
    </i>
    <i>
      <x v="1245"/>
      <x v="79"/>
      <x v="81"/>
    </i>
    <i>
      <x v="1246"/>
      <x v="127"/>
      <x v="114"/>
    </i>
    <i>
      <x v="1247"/>
      <x v="92"/>
      <x v="88"/>
    </i>
    <i>
      <x v="1248"/>
      <x v="60"/>
      <x v="62"/>
    </i>
    <i>
      <x v="1249"/>
      <x v="87"/>
      <x v="79"/>
    </i>
    <i>
      <x v="1250"/>
      <x v="94"/>
      <x v="89"/>
    </i>
    <i>
      <x v="1251"/>
      <x v="100"/>
      <x v="97"/>
    </i>
    <i>
      <x v="1252"/>
      <x v="65"/>
      <x v="60"/>
    </i>
    <i>
      <x v="1253"/>
      <x v="60"/>
      <x v="62"/>
    </i>
    <i>
      <x v="1254"/>
      <x v="74"/>
      <x v="70"/>
    </i>
    <i>
      <x v="1255"/>
      <x v="65"/>
      <x v="60"/>
    </i>
    <i>
      <x v="1256"/>
      <x v="100"/>
      <x v="97"/>
    </i>
    <i>
      <x v="1257"/>
      <x v="72"/>
      <x v="68"/>
    </i>
    <i>
      <x v="1258"/>
      <x v="51"/>
      <x v="44"/>
    </i>
    <i>
      <x v="1259"/>
      <x v="119"/>
      <x v="129"/>
    </i>
    <i>
      <x v="1260"/>
      <x v="120"/>
      <x v="130"/>
    </i>
    <i>
      <x v="1261"/>
      <x v="132"/>
      <x v="131"/>
    </i>
    <i>
      <x v="1262"/>
      <x v="65"/>
      <x v="60"/>
    </i>
    <i>
      <x v="1263"/>
      <x v="100"/>
      <x v="97"/>
    </i>
    <i>
      <x v="1264"/>
      <x v="51"/>
      <x v="44"/>
    </i>
    <i>
      <x v="1265"/>
      <x v="60"/>
      <x v="62"/>
    </i>
    <i>
      <x v="1266"/>
      <x v="71"/>
      <x v="67"/>
    </i>
    <i>
      <x v="1267"/>
      <x v="120"/>
      <x v="130"/>
    </i>
    <i>
      <x v="1268"/>
      <x v="60"/>
      <x v="62"/>
    </i>
    <i>
      <x v="1269"/>
      <x v="100"/>
      <x v="97"/>
    </i>
    <i>
      <x v="1270"/>
      <x v="60"/>
      <x v="62"/>
    </i>
    <i>
      <x v="1271"/>
      <x v="71"/>
      <x v="67"/>
    </i>
    <i>
      <x v="1272"/>
      <x v="120"/>
      <x v="130"/>
    </i>
    <i>
      <x v="1273"/>
      <x v="60"/>
      <x v="62"/>
    </i>
    <i>
      <x v="1274"/>
      <x v="100"/>
      <x v="97"/>
    </i>
    <i>
      <x v="1275"/>
      <x v="61"/>
      <x v="55"/>
    </i>
    <i>
      <x v="1276"/>
      <x v="86"/>
      <x v="74"/>
    </i>
    <i>
      <x v="1277"/>
      <x v="68"/>
      <x v="64"/>
    </i>
    <i>
      <x v="1278"/>
      <x v="120"/>
      <x v="130"/>
    </i>
    <i>
      <x v="1279"/>
      <x v="28"/>
      <x v="27"/>
    </i>
    <i>
      <x v="1280"/>
      <x v="61"/>
      <x v="55"/>
    </i>
    <i>
      <x v="1281"/>
      <x v="86"/>
      <x v="74"/>
    </i>
    <i>
      <x v="1282"/>
      <x v="28"/>
      <x v="27"/>
    </i>
    <i>
      <x v="1283"/>
      <x v="65"/>
      <x v="60"/>
    </i>
    <i>
      <x v="1284"/>
      <x v="68"/>
      <x v="64"/>
    </i>
    <i>
      <x v="1285"/>
      <x v="61"/>
      <x v="55"/>
    </i>
    <i>
      <x v="1286"/>
      <x v="100"/>
      <x v="97"/>
    </i>
    <i>
      <x v="1287"/>
      <x v="68"/>
      <x v="64"/>
    </i>
    <i>
      <x v="1288"/>
      <x v="28"/>
      <x v="27"/>
    </i>
    <i>
      <x v="1289"/>
      <x v="100"/>
      <x v="97"/>
    </i>
    <i>
      <x v="1290"/>
      <x v="5"/>
      <x v="2"/>
    </i>
    <i>
      <x v="1291"/>
      <x v="86"/>
      <x v="74"/>
    </i>
    <i>
      <x v="1292"/>
      <x v="86"/>
      <x v="74"/>
    </i>
    <i>
      <x v="1293"/>
      <x v="3"/>
      <x v="6"/>
    </i>
    <i>
      <x v="1294"/>
      <x v="70"/>
      <x v="66"/>
    </i>
    <i>
      <x v="1295"/>
      <x v="100"/>
      <x v="97"/>
    </i>
    <i>
      <x v="1296"/>
      <x v="68"/>
      <x v="64"/>
    </i>
    <i>
      <x v="1297"/>
      <x v="70"/>
      <x v="66"/>
    </i>
    <i>
      <x v="1298"/>
      <x v="109"/>
      <x v="101"/>
    </i>
    <i>
      <x v="1299"/>
      <x v="86"/>
      <x v="74"/>
    </i>
    <i>
      <x v="1300"/>
      <x v="86"/>
      <x v="74"/>
    </i>
    <i>
      <x v="1301"/>
      <x v="3"/>
      <x v="6"/>
    </i>
    <i>
      <x v="1302"/>
      <x v="98"/>
      <x v="94"/>
    </i>
    <i>
      <x v="1303"/>
      <x v="16"/>
      <x v="15"/>
    </i>
    <i>
      <x v="1304"/>
      <x v="17"/>
      <x v="16"/>
    </i>
    <i>
      <x v="1305"/>
      <x v="3"/>
      <x v="6"/>
    </i>
    <i>
      <x v="1306"/>
      <x v="130"/>
      <x v="120"/>
    </i>
    <i>
      <x v="1307"/>
      <x v="129"/>
      <x v="122"/>
    </i>
    <i>
      <x v="1308"/>
      <x v="129"/>
      <x v="122"/>
    </i>
    <i>
      <x v="1309"/>
      <x v="131"/>
      <x v="123"/>
    </i>
    <i>
      <x v="1310"/>
      <x v="131"/>
      <x v="123"/>
    </i>
    <i>
      <x v="1311"/>
      <x v="86"/>
      <x v="74"/>
    </i>
    <i>
      <x v="1312"/>
      <x v="3"/>
      <x v="6"/>
    </i>
    <i>
      <x v="1313"/>
      <x v="3"/>
      <x v="6"/>
    </i>
    <i>
      <x v="1314"/>
      <x v="40"/>
      <x v="36"/>
    </i>
    <i>
      <x v="1315"/>
      <x v="98"/>
      <x v="94"/>
    </i>
    <i>
      <x v="1316"/>
      <x v="65"/>
      <x v="60"/>
    </i>
    <i>
      <x v="1317"/>
      <x v="86"/>
      <x v="74"/>
    </i>
    <i>
      <x v="1318"/>
      <x v="68"/>
      <x v="64"/>
    </i>
    <i>
      <x v="1319"/>
      <x v="12"/>
      <x v="9"/>
    </i>
    <i>
      <x v="1320"/>
      <x v="12"/>
      <x v="9"/>
    </i>
    <i>
      <x v="1321"/>
      <x v="51"/>
      <x v="44"/>
    </i>
    <i>
      <x v="1322"/>
      <x v="68"/>
      <x v="64"/>
    </i>
    <i>
      <x v="1323"/>
      <x v="86"/>
      <x v="74"/>
    </i>
    <i>
      <x v="1324"/>
      <x v="72"/>
      <x v="68"/>
    </i>
    <i>
      <x v="1325"/>
      <x v="51"/>
      <x v="44"/>
    </i>
    <i>
      <x v="1326"/>
      <x v="68"/>
      <x v="64"/>
    </i>
    <i>
      <x v="1327"/>
      <x v="86"/>
      <x v="74"/>
    </i>
    <i>
      <x v="1328"/>
      <x v="68"/>
      <x v="64"/>
    </i>
    <i>
      <x v="1329"/>
      <x v="62"/>
      <x v="58"/>
    </i>
    <i>
      <x v="1330"/>
      <x v="68"/>
      <x v="64"/>
    </i>
    <i>
      <x v="1331"/>
      <x v="51"/>
      <x v="44"/>
    </i>
    <i>
      <x v="1332"/>
      <x v="86"/>
      <x v="74"/>
    </i>
    <i>
      <x v="1333"/>
      <x v="100"/>
      <x v="97"/>
    </i>
    <i>
      <x v="1334"/>
      <x v="68"/>
      <x v="64"/>
    </i>
    <i>
      <x v="1335"/>
      <x v="51"/>
      <x v="44"/>
    </i>
    <i>
      <x v="1336"/>
      <x v="62"/>
      <x v="58"/>
    </i>
    <i>
      <x v="1337"/>
      <x v="132"/>
      <x v="131"/>
    </i>
    <i>
      <x v="1338"/>
      <x v="68"/>
      <x v="64"/>
    </i>
    <i>
      <x v="1339"/>
      <x v="62"/>
      <x v="58"/>
    </i>
    <i>
      <x v="1340"/>
      <x v="100"/>
      <x v="97"/>
    </i>
    <i>
      <x v="1341"/>
      <x v="87"/>
      <x v="79"/>
    </i>
    <i>
      <x v="1342"/>
      <x v="100"/>
      <x v="97"/>
    </i>
    <i>
      <x v="1343"/>
      <x v="87"/>
      <x v="79"/>
    </i>
    <i>
      <x v="1344"/>
      <x v="86"/>
      <x v="74"/>
    </i>
    <i>
      <x v="1345"/>
      <x v="86"/>
      <x v="74"/>
    </i>
    <i>
      <x v="1346"/>
      <x v="62"/>
      <x v="58"/>
    </i>
    <i>
      <x v="1347"/>
      <x v="68"/>
      <x v="64"/>
    </i>
    <i>
      <x v="1348"/>
      <x v="30"/>
      <x v="26"/>
    </i>
    <i>
      <x v="1349"/>
      <x v="87"/>
      <x v="79"/>
    </i>
    <i>
      <x v="1350"/>
      <x v="30"/>
      <x v="26"/>
    </i>
    <i>
      <x v="1351"/>
      <x v="68"/>
      <x v="64"/>
    </i>
    <i>
      <x v="1352"/>
      <x v="98"/>
      <x v="94"/>
    </i>
    <i>
      <x v="1353"/>
      <x v="87"/>
      <x v="79"/>
    </i>
    <i>
      <x v="1354"/>
      <x v="108"/>
      <x v="102"/>
    </i>
    <i>
      <x v="1355"/>
      <x v="86"/>
      <x v="74"/>
    </i>
    <i>
      <x v="1356"/>
      <x v="62"/>
      <x v="58"/>
    </i>
    <i>
      <x v="1357"/>
      <x v="122"/>
      <x v="116"/>
    </i>
    <i>
      <x v="1358"/>
      <x v="122"/>
      <x v="116"/>
    </i>
    <i>
      <x v="1359"/>
      <x v="48"/>
      <x v="47"/>
    </i>
    <i>
      <x v="1360"/>
      <x v="98"/>
      <x v="94"/>
    </i>
    <i>
      <x v="1361"/>
      <x v="75"/>
      <x v="71"/>
    </i>
    <i>
      <x v="1362"/>
      <x v="73"/>
      <x v="69"/>
    </i>
    <i>
      <x v="1363"/>
      <x v="120"/>
      <x v="130"/>
    </i>
    <i>
      <x v="1364"/>
      <x v="86"/>
      <x v="74"/>
    </i>
    <i>
      <x v="1365"/>
      <x v="9"/>
      <x v="14"/>
    </i>
    <i>
      <x v="1366"/>
      <x v="62"/>
      <x v="58"/>
    </i>
    <i>
      <x v="1367"/>
      <x v="51"/>
      <x v="44"/>
    </i>
    <i>
      <x v="1368"/>
      <x v="86"/>
      <x v="74"/>
    </i>
    <i>
      <x v="1369"/>
      <x v="51"/>
      <x v="44"/>
    </i>
    <i>
      <x v="1370"/>
      <x v="51"/>
      <x v="44"/>
    </i>
    <i>
      <x v="1371"/>
      <x v="51"/>
      <x v="44"/>
    </i>
    <i>
      <x v="1372"/>
      <x v="86"/>
      <x v="74"/>
    </i>
    <i>
      <x v="1373"/>
      <x v="86"/>
      <x v="74"/>
    </i>
    <i>
      <x v="1374"/>
      <x v="65"/>
      <x v="60"/>
    </i>
    <i>
      <x v="1375"/>
      <x v="16"/>
      <x v="15"/>
    </i>
    <i>
      <x v="1376"/>
      <x v="53"/>
      <x v="43"/>
    </i>
    <i>
      <x v="1377"/>
      <x v="86"/>
      <x v="74"/>
    </i>
    <i>
      <x v="1378"/>
      <x v="65"/>
      <x v="60"/>
    </i>
    <i>
      <x v="1379"/>
      <x v="100"/>
      <x v="97"/>
    </i>
    <i>
      <x v="1380"/>
      <x v="65"/>
      <x v="60"/>
    </i>
    <i>
      <x v="1381"/>
      <x v="100"/>
      <x v="97"/>
    </i>
    <i>
      <x v="1382"/>
      <x v="100"/>
      <x v="97"/>
    </i>
    <i>
      <x v="1383"/>
      <x v="102"/>
      <x v="99"/>
    </i>
    <i>
      <x v="1384"/>
      <x v="131"/>
      <x v="123"/>
    </i>
    <i>
      <x v="1385"/>
      <x v="102"/>
      <x v="99"/>
    </i>
    <i>
      <x v="1386"/>
      <x v="72"/>
      <x v="68"/>
    </i>
    <i>
      <x v="1387"/>
      <x v="65"/>
      <x v="60"/>
    </i>
    <i>
      <x v="1388"/>
      <x v="65"/>
      <x v="60"/>
    </i>
    <i>
      <x v="1389"/>
      <x v="79"/>
      <x v="81"/>
    </i>
    <i t="grand">
      <x/>
    </i>
  </rowItems>
  <colItems count="1">
    <i/>
  </colItems>
  <dataFields count="1">
    <dataField name="Sum of Reject PC" fld="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A396C7-5FBF-4A87-A355-EB8349BEE8F4}" autoFormatId="16" applyNumberFormats="0" applyBorderFormats="0" applyFontFormats="0" applyPatternFormats="0" applyAlignmentFormats="0" applyWidthHeightFormats="0">
  <queryTableRefresh nextId="7">
    <queryTableFields count="6">
      <queryTableField id="1" name="FGCODE" tableColumnId="1"/>
      <queryTableField id="2" name="Pc_Pal" tableColumnId="2"/>
      <queryTableField id="3" name="Section" tableColumnId="3"/>
      <queryTableField id="4" name="PartWT_kg" tableColumnId="4"/>
      <queryTableField id="5" name="Text" tableColumnId="5"/>
      <queryTableField id="6" name="RM_Ty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73BA2-96E7-416E-9EA2-16EABBCB40EA}" name="ZZZ_Part_Id_" displayName="ZZZ_Part_Id_" ref="A1:F1786" tableType="queryTable" totalsRowShown="0">
  <autoFilter ref="A1:F1786" xr:uid="{BDF73BA2-96E7-416E-9EA2-16EABBCB40EA}"/>
  <tableColumns count="6">
    <tableColumn id="1" xr3:uid="{19DC3C88-CC17-48B3-B873-AC3DA723CB3B}" uniqueName="1" name="FGCODE" queryTableFieldId="1" dataDxfId="3"/>
    <tableColumn id="2" xr3:uid="{8D50926F-489F-4D97-962C-105455D8D378}" uniqueName="2" name="Pc_Pal" queryTableFieldId="2"/>
    <tableColumn id="3" xr3:uid="{5D69B2AF-EDF6-4C25-AAE6-17AEDD1A9F8A}" uniqueName="3" name="Section" queryTableFieldId="3" dataDxfId="2"/>
    <tableColumn id="4" xr3:uid="{4CD9E9CE-D436-4F58-A294-6EEDA09D65EB}" uniqueName="4" name="PartWT_kg" queryTableFieldId="4"/>
    <tableColumn id="5" xr3:uid="{AE184756-0210-4B0B-BC87-14761E895401}" uniqueName="5" name="Text" queryTableFieldId="5" dataDxfId="1"/>
    <tableColumn id="6" xr3:uid="{8C7CBBE5-51B4-417D-A784-F5840A560B39}" uniqueName="6" name="RM_Typ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30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1" bestFit="1" customWidth="1"/>
    <col min="2" max="2" width="19" bestFit="1" customWidth="1"/>
    <col min="3" max="3" width="41" bestFit="1" customWidth="1"/>
    <col min="4" max="4" width="31" bestFit="1" customWidth="1"/>
    <col min="5" max="5" width="29" bestFit="1" customWidth="1"/>
    <col min="6" max="6" width="32" bestFit="1" customWidth="1"/>
    <col min="7" max="7" width="14" bestFit="1" customWidth="1"/>
    <col min="8" max="8" width="24" bestFit="1" customWidth="1"/>
    <col min="9" max="9" width="12" bestFit="1" customWidth="1"/>
    <col min="10" max="10" width="41" bestFit="1" customWidth="1"/>
    <col min="11" max="11" width="23" bestFit="1" customWidth="1"/>
    <col min="12" max="12" width="41" bestFit="1" customWidth="1"/>
    <col min="13" max="13" width="24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18445</v>
      </c>
    </row>
    <row r="2" spans="1:14" x14ac:dyDescent="0.3">
      <c r="A2" s="2" t="s">
        <v>13</v>
      </c>
      <c r="B2" s="2" t="s">
        <v>14</v>
      </c>
      <c r="C2" s="2" t="s">
        <v>15</v>
      </c>
      <c r="D2" s="3">
        <v>48</v>
      </c>
      <c r="E2" s="3">
        <v>48</v>
      </c>
      <c r="F2" s="2" t="s">
        <v>16</v>
      </c>
      <c r="G2" s="2" t="s">
        <v>17</v>
      </c>
      <c r="H2" s="3">
        <v>0</v>
      </c>
      <c r="I2" s="2" t="s">
        <v>18</v>
      </c>
      <c r="J2" s="2" t="s">
        <v>19</v>
      </c>
      <c r="K2" s="2" t="s">
        <v>16</v>
      </c>
      <c r="L2" s="2" t="s">
        <v>20</v>
      </c>
      <c r="M2" s="4">
        <v>3.69</v>
      </c>
      <c r="N2" t="e">
        <f>OR(LEFT(B2,3)="frg",(_xlfn.XMATCH(B2,ZZZ_Part_Id_[[#All],[FGCODE]])))</f>
        <v>#N/A</v>
      </c>
    </row>
    <row r="3" spans="1:14" x14ac:dyDescent="0.3">
      <c r="A3" s="2" t="s">
        <v>13</v>
      </c>
      <c r="B3" s="2" t="s">
        <v>21</v>
      </c>
      <c r="C3" s="2" t="s">
        <v>22</v>
      </c>
      <c r="D3" s="5">
        <v>-894</v>
      </c>
      <c r="E3" s="5">
        <v>-894</v>
      </c>
      <c r="F3" s="2" t="s">
        <v>23</v>
      </c>
      <c r="G3" s="2" t="s">
        <v>24</v>
      </c>
      <c r="H3" s="3">
        <v>0</v>
      </c>
      <c r="I3" s="2" t="s">
        <v>18</v>
      </c>
      <c r="J3" s="2" t="s">
        <v>25</v>
      </c>
      <c r="K3" s="2" t="s">
        <v>23</v>
      </c>
      <c r="L3" s="2" t="s">
        <v>26</v>
      </c>
      <c r="M3" s="6">
        <v>-1675.36</v>
      </c>
      <c r="N3" t="b">
        <f>OR(LEFT(B3,3)="frg",(_xlfn.XMATCH(B3,ZZZ_Part_Id_[[#All],[FGCODE]])))</f>
        <v>1</v>
      </c>
    </row>
    <row r="4" spans="1:14" x14ac:dyDescent="0.3">
      <c r="A4" s="2" t="s">
        <v>13</v>
      </c>
      <c r="B4" s="2" t="s">
        <v>27</v>
      </c>
      <c r="C4" s="2" t="s">
        <v>28</v>
      </c>
      <c r="D4" s="3">
        <v>337824</v>
      </c>
      <c r="E4" s="3">
        <v>337824</v>
      </c>
      <c r="F4" s="2" t="s">
        <v>16</v>
      </c>
      <c r="G4" s="2" t="s">
        <v>29</v>
      </c>
      <c r="H4" s="3">
        <v>0</v>
      </c>
      <c r="I4" s="2" t="s">
        <v>18</v>
      </c>
      <c r="J4" s="2" t="s">
        <v>30</v>
      </c>
      <c r="K4" s="2" t="s">
        <v>16</v>
      </c>
      <c r="L4" s="2" t="s">
        <v>31</v>
      </c>
      <c r="M4" s="4">
        <v>62781.81</v>
      </c>
      <c r="N4" t="b">
        <f>OR(LEFT(B4,3)="frg",(_xlfn.XMATCH(B4,ZZZ_Part_Id_[[#All],[FGCODE]])))</f>
        <v>1</v>
      </c>
    </row>
    <row r="5" spans="1:14" x14ac:dyDescent="0.3">
      <c r="A5" s="2" t="s">
        <v>32</v>
      </c>
      <c r="B5" s="2" t="s">
        <v>14</v>
      </c>
      <c r="C5" s="2" t="s">
        <v>33</v>
      </c>
      <c r="D5" s="3">
        <v>12</v>
      </c>
      <c r="E5" s="3">
        <v>12</v>
      </c>
      <c r="F5" s="2" t="s">
        <v>16</v>
      </c>
      <c r="G5" s="2" t="s">
        <v>34</v>
      </c>
      <c r="H5" s="3">
        <v>0</v>
      </c>
      <c r="I5" s="2" t="s">
        <v>18</v>
      </c>
      <c r="J5" s="2" t="s">
        <v>35</v>
      </c>
      <c r="K5" s="2" t="s">
        <v>16</v>
      </c>
      <c r="L5" s="2" t="s">
        <v>36</v>
      </c>
      <c r="M5" s="4">
        <v>0.92</v>
      </c>
      <c r="N5" t="e">
        <f>OR(LEFT(B5,3)="frg",(_xlfn.XMATCH(B5,ZZZ_Part_Id_[[#All],[FGCODE]])))</f>
        <v>#N/A</v>
      </c>
    </row>
    <row r="6" spans="1:14" x14ac:dyDescent="0.3">
      <c r="A6" s="2" t="s">
        <v>32</v>
      </c>
      <c r="B6" s="2" t="s">
        <v>37</v>
      </c>
      <c r="C6" s="2" t="s">
        <v>38</v>
      </c>
      <c r="D6" s="3">
        <v>12</v>
      </c>
      <c r="E6" s="3">
        <v>12</v>
      </c>
      <c r="F6" s="2" t="s">
        <v>16</v>
      </c>
      <c r="G6" s="2" t="s">
        <v>39</v>
      </c>
      <c r="H6" s="3">
        <v>0</v>
      </c>
      <c r="I6" s="2" t="s">
        <v>18</v>
      </c>
      <c r="J6" s="2" t="s">
        <v>35</v>
      </c>
      <c r="K6" s="2" t="s">
        <v>16</v>
      </c>
      <c r="L6" s="2" t="s">
        <v>40</v>
      </c>
      <c r="M6" s="4">
        <v>192.01</v>
      </c>
      <c r="N6" t="e">
        <f>OR(LEFT(B6,3)="frg",(_xlfn.XMATCH(B6,ZZZ_Part_Id_[[#All],[FGCODE]])))</f>
        <v>#N/A</v>
      </c>
    </row>
    <row r="7" spans="1:14" x14ac:dyDescent="0.3">
      <c r="A7" s="2" t="s">
        <v>32</v>
      </c>
      <c r="B7" s="2" t="s">
        <v>41</v>
      </c>
      <c r="C7" s="2" t="s">
        <v>42</v>
      </c>
      <c r="D7" s="3">
        <v>85</v>
      </c>
      <c r="E7" s="3">
        <v>85</v>
      </c>
      <c r="F7" s="2" t="s">
        <v>23</v>
      </c>
      <c r="G7" s="2" t="s">
        <v>43</v>
      </c>
      <c r="H7" s="3">
        <v>0</v>
      </c>
      <c r="I7" s="2" t="s">
        <v>18</v>
      </c>
      <c r="J7" s="2" t="s">
        <v>35</v>
      </c>
      <c r="K7" s="2" t="s">
        <v>23</v>
      </c>
      <c r="L7" s="2" t="s">
        <v>44</v>
      </c>
      <c r="M7" s="4">
        <v>0.85</v>
      </c>
      <c r="N7" t="e">
        <f>OR(LEFT(B7,3)="frg",(_xlfn.XMATCH(B7,ZZZ_Part_Id_[[#All],[FGCODE]])))</f>
        <v>#N/A</v>
      </c>
    </row>
    <row r="8" spans="1:14" x14ac:dyDescent="0.3">
      <c r="A8" s="2" t="s">
        <v>32</v>
      </c>
      <c r="B8" s="2" t="s">
        <v>45</v>
      </c>
      <c r="C8" s="2" t="s">
        <v>46</v>
      </c>
      <c r="D8" s="3">
        <v>0.82</v>
      </c>
      <c r="E8" s="3">
        <v>0.82</v>
      </c>
      <c r="F8" s="2" t="s">
        <v>47</v>
      </c>
      <c r="G8" s="2" t="s">
        <v>48</v>
      </c>
      <c r="H8" s="3">
        <v>0</v>
      </c>
      <c r="I8" s="2" t="s">
        <v>18</v>
      </c>
      <c r="J8" s="2" t="s">
        <v>35</v>
      </c>
      <c r="K8" s="2" t="s">
        <v>47</v>
      </c>
      <c r="L8" s="2" t="s">
        <v>49</v>
      </c>
      <c r="M8" s="4">
        <v>49.82</v>
      </c>
      <c r="N8" t="e">
        <f>OR(LEFT(B8,3)="frg",(_xlfn.XMATCH(B8,ZZZ_Part_Id_[[#All],[FGCODE]])))</f>
        <v>#N/A</v>
      </c>
    </row>
    <row r="9" spans="1:14" x14ac:dyDescent="0.3">
      <c r="A9" s="2" t="s">
        <v>32</v>
      </c>
      <c r="B9" s="2" t="s">
        <v>50</v>
      </c>
      <c r="C9" s="2" t="s">
        <v>51</v>
      </c>
      <c r="D9" s="3">
        <v>1984000</v>
      </c>
      <c r="E9" s="3">
        <v>1984000</v>
      </c>
      <c r="F9" s="2" t="s">
        <v>16</v>
      </c>
      <c r="G9" s="2" t="s">
        <v>52</v>
      </c>
      <c r="H9" s="3">
        <v>0</v>
      </c>
      <c r="I9" s="2" t="s">
        <v>18</v>
      </c>
      <c r="J9" s="2" t="s">
        <v>35</v>
      </c>
      <c r="K9" s="2" t="s">
        <v>16</v>
      </c>
      <c r="L9" s="2" t="s">
        <v>53</v>
      </c>
      <c r="M9" s="4">
        <v>19125.759999999998</v>
      </c>
      <c r="N9" t="b">
        <f>OR(LEFT(B9,3)="frg",(_xlfn.XMATCH(B9,ZZZ_Part_Id_[[#All],[FGCODE]])))</f>
        <v>1</v>
      </c>
    </row>
    <row r="10" spans="1:14" x14ac:dyDescent="0.3">
      <c r="A10" s="2" t="s">
        <v>54</v>
      </c>
      <c r="B10" s="2" t="s">
        <v>14</v>
      </c>
      <c r="C10" s="2" t="s">
        <v>55</v>
      </c>
      <c r="D10" s="3">
        <v>84</v>
      </c>
      <c r="E10" s="3">
        <v>84</v>
      </c>
      <c r="F10" s="2" t="s">
        <v>16</v>
      </c>
      <c r="G10" s="2" t="s">
        <v>56</v>
      </c>
      <c r="H10" s="3">
        <v>0</v>
      </c>
      <c r="I10" s="2" t="s">
        <v>18</v>
      </c>
      <c r="J10" s="2" t="s">
        <v>57</v>
      </c>
      <c r="K10" s="2" t="s">
        <v>16</v>
      </c>
      <c r="L10" s="2" t="s">
        <v>58</v>
      </c>
      <c r="M10" s="4">
        <v>6.46</v>
      </c>
      <c r="N10" t="e">
        <f>OR(LEFT(B10,3)="frg",(_xlfn.XMATCH(B10,ZZZ_Part_Id_[[#All],[FGCODE]])))</f>
        <v>#N/A</v>
      </c>
    </row>
    <row r="11" spans="1:14" x14ac:dyDescent="0.3">
      <c r="A11" s="2" t="s">
        <v>54</v>
      </c>
      <c r="B11" s="2" t="s">
        <v>59</v>
      </c>
      <c r="C11" s="2" t="s">
        <v>60</v>
      </c>
      <c r="D11" s="3">
        <v>2081160</v>
      </c>
      <c r="E11" s="3">
        <v>2081160</v>
      </c>
      <c r="F11" s="2" t="s">
        <v>16</v>
      </c>
      <c r="G11" s="2" t="s">
        <v>61</v>
      </c>
      <c r="H11" s="3">
        <v>0</v>
      </c>
      <c r="I11" s="2" t="s">
        <v>18</v>
      </c>
      <c r="J11" s="2" t="s">
        <v>62</v>
      </c>
      <c r="K11" s="2" t="s">
        <v>16</v>
      </c>
      <c r="L11" s="2" t="s">
        <v>63</v>
      </c>
      <c r="M11" s="4">
        <v>88969.69</v>
      </c>
      <c r="N11" t="b">
        <f>OR(LEFT(B11,3)="frg",(_xlfn.XMATCH(B11,ZZZ_Part_Id_[[#All],[FGCODE]])))</f>
        <v>1</v>
      </c>
    </row>
    <row r="12" spans="1:14" x14ac:dyDescent="0.3">
      <c r="A12" s="2" t="s">
        <v>64</v>
      </c>
      <c r="B12" s="2" t="s">
        <v>65</v>
      </c>
      <c r="C12" s="2" t="s">
        <v>66</v>
      </c>
      <c r="D12" s="5">
        <v>-684</v>
      </c>
      <c r="E12" s="5">
        <v>-684</v>
      </c>
      <c r="F12" s="2" t="s">
        <v>23</v>
      </c>
      <c r="G12" s="2" t="s">
        <v>67</v>
      </c>
      <c r="H12" s="3">
        <v>0</v>
      </c>
      <c r="I12" s="2" t="s">
        <v>18</v>
      </c>
      <c r="J12" s="2" t="s">
        <v>68</v>
      </c>
      <c r="K12" s="2" t="s">
        <v>23</v>
      </c>
      <c r="L12" s="2" t="s">
        <v>69</v>
      </c>
      <c r="M12" s="6">
        <v>-1758.97</v>
      </c>
      <c r="N12" t="b">
        <f>OR(LEFT(B12,3)="frg",(_xlfn.XMATCH(B12,ZZZ_Part_Id_[[#All],[FGCODE]])))</f>
        <v>1</v>
      </c>
    </row>
    <row r="13" spans="1:14" x14ac:dyDescent="0.3">
      <c r="A13" s="2" t="s">
        <v>64</v>
      </c>
      <c r="B13" s="2" t="s">
        <v>70</v>
      </c>
      <c r="C13" s="2" t="s">
        <v>71</v>
      </c>
      <c r="D13" s="3">
        <v>76032</v>
      </c>
      <c r="E13" s="3">
        <v>76032</v>
      </c>
      <c r="F13" s="2" t="s">
        <v>16</v>
      </c>
      <c r="G13" s="2" t="s">
        <v>72</v>
      </c>
      <c r="H13" s="3">
        <v>0</v>
      </c>
      <c r="I13" s="2" t="s">
        <v>18</v>
      </c>
      <c r="J13" s="2" t="s">
        <v>73</v>
      </c>
      <c r="K13" s="2" t="s">
        <v>16</v>
      </c>
      <c r="L13" s="2" t="s">
        <v>74</v>
      </c>
      <c r="M13" s="4">
        <v>11905.09</v>
      </c>
      <c r="N13" t="b">
        <f>OR(LEFT(B13,3)="frg",(_xlfn.XMATCH(B13,ZZZ_Part_Id_[[#All],[FGCODE]])))</f>
        <v>1</v>
      </c>
    </row>
    <row r="14" spans="1:14" x14ac:dyDescent="0.3">
      <c r="A14" s="2" t="s">
        <v>75</v>
      </c>
      <c r="B14" s="2" t="s">
        <v>76</v>
      </c>
      <c r="C14" s="2" t="s">
        <v>77</v>
      </c>
      <c r="D14" s="3">
        <v>253802</v>
      </c>
      <c r="E14" s="3">
        <v>0</v>
      </c>
      <c r="F14" s="2" t="s">
        <v>16</v>
      </c>
      <c r="G14" s="2" t="s">
        <v>78</v>
      </c>
      <c r="H14" s="3">
        <v>0</v>
      </c>
      <c r="I14" s="2" t="s">
        <v>18</v>
      </c>
      <c r="J14" s="2" t="s">
        <v>79</v>
      </c>
      <c r="K14" s="2" t="s">
        <v>16</v>
      </c>
      <c r="L14" s="2" t="s">
        <v>80</v>
      </c>
      <c r="M14" s="4">
        <v>0</v>
      </c>
      <c r="N14" t="b">
        <f>OR(LEFT(B14,3)="frg",(_xlfn.XMATCH(B14,ZZZ_Part_Id_[[#All],[FGCODE]])))</f>
        <v>1</v>
      </c>
    </row>
    <row r="15" spans="1:14" x14ac:dyDescent="0.3">
      <c r="A15" s="2" t="s">
        <v>81</v>
      </c>
      <c r="B15" s="2" t="s">
        <v>14</v>
      </c>
      <c r="C15" s="2" t="s">
        <v>82</v>
      </c>
      <c r="D15" s="3">
        <v>18</v>
      </c>
      <c r="E15" s="3">
        <v>18</v>
      </c>
      <c r="F15" s="2" t="s">
        <v>16</v>
      </c>
      <c r="G15" s="2" t="s">
        <v>83</v>
      </c>
      <c r="H15" s="3">
        <v>0</v>
      </c>
      <c r="I15" s="2" t="s">
        <v>18</v>
      </c>
      <c r="J15" s="2" t="s">
        <v>84</v>
      </c>
      <c r="K15" s="2" t="s">
        <v>16</v>
      </c>
      <c r="L15" s="2" t="s">
        <v>85</v>
      </c>
      <c r="M15" s="4">
        <v>1.38</v>
      </c>
      <c r="N15" t="e">
        <f>OR(LEFT(B15,3)="frg",(_xlfn.XMATCH(B15,ZZZ_Part_Id_[[#All],[FGCODE]])))</f>
        <v>#N/A</v>
      </c>
    </row>
    <row r="16" spans="1:14" x14ac:dyDescent="0.3">
      <c r="A16" s="2" t="s">
        <v>81</v>
      </c>
      <c r="B16" s="2" t="s">
        <v>86</v>
      </c>
      <c r="C16" s="2" t="s">
        <v>87</v>
      </c>
      <c r="D16" s="5">
        <v>-450</v>
      </c>
      <c r="E16" s="5">
        <v>-450</v>
      </c>
      <c r="F16" s="2" t="s">
        <v>23</v>
      </c>
      <c r="G16" s="2" t="s">
        <v>88</v>
      </c>
      <c r="H16" s="3">
        <v>0</v>
      </c>
      <c r="I16" s="2" t="s">
        <v>18</v>
      </c>
      <c r="J16" s="2" t="s">
        <v>89</v>
      </c>
      <c r="K16" s="2" t="s">
        <v>23</v>
      </c>
      <c r="L16" s="2" t="s">
        <v>90</v>
      </c>
      <c r="M16" s="6">
        <v>-1178.01</v>
      </c>
      <c r="N16" t="b">
        <f>OR(LEFT(B16,3)="frg",(_xlfn.XMATCH(B16,ZZZ_Part_Id_[[#All],[FGCODE]])))</f>
        <v>1</v>
      </c>
    </row>
    <row r="17" spans="1:14" x14ac:dyDescent="0.3">
      <c r="A17" s="2" t="s">
        <v>81</v>
      </c>
      <c r="B17" s="2" t="s">
        <v>91</v>
      </c>
      <c r="C17" s="2" t="s">
        <v>92</v>
      </c>
      <c r="D17" s="3">
        <v>540000</v>
      </c>
      <c r="E17" s="3">
        <v>540000</v>
      </c>
      <c r="F17" s="2" t="s">
        <v>16</v>
      </c>
      <c r="G17" s="2" t="s">
        <v>93</v>
      </c>
      <c r="H17" s="3">
        <v>0</v>
      </c>
      <c r="I17" s="2" t="s">
        <v>18</v>
      </c>
      <c r="J17" s="2" t="s">
        <v>94</v>
      </c>
      <c r="K17" s="2" t="s">
        <v>16</v>
      </c>
      <c r="L17" s="2" t="s">
        <v>95</v>
      </c>
      <c r="M17" s="4">
        <v>20244.599999999999</v>
      </c>
      <c r="N17" t="b">
        <f>OR(LEFT(B17,3)="frg",(_xlfn.XMATCH(B17,ZZZ_Part_Id_[[#All],[FGCODE]])))</f>
        <v>1</v>
      </c>
    </row>
    <row r="18" spans="1:14" x14ac:dyDescent="0.3">
      <c r="A18" s="2" t="s">
        <v>96</v>
      </c>
      <c r="B18" s="2" t="s">
        <v>97</v>
      </c>
      <c r="C18" s="2" t="s">
        <v>98</v>
      </c>
      <c r="D18" s="3">
        <v>672000</v>
      </c>
      <c r="E18" s="3">
        <v>67200</v>
      </c>
      <c r="F18" s="2" t="s">
        <v>16</v>
      </c>
      <c r="G18" s="2" t="s">
        <v>99</v>
      </c>
      <c r="H18" s="3">
        <v>0</v>
      </c>
      <c r="I18" s="2" t="s">
        <v>18</v>
      </c>
      <c r="J18" s="2" t="s">
        <v>100</v>
      </c>
      <c r="K18" s="2" t="s">
        <v>16</v>
      </c>
      <c r="L18" s="2" t="s">
        <v>101</v>
      </c>
      <c r="M18" s="4">
        <v>14358.94</v>
      </c>
      <c r="N18" t="b">
        <f>OR(LEFT(B18,3)="frg",(_xlfn.XMATCH(B18,ZZZ_Part_Id_[[#All],[FGCODE]])))</f>
        <v>1</v>
      </c>
    </row>
    <row r="19" spans="1:14" x14ac:dyDescent="0.3">
      <c r="A19" s="2" t="s">
        <v>102</v>
      </c>
      <c r="B19" s="2" t="s">
        <v>103</v>
      </c>
      <c r="C19" s="2" t="s">
        <v>104</v>
      </c>
      <c r="D19" s="3">
        <v>10620</v>
      </c>
      <c r="E19" s="3">
        <v>10620</v>
      </c>
      <c r="F19" s="2" t="s">
        <v>16</v>
      </c>
      <c r="G19" s="2" t="s">
        <v>105</v>
      </c>
      <c r="H19" s="3">
        <v>0</v>
      </c>
      <c r="I19" s="2" t="s">
        <v>18</v>
      </c>
      <c r="J19" s="2" t="s">
        <v>106</v>
      </c>
      <c r="K19" s="2" t="s">
        <v>16</v>
      </c>
      <c r="L19" s="2" t="s">
        <v>107</v>
      </c>
      <c r="M19" s="4">
        <v>1322.4</v>
      </c>
      <c r="N19" t="b">
        <f>OR(LEFT(B19,3)="frg",(_xlfn.XMATCH(B19,ZZZ_Part_Id_[[#All],[FGCODE]])))</f>
        <v>1</v>
      </c>
    </row>
    <row r="20" spans="1:14" x14ac:dyDescent="0.3">
      <c r="A20" s="2" t="s">
        <v>108</v>
      </c>
      <c r="B20" s="2" t="s">
        <v>109</v>
      </c>
      <c r="C20" s="2" t="s">
        <v>110</v>
      </c>
      <c r="D20" s="3">
        <v>81000</v>
      </c>
      <c r="E20" s="3">
        <v>81000</v>
      </c>
      <c r="F20" s="2" t="s">
        <v>16</v>
      </c>
      <c r="G20" s="2" t="s">
        <v>111</v>
      </c>
      <c r="H20" s="3">
        <v>0</v>
      </c>
      <c r="I20" s="2" t="s">
        <v>18</v>
      </c>
      <c r="J20" s="2" t="s">
        <v>112</v>
      </c>
      <c r="K20" s="2" t="s">
        <v>16</v>
      </c>
      <c r="L20" s="2" t="s">
        <v>113</v>
      </c>
      <c r="M20" s="4">
        <v>3201.93</v>
      </c>
      <c r="N20" t="b">
        <f>OR(LEFT(B20,3)="frg",(_xlfn.XMATCH(B20,ZZZ_Part_Id_[[#All],[FGCODE]])))</f>
        <v>1</v>
      </c>
    </row>
    <row r="21" spans="1:14" x14ac:dyDescent="0.3">
      <c r="A21" s="2" t="s">
        <v>114</v>
      </c>
      <c r="B21" s="2" t="s">
        <v>115</v>
      </c>
      <c r="C21" s="2" t="s">
        <v>116</v>
      </c>
      <c r="D21" s="3">
        <v>32760</v>
      </c>
      <c r="E21" s="3">
        <v>32760</v>
      </c>
      <c r="F21" s="2" t="s">
        <v>16</v>
      </c>
      <c r="G21" s="2" t="s">
        <v>117</v>
      </c>
      <c r="H21" s="3">
        <v>0</v>
      </c>
      <c r="I21" s="2" t="s">
        <v>18</v>
      </c>
      <c r="J21" s="2" t="s">
        <v>118</v>
      </c>
      <c r="K21" s="2" t="s">
        <v>16</v>
      </c>
      <c r="L21" s="2" t="s">
        <v>119</v>
      </c>
      <c r="M21" s="4">
        <v>2794.42</v>
      </c>
      <c r="N21" t="b">
        <f>OR(LEFT(B21,3)="frg",(_xlfn.XMATCH(B21,ZZZ_Part_Id_[[#All],[FGCODE]])))</f>
        <v>1</v>
      </c>
    </row>
    <row r="22" spans="1:14" x14ac:dyDescent="0.3">
      <c r="A22" s="2" t="s">
        <v>120</v>
      </c>
      <c r="B22" s="2" t="s">
        <v>121</v>
      </c>
      <c r="C22" s="2" t="s">
        <v>122</v>
      </c>
      <c r="D22" s="3">
        <v>152352</v>
      </c>
      <c r="E22" s="3">
        <v>152352</v>
      </c>
      <c r="F22" s="2" t="s">
        <v>16</v>
      </c>
      <c r="G22" s="2" t="s">
        <v>123</v>
      </c>
      <c r="H22" s="3">
        <v>0</v>
      </c>
      <c r="I22" s="2" t="s">
        <v>18</v>
      </c>
      <c r="J22" s="2" t="s">
        <v>124</v>
      </c>
      <c r="K22" s="2" t="s">
        <v>16</v>
      </c>
      <c r="L22" s="2" t="s">
        <v>125</v>
      </c>
      <c r="M22" s="4">
        <v>28311.57</v>
      </c>
      <c r="N22" t="b">
        <f>OR(LEFT(B22,3)="frg",(_xlfn.XMATCH(B22,ZZZ_Part_Id_[[#All],[FGCODE]])))</f>
        <v>1</v>
      </c>
    </row>
    <row r="23" spans="1:14" x14ac:dyDescent="0.3">
      <c r="A23" s="2" t="s">
        <v>120</v>
      </c>
      <c r="B23" s="2" t="s">
        <v>14</v>
      </c>
      <c r="C23" s="2" t="s">
        <v>126</v>
      </c>
      <c r="D23" s="3">
        <v>35</v>
      </c>
      <c r="E23" s="3">
        <v>0</v>
      </c>
      <c r="F23" s="2" t="s">
        <v>16</v>
      </c>
      <c r="G23" s="2" t="s">
        <v>127</v>
      </c>
      <c r="H23" s="3">
        <v>0</v>
      </c>
      <c r="I23" s="2" t="s">
        <v>18</v>
      </c>
      <c r="J23" s="2" t="s">
        <v>128</v>
      </c>
      <c r="K23" s="2" t="s">
        <v>16</v>
      </c>
      <c r="L23" s="2" t="s">
        <v>129</v>
      </c>
      <c r="M23" s="4">
        <v>0</v>
      </c>
      <c r="N23" t="e">
        <f>OR(LEFT(B23,3)="frg",(_xlfn.XMATCH(B23,ZZZ_Part_Id_[[#All],[FGCODE]])))</f>
        <v>#N/A</v>
      </c>
    </row>
    <row r="24" spans="1:14" x14ac:dyDescent="0.3">
      <c r="A24" s="2" t="s">
        <v>120</v>
      </c>
      <c r="B24" s="2" t="s">
        <v>27</v>
      </c>
      <c r="C24" s="2" t="s">
        <v>130</v>
      </c>
      <c r="D24" s="3">
        <v>79488</v>
      </c>
      <c r="E24" s="3">
        <v>79488</v>
      </c>
      <c r="F24" s="2" t="s">
        <v>16</v>
      </c>
      <c r="G24" s="2" t="s">
        <v>131</v>
      </c>
      <c r="H24" s="3">
        <v>0</v>
      </c>
      <c r="I24" s="2" t="s">
        <v>18</v>
      </c>
      <c r="J24" s="2" t="s">
        <v>132</v>
      </c>
      <c r="K24" s="2" t="s">
        <v>16</v>
      </c>
      <c r="L24" s="2" t="s">
        <v>133</v>
      </c>
      <c r="M24" s="4">
        <v>14763.34</v>
      </c>
      <c r="N24" t="b">
        <f>OR(LEFT(B24,3)="frg",(_xlfn.XMATCH(B24,ZZZ_Part_Id_[[#All],[FGCODE]])))</f>
        <v>1</v>
      </c>
    </row>
    <row r="25" spans="1:14" x14ac:dyDescent="0.3">
      <c r="A25" s="2" t="s">
        <v>134</v>
      </c>
      <c r="B25" s="2" t="s">
        <v>14</v>
      </c>
      <c r="C25" s="2" t="s">
        <v>135</v>
      </c>
      <c r="D25" s="3">
        <v>1E-3</v>
      </c>
      <c r="E25" s="3">
        <v>0</v>
      </c>
      <c r="F25" s="2" t="s">
        <v>16</v>
      </c>
      <c r="G25" s="2" t="s">
        <v>136</v>
      </c>
      <c r="H25" s="3">
        <v>0</v>
      </c>
      <c r="I25" s="2" t="s">
        <v>137</v>
      </c>
      <c r="J25" s="2" t="s">
        <v>138</v>
      </c>
      <c r="K25" s="2" t="s">
        <v>16</v>
      </c>
      <c r="L25" s="2" t="s">
        <v>139</v>
      </c>
      <c r="M25" s="4">
        <v>0</v>
      </c>
      <c r="N25" t="e">
        <f>OR(LEFT(B25,3)="frg",(_xlfn.XMATCH(B25,ZZZ_Part_Id_[[#All],[FGCODE]])))</f>
        <v>#N/A</v>
      </c>
    </row>
    <row r="26" spans="1:14" x14ac:dyDescent="0.3">
      <c r="A26" s="2" t="s">
        <v>134</v>
      </c>
      <c r="B26" s="2" t="s">
        <v>140</v>
      </c>
      <c r="C26" s="2" t="s">
        <v>141</v>
      </c>
      <c r="D26" s="3">
        <v>1E-3</v>
      </c>
      <c r="E26" s="3">
        <v>0</v>
      </c>
      <c r="F26" s="2" t="s">
        <v>16</v>
      </c>
      <c r="G26" s="2" t="s">
        <v>142</v>
      </c>
      <c r="H26" s="3">
        <v>0</v>
      </c>
      <c r="I26" s="2" t="s">
        <v>137</v>
      </c>
      <c r="J26" s="2" t="s">
        <v>143</v>
      </c>
      <c r="K26" s="2" t="s">
        <v>16</v>
      </c>
      <c r="L26" s="2" t="s">
        <v>144</v>
      </c>
      <c r="M26" s="4">
        <v>0</v>
      </c>
      <c r="N26" t="e">
        <f>OR(LEFT(B26,3)="frg",(_xlfn.XMATCH(B26,ZZZ_Part_Id_[[#All],[FGCODE]])))</f>
        <v>#N/A</v>
      </c>
    </row>
    <row r="27" spans="1:14" x14ac:dyDescent="0.3">
      <c r="A27" s="2" t="s">
        <v>134</v>
      </c>
      <c r="B27" s="2" t="s">
        <v>145</v>
      </c>
      <c r="C27" s="2" t="s">
        <v>146</v>
      </c>
      <c r="D27" s="3">
        <v>0</v>
      </c>
      <c r="E27" s="3">
        <v>0</v>
      </c>
      <c r="F27" s="2" t="s">
        <v>147</v>
      </c>
      <c r="G27" s="2" t="s">
        <v>148</v>
      </c>
      <c r="H27" s="3">
        <v>0</v>
      </c>
      <c r="I27" s="2" t="s">
        <v>137</v>
      </c>
      <c r="J27" s="2" t="s">
        <v>149</v>
      </c>
      <c r="K27" s="2" t="s">
        <v>147</v>
      </c>
      <c r="L27" s="2" t="s">
        <v>150</v>
      </c>
      <c r="M27" s="4">
        <v>0</v>
      </c>
      <c r="N27" t="e">
        <f>OR(LEFT(B27,3)="frg",(_xlfn.XMATCH(B27,ZZZ_Part_Id_[[#All],[FGCODE]])))</f>
        <v>#N/A</v>
      </c>
    </row>
    <row r="28" spans="1:14" x14ac:dyDescent="0.3">
      <c r="A28" s="2" t="s">
        <v>134</v>
      </c>
      <c r="B28" s="2" t="s">
        <v>151</v>
      </c>
      <c r="C28" s="2" t="s">
        <v>152</v>
      </c>
      <c r="D28" s="3">
        <v>1E-3</v>
      </c>
      <c r="E28" s="3">
        <v>0</v>
      </c>
      <c r="F28" s="2" t="s">
        <v>16</v>
      </c>
      <c r="G28" s="2" t="s">
        <v>153</v>
      </c>
      <c r="H28" s="3">
        <v>0</v>
      </c>
      <c r="I28" s="2" t="s">
        <v>137</v>
      </c>
      <c r="J28" s="2" t="s">
        <v>154</v>
      </c>
      <c r="K28" s="2" t="s">
        <v>16</v>
      </c>
      <c r="L28" s="2" t="s">
        <v>155</v>
      </c>
      <c r="M28" s="4">
        <v>0</v>
      </c>
      <c r="N28" t="e">
        <f>OR(LEFT(B28,3)="frg",(_xlfn.XMATCH(B28,ZZZ_Part_Id_[[#All],[FGCODE]])))</f>
        <v>#N/A</v>
      </c>
    </row>
    <row r="29" spans="1:14" x14ac:dyDescent="0.3">
      <c r="A29" s="2" t="s">
        <v>134</v>
      </c>
      <c r="B29" s="2" t="s">
        <v>156</v>
      </c>
      <c r="C29" s="2" t="s">
        <v>157</v>
      </c>
      <c r="D29" s="3">
        <v>0</v>
      </c>
      <c r="E29" s="3">
        <v>0</v>
      </c>
      <c r="F29" s="2" t="s">
        <v>23</v>
      </c>
      <c r="G29" s="2" t="s">
        <v>158</v>
      </c>
      <c r="H29" s="3">
        <v>0</v>
      </c>
      <c r="I29" s="2" t="s">
        <v>137</v>
      </c>
      <c r="J29" s="2" t="s">
        <v>159</v>
      </c>
      <c r="K29" s="2" t="s">
        <v>23</v>
      </c>
      <c r="L29" s="2" t="s">
        <v>160</v>
      </c>
      <c r="M29" s="4">
        <v>0</v>
      </c>
      <c r="N29" t="e">
        <f>OR(LEFT(B29,3)="frg",(_xlfn.XMATCH(B29,ZZZ_Part_Id_[[#All],[FGCODE]])))</f>
        <v>#N/A</v>
      </c>
    </row>
    <row r="30" spans="1:14" x14ac:dyDescent="0.3">
      <c r="A30" s="2" t="s">
        <v>134</v>
      </c>
      <c r="B30" s="2" t="s">
        <v>161</v>
      </c>
      <c r="C30" s="2" t="s">
        <v>162</v>
      </c>
      <c r="D30" s="3">
        <v>1E-3</v>
      </c>
      <c r="E30" s="3">
        <v>0</v>
      </c>
      <c r="F30" s="2" t="s">
        <v>163</v>
      </c>
      <c r="G30" s="2" t="s">
        <v>164</v>
      </c>
      <c r="H30" s="3">
        <v>0</v>
      </c>
      <c r="I30" s="2" t="s">
        <v>137</v>
      </c>
      <c r="J30" s="2" t="s">
        <v>165</v>
      </c>
      <c r="K30" s="2" t="s">
        <v>163</v>
      </c>
      <c r="L30" s="2" t="s">
        <v>166</v>
      </c>
      <c r="M30" s="4">
        <v>0</v>
      </c>
      <c r="N30" t="e">
        <f>OR(LEFT(B30,3)="frg",(_xlfn.XMATCH(B30,ZZZ_Part_Id_[[#All],[FGCODE]])))</f>
        <v>#N/A</v>
      </c>
    </row>
    <row r="31" spans="1:14" x14ac:dyDescent="0.3">
      <c r="A31" s="2" t="s">
        <v>134</v>
      </c>
      <c r="B31" s="2" t="s">
        <v>167</v>
      </c>
      <c r="C31" s="2" t="s">
        <v>168</v>
      </c>
      <c r="D31" s="3">
        <v>1E-3</v>
      </c>
      <c r="E31" s="3">
        <v>0</v>
      </c>
      <c r="F31" s="2" t="s">
        <v>23</v>
      </c>
      <c r="G31" s="2" t="s">
        <v>169</v>
      </c>
      <c r="H31" s="3">
        <v>0</v>
      </c>
      <c r="I31" s="2" t="s">
        <v>137</v>
      </c>
      <c r="J31" s="2" t="s">
        <v>170</v>
      </c>
      <c r="K31" s="2" t="s">
        <v>23</v>
      </c>
      <c r="L31" s="2" t="s">
        <v>171</v>
      </c>
      <c r="M31" s="4">
        <v>0</v>
      </c>
      <c r="N31" t="e">
        <f>OR(LEFT(B31,3)="frg",(_xlfn.XMATCH(B31,ZZZ_Part_Id_[[#All],[FGCODE]])))</f>
        <v>#N/A</v>
      </c>
    </row>
    <row r="32" spans="1:14" x14ac:dyDescent="0.3">
      <c r="A32" s="2" t="s">
        <v>134</v>
      </c>
      <c r="B32" s="2" t="s">
        <v>172</v>
      </c>
      <c r="C32" s="2" t="s">
        <v>173</v>
      </c>
      <c r="D32" s="3">
        <v>1E-3</v>
      </c>
      <c r="E32" s="3">
        <v>0</v>
      </c>
      <c r="F32" s="2" t="s">
        <v>23</v>
      </c>
      <c r="G32" s="2" t="s">
        <v>174</v>
      </c>
      <c r="H32" s="3">
        <v>0</v>
      </c>
      <c r="I32" s="2" t="s">
        <v>137</v>
      </c>
      <c r="J32" s="2" t="s">
        <v>175</v>
      </c>
      <c r="K32" s="2" t="s">
        <v>23</v>
      </c>
      <c r="L32" s="2" t="s">
        <v>176</v>
      </c>
      <c r="M32" s="4">
        <v>0</v>
      </c>
      <c r="N32" t="e">
        <f>OR(LEFT(B32,3)="frg",(_xlfn.XMATCH(B32,ZZZ_Part_Id_[[#All],[FGCODE]])))</f>
        <v>#N/A</v>
      </c>
    </row>
    <row r="33" spans="1:14" x14ac:dyDescent="0.3">
      <c r="A33" s="2" t="s">
        <v>134</v>
      </c>
      <c r="B33" s="2" t="s">
        <v>177</v>
      </c>
      <c r="C33" s="2" t="s">
        <v>178</v>
      </c>
      <c r="D33" s="3">
        <v>1E-3</v>
      </c>
      <c r="E33" s="3">
        <v>0</v>
      </c>
      <c r="F33" s="2" t="s">
        <v>16</v>
      </c>
      <c r="G33" s="2" t="s">
        <v>179</v>
      </c>
      <c r="H33" s="3">
        <v>0</v>
      </c>
      <c r="I33" s="2" t="s">
        <v>137</v>
      </c>
      <c r="J33" s="2" t="s">
        <v>180</v>
      </c>
      <c r="K33" s="2" t="s">
        <v>16</v>
      </c>
      <c r="L33" s="2" t="s">
        <v>181</v>
      </c>
      <c r="M33" s="4">
        <v>0</v>
      </c>
      <c r="N33" t="e">
        <f>OR(LEFT(B33,3)="frg",(_xlfn.XMATCH(B33,ZZZ_Part_Id_[[#All],[FGCODE]])))</f>
        <v>#N/A</v>
      </c>
    </row>
    <row r="34" spans="1:14" x14ac:dyDescent="0.3">
      <c r="A34" s="2" t="s">
        <v>134</v>
      </c>
      <c r="B34" s="2" t="s">
        <v>182</v>
      </c>
      <c r="C34" s="2" t="s">
        <v>183</v>
      </c>
      <c r="D34" s="3">
        <v>1E-3</v>
      </c>
      <c r="E34" s="3">
        <v>0</v>
      </c>
      <c r="F34" s="2" t="s">
        <v>16</v>
      </c>
      <c r="G34" s="2" t="s">
        <v>184</v>
      </c>
      <c r="H34" s="3">
        <v>0</v>
      </c>
      <c r="I34" s="2" t="s">
        <v>137</v>
      </c>
      <c r="J34" s="2" t="s">
        <v>185</v>
      </c>
      <c r="K34" s="2" t="s">
        <v>16</v>
      </c>
      <c r="L34" s="2" t="s">
        <v>186</v>
      </c>
      <c r="M34" s="4">
        <v>0</v>
      </c>
      <c r="N34" t="e">
        <f>OR(LEFT(B34,3)="frg",(_xlfn.XMATCH(B34,ZZZ_Part_Id_[[#All],[FGCODE]])))</f>
        <v>#N/A</v>
      </c>
    </row>
    <row r="35" spans="1:14" x14ac:dyDescent="0.3">
      <c r="A35" s="2" t="s">
        <v>134</v>
      </c>
      <c r="B35" s="2" t="s">
        <v>187</v>
      </c>
      <c r="C35" s="2" t="s">
        <v>188</v>
      </c>
      <c r="D35" s="3">
        <v>1E-3</v>
      </c>
      <c r="E35" s="3">
        <v>0</v>
      </c>
      <c r="F35" s="2" t="s">
        <v>16</v>
      </c>
      <c r="G35" s="2" t="s">
        <v>189</v>
      </c>
      <c r="H35" s="3">
        <v>0</v>
      </c>
      <c r="I35" s="2" t="s">
        <v>137</v>
      </c>
      <c r="J35" s="2" t="s">
        <v>190</v>
      </c>
      <c r="K35" s="2" t="s">
        <v>16</v>
      </c>
      <c r="L35" s="2" t="s">
        <v>191</v>
      </c>
      <c r="M35" s="4">
        <v>0</v>
      </c>
      <c r="N35" t="e">
        <f>OR(LEFT(B35,3)="frg",(_xlfn.XMATCH(B35,ZZZ_Part_Id_[[#All],[FGCODE]])))</f>
        <v>#N/A</v>
      </c>
    </row>
    <row r="36" spans="1:14" x14ac:dyDescent="0.3">
      <c r="A36" s="2" t="s">
        <v>134</v>
      </c>
      <c r="B36" s="2" t="s">
        <v>192</v>
      </c>
      <c r="C36" s="2" t="s">
        <v>193</v>
      </c>
      <c r="D36" s="3">
        <v>0</v>
      </c>
      <c r="E36" s="3">
        <v>0</v>
      </c>
      <c r="F36" s="2" t="s">
        <v>194</v>
      </c>
      <c r="G36" s="2" t="s">
        <v>195</v>
      </c>
      <c r="H36" s="3">
        <v>0</v>
      </c>
      <c r="I36" s="2" t="s">
        <v>137</v>
      </c>
      <c r="J36" s="2" t="s">
        <v>196</v>
      </c>
      <c r="K36" s="2" t="s">
        <v>194</v>
      </c>
      <c r="L36" s="2" t="s">
        <v>197</v>
      </c>
      <c r="M36" s="4">
        <v>0</v>
      </c>
      <c r="N36" t="e">
        <f>OR(LEFT(B36,3)="frg",(_xlfn.XMATCH(B36,ZZZ_Part_Id_[[#All],[FGCODE]])))</f>
        <v>#N/A</v>
      </c>
    </row>
    <row r="37" spans="1:14" x14ac:dyDescent="0.3">
      <c r="A37" s="2" t="s">
        <v>134</v>
      </c>
      <c r="B37" s="2" t="s">
        <v>198</v>
      </c>
      <c r="C37" s="2" t="s">
        <v>199</v>
      </c>
      <c r="D37" s="3">
        <v>0</v>
      </c>
      <c r="E37" s="3">
        <v>0</v>
      </c>
      <c r="F37" s="2" t="s">
        <v>23</v>
      </c>
      <c r="G37" s="2" t="s">
        <v>200</v>
      </c>
      <c r="H37" s="3">
        <v>0</v>
      </c>
      <c r="I37" s="2" t="s">
        <v>137</v>
      </c>
      <c r="J37" s="2" t="s">
        <v>201</v>
      </c>
      <c r="K37" s="2" t="s">
        <v>23</v>
      </c>
      <c r="L37" s="2" t="s">
        <v>202</v>
      </c>
      <c r="M37" s="4">
        <v>0</v>
      </c>
      <c r="N37" t="e">
        <f>OR(LEFT(B37,3)="frg",(_xlfn.XMATCH(B37,ZZZ_Part_Id_[[#All],[FGCODE]])))</f>
        <v>#N/A</v>
      </c>
    </row>
    <row r="38" spans="1:14" x14ac:dyDescent="0.3">
      <c r="A38" s="2" t="s">
        <v>134</v>
      </c>
      <c r="B38" s="2" t="s">
        <v>203</v>
      </c>
      <c r="C38" s="2" t="s">
        <v>204</v>
      </c>
      <c r="D38" s="3">
        <v>0</v>
      </c>
      <c r="E38" s="3">
        <v>0</v>
      </c>
      <c r="F38" s="2" t="s">
        <v>23</v>
      </c>
      <c r="G38" s="2" t="s">
        <v>205</v>
      </c>
      <c r="H38" s="3">
        <v>0</v>
      </c>
      <c r="I38" s="2" t="s">
        <v>137</v>
      </c>
      <c r="J38" s="2" t="s">
        <v>206</v>
      </c>
      <c r="K38" s="2" t="s">
        <v>23</v>
      </c>
      <c r="L38" s="2" t="s">
        <v>207</v>
      </c>
      <c r="M38" s="4">
        <v>0</v>
      </c>
      <c r="N38" t="e">
        <f>OR(LEFT(B38,3)="frg",(_xlfn.XMATCH(B38,ZZZ_Part_Id_[[#All],[FGCODE]])))</f>
        <v>#N/A</v>
      </c>
    </row>
    <row r="39" spans="1:14" x14ac:dyDescent="0.3">
      <c r="A39" s="2" t="s">
        <v>134</v>
      </c>
      <c r="B39" s="2" t="s">
        <v>208</v>
      </c>
      <c r="C39" s="2" t="s">
        <v>209</v>
      </c>
      <c r="D39" s="3">
        <v>0</v>
      </c>
      <c r="E39" s="3">
        <v>0</v>
      </c>
      <c r="F39" s="2" t="s">
        <v>23</v>
      </c>
      <c r="G39" s="2" t="s">
        <v>210</v>
      </c>
      <c r="H39" s="3">
        <v>0</v>
      </c>
      <c r="I39" s="2" t="s">
        <v>137</v>
      </c>
      <c r="J39" s="2" t="s">
        <v>211</v>
      </c>
      <c r="K39" s="2" t="s">
        <v>23</v>
      </c>
      <c r="L39" s="2" t="s">
        <v>212</v>
      </c>
      <c r="M39" s="4">
        <v>0</v>
      </c>
      <c r="N39" t="e">
        <f>OR(LEFT(B39,3)="frg",(_xlfn.XMATCH(B39,ZZZ_Part_Id_[[#All],[FGCODE]])))</f>
        <v>#N/A</v>
      </c>
    </row>
    <row r="40" spans="1:14" x14ac:dyDescent="0.3">
      <c r="A40" s="2" t="s">
        <v>134</v>
      </c>
      <c r="B40" s="2" t="s">
        <v>213</v>
      </c>
      <c r="C40" s="2" t="s">
        <v>214</v>
      </c>
      <c r="D40" s="3">
        <v>0</v>
      </c>
      <c r="E40" s="3">
        <v>0</v>
      </c>
      <c r="F40" s="2" t="s">
        <v>16</v>
      </c>
      <c r="G40" s="2" t="s">
        <v>215</v>
      </c>
      <c r="H40" s="3">
        <v>0</v>
      </c>
      <c r="I40" s="2" t="s">
        <v>137</v>
      </c>
      <c r="J40" s="2" t="s">
        <v>216</v>
      </c>
      <c r="K40" s="2" t="s">
        <v>16</v>
      </c>
      <c r="L40" s="2" t="s">
        <v>217</v>
      </c>
      <c r="M40" s="4">
        <v>0</v>
      </c>
      <c r="N40" t="e">
        <f>OR(LEFT(B40,3)="frg",(_xlfn.XMATCH(B40,ZZZ_Part_Id_[[#All],[FGCODE]])))</f>
        <v>#N/A</v>
      </c>
    </row>
    <row r="41" spans="1:14" x14ac:dyDescent="0.3">
      <c r="A41" s="2" t="s">
        <v>134</v>
      </c>
      <c r="B41" s="2" t="s">
        <v>218</v>
      </c>
      <c r="C41" s="2" t="s">
        <v>219</v>
      </c>
      <c r="D41" s="3">
        <v>0</v>
      </c>
      <c r="E41" s="3">
        <v>0</v>
      </c>
      <c r="F41" s="2" t="s">
        <v>16</v>
      </c>
      <c r="G41" s="2" t="s">
        <v>220</v>
      </c>
      <c r="H41" s="3">
        <v>0</v>
      </c>
      <c r="I41" s="2" t="s">
        <v>137</v>
      </c>
      <c r="J41" s="2" t="s">
        <v>221</v>
      </c>
      <c r="K41" s="2" t="s">
        <v>16</v>
      </c>
      <c r="L41" s="2" t="s">
        <v>222</v>
      </c>
      <c r="M41" s="4">
        <v>0</v>
      </c>
      <c r="N41" t="e">
        <f>OR(LEFT(B41,3)="frg",(_xlfn.XMATCH(B41,ZZZ_Part_Id_[[#All],[FGCODE]])))</f>
        <v>#N/A</v>
      </c>
    </row>
    <row r="42" spans="1:14" x14ac:dyDescent="0.3">
      <c r="A42" s="2" t="s">
        <v>134</v>
      </c>
      <c r="B42" s="2" t="s">
        <v>223</v>
      </c>
      <c r="C42" s="2" t="s">
        <v>224</v>
      </c>
      <c r="D42" s="3">
        <v>0</v>
      </c>
      <c r="E42" s="3">
        <v>0</v>
      </c>
      <c r="F42" s="2" t="s">
        <v>23</v>
      </c>
      <c r="G42" s="2" t="s">
        <v>225</v>
      </c>
      <c r="H42" s="3">
        <v>0</v>
      </c>
      <c r="I42" s="2" t="s">
        <v>137</v>
      </c>
      <c r="J42" s="2" t="s">
        <v>226</v>
      </c>
      <c r="K42" s="2" t="s">
        <v>23</v>
      </c>
      <c r="L42" s="2" t="s">
        <v>227</v>
      </c>
      <c r="M42" s="4">
        <v>0</v>
      </c>
      <c r="N42" t="e">
        <f>OR(LEFT(B42,3)="frg",(_xlfn.XMATCH(B42,ZZZ_Part_Id_[[#All],[FGCODE]])))</f>
        <v>#N/A</v>
      </c>
    </row>
    <row r="43" spans="1:14" x14ac:dyDescent="0.3">
      <c r="A43" s="2" t="s">
        <v>134</v>
      </c>
      <c r="B43" s="2" t="s">
        <v>21</v>
      </c>
      <c r="C43" s="2" t="s">
        <v>228</v>
      </c>
      <c r="D43" s="3">
        <v>0</v>
      </c>
      <c r="E43" s="3">
        <v>0</v>
      </c>
      <c r="F43" s="2" t="s">
        <v>23</v>
      </c>
      <c r="G43" s="2" t="s">
        <v>229</v>
      </c>
      <c r="H43" s="3">
        <v>0</v>
      </c>
      <c r="I43" s="2" t="s">
        <v>137</v>
      </c>
      <c r="J43" s="2" t="s">
        <v>230</v>
      </c>
      <c r="K43" s="2" t="s">
        <v>23</v>
      </c>
      <c r="L43" s="2" t="s">
        <v>231</v>
      </c>
      <c r="M43" s="4">
        <v>0</v>
      </c>
      <c r="N43" t="b">
        <f>OR(LEFT(B43,3)="frg",(_xlfn.XMATCH(B43,ZZZ_Part_Id_[[#All],[FGCODE]])))</f>
        <v>1</v>
      </c>
    </row>
    <row r="44" spans="1:14" x14ac:dyDescent="0.3">
      <c r="A44" s="2" t="s">
        <v>134</v>
      </c>
      <c r="B44" s="2" t="s">
        <v>232</v>
      </c>
      <c r="C44" s="2" t="s">
        <v>233</v>
      </c>
      <c r="D44" s="3">
        <v>0</v>
      </c>
      <c r="E44" s="3">
        <v>0</v>
      </c>
      <c r="F44" s="2" t="s">
        <v>23</v>
      </c>
      <c r="G44" s="2" t="s">
        <v>234</v>
      </c>
      <c r="H44" s="3">
        <v>0</v>
      </c>
      <c r="I44" s="2" t="s">
        <v>137</v>
      </c>
      <c r="J44" s="2" t="s">
        <v>235</v>
      </c>
      <c r="K44" s="2" t="s">
        <v>23</v>
      </c>
      <c r="L44" s="2" t="s">
        <v>236</v>
      </c>
      <c r="M44" s="4">
        <v>0</v>
      </c>
      <c r="N44" t="e">
        <f>OR(LEFT(B44,3)="frg",(_xlfn.XMATCH(B44,ZZZ_Part_Id_[[#All],[FGCODE]])))</f>
        <v>#N/A</v>
      </c>
    </row>
    <row r="45" spans="1:14" x14ac:dyDescent="0.3">
      <c r="A45" s="2" t="s">
        <v>134</v>
      </c>
      <c r="B45" s="2" t="s">
        <v>237</v>
      </c>
      <c r="C45" s="2" t="s">
        <v>238</v>
      </c>
      <c r="D45" s="3">
        <v>0</v>
      </c>
      <c r="E45" s="3">
        <v>0</v>
      </c>
      <c r="F45" s="2" t="s">
        <v>16</v>
      </c>
      <c r="G45" s="2" t="s">
        <v>239</v>
      </c>
      <c r="H45" s="3">
        <v>0</v>
      </c>
      <c r="I45" s="2" t="s">
        <v>137</v>
      </c>
      <c r="J45" s="2" t="s">
        <v>240</v>
      </c>
      <c r="K45" s="2" t="s">
        <v>16</v>
      </c>
      <c r="L45" s="2" t="s">
        <v>241</v>
      </c>
      <c r="M45" s="4">
        <v>0</v>
      </c>
      <c r="N45" t="e">
        <f>OR(LEFT(B45,3)="frg",(_xlfn.XMATCH(B45,ZZZ_Part_Id_[[#All],[FGCODE]])))</f>
        <v>#N/A</v>
      </c>
    </row>
    <row r="46" spans="1:14" x14ac:dyDescent="0.3">
      <c r="A46" s="2" t="s">
        <v>134</v>
      </c>
      <c r="B46" s="2" t="s">
        <v>242</v>
      </c>
      <c r="C46" s="2" t="s">
        <v>243</v>
      </c>
      <c r="D46" s="3">
        <v>0</v>
      </c>
      <c r="E46" s="3">
        <v>0</v>
      </c>
      <c r="F46" s="2" t="s">
        <v>16</v>
      </c>
      <c r="G46" s="2" t="s">
        <v>244</v>
      </c>
      <c r="H46" s="3">
        <v>0</v>
      </c>
      <c r="I46" s="2" t="s">
        <v>137</v>
      </c>
      <c r="J46" s="2" t="s">
        <v>245</v>
      </c>
      <c r="K46" s="2" t="s">
        <v>16</v>
      </c>
      <c r="L46" s="2" t="s">
        <v>246</v>
      </c>
      <c r="M46" s="4">
        <v>0</v>
      </c>
      <c r="N46" t="e">
        <f>OR(LEFT(B46,3)="frg",(_xlfn.XMATCH(B46,ZZZ_Part_Id_[[#All],[FGCODE]])))</f>
        <v>#N/A</v>
      </c>
    </row>
    <row r="47" spans="1:14" x14ac:dyDescent="0.3">
      <c r="A47" s="2" t="s">
        <v>134</v>
      </c>
      <c r="B47" s="2" t="s">
        <v>198</v>
      </c>
      <c r="C47" s="2" t="s">
        <v>247</v>
      </c>
      <c r="D47" s="3">
        <v>0</v>
      </c>
      <c r="E47" s="3">
        <v>0</v>
      </c>
      <c r="F47" s="2" t="s">
        <v>23</v>
      </c>
      <c r="G47" s="2" t="s">
        <v>248</v>
      </c>
      <c r="H47" s="3">
        <v>0</v>
      </c>
      <c r="I47" s="2" t="s">
        <v>137</v>
      </c>
      <c r="J47" s="2" t="s">
        <v>249</v>
      </c>
      <c r="K47" s="2" t="s">
        <v>23</v>
      </c>
      <c r="L47" s="2" t="s">
        <v>250</v>
      </c>
      <c r="M47" s="4">
        <v>0</v>
      </c>
      <c r="N47" t="e">
        <f>OR(LEFT(B47,3)="frg",(_xlfn.XMATCH(B47,ZZZ_Part_Id_[[#All],[FGCODE]])))</f>
        <v>#N/A</v>
      </c>
    </row>
    <row r="48" spans="1:14" x14ac:dyDescent="0.3">
      <c r="A48" s="2" t="s">
        <v>134</v>
      </c>
      <c r="B48" s="2" t="s">
        <v>203</v>
      </c>
      <c r="C48" s="2" t="s">
        <v>251</v>
      </c>
      <c r="D48" s="3">
        <v>0</v>
      </c>
      <c r="E48" s="3">
        <v>0</v>
      </c>
      <c r="F48" s="2" t="s">
        <v>23</v>
      </c>
      <c r="G48" s="2" t="s">
        <v>252</v>
      </c>
      <c r="H48" s="3">
        <v>0</v>
      </c>
      <c r="I48" s="2" t="s">
        <v>137</v>
      </c>
      <c r="J48" s="2" t="s">
        <v>253</v>
      </c>
      <c r="K48" s="2" t="s">
        <v>23</v>
      </c>
      <c r="L48" s="2" t="s">
        <v>254</v>
      </c>
      <c r="M48" s="4">
        <v>0</v>
      </c>
      <c r="N48" t="e">
        <f>OR(LEFT(B48,3)="frg",(_xlfn.XMATCH(B48,ZZZ_Part_Id_[[#All],[FGCODE]])))</f>
        <v>#N/A</v>
      </c>
    </row>
    <row r="49" spans="1:14" x14ac:dyDescent="0.3">
      <c r="A49" s="2" t="s">
        <v>134</v>
      </c>
      <c r="B49" s="2" t="s">
        <v>255</v>
      </c>
      <c r="C49" s="2" t="s">
        <v>256</v>
      </c>
      <c r="D49" s="3">
        <v>0</v>
      </c>
      <c r="E49" s="3">
        <v>0</v>
      </c>
      <c r="F49" s="2" t="s">
        <v>16</v>
      </c>
      <c r="G49" s="2" t="s">
        <v>257</v>
      </c>
      <c r="H49" s="3">
        <v>0</v>
      </c>
      <c r="I49" s="2" t="s">
        <v>137</v>
      </c>
      <c r="J49" s="2" t="s">
        <v>258</v>
      </c>
      <c r="K49" s="2" t="s">
        <v>16</v>
      </c>
      <c r="L49" s="2" t="s">
        <v>259</v>
      </c>
      <c r="M49" s="4">
        <v>0</v>
      </c>
      <c r="N49" t="e">
        <f>OR(LEFT(B49,3)="frg",(_xlfn.XMATCH(B49,ZZZ_Part_Id_[[#All],[FGCODE]])))</f>
        <v>#N/A</v>
      </c>
    </row>
    <row r="50" spans="1:14" x14ac:dyDescent="0.3">
      <c r="A50" s="2" t="s">
        <v>134</v>
      </c>
      <c r="B50" s="2" t="s">
        <v>208</v>
      </c>
      <c r="C50" s="2" t="s">
        <v>260</v>
      </c>
      <c r="D50" s="3">
        <v>0</v>
      </c>
      <c r="E50" s="3">
        <v>0</v>
      </c>
      <c r="F50" s="2" t="s">
        <v>23</v>
      </c>
      <c r="G50" s="2" t="s">
        <v>261</v>
      </c>
      <c r="H50" s="3">
        <v>0</v>
      </c>
      <c r="I50" s="2" t="s">
        <v>137</v>
      </c>
      <c r="J50" s="2" t="s">
        <v>262</v>
      </c>
      <c r="K50" s="2" t="s">
        <v>23</v>
      </c>
      <c r="L50" s="2" t="s">
        <v>263</v>
      </c>
      <c r="M50" s="4">
        <v>0</v>
      </c>
      <c r="N50" t="e">
        <f>OR(LEFT(B50,3)="frg",(_xlfn.XMATCH(B50,ZZZ_Part_Id_[[#All],[FGCODE]])))</f>
        <v>#N/A</v>
      </c>
    </row>
    <row r="51" spans="1:14" x14ac:dyDescent="0.3">
      <c r="A51" s="2" t="s">
        <v>134</v>
      </c>
      <c r="B51" s="2" t="s">
        <v>264</v>
      </c>
      <c r="C51" s="2" t="s">
        <v>265</v>
      </c>
      <c r="D51" s="3">
        <v>0</v>
      </c>
      <c r="E51" s="3">
        <v>0</v>
      </c>
      <c r="F51" s="2" t="s">
        <v>16</v>
      </c>
      <c r="G51" s="2" t="s">
        <v>266</v>
      </c>
      <c r="H51" s="3">
        <v>0</v>
      </c>
      <c r="I51" s="2" t="s">
        <v>137</v>
      </c>
      <c r="J51" s="2" t="s">
        <v>267</v>
      </c>
      <c r="K51" s="2" t="s">
        <v>16</v>
      </c>
      <c r="L51" s="2" t="s">
        <v>268</v>
      </c>
      <c r="M51" s="4">
        <v>0</v>
      </c>
      <c r="N51" t="e">
        <f>OR(LEFT(B51,3)="frg",(_xlfn.XMATCH(B51,ZZZ_Part_Id_[[#All],[FGCODE]])))</f>
        <v>#N/A</v>
      </c>
    </row>
    <row r="52" spans="1:14" x14ac:dyDescent="0.3">
      <c r="A52" s="2" t="s">
        <v>134</v>
      </c>
      <c r="B52" s="2" t="s">
        <v>269</v>
      </c>
      <c r="C52" s="2" t="s">
        <v>270</v>
      </c>
      <c r="D52" s="3">
        <v>0</v>
      </c>
      <c r="E52" s="3">
        <v>0</v>
      </c>
      <c r="F52" s="2" t="s">
        <v>163</v>
      </c>
      <c r="G52" s="2" t="s">
        <v>271</v>
      </c>
      <c r="H52" s="3">
        <v>0</v>
      </c>
      <c r="I52" s="2" t="s">
        <v>137</v>
      </c>
      <c r="J52" s="2" t="s">
        <v>272</v>
      </c>
      <c r="K52" s="2" t="s">
        <v>163</v>
      </c>
      <c r="L52" s="2" t="s">
        <v>273</v>
      </c>
      <c r="M52" s="4">
        <v>0</v>
      </c>
      <c r="N52" t="e">
        <f>OR(LEFT(B52,3)="frg",(_xlfn.XMATCH(B52,ZZZ_Part_Id_[[#All],[FGCODE]])))</f>
        <v>#N/A</v>
      </c>
    </row>
    <row r="53" spans="1:14" x14ac:dyDescent="0.3">
      <c r="A53" s="2" t="s">
        <v>134</v>
      </c>
      <c r="B53" s="2" t="s">
        <v>274</v>
      </c>
      <c r="C53" s="2" t="s">
        <v>275</v>
      </c>
      <c r="D53" s="3">
        <v>4.5999999999999999E-2</v>
      </c>
      <c r="E53" s="3">
        <v>0</v>
      </c>
      <c r="F53" s="2" t="s">
        <v>23</v>
      </c>
      <c r="G53" s="2" t="s">
        <v>276</v>
      </c>
      <c r="H53" s="3">
        <v>0</v>
      </c>
      <c r="I53" s="2" t="s">
        <v>137</v>
      </c>
      <c r="J53" s="2" t="s">
        <v>277</v>
      </c>
      <c r="K53" s="2" t="s">
        <v>23</v>
      </c>
      <c r="L53" s="2" t="s">
        <v>278</v>
      </c>
      <c r="M53" s="4">
        <v>0</v>
      </c>
      <c r="N53" t="e">
        <f>OR(LEFT(B53,3)="frg",(_xlfn.XMATCH(B53,ZZZ_Part_Id_[[#All],[FGCODE]])))</f>
        <v>#N/A</v>
      </c>
    </row>
    <row r="54" spans="1:14" x14ac:dyDescent="0.3">
      <c r="A54" s="2" t="s">
        <v>134</v>
      </c>
      <c r="B54" s="2" t="s">
        <v>279</v>
      </c>
      <c r="C54" s="2" t="s">
        <v>280</v>
      </c>
      <c r="D54" s="3">
        <v>0</v>
      </c>
      <c r="E54" s="3">
        <v>0</v>
      </c>
      <c r="F54" s="2" t="s">
        <v>23</v>
      </c>
      <c r="G54" s="2" t="s">
        <v>281</v>
      </c>
      <c r="H54" s="3">
        <v>0</v>
      </c>
      <c r="I54" s="2" t="s">
        <v>137</v>
      </c>
      <c r="J54" s="2" t="s">
        <v>282</v>
      </c>
      <c r="K54" s="2" t="s">
        <v>23</v>
      </c>
      <c r="L54" s="2" t="s">
        <v>283</v>
      </c>
      <c r="M54" s="4">
        <v>0</v>
      </c>
      <c r="N54" t="e">
        <f>OR(LEFT(B54,3)="frg",(_xlfn.XMATCH(B54,ZZZ_Part_Id_[[#All],[FGCODE]])))</f>
        <v>#N/A</v>
      </c>
    </row>
    <row r="55" spans="1:14" x14ac:dyDescent="0.3">
      <c r="A55" s="2" t="s">
        <v>134</v>
      </c>
      <c r="B55" s="2" t="s">
        <v>284</v>
      </c>
      <c r="C55" s="2" t="s">
        <v>285</v>
      </c>
      <c r="D55" s="3">
        <v>1E-3</v>
      </c>
      <c r="E55" s="3">
        <v>0</v>
      </c>
      <c r="F55" s="2" t="s">
        <v>23</v>
      </c>
      <c r="G55" s="2" t="s">
        <v>286</v>
      </c>
      <c r="H55" s="3">
        <v>0</v>
      </c>
      <c r="I55" s="2" t="s">
        <v>137</v>
      </c>
      <c r="J55" s="2" t="s">
        <v>287</v>
      </c>
      <c r="K55" s="2" t="s">
        <v>23</v>
      </c>
      <c r="L55" s="2" t="s">
        <v>288</v>
      </c>
      <c r="M55" s="4">
        <v>0</v>
      </c>
      <c r="N55" t="e">
        <f>OR(LEFT(B55,3)="frg",(_xlfn.XMATCH(B55,ZZZ_Part_Id_[[#All],[FGCODE]])))</f>
        <v>#N/A</v>
      </c>
    </row>
    <row r="56" spans="1:14" x14ac:dyDescent="0.3">
      <c r="A56" s="2" t="s">
        <v>134</v>
      </c>
      <c r="B56" s="2" t="s">
        <v>289</v>
      </c>
      <c r="C56" s="2" t="s">
        <v>290</v>
      </c>
      <c r="D56" s="3">
        <v>150000</v>
      </c>
      <c r="E56" s="3">
        <v>0</v>
      </c>
      <c r="F56" s="2" t="s">
        <v>16</v>
      </c>
      <c r="G56" s="2" t="s">
        <v>131</v>
      </c>
      <c r="H56" s="3">
        <v>0</v>
      </c>
      <c r="I56" s="2" t="s">
        <v>137</v>
      </c>
      <c r="J56" s="2" t="s">
        <v>291</v>
      </c>
      <c r="K56" s="2" t="s">
        <v>16</v>
      </c>
      <c r="L56" s="2" t="s">
        <v>292</v>
      </c>
      <c r="M56" s="4">
        <v>0</v>
      </c>
      <c r="N56" t="b">
        <f>OR(LEFT(B56,3)="frg",(_xlfn.XMATCH(B56,ZZZ_Part_Id_[[#All],[FGCODE]])))</f>
        <v>1</v>
      </c>
    </row>
    <row r="57" spans="1:14" x14ac:dyDescent="0.3">
      <c r="A57" s="2" t="s">
        <v>134</v>
      </c>
      <c r="B57" s="2" t="s">
        <v>293</v>
      </c>
      <c r="C57" s="2" t="s">
        <v>294</v>
      </c>
      <c r="D57" s="3">
        <v>100000</v>
      </c>
      <c r="E57" s="3">
        <v>0</v>
      </c>
      <c r="F57" s="2" t="s">
        <v>16</v>
      </c>
      <c r="G57" s="2" t="s">
        <v>131</v>
      </c>
      <c r="H57" s="3">
        <v>0</v>
      </c>
      <c r="I57" s="2" t="s">
        <v>137</v>
      </c>
      <c r="J57" s="2" t="s">
        <v>295</v>
      </c>
      <c r="K57" s="2" t="s">
        <v>16</v>
      </c>
      <c r="L57" s="2" t="s">
        <v>296</v>
      </c>
      <c r="M57" s="4">
        <v>0</v>
      </c>
      <c r="N57" t="b">
        <f>OR(LEFT(B57,3)="frg",(_xlfn.XMATCH(B57,ZZZ_Part_Id_[[#All],[FGCODE]])))</f>
        <v>1</v>
      </c>
    </row>
    <row r="58" spans="1:14" x14ac:dyDescent="0.3">
      <c r="A58" s="2" t="s">
        <v>297</v>
      </c>
      <c r="B58" s="2" t="s">
        <v>27</v>
      </c>
      <c r="C58" s="2" t="s">
        <v>298</v>
      </c>
      <c r="D58" s="3">
        <v>33120</v>
      </c>
      <c r="E58" s="3">
        <v>33120</v>
      </c>
      <c r="F58" s="2" t="s">
        <v>16</v>
      </c>
      <c r="G58" s="2" t="s">
        <v>299</v>
      </c>
      <c r="H58" s="3">
        <v>0</v>
      </c>
      <c r="I58" s="2" t="s">
        <v>18</v>
      </c>
      <c r="J58" s="2" t="s">
        <v>300</v>
      </c>
      <c r="K58" s="2" t="s">
        <v>16</v>
      </c>
      <c r="L58" s="2" t="s">
        <v>301</v>
      </c>
      <c r="M58" s="4">
        <v>6151.4</v>
      </c>
      <c r="N58" t="b">
        <f>OR(LEFT(B58,3)="frg",(_xlfn.XMATCH(B58,ZZZ_Part_Id_[[#All],[FGCODE]])))</f>
        <v>1</v>
      </c>
    </row>
    <row r="59" spans="1:14" x14ac:dyDescent="0.3">
      <c r="A59" s="2" t="s">
        <v>302</v>
      </c>
      <c r="B59" s="2" t="s">
        <v>59</v>
      </c>
      <c r="C59" s="2" t="s">
        <v>303</v>
      </c>
      <c r="D59" s="3">
        <v>2055780</v>
      </c>
      <c r="E59" s="3">
        <v>2055780</v>
      </c>
      <c r="F59" s="2" t="s">
        <v>16</v>
      </c>
      <c r="G59" s="2" t="s">
        <v>304</v>
      </c>
      <c r="H59" s="3">
        <v>0</v>
      </c>
      <c r="I59" s="2" t="s">
        <v>18</v>
      </c>
      <c r="J59" s="2" t="s">
        <v>305</v>
      </c>
      <c r="K59" s="2" t="s">
        <v>16</v>
      </c>
      <c r="L59" s="2" t="s">
        <v>306</v>
      </c>
      <c r="M59" s="4">
        <v>87884.77</v>
      </c>
      <c r="N59" t="b">
        <f>OR(LEFT(B59,3)="frg",(_xlfn.XMATCH(B59,ZZZ_Part_Id_[[#All],[FGCODE]])))</f>
        <v>1</v>
      </c>
    </row>
    <row r="60" spans="1:14" x14ac:dyDescent="0.3">
      <c r="A60" s="2" t="s">
        <v>307</v>
      </c>
      <c r="B60" s="2" t="s">
        <v>308</v>
      </c>
      <c r="C60" s="2" t="s">
        <v>309</v>
      </c>
      <c r="D60" s="3">
        <v>189000</v>
      </c>
      <c r="E60" s="3">
        <v>189000</v>
      </c>
      <c r="F60" s="2" t="s">
        <v>16</v>
      </c>
      <c r="G60" s="2" t="s">
        <v>310</v>
      </c>
      <c r="H60" s="3">
        <v>0</v>
      </c>
      <c r="I60" s="2" t="s">
        <v>18</v>
      </c>
      <c r="J60" s="2" t="s">
        <v>311</v>
      </c>
      <c r="K60" s="2" t="s">
        <v>16</v>
      </c>
      <c r="L60" s="2" t="s">
        <v>312</v>
      </c>
      <c r="M60" s="4">
        <v>7297.29</v>
      </c>
      <c r="N60" t="b">
        <f>OR(LEFT(B60,3)="frg",(_xlfn.XMATCH(B60,ZZZ_Part_Id_[[#All],[FGCODE]])))</f>
        <v>1</v>
      </c>
    </row>
    <row r="61" spans="1:14" x14ac:dyDescent="0.3">
      <c r="A61" s="2" t="s">
        <v>313</v>
      </c>
      <c r="B61" s="2" t="s">
        <v>14</v>
      </c>
      <c r="C61" s="2" t="s">
        <v>314</v>
      </c>
      <c r="D61" s="3">
        <v>19</v>
      </c>
      <c r="E61" s="3">
        <v>19</v>
      </c>
      <c r="F61" s="2" t="s">
        <v>16</v>
      </c>
      <c r="G61" s="2" t="s">
        <v>315</v>
      </c>
      <c r="H61" s="3">
        <v>0</v>
      </c>
      <c r="I61" s="2" t="s">
        <v>18</v>
      </c>
      <c r="J61" s="2" t="s">
        <v>316</v>
      </c>
      <c r="K61" s="2" t="s">
        <v>16</v>
      </c>
      <c r="L61" s="2" t="s">
        <v>317</v>
      </c>
      <c r="M61" s="4">
        <v>1.46</v>
      </c>
      <c r="N61" t="e">
        <f>OR(LEFT(B61,3)="frg",(_xlfn.XMATCH(B61,ZZZ_Part_Id_[[#All],[FGCODE]])))</f>
        <v>#N/A</v>
      </c>
    </row>
    <row r="62" spans="1:14" x14ac:dyDescent="0.3">
      <c r="A62" s="2" t="s">
        <v>313</v>
      </c>
      <c r="B62" s="2" t="s">
        <v>86</v>
      </c>
      <c r="C62" s="2" t="s">
        <v>318</v>
      </c>
      <c r="D62" s="5">
        <v>-831</v>
      </c>
      <c r="E62" s="5">
        <v>-831</v>
      </c>
      <c r="F62" s="2" t="s">
        <v>23</v>
      </c>
      <c r="G62" s="2" t="s">
        <v>319</v>
      </c>
      <c r="H62" s="3">
        <v>0</v>
      </c>
      <c r="I62" s="2" t="s">
        <v>18</v>
      </c>
      <c r="J62" s="2" t="s">
        <v>320</v>
      </c>
      <c r="K62" s="2" t="s">
        <v>23</v>
      </c>
      <c r="L62" s="2" t="s">
        <v>321</v>
      </c>
      <c r="M62" s="6">
        <v>-2175.39</v>
      </c>
      <c r="N62" t="b">
        <f>OR(LEFT(B62,3)="frg",(_xlfn.XMATCH(B62,ZZZ_Part_Id_[[#All],[FGCODE]])))</f>
        <v>1</v>
      </c>
    </row>
    <row r="63" spans="1:14" x14ac:dyDescent="0.3">
      <c r="A63" s="2" t="s">
        <v>313</v>
      </c>
      <c r="B63" s="2" t="s">
        <v>322</v>
      </c>
      <c r="C63" s="2" t="s">
        <v>323</v>
      </c>
      <c r="D63" s="3">
        <v>570600</v>
      </c>
      <c r="E63" s="3">
        <v>570600</v>
      </c>
      <c r="F63" s="2" t="s">
        <v>16</v>
      </c>
      <c r="G63" s="2" t="s">
        <v>324</v>
      </c>
      <c r="H63" s="3">
        <v>0</v>
      </c>
      <c r="I63" s="2" t="s">
        <v>18</v>
      </c>
      <c r="J63" s="2" t="s">
        <v>325</v>
      </c>
      <c r="K63" s="2" t="s">
        <v>16</v>
      </c>
      <c r="L63" s="2" t="s">
        <v>326</v>
      </c>
      <c r="M63" s="4">
        <v>24381.74</v>
      </c>
      <c r="N63" t="b">
        <f>OR(LEFT(B63,3)="frg",(_xlfn.XMATCH(B63,ZZZ_Part_Id_[[#All],[FGCODE]])))</f>
        <v>1</v>
      </c>
    </row>
    <row r="64" spans="1:14" x14ac:dyDescent="0.3">
      <c r="A64" s="2" t="s">
        <v>327</v>
      </c>
      <c r="B64" s="2" t="s">
        <v>27</v>
      </c>
      <c r="C64" s="2" t="s">
        <v>328</v>
      </c>
      <c r="D64" s="3">
        <v>33120</v>
      </c>
      <c r="E64" s="3">
        <v>33120</v>
      </c>
      <c r="F64" s="2" t="s">
        <v>16</v>
      </c>
      <c r="G64" s="2" t="s">
        <v>329</v>
      </c>
      <c r="H64" s="3">
        <v>0</v>
      </c>
      <c r="I64" s="2" t="s">
        <v>18</v>
      </c>
      <c r="J64" s="2" t="s">
        <v>330</v>
      </c>
      <c r="K64" s="2" t="s">
        <v>16</v>
      </c>
      <c r="L64" s="2" t="s">
        <v>331</v>
      </c>
      <c r="M64" s="4">
        <v>6151.4</v>
      </c>
      <c r="N64" t="b">
        <f>OR(LEFT(B64,3)="frg",(_xlfn.XMATCH(B64,ZZZ_Part_Id_[[#All],[FGCODE]])))</f>
        <v>1</v>
      </c>
    </row>
    <row r="65" spans="1:14" x14ac:dyDescent="0.3">
      <c r="A65" s="2" t="s">
        <v>332</v>
      </c>
      <c r="B65" s="2" t="s">
        <v>121</v>
      </c>
      <c r="C65" s="2" t="s">
        <v>333</v>
      </c>
      <c r="D65" s="3">
        <v>0</v>
      </c>
      <c r="E65" s="3">
        <v>0</v>
      </c>
      <c r="F65" s="2" t="s">
        <v>16</v>
      </c>
      <c r="G65" s="2" t="s">
        <v>334</v>
      </c>
      <c r="H65" s="3">
        <v>0</v>
      </c>
      <c r="I65" s="2" t="s">
        <v>18</v>
      </c>
      <c r="J65" s="2" t="s">
        <v>335</v>
      </c>
      <c r="K65" s="2" t="s">
        <v>16</v>
      </c>
      <c r="L65" s="2" t="s">
        <v>336</v>
      </c>
      <c r="M65" s="4">
        <v>0</v>
      </c>
      <c r="N65" t="b">
        <f>OR(LEFT(B65,3)="frg",(_xlfn.XMATCH(B65,ZZZ_Part_Id_[[#All],[FGCODE]])))</f>
        <v>1</v>
      </c>
    </row>
    <row r="66" spans="1:14" x14ac:dyDescent="0.3">
      <c r="A66" s="2" t="s">
        <v>332</v>
      </c>
      <c r="B66" s="2" t="s">
        <v>27</v>
      </c>
      <c r="C66" s="2" t="s">
        <v>337</v>
      </c>
      <c r="D66" s="3">
        <v>152352</v>
      </c>
      <c r="E66" s="3">
        <v>152352</v>
      </c>
      <c r="F66" s="2" t="s">
        <v>16</v>
      </c>
      <c r="G66" s="2" t="s">
        <v>131</v>
      </c>
      <c r="H66" s="3">
        <v>0</v>
      </c>
      <c r="I66" s="2" t="s">
        <v>18</v>
      </c>
      <c r="J66" s="2" t="s">
        <v>338</v>
      </c>
      <c r="K66" s="2" t="s">
        <v>16</v>
      </c>
      <c r="L66" s="2" t="s">
        <v>339</v>
      </c>
      <c r="M66" s="4">
        <v>28296.44</v>
      </c>
      <c r="N66" t="b">
        <f>OR(LEFT(B66,3)="frg",(_xlfn.XMATCH(B66,ZZZ_Part_Id_[[#All],[FGCODE]])))</f>
        <v>1</v>
      </c>
    </row>
    <row r="67" spans="1:14" x14ac:dyDescent="0.3">
      <c r="A67" s="2" t="s">
        <v>340</v>
      </c>
      <c r="B67" s="2" t="s">
        <v>341</v>
      </c>
      <c r="C67" s="2" t="s">
        <v>342</v>
      </c>
      <c r="D67" s="3">
        <v>391390</v>
      </c>
      <c r="E67" s="3">
        <v>391390</v>
      </c>
      <c r="F67" s="2" t="s">
        <v>16</v>
      </c>
      <c r="G67" s="2" t="s">
        <v>343</v>
      </c>
      <c r="H67" s="3">
        <v>0</v>
      </c>
      <c r="I67" s="2" t="s">
        <v>18</v>
      </c>
      <c r="J67" s="2" t="s">
        <v>35</v>
      </c>
      <c r="K67" s="2" t="s">
        <v>16</v>
      </c>
      <c r="L67" s="2" t="s">
        <v>344</v>
      </c>
      <c r="M67" s="4">
        <v>51913.97</v>
      </c>
      <c r="N67" t="b">
        <f>OR(LEFT(B67,3)="frg",(_xlfn.XMATCH(B67,ZZZ_Part_Id_[[#All],[FGCODE]])))</f>
        <v>1</v>
      </c>
    </row>
    <row r="68" spans="1:14" x14ac:dyDescent="0.3">
      <c r="A68" s="2" t="s">
        <v>340</v>
      </c>
      <c r="B68" s="2" t="s">
        <v>14</v>
      </c>
      <c r="C68" s="2" t="s">
        <v>345</v>
      </c>
      <c r="D68" s="3">
        <v>60</v>
      </c>
      <c r="E68" s="3">
        <v>60</v>
      </c>
      <c r="F68" s="2" t="s">
        <v>16</v>
      </c>
      <c r="G68" s="2" t="s">
        <v>346</v>
      </c>
      <c r="H68" s="3">
        <v>0</v>
      </c>
      <c r="I68" s="2" t="s">
        <v>18</v>
      </c>
      <c r="J68" s="2" t="s">
        <v>35</v>
      </c>
      <c r="K68" s="2" t="s">
        <v>16</v>
      </c>
      <c r="L68" s="2" t="s">
        <v>347</v>
      </c>
      <c r="M68" s="4">
        <v>4.62</v>
      </c>
      <c r="N68" t="e">
        <f>OR(LEFT(B68,3)="frg",(_xlfn.XMATCH(B68,ZZZ_Part_Id_[[#All],[FGCODE]])))</f>
        <v>#N/A</v>
      </c>
    </row>
    <row r="69" spans="1:14" x14ac:dyDescent="0.3">
      <c r="A69" s="2" t="s">
        <v>340</v>
      </c>
      <c r="B69" s="2" t="s">
        <v>140</v>
      </c>
      <c r="C69" s="2" t="s">
        <v>348</v>
      </c>
      <c r="D69" s="3">
        <v>1.2</v>
      </c>
      <c r="E69" s="3">
        <v>1.2</v>
      </c>
      <c r="F69" s="2" t="s">
        <v>16</v>
      </c>
      <c r="G69" s="2" t="s">
        <v>349</v>
      </c>
      <c r="H69" s="3">
        <v>0</v>
      </c>
      <c r="I69" s="2" t="s">
        <v>18</v>
      </c>
      <c r="J69" s="2" t="s">
        <v>35</v>
      </c>
      <c r="K69" s="2" t="s">
        <v>16</v>
      </c>
      <c r="L69" s="2" t="s">
        <v>350</v>
      </c>
      <c r="M69" s="4">
        <v>2.02</v>
      </c>
      <c r="N69" t="e">
        <f>OR(LEFT(B69,3)="frg",(_xlfn.XMATCH(B69,ZZZ_Part_Id_[[#All],[FGCODE]])))</f>
        <v>#N/A</v>
      </c>
    </row>
    <row r="70" spans="1:14" x14ac:dyDescent="0.3">
      <c r="A70" s="2" t="s">
        <v>340</v>
      </c>
      <c r="B70" s="2" t="s">
        <v>192</v>
      </c>
      <c r="C70" s="2" t="s">
        <v>351</v>
      </c>
      <c r="D70" s="3">
        <v>0.3</v>
      </c>
      <c r="E70" s="3">
        <v>0.3</v>
      </c>
      <c r="F70" s="2" t="s">
        <v>194</v>
      </c>
      <c r="G70" s="2" t="s">
        <v>352</v>
      </c>
      <c r="H70" s="3">
        <v>0</v>
      </c>
      <c r="I70" s="2" t="s">
        <v>18</v>
      </c>
      <c r="J70" s="2" t="s">
        <v>35</v>
      </c>
      <c r="K70" s="2" t="s">
        <v>194</v>
      </c>
      <c r="L70" s="2" t="s">
        <v>353</v>
      </c>
      <c r="M70" s="4">
        <v>1.5</v>
      </c>
      <c r="N70" t="e">
        <f>OR(LEFT(B70,3)="frg",(_xlfn.XMATCH(B70,ZZZ_Part_Id_[[#All],[FGCODE]])))</f>
        <v>#N/A</v>
      </c>
    </row>
    <row r="71" spans="1:14" x14ac:dyDescent="0.3">
      <c r="A71" s="2" t="s">
        <v>340</v>
      </c>
      <c r="B71" s="2" t="s">
        <v>86</v>
      </c>
      <c r="C71" s="2" t="s">
        <v>354</v>
      </c>
      <c r="D71" s="5">
        <v>-2607</v>
      </c>
      <c r="E71" s="5">
        <v>-2607</v>
      </c>
      <c r="F71" s="2" t="s">
        <v>23</v>
      </c>
      <c r="G71" s="2" t="s">
        <v>355</v>
      </c>
      <c r="H71" s="3">
        <v>0</v>
      </c>
      <c r="I71" s="2" t="s">
        <v>18</v>
      </c>
      <c r="J71" s="2" t="s">
        <v>35</v>
      </c>
      <c r="K71" s="2" t="s">
        <v>23</v>
      </c>
      <c r="L71" s="2" t="s">
        <v>356</v>
      </c>
      <c r="M71" s="6">
        <v>-6824.6</v>
      </c>
      <c r="N71" t="b">
        <f>OR(LEFT(B71,3)="frg",(_xlfn.XMATCH(B71,ZZZ_Part_Id_[[#All],[FGCODE]])))</f>
        <v>1</v>
      </c>
    </row>
    <row r="72" spans="1:14" x14ac:dyDescent="0.3">
      <c r="A72" s="2" t="s">
        <v>340</v>
      </c>
      <c r="B72" s="2" t="s">
        <v>37</v>
      </c>
      <c r="C72" s="2" t="s">
        <v>357</v>
      </c>
      <c r="D72" s="3">
        <v>30</v>
      </c>
      <c r="E72" s="3">
        <v>30</v>
      </c>
      <c r="F72" s="2" t="s">
        <v>16</v>
      </c>
      <c r="G72" s="2" t="s">
        <v>358</v>
      </c>
      <c r="H72" s="3">
        <v>0</v>
      </c>
      <c r="I72" s="2" t="s">
        <v>18</v>
      </c>
      <c r="J72" s="2" t="s">
        <v>35</v>
      </c>
      <c r="K72" s="2" t="s">
        <v>16</v>
      </c>
      <c r="L72" s="2" t="s">
        <v>359</v>
      </c>
      <c r="M72" s="4">
        <v>480.03</v>
      </c>
      <c r="N72" t="e">
        <f>OR(LEFT(B72,3)="frg",(_xlfn.XMATCH(B72,ZZZ_Part_Id_[[#All],[FGCODE]])))</f>
        <v>#N/A</v>
      </c>
    </row>
    <row r="73" spans="1:14" x14ac:dyDescent="0.3">
      <c r="A73" s="2" t="s">
        <v>360</v>
      </c>
      <c r="B73" s="2" t="s">
        <v>14</v>
      </c>
      <c r="C73" s="2" t="s">
        <v>361</v>
      </c>
      <c r="D73" s="3">
        <v>84</v>
      </c>
      <c r="E73" s="3">
        <v>84</v>
      </c>
      <c r="F73" s="2" t="s">
        <v>16</v>
      </c>
      <c r="G73" s="2" t="s">
        <v>362</v>
      </c>
      <c r="H73" s="3">
        <v>0</v>
      </c>
      <c r="I73" s="2" t="s">
        <v>18</v>
      </c>
      <c r="J73" s="2" t="s">
        <v>363</v>
      </c>
      <c r="K73" s="2" t="s">
        <v>16</v>
      </c>
      <c r="L73" s="2" t="s">
        <v>364</v>
      </c>
      <c r="M73" s="4">
        <v>6.46</v>
      </c>
      <c r="N73" t="e">
        <f>OR(LEFT(B73,3)="frg",(_xlfn.XMATCH(B73,ZZZ_Part_Id_[[#All],[FGCODE]])))</f>
        <v>#N/A</v>
      </c>
    </row>
    <row r="74" spans="1:14" x14ac:dyDescent="0.3">
      <c r="A74" s="2" t="s">
        <v>360</v>
      </c>
      <c r="B74" s="2" t="s">
        <v>59</v>
      </c>
      <c r="C74" s="2" t="s">
        <v>365</v>
      </c>
      <c r="D74" s="3">
        <v>2081160</v>
      </c>
      <c r="E74" s="3">
        <v>2081160</v>
      </c>
      <c r="F74" s="2" t="s">
        <v>16</v>
      </c>
      <c r="G74" s="2" t="s">
        <v>366</v>
      </c>
      <c r="H74" s="3">
        <v>0</v>
      </c>
      <c r="I74" s="2" t="s">
        <v>18</v>
      </c>
      <c r="J74" s="2" t="s">
        <v>367</v>
      </c>
      <c r="K74" s="2" t="s">
        <v>16</v>
      </c>
      <c r="L74" s="2" t="s">
        <v>368</v>
      </c>
      <c r="M74" s="4">
        <v>88969.77</v>
      </c>
      <c r="N74" t="b">
        <f>OR(LEFT(B74,3)="frg",(_xlfn.XMATCH(B74,ZZZ_Part_Id_[[#All],[FGCODE]])))</f>
        <v>1</v>
      </c>
    </row>
    <row r="75" spans="1:14" x14ac:dyDescent="0.3">
      <c r="A75" s="2" t="s">
        <v>369</v>
      </c>
      <c r="B75" s="2" t="s">
        <v>97</v>
      </c>
      <c r="C75" s="2" t="s">
        <v>370</v>
      </c>
      <c r="D75" s="3">
        <v>432000</v>
      </c>
      <c r="E75" s="3">
        <v>432000</v>
      </c>
      <c r="F75" s="2" t="s">
        <v>16</v>
      </c>
      <c r="G75" s="2" t="s">
        <v>371</v>
      </c>
      <c r="H75" s="3">
        <v>0</v>
      </c>
      <c r="I75" s="2" t="s">
        <v>18</v>
      </c>
      <c r="J75" s="2" t="s">
        <v>372</v>
      </c>
      <c r="K75" s="2" t="s">
        <v>16</v>
      </c>
      <c r="L75" s="2" t="s">
        <v>373</v>
      </c>
      <c r="M75" s="4">
        <v>92309.43</v>
      </c>
      <c r="N75" t="b">
        <f>OR(LEFT(B75,3)="frg",(_xlfn.XMATCH(B75,ZZZ_Part_Id_[[#All],[FGCODE]])))</f>
        <v>1</v>
      </c>
    </row>
    <row r="76" spans="1:14" x14ac:dyDescent="0.3">
      <c r="A76" s="2" t="s">
        <v>374</v>
      </c>
      <c r="B76" s="2" t="s">
        <v>14</v>
      </c>
      <c r="C76" s="2" t="s">
        <v>375</v>
      </c>
      <c r="D76" s="3">
        <v>5</v>
      </c>
      <c r="E76" s="3">
        <v>5</v>
      </c>
      <c r="F76" s="2" t="s">
        <v>16</v>
      </c>
      <c r="G76" s="2" t="s">
        <v>376</v>
      </c>
      <c r="H76" s="3">
        <v>0</v>
      </c>
      <c r="I76" s="2" t="s">
        <v>18</v>
      </c>
      <c r="J76" s="2" t="s">
        <v>377</v>
      </c>
      <c r="K76" s="2" t="s">
        <v>16</v>
      </c>
      <c r="L76" s="2" t="s">
        <v>378</v>
      </c>
      <c r="M76" s="4">
        <v>0.38</v>
      </c>
      <c r="N76" t="e">
        <f>OR(LEFT(B76,3)="frg",(_xlfn.XMATCH(B76,ZZZ_Part_Id_[[#All],[FGCODE]])))</f>
        <v>#N/A</v>
      </c>
    </row>
    <row r="77" spans="1:14" x14ac:dyDescent="0.3">
      <c r="A77" s="2" t="s">
        <v>374</v>
      </c>
      <c r="B77" s="2" t="s">
        <v>86</v>
      </c>
      <c r="C77" s="2" t="s">
        <v>379</v>
      </c>
      <c r="D77" s="5">
        <v>-450</v>
      </c>
      <c r="E77" s="5">
        <v>-450</v>
      </c>
      <c r="F77" s="2" t="s">
        <v>23</v>
      </c>
      <c r="G77" s="2" t="s">
        <v>380</v>
      </c>
      <c r="H77" s="3">
        <v>0</v>
      </c>
      <c r="I77" s="2" t="s">
        <v>18</v>
      </c>
      <c r="J77" s="2" t="s">
        <v>381</v>
      </c>
      <c r="K77" s="2" t="s">
        <v>23</v>
      </c>
      <c r="L77" s="2" t="s">
        <v>382</v>
      </c>
      <c r="M77" s="6">
        <v>-1178.01</v>
      </c>
      <c r="N77" t="b">
        <f>OR(LEFT(B77,3)="frg",(_xlfn.XMATCH(B77,ZZZ_Part_Id_[[#All],[FGCODE]])))</f>
        <v>1</v>
      </c>
    </row>
    <row r="78" spans="1:14" x14ac:dyDescent="0.3">
      <c r="A78" s="2" t="s">
        <v>374</v>
      </c>
      <c r="B78" s="2" t="s">
        <v>91</v>
      </c>
      <c r="C78" s="2" t="s">
        <v>383</v>
      </c>
      <c r="D78" s="3">
        <v>189000</v>
      </c>
      <c r="E78" s="3">
        <v>189000</v>
      </c>
      <c r="F78" s="2" t="s">
        <v>16</v>
      </c>
      <c r="G78" s="2" t="s">
        <v>384</v>
      </c>
      <c r="H78" s="3">
        <v>0</v>
      </c>
      <c r="I78" s="2" t="s">
        <v>18</v>
      </c>
      <c r="J78" s="2" t="s">
        <v>385</v>
      </c>
      <c r="K78" s="2" t="s">
        <v>16</v>
      </c>
      <c r="L78" s="2" t="s">
        <v>386</v>
      </c>
      <c r="M78" s="4">
        <v>7085.61</v>
      </c>
      <c r="N78" t="b">
        <f>OR(LEFT(B78,3)="frg",(_xlfn.XMATCH(B78,ZZZ_Part_Id_[[#All],[FGCODE]])))</f>
        <v>1</v>
      </c>
    </row>
    <row r="79" spans="1:14" x14ac:dyDescent="0.3">
      <c r="A79" s="2" t="s">
        <v>387</v>
      </c>
      <c r="B79" s="2" t="s">
        <v>14</v>
      </c>
      <c r="C79" s="2" t="s">
        <v>388</v>
      </c>
      <c r="D79" s="3">
        <v>3</v>
      </c>
      <c r="E79" s="3">
        <v>3</v>
      </c>
      <c r="F79" s="2" t="s">
        <v>16</v>
      </c>
      <c r="G79" s="2" t="s">
        <v>389</v>
      </c>
      <c r="H79" s="3">
        <v>0</v>
      </c>
      <c r="I79" s="2" t="s">
        <v>18</v>
      </c>
      <c r="J79" s="2" t="s">
        <v>390</v>
      </c>
      <c r="K79" s="2" t="s">
        <v>16</v>
      </c>
      <c r="L79" s="2" t="s">
        <v>391</v>
      </c>
      <c r="M79" s="4">
        <v>0.23</v>
      </c>
      <c r="N79" t="e">
        <f>OR(LEFT(B79,3)="frg",(_xlfn.XMATCH(B79,ZZZ_Part_Id_[[#All],[FGCODE]])))</f>
        <v>#N/A</v>
      </c>
    </row>
    <row r="80" spans="1:14" x14ac:dyDescent="0.3">
      <c r="A80" s="2" t="s">
        <v>387</v>
      </c>
      <c r="B80" s="2" t="s">
        <v>65</v>
      </c>
      <c r="C80" s="2" t="s">
        <v>392</v>
      </c>
      <c r="D80" s="5">
        <v>-225</v>
      </c>
      <c r="E80" s="5">
        <v>-225</v>
      </c>
      <c r="F80" s="2" t="s">
        <v>23</v>
      </c>
      <c r="G80" s="2" t="s">
        <v>393</v>
      </c>
      <c r="H80" s="3">
        <v>0</v>
      </c>
      <c r="I80" s="2" t="s">
        <v>18</v>
      </c>
      <c r="J80" s="2" t="s">
        <v>394</v>
      </c>
      <c r="K80" s="2" t="s">
        <v>23</v>
      </c>
      <c r="L80" s="2" t="s">
        <v>395</v>
      </c>
      <c r="M80" s="6">
        <v>-578.61</v>
      </c>
      <c r="N80" t="b">
        <f>OR(LEFT(B80,3)="frg",(_xlfn.XMATCH(B80,ZZZ_Part_Id_[[#All],[FGCODE]])))</f>
        <v>1</v>
      </c>
    </row>
    <row r="81" spans="1:14" x14ac:dyDescent="0.3">
      <c r="A81" s="2" t="s">
        <v>387</v>
      </c>
      <c r="B81" s="2" t="s">
        <v>396</v>
      </c>
      <c r="C81" s="2" t="s">
        <v>397</v>
      </c>
      <c r="D81" s="3">
        <v>108000</v>
      </c>
      <c r="E81" s="3">
        <v>108000</v>
      </c>
      <c r="F81" s="2" t="s">
        <v>16</v>
      </c>
      <c r="G81" s="2" t="s">
        <v>398</v>
      </c>
      <c r="H81" s="3">
        <v>0</v>
      </c>
      <c r="I81" s="2" t="s">
        <v>18</v>
      </c>
      <c r="J81" s="2" t="s">
        <v>399</v>
      </c>
      <c r="K81" s="2" t="s">
        <v>16</v>
      </c>
      <c r="L81" s="2" t="s">
        <v>400</v>
      </c>
      <c r="M81" s="4">
        <v>3912.84</v>
      </c>
      <c r="N81" t="b">
        <f>OR(LEFT(B81,3)="frg",(_xlfn.XMATCH(B81,ZZZ_Part_Id_[[#All],[FGCODE]])))</f>
        <v>1</v>
      </c>
    </row>
    <row r="82" spans="1:14" x14ac:dyDescent="0.3">
      <c r="A82" s="2" t="s">
        <v>401</v>
      </c>
      <c r="B82" s="2" t="s">
        <v>91</v>
      </c>
      <c r="C82" s="2" t="s">
        <v>402</v>
      </c>
      <c r="D82" s="3">
        <v>54000</v>
      </c>
      <c r="E82" s="3">
        <v>54000</v>
      </c>
      <c r="F82" s="2" t="s">
        <v>16</v>
      </c>
      <c r="G82" s="2" t="s">
        <v>403</v>
      </c>
      <c r="H82" s="3">
        <v>0</v>
      </c>
      <c r="I82" s="2" t="s">
        <v>18</v>
      </c>
      <c r="J82" s="2" t="s">
        <v>404</v>
      </c>
      <c r="K82" s="2" t="s">
        <v>16</v>
      </c>
      <c r="L82" s="2" t="s">
        <v>405</v>
      </c>
      <c r="M82" s="4">
        <v>2024.46</v>
      </c>
      <c r="N82" t="b">
        <f>OR(LEFT(B82,3)="frg",(_xlfn.XMATCH(B82,ZZZ_Part_Id_[[#All],[FGCODE]])))</f>
        <v>1</v>
      </c>
    </row>
    <row r="83" spans="1:14" x14ac:dyDescent="0.3">
      <c r="A83" s="2" t="s">
        <v>406</v>
      </c>
      <c r="B83" s="2" t="s">
        <v>14</v>
      </c>
      <c r="C83" s="2" t="s">
        <v>407</v>
      </c>
      <c r="D83" s="3">
        <v>6</v>
      </c>
      <c r="E83" s="3">
        <v>6</v>
      </c>
      <c r="F83" s="2" t="s">
        <v>16</v>
      </c>
      <c r="G83" s="2" t="s">
        <v>408</v>
      </c>
      <c r="H83" s="3">
        <v>0</v>
      </c>
      <c r="I83" s="2" t="s">
        <v>409</v>
      </c>
      <c r="J83" s="2" t="s">
        <v>410</v>
      </c>
      <c r="K83" s="2" t="s">
        <v>16</v>
      </c>
      <c r="L83" s="2" t="s">
        <v>411</v>
      </c>
      <c r="M83" s="4">
        <v>0.46</v>
      </c>
      <c r="N83" t="e">
        <f>OR(LEFT(B83,3)="frg",(_xlfn.XMATCH(B83,ZZZ_Part_Id_[[#All],[FGCODE]])))</f>
        <v>#N/A</v>
      </c>
    </row>
    <row r="84" spans="1:14" x14ac:dyDescent="0.3">
      <c r="A84" s="2" t="s">
        <v>406</v>
      </c>
      <c r="B84" s="2" t="s">
        <v>86</v>
      </c>
      <c r="C84" s="2" t="s">
        <v>412</v>
      </c>
      <c r="D84" s="5">
        <v>-313</v>
      </c>
      <c r="E84" s="5">
        <v>-313</v>
      </c>
      <c r="F84" s="2" t="s">
        <v>23</v>
      </c>
      <c r="G84" s="2" t="s">
        <v>413</v>
      </c>
      <c r="H84" s="3">
        <v>0</v>
      </c>
      <c r="I84" s="2" t="s">
        <v>409</v>
      </c>
      <c r="J84" s="2" t="s">
        <v>414</v>
      </c>
      <c r="K84" s="2" t="s">
        <v>23</v>
      </c>
      <c r="L84" s="2" t="s">
        <v>415</v>
      </c>
      <c r="M84" s="6">
        <v>-819.37</v>
      </c>
      <c r="N84" t="b">
        <f>OR(LEFT(B84,3)="frg",(_xlfn.XMATCH(B84,ZZZ_Part_Id_[[#All],[FGCODE]])))</f>
        <v>1</v>
      </c>
    </row>
    <row r="85" spans="1:14" x14ac:dyDescent="0.3">
      <c r="A85" s="2" t="s">
        <v>406</v>
      </c>
      <c r="B85" s="2" t="s">
        <v>416</v>
      </c>
      <c r="C85" s="2" t="s">
        <v>417</v>
      </c>
      <c r="D85" s="3">
        <v>42840</v>
      </c>
      <c r="E85" s="3">
        <v>42840</v>
      </c>
      <c r="F85" s="2" t="s">
        <v>16</v>
      </c>
      <c r="G85" s="2" t="s">
        <v>418</v>
      </c>
      <c r="H85" s="3">
        <v>0</v>
      </c>
      <c r="I85" s="2" t="s">
        <v>409</v>
      </c>
      <c r="J85" s="2" t="s">
        <v>419</v>
      </c>
      <c r="K85" s="2" t="s">
        <v>16</v>
      </c>
      <c r="L85" s="2" t="s">
        <v>420</v>
      </c>
      <c r="M85" s="4">
        <v>9359.27</v>
      </c>
      <c r="N85" t="b">
        <f>OR(LEFT(B85,3)="frg",(_xlfn.XMATCH(B85,ZZZ_Part_Id_[[#All],[FGCODE]])))</f>
        <v>1</v>
      </c>
    </row>
    <row r="86" spans="1:14" x14ac:dyDescent="0.3">
      <c r="A86" s="2" t="s">
        <v>421</v>
      </c>
      <c r="B86" s="2" t="s">
        <v>14</v>
      </c>
      <c r="C86" s="2" t="s">
        <v>422</v>
      </c>
      <c r="D86" s="3">
        <v>40</v>
      </c>
      <c r="E86" s="3">
        <v>40</v>
      </c>
      <c r="F86" s="2" t="s">
        <v>16</v>
      </c>
      <c r="G86" s="2" t="s">
        <v>423</v>
      </c>
      <c r="H86" s="3">
        <v>0</v>
      </c>
      <c r="I86" s="2" t="s">
        <v>409</v>
      </c>
      <c r="J86" s="2" t="s">
        <v>424</v>
      </c>
      <c r="K86" s="2" t="s">
        <v>16</v>
      </c>
      <c r="L86" s="2" t="s">
        <v>425</v>
      </c>
      <c r="M86" s="4">
        <v>3.08</v>
      </c>
      <c r="N86" t="e">
        <f>OR(LEFT(B86,3)="frg",(_xlfn.XMATCH(B86,ZZZ_Part_Id_[[#All],[FGCODE]])))</f>
        <v>#N/A</v>
      </c>
    </row>
    <row r="87" spans="1:14" x14ac:dyDescent="0.3">
      <c r="A87" s="2" t="s">
        <v>421</v>
      </c>
      <c r="B87" s="2" t="s">
        <v>426</v>
      </c>
      <c r="C87" s="2" t="s">
        <v>427</v>
      </c>
      <c r="D87" s="3">
        <v>185472</v>
      </c>
      <c r="E87" s="3">
        <v>185472</v>
      </c>
      <c r="F87" s="2" t="s">
        <v>16</v>
      </c>
      <c r="G87" s="2" t="s">
        <v>428</v>
      </c>
      <c r="H87" s="3">
        <v>0</v>
      </c>
      <c r="I87" s="2" t="s">
        <v>409</v>
      </c>
      <c r="J87" s="2" t="s">
        <v>429</v>
      </c>
      <c r="K87" s="2" t="s">
        <v>16</v>
      </c>
      <c r="L87" s="2" t="s">
        <v>430</v>
      </c>
      <c r="M87" s="4">
        <v>34542.230000000003</v>
      </c>
      <c r="N87" t="b">
        <f>OR(LEFT(B87,3)="frg",(_xlfn.XMATCH(B87,ZZZ_Part_Id_[[#All],[FGCODE]])))</f>
        <v>1</v>
      </c>
    </row>
    <row r="88" spans="1:14" x14ac:dyDescent="0.3">
      <c r="A88" s="2" t="s">
        <v>431</v>
      </c>
      <c r="B88" s="2" t="s">
        <v>121</v>
      </c>
      <c r="C88" s="2" t="s">
        <v>432</v>
      </c>
      <c r="D88" s="3">
        <v>26496</v>
      </c>
      <c r="E88" s="3">
        <v>26496</v>
      </c>
      <c r="F88" s="2" t="s">
        <v>16</v>
      </c>
      <c r="G88" s="2" t="s">
        <v>433</v>
      </c>
      <c r="H88" s="3">
        <v>0</v>
      </c>
      <c r="I88" s="2" t="s">
        <v>409</v>
      </c>
      <c r="J88" s="2" t="s">
        <v>434</v>
      </c>
      <c r="K88" s="2" t="s">
        <v>16</v>
      </c>
      <c r="L88" s="2" t="s">
        <v>435</v>
      </c>
      <c r="M88" s="4">
        <v>4923.74</v>
      </c>
      <c r="N88" t="b">
        <f>OR(LEFT(B88,3)="frg",(_xlfn.XMATCH(B88,ZZZ_Part_Id_[[#All],[FGCODE]])))</f>
        <v>1</v>
      </c>
    </row>
    <row r="89" spans="1:14" x14ac:dyDescent="0.3">
      <c r="A89" s="2" t="s">
        <v>436</v>
      </c>
      <c r="B89" s="2" t="s">
        <v>14</v>
      </c>
      <c r="C89" s="2" t="s">
        <v>437</v>
      </c>
      <c r="D89" s="3">
        <v>21</v>
      </c>
      <c r="E89" s="3">
        <v>21</v>
      </c>
      <c r="F89" s="2" t="s">
        <v>16</v>
      </c>
      <c r="G89" s="2" t="s">
        <v>438</v>
      </c>
      <c r="H89" s="3">
        <v>0</v>
      </c>
      <c r="I89" s="2" t="s">
        <v>18</v>
      </c>
      <c r="J89" s="2" t="s">
        <v>439</v>
      </c>
      <c r="K89" s="2" t="s">
        <v>16</v>
      </c>
      <c r="L89" s="2" t="s">
        <v>440</v>
      </c>
      <c r="M89" s="4">
        <v>1.62</v>
      </c>
      <c r="N89" t="e">
        <f>OR(LEFT(B89,3)="frg",(_xlfn.XMATCH(B89,ZZZ_Part_Id_[[#All],[FGCODE]])))</f>
        <v>#N/A</v>
      </c>
    </row>
    <row r="90" spans="1:14" x14ac:dyDescent="0.3">
      <c r="A90" s="2" t="s">
        <v>436</v>
      </c>
      <c r="B90" s="2" t="s">
        <v>264</v>
      </c>
      <c r="C90" s="2" t="s">
        <v>441</v>
      </c>
      <c r="D90" s="3">
        <v>2.1000000000000001E-2</v>
      </c>
      <c r="E90" s="3">
        <v>2.1000000000000001E-2</v>
      </c>
      <c r="F90" s="2" t="s">
        <v>16</v>
      </c>
      <c r="G90" s="2" t="s">
        <v>442</v>
      </c>
      <c r="H90" s="3">
        <v>0</v>
      </c>
      <c r="I90" s="2" t="s">
        <v>18</v>
      </c>
      <c r="J90" s="2" t="s">
        <v>443</v>
      </c>
      <c r="K90" s="2" t="s">
        <v>16</v>
      </c>
      <c r="L90" s="2" t="s">
        <v>444</v>
      </c>
      <c r="M90" s="4">
        <v>0.54</v>
      </c>
      <c r="N90" t="e">
        <f>OR(LEFT(B90,3)="frg",(_xlfn.XMATCH(B90,ZZZ_Part_Id_[[#All],[FGCODE]])))</f>
        <v>#N/A</v>
      </c>
    </row>
    <row r="91" spans="1:14" x14ac:dyDescent="0.3">
      <c r="A91" s="2" t="s">
        <v>436</v>
      </c>
      <c r="B91" s="2" t="s">
        <v>445</v>
      </c>
      <c r="C91" s="2" t="s">
        <v>446</v>
      </c>
      <c r="D91" s="3">
        <v>532980</v>
      </c>
      <c r="E91" s="3">
        <v>532980</v>
      </c>
      <c r="F91" s="2" t="s">
        <v>16</v>
      </c>
      <c r="G91" s="2" t="s">
        <v>447</v>
      </c>
      <c r="H91" s="3">
        <v>0</v>
      </c>
      <c r="I91" s="2" t="s">
        <v>18</v>
      </c>
      <c r="J91" s="2" t="s">
        <v>448</v>
      </c>
      <c r="K91" s="2" t="s">
        <v>16</v>
      </c>
      <c r="L91" s="2" t="s">
        <v>449</v>
      </c>
      <c r="M91" s="4">
        <v>23104.68</v>
      </c>
      <c r="N91" t="b">
        <f>OR(LEFT(B91,3)="frg",(_xlfn.XMATCH(B91,ZZZ_Part_Id_[[#All],[FGCODE]])))</f>
        <v>1</v>
      </c>
    </row>
    <row r="92" spans="1:14" x14ac:dyDescent="0.3">
      <c r="A92" s="2" t="s">
        <v>450</v>
      </c>
      <c r="B92" s="2" t="s">
        <v>14</v>
      </c>
      <c r="C92" s="2" t="s">
        <v>451</v>
      </c>
      <c r="D92" s="3">
        <v>83</v>
      </c>
      <c r="E92" s="3">
        <v>83</v>
      </c>
      <c r="F92" s="2" t="s">
        <v>16</v>
      </c>
      <c r="G92" s="2" t="s">
        <v>452</v>
      </c>
      <c r="H92" s="3">
        <v>0</v>
      </c>
      <c r="I92" s="2" t="s">
        <v>409</v>
      </c>
      <c r="J92" s="2" t="s">
        <v>453</v>
      </c>
      <c r="K92" s="2" t="s">
        <v>16</v>
      </c>
      <c r="L92" s="2" t="s">
        <v>454</v>
      </c>
      <c r="M92" s="4">
        <v>6.39</v>
      </c>
      <c r="N92" t="e">
        <f>OR(LEFT(B92,3)="frg",(_xlfn.XMATCH(B92,ZZZ_Part_Id_[[#All],[FGCODE]])))</f>
        <v>#N/A</v>
      </c>
    </row>
    <row r="93" spans="1:14" x14ac:dyDescent="0.3">
      <c r="A93" s="2" t="s">
        <v>450</v>
      </c>
      <c r="B93" s="2" t="s">
        <v>172</v>
      </c>
      <c r="C93" s="2" t="s">
        <v>455</v>
      </c>
      <c r="D93" s="3">
        <v>23.571999999999999</v>
      </c>
      <c r="E93" s="3">
        <v>23.571999999999999</v>
      </c>
      <c r="F93" s="2" t="s">
        <v>23</v>
      </c>
      <c r="G93" s="2" t="s">
        <v>456</v>
      </c>
      <c r="H93" s="3">
        <v>0</v>
      </c>
      <c r="I93" s="2" t="s">
        <v>409</v>
      </c>
      <c r="J93" s="2" t="s">
        <v>457</v>
      </c>
      <c r="K93" s="2" t="s">
        <v>23</v>
      </c>
      <c r="L93" s="2" t="s">
        <v>458</v>
      </c>
      <c r="M93" s="4">
        <v>153.22</v>
      </c>
      <c r="N93" t="e">
        <f>OR(LEFT(B93,3)="frg",(_xlfn.XMATCH(B93,ZZZ_Part_Id_[[#All],[FGCODE]])))</f>
        <v>#N/A</v>
      </c>
    </row>
    <row r="94" spans="1:14" x14ac:dyDescent="0.3">
      <c r="A94" s="2" t="s">
        <v>450</v>
      </c>
      <c r="B94" s="2" t="s">
        <v>59</v>
      </c>
      <c r="C94" s="2" t="s">
        <v>459</v>
      </c>
      <c r="D94" s="3">
        <v>2106540</v>
      </c>
      <c r="E94" s="3">
        <v>2106540</v>
      </c>
      <c r="F94" s="2" t="s">
        <v>16</v>
      </c>
      <c r="G94" s="2" t="s">
        <v>460</v>
      </c>
      <c r="H94" s="3">
        <v>0</v>
      </c>
      <c r="I94" s="2" t="s">
        <v>409</v>
      </c>
      <c r="J94" s="2" t="s">
        <v>461</v>
      </c>
      <c r="K94" s="2" t="s">
        <v>16</v>
      </c>
      <c r="L94" s="2" t="s">
        <v>462</v>
      </c>
      <c r="M94" s="4">
        <v>90054.78</v>
      </c>
      <c r="N94" t="b">
        <f>OR(LEFT(B94,3)="frg",(_xlfn.XMATCH(B94,ZZZ_Part_Id_[[#All],[FGCODE]])))</f>
        <v>1</v>
      </c>
    </row>
    <row r="95" spans="1:14" x14ac:dyDescent="0.3">
      <c r="A95" s="2" t="s">
        <v>463</v>
      </c>
      <c r="B95" s="2" t="s">
        <v>14</v>
      </c>
      <c r="C95" s="2" t="s">
        <v>464</v>
      </c>
      <c r="D95" s="3">
        <v>64</v>
      </c>
      <c r="E95" s="3">
        <v>64</v>
      </c>
      <c r="F95" s="2" t="s">
        <v>16</v>
      </c>
      <c r="G95" s="2" t="s">
        <v>465</v>
      </c>
      <c r="H95" s="3">
        <v>0</v>
      </c>
      <c r="I95" s="2" t="s">
        <v>18</v>
      </c>
      <c r="J95" s="2" t="s">
        <v>466</v>
      </c>
      <c r="K95" s="2" t="s">
        <v>16</v>
      </c>
      <c r="L95" s="2" t="s">
        <v>467</v>
      </c>
      <c r="M95" s="4">
        <v>4.92</v>
      </c>
      <c r="N95" t="e">
        <f>OR(LEFT(B95,3)="frg",(_xlfn.XMATCH(B95,ZZZ_Part_Id_[[#All],[FGCODE]])))</f>
        <v>#N/A</v>
      </c>
    </row>
    <row r="96" spans="1:14" x14ac:dyDescent="0.3">
      <c r="A96" s="2" t="s">
        <v>463</v>
      </c>
      <c r="B96" s="2" t="s">
        <v>172</v>
      </c>
      <c r="C96" s="2" t="s">
        <v>468</v>
      </c>
      <c r="D96" s="3">
        <v>14</v>
      </c>
      <c r="E96" s="3">
        <v>14</v>
      </c>
      <c r="F96" s="2" t="s">
        <v>23</v>
      </c>
      <c r="G96" s="2" t="s">
        <v>469</v>
      </c>
      <c r="H96" s="3">
        <v>0</v>
      </c>
      <c r="I96" s="2" t="s">
        <v>18</v>
      </c>
      <c r="J96" s="2" t="s">
        <v>470</v>
      </c>
      <c r="K96" s="2" t="s">
        <v>23</v>
      </c>
      <c r="L96" s="2" t="s">
        <v>471</v>
      </c>
      <c r="M96" s="4">
        <v>91</v>
      </c>
      <c r="N96" t="e">
        <f>OR(LEFT(B96,3)="frg",(_xlfn.XMATCH(B96,ZZZ_Part_Id_[[#All],[FGCODE]])))</f>
        <v>#N/A</v>
      </c>
    </row>
    <row r="97" spans="1:14" x14ac:dyDescent="0.3">
      <c r="A97" s="2" t="s">
        <v>463</v>
      </c>
      <c r="B97" s="2" t="s">
        <v>97</v>
      </c>
      <c r="C97" s="2" t="s">
        <v>472</v>
      </c>
      <c r="D97" s="3">
        <v>235200</v>
      </c>
      <c r="E97" s="3">
        <v>235200</v>
      </c>
      <c r="F97" s="2" t="s">
        <v>16</v>
      </c>
      <c r="G97" s="2" t="s">
        <v>473</v>
      </c>
      <c r="H97" s="3">
        <v>0</v>
      </c>
      <c r="I97" s="2" t="s">
        <v>18</v>
      </c>
      <c r="J97" s="2" t="s">
        <v>474</v>
      </c>
      <c r="K97" s="2" t="s">
        <v>16</v>
      </c>
      <c r="L97" s="2" t="s">
        <v>475</v>
      </c>
      <c r="M97" s="4">
        <v>50257.39</v>
      </c>
      <c r="N97" t="b">
        <f>OR(LEFT(B97,3)="frg",(_xlfn.XMATCH(B97,ZZZ_Part_Id_[[#All],[FGCODE]])))</f>
        <v>1</v>
      </c>
    </row>
    <row r="98" spans="1:14" x14ac:dyDescent="0.3">
      <c r="A98" s="2" t="s">
        <v>476</v>
      </c>
      <c r="B98" s="2" t="s">
        <v>14</v>
      </c>
      <c r="C98" s="2" t="s">
        <v>477</v>
      </c>
      <c r="D98" s="3">
        <v>8</v>
      </c>
      <c r="E98" s="3">
        <v>8</v>
      </c>
      <c r="F98" s="2" t="s">
        <v>16</v>
      </c>
      <c r="G98" s="2" t="s">
        <v>478</v>
      </c>
      <c r="H98" s="3">
        <v>0</v>
      </c>
      <c r="I98" s="2" t="s">
        <v>409</v>
      </c>
      <c r="J98" s="2" t="s">
        <v>479</v>
      </c>
      <c r="K98" s="2" t="s">
        <v>16</v>
      </c>
      <c r="L98" s="2" t="s">
        <v>480</v>
      </c>
      <c r="M98" s="4">
        <v>0.62</v>
      </c>
      <c r="N98" t="e">
        <f>OR(LEFT(B98,3)="frg",(_xlfn.XMATCH(B98,ZZZ_Part_Id_[[#All],[FGCODE]])))</f>
        <v>#N/A</v>
      </c>
    </row>
    <row r="99" spans="1:14" x14ac:dyDescent="0.3">
      <c r="A99" s="2" t="s">
        <v>476</v>
      </c>
      <c r="B99" s="2" t="s">
        <v>86</v>
      </c>
      <c r="C99" s="2" t="s">
        <v>481</v>
      </c>
      <c r="D99" s="5">
        <v>-538</v>
      </c>
      <c r="E99" s="5">
        <v>-538</v>
      </c>
      <c r="F99" s="2" t="s">
        <v>23</v>
      </c>
      <c r="G99" s="2" t="s">
        <v>482</v>
      </c>
      <c r="H99" s="3">
        <v>0</v>
      </c>
      <c r="I99" s="2" t="s">
        <v>409</v>
      </c>
      <c r="J99" s="2" t="s">
        <v>483</v>
      </c>
      <c r="K99" s="2" t="s">
        <v>23</v>
      </c>
      <c r="L99" s="2" t="s">
        <v>484</v>
      </c>
      <c r="M99" s="6">
        <v>-1408.38</v>
      </c>
      <c r="N99" t="b">
        <f>OR(LEFT(B99,3)="frg",(_xlfn.XMATCH(B99,ZZZ_Part_Id_[[#All],[FGCODE]])))</f>
        <v>1</v>
      </c>
    </row>
    <row r="100" spans="1:14" x14ac:dyDescent="0.3">
      <c r="A100" s="2" t="s">
        <v>476</v>
      </c>
      <c r="B100" s="2" t="s">
        <v>485</v>
      </c>
      <c r="C100" s="2" t="s">
        <v>486</v>
      </c>
      <c r="D100" s="3">
        <v>192000</v>
      </c>
      <c r="E100" s="3">
        <v>192000</v>
      </c>
      <c r="F100" s="2" t="s">
        <v>16</v>
      </c>
      <c r="G100" s="2" t="s">
        <v>487</v>
      </c>
      <c r="H100" s="3">
        <v>0</v>
      </c>
      <c r="I100" s="2" t="s">
        <v>409</v>
      </c>
      <c r="J100" s="2" t="s">
        <v>488</v>
      </c>
      <c r="K100" s="2" t="s">
        <v>16</v>
      </c>
      <c r="L100" s="2" t="s">
        <v>489</v>
      </c>
      <c r="M100" s="4">
        <v>12900.5</v>
      </c>
      <c r="N100" t="b">
        <f>OR(LEFT(B100,3)="frg",(_xlfn.XMATCH(B100,ZZZ_Part_Id_[[#All],[FGCODE]])))</f>
        <v>1</v>
      </c>
    </row>
    <row r="101" spans="1:14" x14ac:dyDescent="0.3">
      <c r="A101" s="2" t="s">
        <v>490</v>
      </c>
      <c r="B101" s="2" t="s">
        <v>37</v>
      </c>
      <c r="C101" s="2" t="s">
        <v>491</v>
      </c>
      <c r="D101" s="3">
        <v>20</v>
      </c>
      <c r="E101" s="3">
        <v>20</v>
      </c>
      <c r="F101" s="2" t="s">
        <v>16</v>
      </c>
      <c r="G101" s="2" t="s">
        <v>492</v>
      </c>
      <c r="H101" s="3">
        <v>0</v>
      </c>
      <c r="I101" s="2" t="s">
        <v>18</v>
      </c>
      <c r="J101" s="2" t="s">
        <v>493</v>
      </c>
      <c r="K101" s="2" t="s">
        <v>16</v>
      </c>
      <c r="L101" s="2" t="s">
        <v>494</v>
      </c>
      <c r="M101" s="4">
        <v>320.02</v>
      </c>
      <c r="N101" t="e">
        <f>OR(LEFT(B101,3)="frg",(_xlfn.XMATCH(B101,ZZZ_Part_Id_[[#All],[FGCODE]])))</f>
        <v>#N/A</v>
      </c>
    </row>
    <row r="102" spans="1:14" x14ac:dyDescent="0.3">
      <c r="A102" s="2" t="s">
        <v>490</v>
      </c>
      <c r="B102" s="2" t="s">
        <v>65</v>
      </c>
      <c r="C102" s="2" t="s">
        <v>495</v>
      </c>
      <c r="D102" s="5">
        <v>-249</v>
      </c>
      <c r="E102" s="5">
        <v>-249</v>
      </c>
      <c r="F102" s="2" t="s">
        <v>23</v>
      </c>
      <c r="G102" s="2" t="s">
        <v>496</v>
      </c>
      <c r="H102" s="3">
        <v>0</v>
      </c>
      <c r="I102" s="2" t="s">
        <v>18</v>
      </c>
      <c r="J102" s="2" t="s">
        <v>497</v>
      </c>
      <c r="K102" s="2" t="s">
        <v>23</v>
      </c>
      <c r="L102" s="2" t="s">
        <v>498</v>
      </c>
      <c r="M102" s="6">
        <v>-640.33000000000004</v>
      </c>
      <c r="N102" t="b">
        <f>OR(LEFT(B102,3)="frg",(_xlfn.XMATCH(B102,ZZZ_Part_Id_[[#All],[FGCODE]])))</f>
        <v>1</v>
      </c>
    </row>
    <row r="103" spans="1:14" x14ac:dyDescent="0.3">
      <c r="A103" s="2" t="s">
        <v>490</v>
      </c>
      <c r="B103" s="2" t="s">
        <v>97</v>
      </c>
      <c r="C103" s="2" t="s">
        <v>499</v>
      </c>
      <c r="D103" s="3">
        <v>100800</v>
      </c>
      <c r="E103" s="3">
        <v>100800</v>
      </c>
      <c r="F103" s="2" t="s">
        <v>16</v>
      </c>
      <c r="G103" s="2" t="s">
        <v>500</v>
      </c>
      <c r="H103" s="3">
        <v>0</v>
      </c>
      <c r="I103" s="2" t="s">
        <v>18</v>
      </c>
      <c r="J103" s="2" t="s">
        <v>501</v>
      </c>
      <c r="K103" s="2" t="s">
        <v>16</v>
      </c>
      <c r="L103" s="2" t="s">
        <v>502</v>
      </c>
      <c r="M103" s="4">
        <v>21538.87</v>
      </c>
      <c r="N103" t="b">
        <f>OR(LEFT(B103,3)="frg",(_xlfn.XMATCH(B103,ZZZ_Part_Id_[[#All],[FGCODE]])))</f>
        <v>1</v>
      </c>
    </row>
    <row r="104" spans="1:14" x14ac:dyDescent="0.3">
      <c r="A104" s="2" t="s">
        <v>503</v>
      </c>
      <c r="B104" s="2" t="s">
        <v>426</v>
      </c>
      <c r="C104" s="2" t="s">
        <v>504</v>
      </c>
      <c r="D104" s="3">
        <v>19872</v>
      </c>
      <c r="E104" s="3">
        <v>19872</v>
      </c>
      <c r="F104" s="2" t="s">
        <v>16</v>
      </c>
      <c r="G104" s="2" t="s">
        <v>505</v>
      </c>
      <c r="H104" s="3">
        <v>0</v>
      </c>
      <c r="I104" s="2" t="s">
        <v>18</v>
      </c>
      <c r="J104" s="2" t="s">
        <v>506</v>
      </c>
      <c r="K104" s="2" t="s">
        <v>16</v>
      </c>
      <c r="L104" s="2" t="s">
        <v>507</v>
      </c>
      <c r="M104" s="4">
        <v>3700.95</v>
      </c>
      <c r="N104" t="b">
        <f>OR(LEFT(B104,3)="frg",(_xlfn.XMATCH(B104,ZZZ_Part_Id_[[#All],[FGCODE]])))</f>
        <v>1</v>
      </c>
    </row>
    <row r="105" spans="1:14" x14ac:dyDescent="0.3">
      <c r="A105" s="2" t="s">
        <v>508</v>
      </c>
      <c r="B105" s="2" t="s">
        <v>14</v>
      </c>
      <c r="C105" s="2" t="s">
        <v>509</v>
      </c>
      <c r="D105" s="3">
        <v>96</v>
      </c>
      <c r="E105" s="3">
        <v>96</v>
      </c>
      <c r="F105" s="2" t="s">
        <v>16</v>
      </c>
      <c r="G105" s="2" t="s">
        <v>510</v>
      </c>
      <c r="H105" s="3">
        <v>0</v>
      </c>
      <c r="I105" s="2" t="s">
        <v>18</v>
      </c>
      <c r="J105" s="2" t="s">
        <v>511</v>
      </c>
      <c r="K105" s="2" t="s">
        <v>16</v>
      </c>
      <c r="L105" s="2" t="s">
        <v>512</v>
      </c>
      <c r="M105" s="4">
        <v>7.39</v>
      </c>
      <c r="N105" t="e">
        <f>OR(LEFT(B105,3)="frg",(_xlfn.XMATCH(B105,ZZZ_Part_Id_[[#All],[FGCODE]])))</f>
        <v>#N/A</v>
      </c>
    </row>
    <row r="106" spans="1:14" x14ac:dyDescent="0.3">
      <c r="A106" s="2" t="s">
        <v>508</v>
      </c>
      <c r="B106" s="2" t="s">
        <v>264</v>
      </c>
      <c r="C106" s="2" t="s">
        <v>513</v>
      </c>
      <c r="D106" s="3">
        <v>4.8000000000000001E-2</v>
      </c>
      <c r="E106" s="3">
        <v>4.8000000000000001E-2</v>
      </c>
      <c r="F106" s="2" t="s">
        <v>16</v>
      </c>
      <c r="G106" s="2" t="s">
        <v>514</v>
      </c>
      <c r="H106" s="3">
        <v>0</v>
      </c>
      <c r="I106" s="2" t="s">
        <v>18</v>
      </c>
      <c r="J106" s="2" t="s">
        <v>515</v>
      </c>
      <c r="K106" s="2" t="s">
        <v>16</v>
      </c>
      <c r="L106" s="2" t="s">
        <v>516</v>
      </c>
      <c r="M106" s="4">
        <v>1.23</v>
      </c>
      <c r="N106" t="e">
        <f>OR(LEFT(B106,3)="frg",(_xlfn.XMATCH(B106,ZZZ_Part_Id_[[#All],[FGCODE]])))</f>
        <v>#N/A</v>
      </c>
    </row>
    <row r="107" spans="1:14" x14ac:dyDescent="0.3">
      <c r="A107" s="2" t="s">
        <v>508</v>
      </c>
      <c r="B107" s="2" t="s">
        <v>517</v>
      </c>
      <c r="C107" s="2" t="s">
        <v>518</v>
      </c>
      <c r="D107" s="3">
        <v>483840</v>
      </c>
      <c r="E107" s="3">
        <v>483840</v>
      </c>
      <c r="F107" s="2" t="s">
        <v>16</v>
      </c>
      <c r="G107" s="2" t="s">
        <v>519</v>
      </c>
      <c r="H107" s="3">
        <v>0</v>
      </c>
      <c r="I107" s="2" t="s">
        <v>18</v>
      </c>
      <c r="J107" s="2" t="s">
        <v>520</v>
      </c>
      <c r="K107" s="2" t="s">
        <v>16</v>
      </c>
      <c r="L107" s="2" t="s">
        <v>521</v>
      </c>
      <c r="M107" s="4">
        <v>56159.31</v>
      </c>
      <c r="N107" t="b">
        <f>OR(LEFT(B107,3)="frg",(_xlfn.XMATCH(B107,ZZZ_Part_Id_[[#All],[FGCODE]])))</f>
        <v>1</v>
      </c>
    </row>
    <row r="108" spans="1:14" x14ac:dyDescent="0.3">
      <c r="A108" s="2" t="s">
        <v>522</v>
      </c>
      <c r="B108" s="2" t="s">
        <v>14</v>
      </c>
      <c r="C108" s="2" t="s">
        <v>523</v>
      </c>
      <c r="D108" s="3">
        <v>45</v>
      </c>
      <c r="E108" s="3">
        <v>45</v>
      </c>
      <c r="F108" s="2" t="s">
        <v>16</v>
      </c>
      <c r="G108" s="2" t="s">
        <v>524</v>
      </c>
      <c r="H108" s="3">
        <v>0</v>
      </c>
      <c r="I108" s="2" t="s">
        <v>409</v>
      </c>
      <c r="J108" s="2" t="s">
        <v>525</v>
      </c>
      <c r="K108" s="2" t="s">
        <v>16</v>
      </c>
      <c r="L108" s="2" t="s">
        <v>526</v>
      </c>
      <c r="M108" s="4">
        <v>3.46</v>
      </c>
      <c r="N108" t="e">
        <f>OR(LEFT(B108,3)="frg",(_xlfn.XMATCH(B108,ZZZ_Part_Id_[[#All],[FGCODE]])))</f>
        <v>#N/A</v>
      </c>
    </row>
    <row r="109" spans="1:14" x14ac:dyDescent="0.3">
      <c r="A109" s="2" t="s">
        <v>522</v>
      </c>
      <c r="B109" s="2" t="s">
        <v>172</v>
      </c>
      <c r="C109" s="2" t="s">
        <v>527</v>
      </c>
      <c r="D109" s="3">
        <v>12.69</v>
      </c>
      <c r="E109" s="3">
        <v>12.69</v>
      </c>
      <c r="F109" s="2" t="s">
        <v>23</v>
      </c>
      <c r="G109" s="2" t="s">
        <v>528</v>
      </c>
      <c r="H109" s="3">
        <v>0</v>
      </c>
      <c r="I109" s="2" t="s">
        <v>409</v>
      </c>
      <c r="J109" s="2" t="s">
        <v>529</v>
      </c>
      <c r="K109" s="2" t="s">
        <v>23</v>
      </c>
      <c r="L109" s="2" t="s">
        <v>530</v>
      </c>
      <c r="M109" s="4">
        <v>82.48</v>
      </c>
      <c r="N109" t="e">
        <f>OR(LEFT(B109,3)="frg",(_xlfn.XMATCH(B109,ZZZ_Part_Id_[[#All],[FGCODE]])))</f>
        <v>#N/A</v>
      </c>
    </row>
    <row r="110" spans="1:14" x14ac:dyDescent="0.3">
      <c r="A110" s="2" t="s">
        <v>522</v>
      </c>
      <c r="B110" s="2" t="s">
        <v>426</v>
      </c>
      <c r="C110" s="2" t="s">
        <v>531</v>
      </c>
      <c r="D110" s="3">
        <v>298080</v>
      </c>
      <c r="E110" s="3">
        <v>298080</v>
      </c>
      <c r="F110" s="2" t="s">
        <v>16</v>
      </c>
      <c r="G110" s="2" t="s">
        <v>532</v>
      </c>
      <c r="H110" s="3">
        <v>0</v>
      </c>
      <c r="I110" s="2" t="s">
        <v>409</v>
      </c>
      <c r="J110" s="2" t="s">
        <v>533</v>
      </c>
      <c r="K110" s="2" t="s">
        <v>16</v>
      </c>
      <c r="L110" s="2" t="s">
        <v>534</v>
      </c>
      <c r="M110" s="4">
        <v>55514.26</v>
      </c>
      <c r="N110" t="b">
        <f>OR(LEFT(B110,3)="frg",(_xlfn.XMATCH(B110,ZZZ_Part_Id_[[#All],[FGCODE]])))</f>
        <v>1</v>
      </c>
    </row>
    <row r="111" spans="1:14" x14ac:dyDescent="0.3">
      <c r="A111" s="2" t="s">
        <v>535</v>
      </c>
      <c r="B111" s="2" t="s">
        <v>14</v>
      </c>
      <c r="C111" s="2" t="s">
        <v>536</v>
      </c>
      <c r="D111" s="3">
        <v>10</v>
      </c>
      <c r="E111" s="3">
        <v>10</v>
      </c>
      <c r="F111" s="2" t="s">
        <v>16</v>
      </c>
      <c r="G111" s="2" t="s">
        <v>537</v>
      </c>
      <c r="H111" s="3">
        <v>0</v>
      </c>
      <c r="I111" s="2" t="s">
        <v>409</v>
      </c>
      <c r="J111" s="2" t="s">
        <v>538</v>
      </c>
      <c r="K111" s="2" t="s">
        <v>16</v>
      </c>
      <c r="L111" s="2" t="s">
        <v>539</v>
      </c>
      <c r="M111" s="4">
        <v>0.77</v>
      </c>
      <c r="N111" t="e">
        <f>OR(LEFT(B111,3)="frg",(_xlfn.XMATCH(B111,ZZZ_Part_Id_[[#All],[FGCODE]])))</f>
        <v>#N/A</v>
      </c>
    </row>
    <row r="112" spans="1:14" x14ac:dyDescent="0.3">
      <c r="A112" s="2" t="s">
        <v>535</v>
      </c>
      <c r="B112" s="2" t="s">
        <v>59</v>
      </c>
      <c r="C112" s="2" t="s">
        <v>540</v>
      </c>
      <c r="D112" s="3">
        <v>253800</v>
      </c>
      <c r="E112" s="3">
        <v>253800</v>
      </c>
      <c r="F112" s="2" t="s">
        <v>16</v>
      </c>
      <c r="G112" s="2" t="s">
        <v>541</v>
      </c>
      <c r="H112" s="3">
        <v>0</v>
      </c>
      <c r="I112" s="2" t="s">
        <v>409</v>
      </c>
      <c r="J112" s="2" t="s">
        <v>542</v>
      </c>
      <c r="K112" s="2" t="s">
        <v>16</v>
      </c>
      <c r="L112" s="2" t="s">
        <v>543</v>
      </c>
      <c r="M112" s="4">
        <v>10849.97</v>
      </c>
      <c r="N112" t="b">
        <f>OR(LEFT(B112,3)="frg",(_xlfn.XMATCH(B112,ZZZ_Part_Id_[[#All],[FGCODE]])))</f>
        <v>1</v>
      </c>
    </row>
    <row r="113" spans="1:14" x14ac:dyDescent="0.3">
      <c r="A113" s="2" t="s">
        <v>544</v>
      </c>
      <c r="B113" s="2" t="s">
        <v>14</v>
      </c>
      <c r="C113" s="2" t="s">
        <v>545</v>
      </c>
      <c r="D113" s="3">
        <v>22</v>
      </c>
      <c r="E113" s="3">
        <v>22</v>
      </c>
      <c r="F113" s="2" t="s">
        <v>16</v>
      </c>
      <c r="G113" s="2" t="s">
        <v>546</v>
      </c>
      <c r="H113" s="3">
        <v>0</v>
      </c>
      <c r="I113" s="2" t="s">
        <v>409</v>
      </c>
      <c r="J113" s="2" t="s">
        <v>547</v>
      </c>
      <c r="K113" s="2" t="s">
        <v>16</v>
      </c>
      <c r="L113" s="2" t="s">
        <v>548</v>
      </c>
      <c r="M113" s="4">
        <v>1.69</v>
      </c>
      <c r="N113" t="e">
        <f>OR(LEFT(B113,3)="frg",(_xlfn.XMATCH(B113,ZZZ_Part_Id_[[#All],[FGCODE]])))</f>
        <v>#N/A</v>
      </c>
    </row>
    <row r="114" spans="1:14" x14ac:dyDescent="0.3">
      <c r="A114" s="2" t="s">
        <v>544</v>
      </c>
      <c r="B114" s="2" t="s">
        <v>86</v>
      </c>
      <c r="C114" s="2" t="s">
        <v>549</v>
      </c>
      <c r="D114" s="5">
        <v>-1340</v>
      </c>
      <c r="E114" s="5">
        <v>-1369.7</v>
      </c>
      <c r="F114" s="2" t="s">
        <v>23</v>
      </c>
      <c r="G114" s="2" t="s">
        <v>550</v>
      </c>
      <c r="H114" s="3">
        <v>0</v>
      </c>
      <c r="I114" s="2" t="s">
        <v>409</v>
      </c>
      <c r="J114" s="2" t="s">
        <v>551</v>
      </c>
      <c r="K114" s="2" t="s">
        <v>23</v>
      </c>
      <c r="L114" s="2" t="s">
        <v>552</v>
      </c>
      <c r="M114" s="6">
        <v>-3585.61</v>
      </c>
      <c r="N114" t="b">
        <f>OR(LEFT(B114,3)="frg",(_xlfn.XMATCH(B114,ZZZ_Part_Id_[[#All],[FGCODE]])))</f>
        <v>1</v>
      </c>
    </row>
    <row r="115" spans="1:14" x14ac:dyDescent="0.3">
      <c r="A115" s="2" t="s">
        <v>544</v>
      </c>
      <c r="B115" s="2" t="s">
        <v>485</v>
      </c>
      <c r="C115" s="2" t="s">
        <v>553</v>
      </c>
      <c r="D115" s="3">
        <v>518400</v>
      </c>
      <c r="E115" s="3">
        <v>518400</v>
      </c>
      <c r="F115" s="2" t="s">
        <v>16</v>
      </c>
      <c r="G115" s="2" t="s">
        <v>554</v>
      </c>
      <c r="H115" s="3">
        <v>0</v>
      </c>
      <c r="I115" s="2" t="s">
        <v>409</v>
      </c>
      <c r="J115" s="2" t="s">
        <v>555</v>
      </c>
      <c r="K115" s="2" t="s">
        <v>16</v>
      </c>
      <c r="L115" s="2" t="s">
        <v>556</v>
      </c>
      <c r="M115" s="4">
        <v>34831.35</v>
      </c>
      <c r="N115" t="b">
        <f>OR(LEFT(B115,3)="frg",(_xlfn.XMATCH(B115,ZZZ_Part_Id_[[#All],[FGCODE]])))</f>
        <v>1</v>
      </c>
    </row>
    <row r="116" spans="1:14" x14ac:dyDescent="0.3">
      <c r="A116" s="2" t="s">
        <v>557</v>
      </c>
      <c r="B116" s="2" t="s">
        <v>97</v>
      </c>
      <c r="C116" s="2" t="s">
        <v>558</v>
      </c>
      <c r="D116" s="3">
        <v>105600</v>
      </c>
      <c r="E116" s="3">
        <v>105600</v>
      </c>
      <c r="F116" s="2" t="s">
        <v>16</v>
      </c>
      <c r="G116" s="2" t="s">
        <v>559</v>
      </c>
      <c r="H116" s="3">
        <v>0</v>
      </c>
      <c r="I116" s="2" t="s">
        <v>18</v>
      </c>
      <c r="J116" s="2" t="s">
        <v>560</v>
      </c>
      <c r="K116" s="2" t="s">
        <v>16</v>
      </c>
      <c r="L116" s="2" t="s">
        <v>561</v>
      </c>
      <c r="M116" s="4">
        <v>22564.55</v>
      </c>
      <c r="N116" t="b">
        <f>OR(LEFT(B116,3)="frg",(_xlfn.XMATCH(B116,ZZZ_Part_Id_[[#All],[FGCODE]])))</f>
        <v>1</v>
      </c>
    </row>
    <row r="117" spans="1:14" x14ac:dyDescent="0.3">
      <c r="A117" s="2" t="s">
        <v>562</v>
      </c>
      <c r="B117" s="2" t="s">
        <v>14</v>
      </c>
      <c r="C117" s="2" t="s">
        <v>563</v>
      </c>
      <c r="D117" s="3">
        <v>52</v>
      </c>
      <c r="E117" s="3">
        <v>52</v>
      </c>
      <c r="F117" s="2" t="s">
        <v>16</v>
      </c>
      <c r="G117" s="2" t="s">
        <v>564</v>
      </c>
      <c r="H117" s="3">
        <v>0</v>
      </c>
      <c r="I117" s="2" t="s">
        <v>18</v>
      </c>
      <c r="J117" s="2" t="s">
        <v>565</v>
      </c>
      <c r="K117" s="2" t="s">
        <v>16</v>
      </c>
      <c r="L117" s="2" t="s">
        <v>566</v>
      </c>
      <c r="M117" s="4">
        <v>4</v>
      </c>
      <c r="N117" t="e">
        <f>OR(LEFT(B117,3)="frg",(_xlfn.XMATCH(B117,ZZZ_Part_Id_[[#All],[FGCODE]])))</f>
        <v>#N/A</v>
      </c>
    </row>
    <row r="118" spans="1:14" x14ac:dyDescent="0.3">
      <c r="A118" s="2" t="s">
        <v>562</v>
      </c>
      <c r="B118" s="2" t="s">
        <v>172</v>
      </c>
      <c r="C118" s="2" t="s">
        <v>567</v>
      </c>
      <c r="D118" s="3">
        <v>14</v>
      </c>
      <c r="E118" s="3">
        <v>14</v>
      </c>
      <c r="F118" s="2" t="s">
        <v>23</v>
      </c>
      <c r="G118" s="2" t="s">
        <v>568</v>
      </c>
      <c r="H118" s="3">
        <v>0</v>
      </c>
      <c r="I118" s="2" t="s">
        <v>18</v>
      </c>
      <c r="J118" s="2" t="s">
        <v>569</v>
      </c>
      <c r="K118" s="2" t="s">
        <v>23</v>
      </c>
      <c r="L118" s="2" t="s">
        <v>570</v>
      </c>
      <c r="M118" s="4">
        <v>91</v>
      </c>
      <c r="N118" t="e">
        <f>OR(LEFT(B118,3)="frg",(_xlfn.XMATCH(B118,ZZZ_Part_Id_[[#All],[FGCODE]])))</f>
        <v>#N/A</v>
      </c>
    </row>
    <row r="119" spans="1:14" x14ac:dyDescent="0.3">
      <c r="A119" s="2" t="s">
        <v>562</v>
      </c>
      <c r="B119" s="2" t="s">
        <v>97</v>
      </c>
      <c r="C119" s="2" t="s">
        <v>571</v>
      </c>
      <c r="D119" s="3">
        <v>249600</v>
      </c>
      <c r="E119" s="3">
        <v>249600</v>
      </c>
      <c r="F119" s="2" t="s">
        <v>16</v>
      </c>
      <c r="G119" s="2" t="s">
        <v>572</v>
      </c>
      <c r="H119" s="3">
        <v>0</v>
      </c>
      <c r="I119" s="2" t="s">
        <v>18</v>
      </c>
      <c r="J119" s="2" t="s">
        <v>573</v>
      </c>
      <c r="K119" s="2" t="s">
        <v>16</v>
      </c>
      <c r="L119" s="2" t="s">
        <v>574</v>
      </c>
      <c r="M119" s="4">
        <v>53334.400000000001</v>
      </c>
      <c r="N119" t="b">
        <f>OR(LEFT(B119,3)="frg",(_xlfn.XMATCH(B119,ZZZ_Part_Id_[[#All],[FGCODE]])))</f>
        <v>1</v>
      </c>
    </row>
    <row r="120" spans="1:14" x14ac:dyDescent="0.3">
      <c r="A120" s="2" t="s">
        <v>575</v>
      </c>
      <c r="B120" s="2" t="s">
        <v>14</v>
      </c>
      <c r="C120" s="2" t="s">
        <v>576</v>
      </c>
      <c r="D120" s="3">
        <v>67</v>
      </c>
      <c r="E120" s="3">
        <v>67</v>
      </c>
      <c r="F120" s="2" t="s">
        <v>16</v>
      </c>
      <c r="G120" s="2" t="s">
        <v>577</v>
      </c>
      <c r="H120" s="3">
        <v>0</v>
      </c>
      <c r="I120" s="2" t="s">
        <v>18</v>
      </c>
      <c r="J120" s="2" t="s">
        <v>578</v>
      </c>
      <c r="K120" s="2" t="s">
        <v>16</v>
      </c>
      <c r="L120" s="2" t="s">
        <v>579</v>
      </c>
      <c r="M120" s="4">
        <v>5.15</v>
      </c>
      <c r="N120" t="e">
        <f>OR(LEFT(B120,3)="frg",(_xlfn.XMATCH(B120,ZZZ_Part_Id_[[#All],[FGCODE]])))</f>
        <v>#N/A</v>
      </c>
    </row>
    <row r="121" spans="1:14" x14ac:dyDescent="0.3">
      <c r="A121" s="2" t="s">
        <v>575</v>
      </c>
      <c r="B121" s="2" t="s">
        <v>172</v>
      </c>
      <c r="C121" s="2" t="s">
        <v>580</v>
      </c>
      <c r="D121" s="3">
        <v>18.893999999999998</v>
      </c>
      <c r="E121" s="3">
        <v>18.893999999999998</v>
      </c>
      <c r="F121" s="2" t="s">
        <v>23</v>
      </c>
      <c r="G121" s="2" t="s">
        <v>581</v>
      </c>
      <c r="H121" s="3">
        <v>0</v>
      </c>
      <c r="I121" s="2" t="s">
        <v>18</v>
      </c>
      <c r="J121" s="2" t="s">
        <v>582</v>
      </c>
      <c r="K121" s="2" t="s">
        <v>23</v>
      </c>
      <c r="L121" s="2" t="s">
        <v>583</v>
      </c>
      <c r="M121" s="4">
        <v>122.81</v>
      </c>
      <c r="N121" t="e">
        <f>OR(LEFT(B121,3)="frg",(_xlfn.XMATCH(B121,ZZZ_Part_Id_[[#All],[FGCODE]])))</f>
        <v>#N/A</v>
      </c>
    </row>
    <row r="122" spans="1:14" x14ac:dyDescent="0.3">
      <c r="A122" s="2" t="s">
        <v>575</v>
      </c>
      <c r="B122" s="2" t="s">
        <v>426</v>
      </c>
      <c r="C122" s="2" t="s">
        <v>584</v>
      </c>
      <c r="D122" s="3">
        <v>443808</v>
      </c>
      <c r="E122" s="3">
        <v>443808</v>
      </c>
      <c r="F122" s="2" t="s">
        <v>16</v>
      </c>
      <c r="G122" s="2" t="s">
        <v>585</v>
      </c>
      <c r="H122" s="3">
        <v>0</v>
      </c>
      <c r="I122" s="2" t="s">
        <v>18</v>
      </c>
      <c r="J122" s="2" t="s">
        <v>586</v>
      </c>
      <c r="K122" s="2" t="s">
        <v>16</v>
      </c>
      <c r="L122" s="2" t="s">
        <v>587</v>
      </c>
      <c r="M122" s="4">
        <v>82654.55</v>
      </c>
      <c r="N122" t="b">
        <f>OR(LEFT(B122,3)="frg",(_xlfn.XMATCH(B122,ZZZ_Part_Id_[[#All],[FGCODE]])))</f>
        <v>1</v>
      </c>
    </row>
    <row r="123" spans="1:14" x14ac:dyDescent="0.3">
      <c r="A123" s="2" t="s">
        <v>588</v>
      </c>
      <c r="B123" s="2" t="s">
        <v>97</v>
      </c>
      <c r="C123" s="2" t="s">
        <v>589</v>
      </c>
      <c r="D123" s="3">
        <v>360000</v>
      </c>
      <c r="E123" s="3">
        <v>360000</v>
      </c>
      <c r="F123" s="2" t="s">
        <v>16</v>
      </c>
      <c r="G123" s="2" t="s">
        <v>590</v>
      </c>
      <c r="H123" s="3">
        <v>0</v>
      </c>
      <c r="I123" s="2" t="s">
        <v>18</v>
      </c>
      <c r="J123" s="2" t="s">
        <v>591</v>
      </c>
      <c r="K123" s="2" t="s">
        <v>16</v>
      </c>
      <c r="L123" s="2" t="s">
        <v>592</v>
      </c>
      <c r="M123" s="4">
        <v>76924.56</v>
      </c>
      <c r="N123" t="b">
        <f>OR(LEFT(B123,3)="frg",(_xlfn.XMATCH(B123,ZZZ_Part_Id_[[#All],[FGCODE]])))</f>
        <v>1</v>
      </c>
    </row>
    <row r="124" spans="1:14" x14ac:dyDescent="0.3">
      <c r="A124" s="2" t="s">
        <v>593</v>
      </c>
      <c r="B124" s="2" t="s">
        <v>37</v>
      </c>
      <c r="C124" s="2" t="s">
        <v>594</v>
      </c>
      <c r="D124" s="3">
        <v>20</v>
      </c>
      <c r="E124" s="3">
        <v>20</v>
      </c>
      <c r="F124" s="2" t="s">
        <v>16</v>
      </c>
      <c r="G124" s="2" t="s">
        <v>595</v>
      </c>
      <c r="H124" s="3">
        <v>0</v>
      </c>
      <c r="I124" s="2" t="s">
        <v>18</v>
      </c>
      <c r="J124" s="2" t="s">
        <v>596</v>
      </c>
      <c r="K124" s="2" t="s">
        <v>16</v>
      </c>
      <c r="L124" s="2" t="s">
        <v>597</v>
      </c>
      <c r="M124" s="4">
        <v>320.01</v>
      </c>
      <c r="N124" t="e">
        <f>OR(LEFT(B124,3)="frg",(_xlfn.XMATCH(B124,ZZZ_Part_Id_[[#All],[FGCODE]])))</f>
        <v>#N/A</v>
      </c>
    </row>
    <row r="125" spans="1:14" x14ac:dyDescent="0.3">
      <c r="A125" s="2" t="s">
        <v>593</v>
      </c>
      <c r="B125" s="2" t="s">
        <v>65</v>
      </c>
      <c r="C125" s="2" t="s">
        <v>598</v>
      </c>
      <c r="D125" s="5">
        <v>-498</v>
      </c>
      <c r="E125" s="5">
        <v>-498</v>
      </c>
      <c r="F125" s="2" t="s">
        <v>23</v>
      </c>
      <c r="G125" s="2" t="s">
        <v>599</v>
      </c>
      <c r="H125" s="3">
        <v>0</v>
      </c>
      <c r="I125" s="2" t="s">
        <v>18</v>
      </c>
      <c r="J125" s="2" t="s">
        <v>600</v>
      </c>
      <c r="K125" s="2" t="s">
        <v>23</v>
      </c>
      <c r="L125" s="2" t="s">
        <v>601</v>
      </c>
      <c r="M125" s="6">
        <v>-1280.6600000000001</v>
      </c>
      <c r="N125" t="b">
        <f>OR(LEFT(B125,3)="frg",(_xlfn.XMATCH(B125,ZZZ_Part_Id_[[#All],[FGCODE]])))</f>
        <v>1</v>
      </c>
    </row>
    <row r="126" spans="1:14" x14ac:dyDescent="0.3">
      <c r="A126" s="2" t="s">
        <v>593</v>
      </c>
      <c r="B126" s="2" t="s">
        <v>97</v>
      </c>
      <c r="C126" s="2" t="s">
        <v>602</v>
      </c>
      <c r="D126" s="3">
        <v>105600</v>
      </c>
      <c r="E126" s="3">
        <v>105600</v>
      </c>
      <c r="F126" s="2" t="s">
        <v>16</v>
      </c>
      <c r="G126" s="2" t="s">
        <v>603</v>
      </c>
      <c r="H126" s="3">
        <v>0</v>
      </c>
      <c r="I126" s="2" t="s">
        <v>18</v>
      </c>
      <c r="J126" s="2" t="s">
        <v>604</v>
      </c>
      <c r="K126" s="2" t="s">
        <v>16</v>
      </c>
      <c r="L126" s="2" t="s">
        <v>605</v>
      </c>
      <c r="M126" s="4">
        <v>22564.54</v>
      </c>
      <c r="N126" t="b">
        <f>OR(LEFT(B126,3)="frg",(_xlfn.XMATCH(B126,ZZZ_Part_Id_[[#All],[FGCODE]])))</f>
        <v>1</v>
      </c>
    </row>
    <row r="127" spans="1:14" x14ac:dyDescent="0.3">
      <c r="A127" s="2" t="s">
        <v>606</v>
      </c>
      <c r="B127" s="2" t="s">
        <v>86</v>
      </c>
      <c r="C127" s="2" t="s">
        <v>607</v>
      </c>
      <c r="D127" s="5">
        <v>-537</v>
      </c>
      <c r="E127" s="5">
        <v>-537</v>
      </c>
      <c r="F127" s="2" t="s">
        <v>23</v>
      </c>
      <c r="G127" s="2" t="s">
        <v>608</v>
      </c>
      <c r="H127" s="3">
        <v>0</v>
      </c>
      <c r="I127" s="2" t="s">
        <v>18</v>
      </c>
      <c r="J127" s="2" t="s">
        <v>609</v>
      </c>
      <c r="K127" s="2" t="s">
        <v>23</v>
      </c>
      <c r="L127" s="2" t="s">
        <v>610</v>
      </c>
      <c r="M127" s="6">
        <v>-1405.76</v>
      </c>
      <c r="N127" t="b">
        <f>OR(LEFT(B127,3)="frg",(_xlfn.XMATCH(B127,ZZZ_Part_Id_[[#All],[FGCODE]])))</f>
        <v>1</v>
      </c>
    </row>
    <row r="128" spans="1:14" x14ac:dyDescent="0.3">
      <c r="A128" s="2" t="s">
        <v>606</v>
      </c>
      <c r="B128" s="2" t="s">
        <v>485</v>
      </c>
      <c r="C128" s="2" t="s">
        <v>611</v>
      </c>
      <c r="D128" s="3">
        <v>307200</v>
      </c>
      <c r="E128" s="3">
        <v>307200</v>
      </c>
      <c r="F128" s="2" t="s">
        <v>16</v>
      </c>
      <c r="G128" s="2" t="s">
        <v>612</v>
      </c>
      <c r="H128" s="3">
        <v>0</v>
      </c>
      <c r="I128" s="2" t="s">
        <v>18</v>
      </c>
      <c r="J128" s="2" t="s">
        <v>613</v>
      </c>
      <c r="K128" s="2" t="s">
        <v>16</v>
      </c>
      <c r="L128" s="2" t="s">
        <v>614</v>
      </c>
      <c r="M128" s="4">
        <v>20640.8</v>
      </c>
      <c r="N128" t="b">
        <f>OR(LEFT(B128,3)="frg",(_xlfn.XMATCH(B128,ZZZ_Part_Id_[[#All],[FGCODE]])))</f>
        <v>1</v>
      </c>
    </row>
    <row r="129" spans="1:14" x14ac:dyDescent="0.3">
      <c r="A129" s="2" t="s">
        <v>615</v>
      </c>
      <c r="B129" s="2" t="s">
        <v>14</v>
      </c>
      <c r="C129" s="2" t="s">
        <v>616</v>
      </c>
      <c r="D129" s="3">
        <v>11</v>
      </c>
      <c r="E129" s="3">
        <v>11</v>
      </c>
      <c r="F129" s="2" t="s">
        <v>16</v>
      </c>
      <c r="G129" s="2" t="s">
        <v>617</v>
      </c>
      <c r="H129" s="3">
        <v>0</v>
      </c>
      <c r="I129" s="2" t="s">
        <v>18</v>
      </c>
      <c r="J129" s="2" t="s">
        <v>618</v>
      </c>
      <c r="K129" s="2" t="s">
        <v>16</v>
      </c>
      <c r="L129" s="2" t="s">
        <v>619</v>
      </c>
      <c r="M129" s="4">
        <v>0.85</v>
      </c>
      <c r="N129" t="e">
        <f>OR(LEFT(B129,3)="frg",(_xlfn.XMATCH(B129,ZZZ_Part_Id_[[#All],[FGCODE]])))</f>
        <v>#N/A</v>
      </c>
    </row>
    <row r="130" spans="1:14" x14ac:dyDescent="0.3">
      <c r="A130" s="2" t="s">
        <v>615</v>
      </c>
      <c r="B130" s="2" t="s">
        <v>86</v>
      </c>
      <c r="C130" s="2" t="s">
        <v>620</v>
      </c>
      <c r="D130" s="5">
        <v>-537</v>
      </c>
      <c r="E130" s="5">
        <v>-537</v>
      </c>
      <c r="F130" s="2" t="s">
        <v>23</v>
      </c>
      <c r="G130" s="2" t="s">
        <v>621</v>
      </c>
      <c r="H130" s="3">
        <v>0</v>
      </c>
      <c r="I130" s="2" t="s">
        <v>18</v>
      </c>
      <c r="J130" s="2" t="s">
        <v>622</v>
      </c>
      <c r="K130" s="2" t="s">
        <v>23</v>
      </c>
      <c r="L130" s="2" t="s">
        <v>623</v>
      </c>
      <c r="M130" s="6">
        <v>-1405.76</v>
      </c>
      <c r="N130" t="b">
        <f>OR(LEFT(B130,3)="frg",(_xlfn.XMATCH(B130,ZZZ_Part_Id_[[#All],[FGCODE]])))</f>
        <v>1</v>
      </c>
    </row>
    <row r="131" spans="1:14" x14ac:dyDescent="0.3">
      <c r="A131" s="2" t="s">
        <v>615</v>
      </c>
      <c r="B131" s="2" t="s">
        <v>624</v>
      </c>
      <c r="C131" s="2" t="s">
        <v>625</v>
      </c>
      <c r="D131" s="3">
        <v>249600</v>
      </c>
      <c r="E131" s="3">
        <v>249600</v>
      </c>
      <c r="F131" s="2" t="s">
        <v>16</v>
      </c>
      <c r="G131" s="2" t="s">
        <v>626</v>
      </c>
      <c r="H131" s="3">
        <v>0</v>
      </c>
      <c r="I131" s="2" t="s">
        <v>18</v>
      </c>
      <c r="J131" s="2" t="s">
        <v>627</v>
      </c>
      <c r="K131" s="2" t="s">
        <v>16</v>
      </c>
      <c r="L131" s="2" t="s">
        <v>628</v>
      </c>
      <c r="M131" s="4">
        <v>3853.83</v>
      </c>
      <c r="N131" t="b">
        <f>OR(LEFT(B131,3)="frg",(_xlfn.XMATCH(B131,ZZZ_Part_Id_[[#All],[FGCODE]])))</f>
        <v>1</v>
      </c>
    </row>
    <row r="132" spans="1:14" x14ac:dyDescent="0.3">
      <c r="A132" s="2" t="s">
        <v>629</v>
      </c>
      <c r="B132" s="2" t="s">
        <v>14</v>
      </c>
      <c r="C132" s="2" t="s">
        <v>630</v>
      </c>
      <c r="D132" s="3">
        <v>26</v>
      </c>
      <c r="E132" s="3">
        <v>26</v>
      </c>
      <c r="F132" s="2" t="s">
        <v>16</v>
      </c>
      <c r="G132" s="2" t="s">
        <v>631</v>
      </c>
      <c r="H132" s="3">
        <v>0</v>
      </c>
      <c r="I132" s="2" t="s">
        <v>18</v>
      </c>
      <c r="J132" s="2" t="s">
        <v>632</v>
      </c>
      <c r="K132" s="2" t="s">
        <v>16</v>
      </c>
      <c r="L132" s="2" t="s">
        <v>633</v>
      </c>
      <c r="M132" s="4">
        <v>2</v>
      </c>
      <c r="N132" t="e">
        <f>OR(LEFT(B132,3)="frg",(_xlfn.XMATCH(B132,ZZZ_Part_Id_[[#All],[FGCODE]])))</f>
        <v>#N/A</v>
      </c>
    </row>
    <row r="133" spans="1:14" x14ac:dyDescent="0.3">
      <c r="A133" s="2" t="s">
        <v>629</v>
      </c>
      <c r="B133" s="2" t="s">
        <v>172</v>
      </c>
      <c r="C133" s="2" t="s">
        <v>634</v>
      </c>
      <c r="D133" s="3">
        <v>7.3319999999999999</v>
      </c>
      <c r="E133" s="3">
        <v>7.3319999999999999</v>
      </c>
      <c r="F133" s="2" t="s">
        <v>23</v>
      </c>
      <c r="G133" s="2" t="s">
        <v>635</v>
      </c>
      <c r="H133" s="3">
        <v>0</v>
      </c>
      <c r="I133" s="2" t="s">
        <v>18</v>
      </c>
      <c r="J133" s="2" t="s">
        <v>636</v>
      </c>
      <c r="K133" s="2" t="s">
        <v>23</v>
      </c>
      <c r="L133" s="2" t="s">
        <v>637</v>
      </c>
      <c r="M133" s="4">
        <v>47.66</v>
      </c>
      <c r="N133" t="e">
        <f>OR(LEFT(B133,3)="frg",(_xlfn.XMATCH(B133,ZZZ_Part_Id_[[#All],[FGCODE]])))</f>
        <v>#N/A</v>
      </c>
    </row>
    <row r="134" spans="1:14" x14ac:dyDescent="0.3">
      <c r="A134" s="2" t="s">
        <v>629</v>
      </c>
      <c r="B134" s="2" t="s">
        <v>426</v>
      </c>
      <c r="C134" s="2" t="s">
        <v>638</v>
      </c>
      <c r="D134" s="3">
        <v>172224</v>
      </c>
      <c r="E134" s="3">
        <v>172224</v>
      </c>
      <c r="F134" s="2" t="s">
        <v>16</v>
      </c>
      <c r="G134" s="2" t="s">
        <v>639</v>
      </c>
      <c r="H134" s="3">
        <v>0</v>
      </c>
      <c r="I134" s="2" t="s">
        <v>18</v>
      </c>
      <c r="J134" s="2" t="s">
        <v>640</v>
      </c>
      <c r="K134" s="2" t="s">
        <v>16</v>
      </c>
      <c r="L134" s="2" t="s">
        <v>641</v>
      </c>
      <c r="M134" s="4">
        <v>32074.9</v>
      </c>
      <c r="N134" t="b">
        <f>OR(LEFT(B134,3)="frg",(_xlfn.XMATCH(B134,ZZZ_Part_Id_[[#All],[FGCODE]])))</f>
        <v>1</v>
      </c>
    </row>
    <row r="135" spans="1:14" x14ac:dyDescent="0.3">
      <c r="A135" s="2" t="s">
        <v>642</v>
      </c>
      <c r="B135" s="2" t="s">
        <v>21</v>
      </c>
      <c r="C135" s="2" t="s">
        <v>643</v>
      </c>
      <c r="D135" s="5">
        <v>-1375</v>
      </c>
      <c r="E135" s="5">
        <v>-1375</v>
      </c>
      <c r="F135" s="2" t="s">
        <v>23</v>
      </c>
      <c r="G135" s="2" t="s">
        <v>644</v>
      </c>
      <c r="H135" s="3">
        <v>0</v>
      </c>
      <c r="I135" s="2" t="s">
        <v>409</v>
      </c>
      <c r="J135" s="2" t="s">
        <v>645</v>
      </c>
      <c r="K135" s="2" t="s">
        <v>23</v>
      </c>
      <c r="L135" s="2" t="s">
        <v>646</v>
      </c>
      <c r="M135" s="6">
        <v>-2603.56</v>
      </c>
      <c r="N135" t="b">
        <f>OR(LEFT(B135,3)="frg",(_xlfn.XMATCH(B135,ZZZ_Part_Id_[[#All],[FGCODE]])))</f>
        <v>1</v>
      </c>
    </row>
    <row r="136" spans="1:14" x14ac:dyDescent="0.3">
      <c r="A136" s="2" t="s">
        <v>642</v>
      </c>
      <c r="B136" s="2" t="s">
        <v>647</v>
      </c>
      <c r="C136" s="2" t="s">
        <v>648</v>
      </c>
      <c r="D136" s="3">
        <v>360360</v>
      </c>
      <c r="E136" s="3">
        <v>360360</v>
      </c>
      <c r="F136" s="2" t="s">
        <v>16</v>
      </c>
      <c r="G136" s="2" t="s">
        <v>649</v>
      </c>
      <c r="H136" s="3">
        <v>0</v>
      </c>
      <c r="I136" s="2" t="s">
        <v>409</v>
      </c>
      <c r="J136" s="2" t="s">
        <v>650</v>
      </c>
      <c r="K136" s="2" t="s">
        <v>16</v>
      </c>
      <c r="L136" s="2" t="s">
        <v>651</v>
      </c>
      <c r="M136" s="4">
        <v>31603.58</v>
      </c>
      <c r="N136" t="b">
        <f>OR(LEFT(B136,3)="frg",(_xlfn.XMATCH(B136,ZZZ_Part_Id_[[#All],[FGCODE]])))</f>
        <v>1</v>
      </c>
    </row>
    <row r="137" spans="1:14" x14ac:dyDescent="0.3">
      <c r="A137" s="2" t="s">
        <v>652</v>
      </c>
      <c r="B137" s="2" t="s">
        <v>14</v>
      </c>
      <c r="C137" s="2" t="s">
        <v>653</v>
      </c>
      <c r="D137" s="3">
        <v>29</v>
      </c>
      <c r="E137" s="3">
        <v>29</v>
      </c>
      <c r="F137" s="2" t="s">
        <v>16</v>
      </c>
      <c r="G137" s="2" t="s">
        <v>654</v>
      </c>
      <c r="H137" s="3">
        <v>0</v>
      </c>
      <c r="I137" s="2" t="s">
        <v>18</v>
      </c>
      <c r="J137" s="2" t="s">
        <v>655</v>
      </c>
      <c r="K137" s="2" t="s">
        <v>16</v>
      </c>
      <c r="L137" s="2" t="s">
        <v>656</v>
      </c>
      <c r="M137" s="4">
        <v>2.23</v>
      </c>
      <c r="N137" t="e">
        <f>OR(LEFT(B137,3)="frg",(_xlfn.XMATCH(B137,ZZZ_Part_Id_[[#All],[FGCODE]])))</f>
        <v>#N/A</v>
      </c>
    </row>
    <row r="138" spans="1:14" x14ac:dyDescent="0.3">
      <c r="A138" s="2" t="s">
        <v>652</v>
      </c>
      <c r="B138" s="2" t="s">
        <v>172</v>
      </c>
      <c r="C138" s="2" t="s">
        <v>657</v>
      </c>
      <c r="D138" s="3">
        <v>8.1780000000000008</v>
      </c>
      <c r="E138" s="3">
        <v>8.1780000000000008</v>
      </c>
      <c r="F138" s="2" t="s">
        <v>23</v>
      </c>
      <c r="G138" s="2" t="s">
        <v>658</v>
      </c>
      <c r="H138" s="3">
        <v>0</v>
      </c>
      <c r="I138" s="2" t="s">
        <v>18</v>
      </c>
      <c r="J138" s="2" t="s">
        <v>659</v>
      </c>
      <c r="K138" s="2" t="s">
        <v>23</v>
      </c>
      <c r="L138" s="2" t="s">
        <v>660</v>
      </c>
      <c r="M138" s="4">
        <v>53.16</v>
      </c>
      <c r="N138" t="e">
        <f>OR(LEFT(B138,3)="frg",(_xlfn.XMATCH(B138,ZZZ_Part_Id_[[#All],[FGCODE]])))</f>
        <v>#N/A</v>
      </c>
    </row>
    <row r="139" spans="1:14" x14ac:dyDescent="0.3">
      <c r="A139" s="2" t="s">
        <v>652</v>
      </c>
      <c r="B139" s="2" t="s">
        <v>27</v>
      </c>
      <c r="C139" s="2" t="s">
        <v>661</v>
      </c>
      <c r="D139" s="3">
        <v>192096</v>
      </c>
      <c r="E139" s="3">
        <v>192096</v>
      </c>
      <c r="F139" s="2" t="s">
        <v>16</v>
      </c>
      <c r="G139" s="2" t="s">
        <v>662</v>
      </c>
      <c r="H139" s="3">
        <v>0</v>
      </c>
      <c r="I139" s="2" t="s">
        <v>18</v>
      </c>
      <c r="J139" s="2" t="s">
        <v>663</v>
      </c>
      <c r="K139" s="2" t="s">
        <v>16</v>
      </c>
      <c r="L139" s="2" t="s">
        <v>664</v>
      </c>
      <c r="M139" s="4">
        <v>35678.120000000003</v>
      </c>
      <c r="N139" t="b">
        <f>OR(LEFT(B139,3)="frg",(_xlfn.XMATCH(B139,ZZZ_Part_Id_[[#All],[FGCODE]])))</f>
        <v>1</v>
      </c>
    </row>
    <row r="140" spans="1:14" x14ac:dyDescent="0.3">
      <c r="A140" s="2" t="s">
        <v>665</v>
      </c>
      <c r="B140" s="2" t="s">
        <v>65</v>
      </c>
      <c r="C140" s="2" t="s">
        <v>666</v>
      </c>
      <c r="D140" s="5">
        <v>-498</v>
      </c>
      <c r="E140" s="5">
        <v>-498</v>
      </c>
      <c r="F140" s="2" t="s">
        <v>23</v>
      </c>
      <c r="G140" s="2" t="s">
        <v>667</v>
      </c>
      <c r="H140" s="3">
        <v>0</v>
      </c>
      <c r="I140" s="2" t="s">
        <v>18</v>
      </c>
      <c r="J140" s="2" t="s">
        <v>668</v>
      </c>
      <c r="K140" s="2" t="s">
        <v>23</v>
      </c>
      <c r="L140" s="2" t="s">
        <v>669</v>
      </c>
      <c r="M140" s="6">
        <v>-1280.6600000000001</v>
      </c>
      <c r="N140" t="b">
        <f>OR(LEFT(B140,3)="frg",(_xlfn.XMATCH(B140,ZZZ_Part_Id_[[#All],[FGCODE]])))</f>
        <v>1</v>
      </c>
    </row>
    <row r="141" spans="1:14" x14ac:dyDescent="0.3">
      <c r="A141" s="2" t="s">
        <v>665</v>
      </c>
      <c r="B141" s="2" t="s">
        <v>97</v>
      </c>
      <c r="C141" s="2" t="s">
        <v>670</v>
      </c>
      <c r="D141" s="3">
        <v>81600</v>
      </c>
      <c r="E141" s="3">
        <v>81600</v>
      </c>
      <c r="F141" s="2" t="s">
        <v>16</v>
      </c>
      <c r="G141" s="2" t="s">
        <v>671</v>
      </c>
      <c r="H141" s="3">
        <v>0</v>
      </c>
      <c r="I141" s="2" t="s">
        <v>18</v>
      </c>
      <c r="J141" s="2" t="s">
        <v>672</v>
      </c>
      <c r="K141" s="2" t="s">
        <v>16</v>
      </c>
      <c r="L141" s="2" t="s">
        <v>673</v>
      </c>
      <c r="M141" s="4">
        <v>17436.23</v>
      </c>
      <c r="N141" t="b">
        <f>OR(LEFT(B141,3)="frg",(_xlfn.XMATCH(B141,ZZZ_Part_Id_[[#All],[FGCODE]])))</f>
        <v>1</v>
      </c>
    </row>
    <row r="142" spans="1:14" x14ac:dyDescent="0.3">
      <c r="A142" s="2" t="s">
        <v>674</v>
      </c>
      <c r="B142" s="2" t="s">
        <v>65</v>
      </c>
      <c r="C142" s="2" t="s">
        <v>675</v>
      </c>
      <c r="D142" s="5">
        <v>-249</v>
      </c>
      <c r="E142" s="5">
        <v>-249</v>
      </c>
      <c r="F142" s="2" t="s">
        <v>23</v>
      </c>
      <c r="G142" s="2" t="s">
        <v>676</v>
      </c>
      <c r="H142" s="3">
        <v>0</v>
      </c>
      <c r="I142" s="2" t="s">
        <v>18</v>
      </c>
      <c r="J142" s="2" t="s">
        <v>677</v>
      </c>
      <c r="K142" s="2" t="s">
        <v>23</v>
      </c>
      <c r="L142" s="2" t="s">
        <v>678</v>
      </c>
      <c r="M142" s="6">
        <v>-640.33000000000004</v>
      </c>
      <c r="N142" t="b">
        <f>OR(LEFT(B142,3)="frg",(_xlfn.XMATCH(B142,ZZZ_Part_Id_[[#All],[FGCODE]])))</f>
        <v>1</v>
      </c>
    </row>
    <row r="143" spans="1:14" x14ac:dyDescent="0.3">
      <c r="A143" s="2" t="s">
        <v>674</v>
      </c>
      <c r="B143" s="2" t="s">
        <v>97</v>
      </c>
      <c r="C143" s="2" t="s">
        <v>679</v>
      </c>
      <c r="D143" s="3">
        <v>259200</v>
      </c>
      <c r="E143" s="3">
        <v>259200</v>
      </c>
      <c r="F143" s="2" t="s">
        <v>16</v>
      </c>
      <c r="G143" s="2" t="s">
        <v>680</v>
      </c>
      <c r="H143" s="3">
        <v>0</v>
      </c>
      <c r="I143" s="2" t="s">
        <v>18</v>
      </c>
      <c r="J143" s="2" t="s">
        <v>681</v>
      </c>
      <c r="K143" s="2" t="s">
        <v>16</v>
      </c>
      <c r="L143" s="2" t="s">
        <v>682</v>
      </c>
      <c r="M143" s="4">
        <v>55385.69</v>
      </c>
      <c r="N143" t="b">
        <f>OR(LEFT(B143,3)="frg",(_xlfn.XMATCH(B143,ZZZ_Part_Id_[[#All],[FGCODE]])))</f>
        <v>1</v>
      </c>
    </row>
    <row r="144" spans="1:14" x14ac:dyDescent="0.3">
      <c r="A144" s="2" t="s">
        <v>683</v>
      </c>
      <c r="B144" s="2" t="s">
        <v>65</v>
      </c>
      <c r="C144" s="2" t="s">
        <v>684</v>
      </c>
      <c r="D144" s="5">
        <v>-343</v>
      </c>
      <c r="E144" s="5">
        <v>-343</v>
      </c>
      <c r="F144" s="2" t="s">
        <v>23</v>
      </c>
      <c r="G144" s="2" t="s">
        <v>685</v>
      </c>
      <c r="H144" s="3">
        <v>0</v>
      </c>
      <c r="I144" s="2" t="s">
        <v>409</v>
      </c>
      <c r="J144" s="2" t="s">
        <v>686</v>
      </c>
      <c r="K144" s="2" t="s">
        <v>23</v>
      </c>
      <c r="L144" s="2" t="s">
        <v>687</v>
      </c>
      <c r="M144" s="6">
        <v>-882.06</v>
      </c>
      <c r="N144" t="b">
        <f>OR(LEFT(B144,3)="frg",(_xlfn.XMATCH(B144,ZZZ_Part_Id_[[#All],[FGCODE]])))</f>
        <v>1</v>
      </c>
    </row>
    <row r="145" spans="1:14" x14ac:dyDescent="0.3">
      <c r="A145" s="2" t="s">
        <v>683</v>
      </c>
      <c r="B145" s="2" t="s">
        <v>115</v>
      </c>
      <c r="C145" s="2" t="s">
        <v>688</v>
      </c>
      <c r="D145" s="3">
        <v>131040</v>
      </c>
      <c r="E145" s="3">
        <v>131040</v>
      </c>
      <c r="F145" s="2" t="s">
        <v>16</v>
      </c>
      <c r="G145" s="2" t="s">
        <v>689</v>
      </c>
      <c r="H145" s="3">
        <v>0</v>
      </c>
      <c r="I145" s="2" t="s">
        <v>409</v>
      </c>
      <c r="J145" s="2" t="s">
        <v>690</v>
      </c>
      <c r="K145" s="2" t="s">
        <v>16</v>
      </c>
      <c r="L145" s="2" t="s">
        <v>691</v>
      </c>
      <c r="M145" s="4">
        <v>11177.68</v>
      </c>
      <c r="N145" t="b">
        <f>OR(LEFT(B145,3)="frg",(_xlfn.XMATCH(B145,ZZZ_Part_Id_[[#All],[FGCODE]])))</f>
        <v>1</v>
      </c>
    </row>
    <row r="146" spans="1:14" x14ac:dyDescent="0.3">
      <c r="A146" s="2" t="s">
        <v>692</v>
      </c>
      <c r="B146" s="2" t="s">
        <v>693</v>
      </c>
      <c r="C146" s="2" t="s">
        <v>694</v>
      </c>
      <c r="D146" s="3">
        <v>49140</v>
      </c>
      <c r="E146" s="3">
        <v>49140</v>
      </c>
      <c r="F146" s="2" t="s">
        <v>16</v>
      </c>
      <c r="G146" s="2" t="s">
        <v>695</v>
      </c>
      <c r="H146" s="3">
        <v>0</v>
      </c>
      <c r="I146" s="2" t="s">
        <v>409</v>
      </c>
      <c r="J146" s="2" t="s">
        <v>696</v>
      </c>
      <c r="K146" s="2" t="s">
        <v>16</v>
      </c>
      <c r="L146" s="2" t="s">
        <v>697</v>
      </c>
      <c r="M146" s="4">
        <v>4243.74</v>
      </c>
      <c r="N146" t="b">
        <f>OR(LEFT(B146,3)="frg",(_xlfn.XMATCH(B146,ZZZ_Part_Id_[[#All],[FGCODE]])))</f>
        <v>1</v>
      </c>
    </row>
    <row r="147" spans="1:14" x14ac:dyDescent="0.3">
      <c r="A147" s="2" t="s">
        <v>698</v>
      </c>
      <c r="B147" s="2" t="s">
        <v>699</v>
      </c>
      <c r="C147" s="2" t="s">
        <v>700</v>
      </c>
      <c r="D147" s="3">
        <v>33120</v>
      </c>
      <c r="E147" s="3">
        <v>33120</v>
      </c>
      <c r="F147" s="2" t="s">
        <v>16</v>
      </c>
      <c r="G147" s="2" t="s">
        <v>701</v>
      </c>
      <c r="H147" s="3">
        <v>0</v>
      </c>
      <c r="I147" s="2" t="s">
        <v>18</v>
      </c>
      <c r="J147" s="2" t="s">
        <v>702</v>
      </c>
      <c r="K147" s="2" t="s">
        <v>16</v>
      </c>
      <c r="L147" s="2" t="s">
        <v>703</v>
      </c>
      <c r="M147" s="4">
        <v>6038.12</v>
      </c>
      <c r="N147" t="b">
        <f>OR(LEFT(B147,3)="frg",(_xlfn.XMATCH(B147,ZZZ_Part_Id_[[#All],[FGCODE]])))</f>
        <v>1</v>
      </c>
    </row>
    <row r="148" spans="1:14" x14ac:dyDescent="0.3">
      <c r="A148" s="2" t="s">
        <v>704</v>
      </c>
      <c r="B148" s="2" t="s">
        <v>14</v>
      </c>
      <c r="C148" s="2" t="s">
        <v>705</v>
      </c>
      <c r="D148" s="3">
        <v>40</v>
      </c>
      <c r="E148" s="3">
        <v>40</v>
      </c>
      <c r="F148" s="2" t="s">
        <v>16</v>
      </c>
      <c r="G148" s="2" t="s">
        <v>706</v>
      </c>
      <c r="H148" s="3">
        <v>0</v>
      </c>
      <c r="I148" s="2" t="s">
        <v>18</v>
      </c>
      <c r="J148" s="2" t="s">
        <v>707</v>
      </c>
      <c r="K148" s="2" t="s">
        <v>16</v>
      </c>
      <c r="L148" s="2" t="s">
        <v>708</v>
      </c>
      <c r="M148" s="4">
        <v>3.08</v>
      </c>
      <c r="N148" t="e">
        <f>OR(LEFT(B148,3)="frg",(_xlfn.XMATCH(B148,ZZZ_Part_Id_[[#All],[FGCODE]])))</f>
        <v>#N/A</v>
      </c>
    </row>
    <row r="149" spans="1:14" x14ac:dyDescent="0.3">
      <c r="A149" s="2" t="s">
        <v>704</v>
      </c>
      <c r="B149" s="2" t="s">
        <v>172</v>
      </c>
      <c r="C149" s="2" t="s">
        <v>709</v>
      </c>
      <c r="D149" s="3">
        <v>10</v>
      </c>
      <c r="E149" s="3">
        <v>10</v>
      </c>
      <c r="F149" s="2" t="s">
        <v>23</v>
      </c>
      <c r="G149" s="2" t="s">
        <v>710</v>
      </c>
      <c r="H149" s="3">
        <v>0</v>
      </c>
      <c r="I149" s="2" t="s">
        <v>18</v>
      </c>
      <c r="J149" s="2" t="s">
        <v>711</v>
      </c>
      <c r="K149" s="2" t="s">
        <v>23</v>
      </c>
      <c r="L149" s="2" t="s">
        <v>712</v>
      </c>
      <c r="M149" s="4">
        <v>65</v>
      </c>
      <c r="N149" t="e">
        <f>OR(LEFT(B149,3)="frg",(_xlfn.XMATCH(B149,ZZZ_Part_Id_[[#All],[FGCODE]])))</f>
        <v>#N/A</v>
      </c>
    </row>
    <row r="150" spans="1:14" x14ac:dyDescent="0.3">
      <c r="A150" s="2" t="s">
        <v>704</v>
      </c>
      <c r="B150" s="2" t="s">
        <v>27</v>
      </c>
      <c r="C150" s="2" t="s">
        <v>713</v>
      </c>
      <c r="D150" s="3">
        <v>271584</v>
      </c>
      <c r="E150" s="3">
        <v>271584</v>
      </c>
      <c r="F150" s="2" t="s">
        <v>16</v>
      </c>
      <c r="G150" s="2" t="s">
        <v>714</v>
      </c>
      <c r="H150" s="3">
        <v>0</v>
      </c>
      <c r="I150" s="2" t="s">
        <v>18</v>
      </c>
      <c r="J150" s="2" t="s">
        <v>715</v>
      </c>
      <c r="K150" s="2" t="s">
        <v>16</v>
      </c>
      <c r="L150" s="2" t="s">
        <v>716</v>
      </c>
      <c r="M150" s="4">
        <v>50441.48</v>
      </c>
      <c r="N150" t="b">
        <f>OR(LEFT(B150,3)="frg",(_xlfn.XMATCH(B150,ZZZ_Part_Id_[[#All],[FGCODE]])))</f>
        <v>1</v>
      </c>
    </row>
    <row r="151" spans="1:14" x14ac:dyDescent="0.3">
      <c r="A151" s="2" t="s">
        <v>717</v>
      </c>
      <c r="B151" s="2" t="s">
        <v>647</v>
      </c>
      <c r="C151" s="2" t="s">
        <v>718</v>
      </c>
      <c r="D151" s="3">
        <v>32760</v>
      </c>
      <c r="E151" s="3">
        <v>32760</v>
      </c>
      <c r="F151" s="2" t="s">
        <v>16</v>
      </c>
      <c r="G151" s="2" t="s">
        <v>719</v>
      </c>
      <c r="H151" s="3">
        <v>0</v>
      </c>
      <c r="I151" s="2" t="s">
        <v>409</v>
      </c>
      <c r="J151" s="2" t="s">
        <v>720</v>
      </c>
      <c r="K151" s="2" t="s">
        <v>16</v>
      </c>
      <c r="L151" s="2" t="s">
        <v>721</v>
      </c>
      <c r="M151" s="4">
        <v>2873.05</v>
      </c>
      <c r="N151" t="b">
        <f>OR(LEFT(B151,3)="frg",(_xlfn.XMATCH(B151,ZZZ_Part_Id_[[#All],[FGCODE]])))</f>
        <v>1</v>
      </c>
    </row>
    <row r="152" spans="1:14" x14ac:dyDescent="0.3">
      <c r="A152" s="2" t="s">
        <v>722</v>
      </c>
      <c r="B152" s="2" t="s">
        <v>14</v>
      </c>
      <c r="C152" s="2" t="s">
        <v>723</v>
      </c>
      <c r="D152" s="3">
        <v>57</v>
      </c>
      <c r="E152" s="3">
        <v>57</v>
      </c>
      <c r="F152" s="2" t="s">
        <v>16</v>
      </c>
      <c r="G152" s="2" t="s">
        <v>724</v>
      </c>
      <c r="H152" s="3">
        <v>0</v>
      </c>
      <c r="I152" s="2" t="s">
        <v>18</v>
      </c>
      <c r="J152" s="2" t="s">
        <v>725</v>
      </c>
      <c r="K152" s="2" t="s">
        <v>16</v>
      </c>
      <c r="L152" s="2" t="s">
        <v>726</v>
      </c>
      <c r="M152" s="4">
        <v>4.3899999999999997</v>
      </c>
      <c r="N152" t="e">
        <f>OR(LEFT(B152,3)="frg",(_xlfn.XMATCH(B152,ZZZ_Part_Id_[[#All],[FGCODE]])))</f>
        <v>#N/A</v>
      </c>
    </row>
    <row r="153" spans="1:14" x14ac:dyDescent="0.3">
      <c r="A153" s="2" t="s">
        <v>722</v>
      </c>
      <c r="B153" s="2" t="s">
        <v>172</v>
      </c>
      <c r="C153" s="2" t="s">
        <v>727</v>
      </c>
      <c r="D153" s="3">
        <v>16.187999999999999</v>
      </c>
      <c r="E153" s="3">
        <v>16.187999999999999</v>
      </c>
      <c r="F153" s="2" t="s">
        <v>23</v>
      </c>
      <c r="G153" s="2" t="s">
        <v>728</v>
      </c>
      <c r="H153" s="3">
        <v>0</v>
      </c>
      <c r="I153" s="2" t="s">
        <v>18</v>
      </c>
      <c r="J153" s="2" t="s">
        <v>729</v>
      </c>
      <c r="K153" s="2" t="s">
        <v>23</v>
      </c>
      <c r="L153" s="2" t="s">
        <v>730</v>
      </c>
      <c r="M153" s="4">
        <v>105.22</v>
      </c>
      <c r="N153" t="e">
        <f>OR(LEFT(B153,3)="frg",(_xlfn.XMATCH(B153,ZZZ_Part_Id_[[#All],[FGCODE]])))</f>
        <v>#N/A</v>
      </c>
    </row>
    <row r="154" spans="1:14" x14ac:dyDescent="0.3">
      <c r="A154" s="2" t="s">
        <v>722</v>
      </c>
      <c r="B154" s="2" t="s">
        <v>97</v>
      </c>
      <c r="C154" s="2" t="s">
        <v>731</v>
      </c>
      <c r="D154" s="3">
        <v>273600</v>
      </c>
      <c r="E154" s="3">
        <v>273600</v>
      </c>
      <c r="F154" s="2" t="s">
        <v>16</v>
      </c>
      <c r="G154" s="2" t="s">
        <v>732</v>
      </c>
      <c r="H154" s="3">
        <v>0</v>
      </c>
      <c r="I154" s="2" t="s">
        <v>18</v>
      </c>
      <c r="J154" s="2" t="s">
        <v>733</v>
      </c>
      <c r="K154" s="2" t="s">
        <v>16</v>
      </c>
      <c r="L154" s="2" t="s">
        <v>734</v>
      </c>
      <c r="M154" s="4">
        <v>58462.66</v>
      </c>
      <c r="N154" t="b">
        <f>OR(LEFT(B154,3)="frg",(_xlfn.XMATCH(B154,ZZZ_Part_Id_[[#All],[FGCODE]])))</f>
        <v>1</v>
      </c>
    </row>
    <row r="155" spans="1:14" x14ac:dyDescent="0.3">
      <c r="A155" s="2" t="s">
        <v>735</v>
      </c>
      <c r="B155" s="2" t="s">
        <v>172</v>
      </c>
      <c r="C155" s="2" t="s">
        <v>736</v>
      </c>
      <c r="D155" s="3">
        <v>15.052</v>
      </c>
      <c r="E155" s="3">
        <v>15.052</v>
      </c>
      <c r="F155" s="2" t="s">
        <v>23</v>
      </c>
      <c r="G155" s="2" t="s">
        <v>737</v>
      </c>
      <c r="H155" s="3">
        <v>0</v>
      </c>
      <c r="I155" s="2" t="s">
        <v>18</v>
      </c>
      <c r="J155" s="2" t="s">
        <v>738</v>
      </c>
      <c r="K155" s="2" t="s">
        <v>23</v>
      </c>
      <c r="L155" s="2" t="s">
        <v>739</v>
      </c>
      <c r="M155" s="4">
        <v>97.84</v>
      </c>
      <c r="N155" t="e">
        <f>OR(LEFT(B155,3)="frg",(_xlfn.XMATCH(B155,ZZZ_Part_Id_[[#All],[FGCODE]])))</f>
        <v>#N/A</v>
      </c>
    </row>
    <row r="156" spans="1:14" x14ac:dyDescent="0.3">
      <c r="A156" s="2" t="s">
        <v>735</v>
      </c>
      <c r="B156" s="2" t="s">
        <v>740</v>
      </c>
      <c r="C156" s="2" t="s">
        <v>741</v>
      </c>
      <c r="D156" s="3">
        <v>562860</v>
      </c>
      <c r="E156" s="3">
        <v>562860</v>
      </c>
      <c r="F156" s="2" t="s">
        <v>16</v>
      </c>
      <c r="G156" s="2" t="s">
        <v>742</v>
      </c>
      <c r="H156" s="3">
        <v>0</v>
      </c>
      <c r="I156" s="2" t="s">
        <v>18</v>
      </c>
      <c r="J156" s="2" t="s">
        <v>743</v>
      </c>
      <c r="K156" s="2" t="s">
        <v>16</v>
      </c>
      <c r="L156" s="2" t="s">
        <v>744</v>
      </c>
      <c r="M156" s="4">
        <v>69282.66</v>
      </c>
      <c r="N156" t="b">
        <f>OR(LEFT(B156,3)="frg",(_xlfn.XMATCH(B156,ZZZ_Part_Id_[[#All],[FGCODE]])))</f>
        <v>1</v>
      </c>
    </row>
    <row r="157" spans="1:14" x14ac:dyDescent="0.3">
      <c r="A157" s="2" t="s">
        <v>745</v>
      </c>
      <c r="B157" s="2" t="s">
        <v>14</v>
      </c>
      <c r="C157" s="2" t="s">
        <v>746</v>
      </c>
      <c r="D157" s="3">
        <v>20</v>
      </c>
      <c r="E157" s="3">
        <v>20</v>
      </c>
      <c r="F157" s="2" t="s">
        <v>16</v>
      </c>
      <c r="G157" s="2" t="s">
        <v>747</v>
      </c>
      <c r="H157" s="3">
        <v>0</v>
      </c>
      <c r="I157" s="2" t="s">
        <v>18</v>
      </c>
      <c r="J157" s="2" t="s">
        <v>748</v>
      </c>
      <c r="K157" s="2" t="s">
        <v>16</v>
      </c>
      <c r="L157" s="2" t="s">
        <v>749</v>
      </c>
      <c r="M157" s="4">
        <v>1.54</v>
      </c>
      <c r="N157" t="e">
        <f>OR(LEFT(B157,3)="frg",(_xlfn.XMATCH(B157,ZZZ_Part_Id_[[#All],[FGCODE]])))</f>
        <v>#N/A</v>
      </c>
    </row>
    <row r="158" spans="1:14" x14ac:dyDescent="0.3">
      <c r="A158" s="2" t="s">
        <v>745</v>
      </c>
      <c r="B158" s="2" t="s">
        <v>172</v>
      </c>
      <c r="C158" s="2" t="s">
        <v>750</v>
      </c>
      <c r="D158" s="3">
        <v>10</v>
      </c>
      <c r="E158" s="3">
        <v>10</v>
      </c>
      <c r="F158" s="2" t="s">
        <v>23</v>
      </c>
      <c r="G158" s="2" t="s">
        <v>751</v>
      </c>
      <c r="H158" s="3">
        <v>0</v>
      </c>
      <c r="I158" s="2" t="s">
        <v>18</v>
      </c>
      <c r="J158" s="2" t="s">
        <v>752</v>
      </c>
      <c r="K158" s="2" t="s">
        <v>23</v>
      </c>
      <c r="L158" s="2" t="s">
        <v>753</v>
      </c>
      <c r="M158" s="4">
        <v>65</v>
      </c>
      <c r="N158" t="e">
        <f>OR(LEFT(B158,3)="frg",(_xlfn.XMATCH(B158,ZZZ_Part_Id_[[#All],[FGCODE]])))</f>
        <v>#N/A</v>
      </c>
    </row>
    <row r="159" spans="1:14" x14ac:dyDescent="0.3">
      <c r="A159" s="2" t="s">
        <v>745</v>
      </c>
      <c r="B159" s="2" t="s">
        <v>27</v>
      </c>
      <c r="C159" s="2" t="s">
        <v>754</v>
      </c>
      <c r="D159" s="3">
        <v>172224</v>
      </c>
      <c r="E159" s="3">
        <v>172224</v>
      </c>
      <c r="F159" s="2" t="s">
        <v>16</v>
      </c>
      <c r="G159" s="2" t="s">
        <v>755</v>
      </c>
      <c r="H159" s="3">
        <v>0</v>
      </c>
      <c r="I159" s="2" t="s">
        <v>18</v>
      </c>
      <c r="J159" s="2" t="s">
        <v>756</v>
      </c>
      <c r="K159" s="2" t="s">
        <v>16</v>
      </c>
      <c r="L159" s="2" t="s">
        <v>757</v>
      </c>
      <c r="M159" s="4">
        <v>31987.279999999999</v>
      </c>
      <c r="N159" t="b">
        <f>OR(LEFT(B159,3)="frg",(_xlfn.XMATCH(B159,ZZZ_Part_Id_[[#All],[FGCODE]])))</f>
        <v>1</v>
      </c>
    </row>
    <row r="160" spans="1:14" x14ac:dyDescent="0.3">
      <c r="A160" s="2" t="s">
        <v>758</v>
      </c>
      <c r="B160" s="2" t="s">
        <v>759</v>
      </c>
      <c r="C160" s="2" t="s">
        <v>760</v>
      </c>
      <c r="D160" s="3">
        <v>1</v>
      </c>
      <c r="E160" s="3">
        <v>1</v>
      </c>
      <c r="F160" s="2" t="s">
        <v>16</v>
      </c>
      <c r="G160" s="2" t="s">
        <v>761</v>
      </c>
      <c r="H160" s="3">
        <v>0</v>
      </c>
      <c r="I160" s="2" t="s">
        <v>409</v>
      </c>
      <c r="J160" s="2" t="s">
        <v>762</v>
      </c>
      <c r="K160" s="2" t="s">
        <v>16</v>
      </c>
      <c r="L160" s="2" t="s">
        <v>763</v>
      </c>
      <c r="M160" s="4">
        <v>4.53</v>
      </c>
      <c r="N160" t="e">
        <f>OR(LEFT(B160,3)="frg",(_xlfn.XMATCH(B160,ZZZ_Part_Id_[[#All],[FGCODE]])))</f>
        <v>#N/A</v>
      </c>
    </row>
    <row r="161" spans="1:14" x14ac:dyDescent="0.3">
      <c r="A161" s="2" t="s">
        <v>758</v>
      </c>
      <c r="B161" s="2" t="s">
        <v>764</v>
      </c>
      <c r="C161" s="2" t="s">
        <v>765</v>
      </c>
      <c r="D161" s="3">
        <v>2</v>
      </c>
      <c r="E161" s="3">
        <v>2</v>
      </c>
      <c r="F161" s="2" t="s">
        <v>23</v>
      </c>
      <c r="G161" s="2" t="s">
        <v>766</v>
      </c>
      <c r="H161" s="3">
        <v>0</v>
      </c>
      <c r="I161" s="2" t="s">
        <v>409</v>
      </c>
      <c r="J161" s="2" t="s">
        <v>767</v>
      </c>
      <c r="K161" s="2" t="s">
        <v>23</v>
      </c>
      <c r="L161" s="2" t="s">
        <v>768</v>
      </c>
      <c r="M161" s="4">
        <v>13</v>
      </c>
      <c r="N161" t="e">
        <f>OR(LEFT(B161,3)="frg",(_xlfn.XMATCH(B161,ZZZ_Part_Id_[[#All],[FGCODE]])))</f>
        <v>#N/A</v>
      </c>
    </row>
    <row r="162" spans="1:14" x14ac:dyDescent="0.3">
      <c r="A162" s="2" t="s">
        <v>758</v>
      </c>
      <c r="B162" s="2" t="s">
        <v>769</v>
      </c>
      <c r="C162" s="2" t="s">
        <v>770</v>
      </c>
      <c r="D162" s="3">
        <v>3000</v>
      </c>
      <c r="E162" s="3">
        <v>3000</v>
      </c>
      <c r="F162" s="2" t="s">
        <v>16</v>
      </c>
      <c r="G162" s="2" t="s">
        <v>771</v>
      </c>
      <c r="H162" s="3">
        <v>0</v>
      </c>
      <c r="I162" s="2" t="s">
        <v>409</v>
      </c>
      <c r="J162" s="2" t="s">
        <v>772</v>
      </c>
      <c r="K162" s="2" t="s">
        <v>16</v>
      </c>
      <c r="L162" s="2" t="s">
        <v>773</v>
      </c>
      <c r="M162" s="4">
        <v>106.92</v>
      </c>
      <c r="N162" t="b">
        <f>OR(LEFT(B162,3)="frg",(_xlfn.XMATCH(B162,ZZZ_Part_Id_[[#All],[FGCODE]])))</f>
        <v>1</v>
      </c>
    </row>
    <row r="163" spans="1:14" x14ac:dyDescent="0.3">
      <c r="A163" s="2" t="s">
        <v>774</v>
      </c>
      <c r="B163" s="2" t="s">
        <v>759</v>
      </c>
      <c r="C163" s="2" t="s">
        <v>775</v>
      </c>
      <c r="D163" s="3">
        <v>2</v>
      </c>
      <c r="E163" s="3">
        <v>2</v>
      </c>
      <c r="F163" s="2" t="s">
        <v>16</v>
      </c>
      <c r="G163" s="2" t="s">
        <v>776</v>
      </c>
      <c r="H163" s="3">
        <v>0</v>
      </c>
      <c r="I163" s="2" t="s">
        <v>409</v>
      </c>
      <c r="J163" s="2" t="s">
        <v>777</v>
      </c>
      <c r="K163" s="2" t="s">
        <v>16</v>
      </c>
      <c r="L163" s="2" t="s">
        <v>778</v>
      </c>
      <c r="M163" s="4">
        <v>9.06</v>
      </c>
      <c r="N163" t="e">
        <f>OR(LEFT(B163,3)="frg",(_xlfn.XMATCH(B163,ZZZ_Part_Id_[[#All],[FGCODE]])))</f>
        <v>#N/A</v>
      </c>
    </row>
    <row r="164" spans="1:14" x14ac:dyDescent="0.3">
      <c r="A164" s="2" t="s">
        <v>774</v>
      </c>
      <c r="B164" s="2" t="s">
        <v>764</v>
      </c>
      <c r="C164" s="2" t="s">
        <v>779</v>
      </c>
      <c r="D164" s="3">
        <v>2</v>
      </c>
      <c r="E164" s="3">
        <v>2</v>
      </c>
      <c r="F164" s="2" t="s">
        <v>23</v>
      </c>
      <c r="G164" s="2" t="s">
        <v>780</v>
      </c>
      <c r="H164" s="3">
        <v>0</v>
      </c>
      <c r="I164" s="2" t="s">
        <v>409</v>
      </c>
      <c r="J164" s="2" t="s">
        <v>781</v>
      </c>
      <c r="K164" s="2" t="s">
        <v>23</v>
      </c>
      <c r="L164" s="2" t="s">
        <v>782</v>
      </c>
      <c r="M164" s="4">
        <v>13</v>
      </c>
      <c r="N164" t="e">
        <f>OR(LEFT(B164,3)="frg",(_xlfn.XMATCH(B164,ZZZ_Part_Id_[[#All],[FGCODE]])))</f>
        <v>#N/A</v>
      </c>
    </row>
    <row r="165" spans="1:14" x14ac:dyDescent="0.3">
      <c r="A165" s="2" t="s">
        <v>774</v>
      </c>
      <c r="B165" s="2" t="s">
        <v>783</v>
      </c>
      <c r="C165" s="2" t="s">
        <v>784</v>
      </c>
      <c r="D165" s="3">
        <v>5000</v>
      </c>
      <c r="E165" s="3">
        <v>5000</v>
      </c>
      <c r="F165" s="2" t="s">
        <v>16</v>
      </c>
      <c r="G165" s="2" t="s">
        <v>785</v>
      </c>
      <c r="H165" s="3">
        <v>0</v>
      </c>
      <c r="I165" s="2" t="s">
        <v>409</v>
      </c>
      <c r="J165" s="2" t="s">
        <v>786</v>
      </c>
      <c r="K165" s="2" t="s">
        <v>16</v>
      </c>
      <c r="L165" s="2" t="s">
        <v>787</v>
      </c>
      <c r="M165" s="4">
        <v>226.55</v>
      </c>
      <c r="N165" t="b">
        <f>OR(LEFT(B165,3)="frg",(_xlfn.XMATCH(B165,ZZZ_Part_Id_[[#All],[FGCODE]])))</f>
        <v>1</v>
      </c>
    </row>
    <row r="166" spans="1:14" x14ac:dyDescent="0.3">
      <c r="A166" s="2" t="s">
        <v>788</v>
      </c>
      <c r="B166" s="2" t="s">
        <v>759</v>
      </c>
      <c r="C166" s="2" t="s">
        <v>789</v>
      </c>
      <c r="D166" s="3">
        <v>2</v>
      </c>
      <c r="E166" s="3">
        <v>2</v>
      </c>
      <c r="F166" s="2" t="s">
        <v>16</v>
      </c>
      <c r="G166" s="2" t="s">
        <v>790</v>
      </c>
      <c r="H166" s="3">
        <v>0</v>
      </c>
      <c r="I166" s="2" t="s">
        <v>409</v>
      </c>
      <c r="J166" s="2" t="s">
        <v>791</v>
      </c>
      <c r="K166" s="2" t="s">
        <v>16</v>
      </c>
      <c r="L166" s="2" t="s">
        <v>792</v>
      </c>
      <c r="M166" s="4">
        <v>9.06</v>
      </c>
      <c r="N166" t="e">
        <f>OR(LEFT(B166,3)="frg",(_xlfn.XMATCH(B166,ZZZ_Part_Id_[[#All],[FGCODE]])))</f>
        <v>#N/A</v>
      </c>
    </row>
    <row r="167" spans="1:14" x14ac:dyDescent="0.3">
      <c r="A167" s="2" t="s">
        <v>788</v>
      </c>
      <c r="B167" s="2" t="s">
        <v>764</v>
      </c>
      <c r="C167" s="2" t="s">
        <v>793</v>
      </c>
      <c r="D167" s="3">
        <v>2</v>
      </c>
      <c r="E167" s="3">
        <v>2</v>
      </c>
      <c r="F167" s="2" t="s">
        <v>23</v>
      </c>
      <c r="G167" s="2" t="s">
        <v>794</v>
      </c>
      <c r="H167" s="3">
        <v>0</v>
      </c>
      <c r="I167" s="2" t="s">
        <v>409</v>
      </c>
      <c r="J167" s="2" t="s">
        <v>795</v>
      </c>
      <c r="K167" s="2" t="s">
        <v>23</v>
      </c>
      <c r="L167" s="2" t="s">
        <v>796</v>
      </c>
      <c r="M167" s="4">
        <v>13</v>
      </c>
      <c r="N167" t="e">
        <f>OR(LEFT(B167,3)="frg",(_xlfn.XMATCH(B167,ZZZ_Part_Id_[[#All],[FGCODE]])))</f>
        <v>#N/A</v>
      </c>
    </row>
    <row r="168" spans="1:14" x14ac:dyDescent="0.3">
      <c r="A168" s="2" t="s">
        <v>788</v>
      </c>
      <c r="B168" s="2" t="s">
        <v>797</v>
      </c>
      <c r="C168" s="2" t="s">
        <v>798</v>
      </c>
      <c r="D168" s="3">
        <v>3000</v>
      </c>
      <c r="E168" s="3">
        <v>3000</v>
      </c>
      <c r="F168" s="2" t="s">
        <v>16</v>
      </c>
      <c r="G168" s="2" t="s">
        <v>799</v>
      </c>
      <c r="H168" s="3">
        <v>0</v>
      </c>
      <c r="I168" s="2" t="s">
        <v>409</v>
      </c>
      <c r="J168" s="2" t="s">
        <v>800</v>
      </c>
      <c r="K168" s="2" t="s">
        <v>16</v>
      </c>
      <c r="L168" s="2" t="s">
        <v>801</v>
      </c>
      <c r="M168" s="4">
        <v>106.68</v>
      </c>
      <c r="N168" t="b">
        <f>OR(LEFT(B168,3)="frg",(_xlfn.XMATCH(B168,ZZZ_Part_Id_[[#All],[FGCODE]])))</f>
        <v>1</v>
      </c>
    </row>
    <row r="169" spans="1:14" x14ac:dyDescent="0.3">
      <c r="A169" s="2" t="s">
        <v>802</v>
      </c>
      <c r="B169" s="2" t="s">
        <v>187</v>
      </c>
      <c r="C169" s="2" t="s">
        <v>803</v>
      </c>
      <c r="D169" s="3">
        <v>43</v>
      </c>
      <c r="E169" s="3">
        <v>0</v>
      </c>
      <c r="F169" s="2" t="s">
        <v>16</v>
      </c>
      <c r="G169" s="2" t="s">
        <v>804</v>
      </c>
      <c r="H169" s="3">
        <v>0</v>
      </c>
      <c r="I169" s="2" t="s">
        <v>18</v>
      </c>
      <c r="J169" s="2" t="s">
        <v>805</v>
      </c>
      <c r="K169" s="2" t="s">
        <v>16</v>
      </c>
      <c r="L169" s="2" t="s">
        <v>806</v>
      </c>
      <c r="M169" s="4">
        <v>0</v>
      </c>
      <c r="N169" t="e">
        <f>OR(LEFT(B169,3)="frg",(_xlfn.XMATCH(B169,ZZZ_Part_Id_[[#All],[FGCODE]])))</f>
        <v>#N/A</v>
      </c>
    </row>
    <row r="170" spans="1:14" x14ac:dyDescent="0.3">
      <c r="A170" s="2" t="s">
        <v>802</v>
      </c>
      <c r="B170" s="2" t="s">
        <v>177</v>
      </c>
      <c r="C170" s="2" t="s">
        <v>807</v>
      </c>
      <c r="D170" s="3">
        <v>43</v>
      </c>
      <c r="E170" s="3">
        <v>0</v>
      </c>
      <c r="F170" s="2" t="s">
        <v>16</v>
      </c>
      <c r="G170" s="2" t="s">
        <v>808</v>
      </c>
      <c r="H170" s="3">
        <v>0</v>
      </c>
      <c r="I170" s="2" t="s">
        <v>18</v>
      </c>
      <c r="J170" s="2" t="s">
        <v>809</v>
      </c>
      <c r="K170" s="2" t="s">
        <v>16</v>
      </c>
      <c r="L170" s="2" t="s">
        <v>810</v>
      </c>
      <c r="M170" s="4">
        <v>0</v>
      </c>
      <c r="N170" t="e">
        <f>OR(LEFT(B170,3)="frg",(_xlfn.XMATCH(B170,ZZZ_Part_Id_[[#All],[FGCODE]])))</f>
        <v>#N/A</v>
      </c>
    </row>
    <row r="171" spans="1:14" x14ac:dyDescent="0.3">
      <c r="A171" s="2" t="s">
        <v>802</v>
      </c>
      <c r="B171" s="2" t="s">
        <v>140</v>
      </c>
      <c r="C171" s="2" t="s">
        <v>811</v>
      </c>
      <c r="D171" s="3">
        <v>1.72</v>
      </c>
      <c r="E171" s="3">
        <v>0</v>
      </c>
      <c r="F171" s="2" t="s">
        <v>16</v>
      </c>
      <c r="G171" s="2" t="s">
        <v>812</v>
      </c>
      <c r="H171" s="3">
        <v>0</v>
      </c>
      <c r="I171" s="2" t="s">
        <v>18</v>
      </c>
      <c r="J171" s="2" t="s">
        <v>813</v>
      </c>
      <c r="K171" s="2" t="s">
        <v>16</v>
      </c>
      <c r="L171" s="2" t="s">
        <v>814</v>
      </c>
      <c r="M171" s="4">
        <v>0</v>
      </c>
      <c r="N171" t="e">
        <f>OR(LEFT(B171,3)="frg",(_xlfn.XMATCH(B171,ZZZ_Part_Id_[[#All],[FGCODE]])))</f>
        <v>#N/A</v>
      </c>
    </row>
    <row r="172" spans="1:14" x14ac:dyDescent="0.3">
      <c r="A172" s="2" t="s">
        <v>802</v>
      </c>
      <c r="B172" s="2" t="s">
        <v>182</v>
      </c>
      <c r="C172" s="2" t="s">
        <v>815</v>
      </c>
      <c r="D172" s="3">
        <v>43</v>
      </c>
      <c r="E172" s="3">
        <v>0</v>
      </c>
      <c r="F172" s="2" t="s">
        <v>16</v>
      </c>
      <c r="G172" s="2" t="s">
        <v>816</v>
      </c>
      <c r="H172" s="3">
        <v>0</v>
      </c>
      <c r="I172" s="2" t="s">
        <v>18</v>
      </c>
      <c r="J172" s="2" t="s">
        <v>817</v>
      </c>
      <c r="K172" s="2" t="s">
        <v>16</v>
      </c>
      <c r="L172" s="2" t="s">
        <v>818</v>
      </c>
      <c r="M172" s="4">
        <v>0</v>
      </c>
      <c r="N172" t="e">
        <f>OR(LEFT(B172,3)="frg",(_xlfn.XMATCH(B172,ZZZ_Part_Id_[[#All],[FGCODE]])))</f>
        <v>#N/A</v>
      </c>
    </row>
    <row r="173" spans="1:14" x14ac:dyDescent="0.3">
      <c r="A173" s="2" t="s">
        <v>802</v>
      </c>
      <c r="B173" s="2" t="s">
        <v>145</v>
      </c>
      <c r="C173" s="2" t="s">
        <v>819</v>
      </c>
      <c r="D173" s="3">
        <v>0.17199999999999999</v>
      </c>
      <c r="E173" s="3">
        <v>0</v>
      </c>
      <c r="F173" s="2" t="s">
        <v>147</v>
      </c>
      <c r="G173" s="2" t="s">
        <v>820</v>
      </c>
      <c r="H173" s="3">
        <v>0</v>
      </c>
      <c r="I173" s="2" t="s">
        <v>18</v>
      </c>
      <c r="J173" s="2" t="s">
        <v>821</v>
      </c>
      <c r="K173" s="2" t="s">
        <v>147</v>
      </c>
      <c r="L173" s="2" t="s">
        <v>822</v>
      </c>
      <c r="M173" s="4">
        <v>0</v>
      </c>
      <c r="N173" t="e">
        <f>OR(LEFT(B173,3)="frg",(_xlfn.XMATCH(B173,ZZZ_Part_Id_[[#All],[FGCODE]])))</f>
        <v>#N/A</v>
      </c>
    </row>
    <row r="174" spans="1:14" x14ac:dyDescent="0.3">
      <c r="A174" s="2" t="s">
        <v>802</v>
      </c>
      <c r="B174" s="2" t="s">
        <v>151</v>
      </c>
      <c r="C174" s="2" t="s">
        <v>823</v>
      </c>
      <c r="D174" s="3">
        <v>172</v>
      </c>
      <c r="E174" s="3">
        <v>0</v>
      </c>
      <c r="F174" s="2" t="s">
        <v>16</v>
      </c>
      <c r="G174" s="2" t="s">
        <v>824</v>
      </c>
      <c r="H174" s="3">
        <v>0</v>
      </c>
      <c r="I174" s="2" t="s">
        <v>18</v>
      </c>
      <c r="J174" s="2" t="s">
        <v>825</v>
      </c>
      <c r="K174" s="2" t="s">
        <v>16</v>
      </c>
      <c r="L174" s="2" t="s">
        <v>826</v>
      </c>
      <c r="M174" s="4">
        <v>0</v>
      </c>
      <c r="N174" t="e">
        <f>OR(LEFT(B174,3)="frg",(_xlfn.XMATCH(B174,ZZZ_Part_Id_[[#All],[FGCODE]])))</f>
        <v>#N/A</v>
      </c>
    </row>
    <row r="175" spans="1:14" x14ac:dyDescent="0.3">
      <c r="A175" s="2" t="s">
        <v>802</v>
      </c>
      <c r="B175" s="2" t="s">
        <v>167</v>
      </c>
      <c r="C175" s="2" t="s">
        <v>827</v>
      </c>
      <c r="D175" s="3">
        <v>14.404999999999999</v>
      </c>
      <c r="E175" s="3">
        <v>0</v>
      </c>
      <c r="F175" s="2" t="s">
        <v>23</v>
      </c>
      <c r="G175" s="2" t="s">
        <v>828</v>
      </c>
      <c r="H175" s="3">
        <v>0</v>
      </c>
      <c r="I175" s="2" t="s">
        <v>18</v>
      </c>
      <c r="J175" s="2" t="s">
        <v>829</v>
      </c>
      <c r="K175" s="2" t="s">
        <v>23</v>
      </c>
      <c r="L175" s="2" t="s">
        <v>830</v>
      </c>
      <c r="M175" s="4">
        <v>0</v>
      </c>
      <c r="N175" t="e">
        <f>OR(LEFT(B175,3)="frg",(_xlfn.XMATCH(B175,ZZZ_Part_Id_[[#All],[FGCODE]])))</f>
        <v>#N/A</v>
      </c>
    </row>
    <row r="176" spans="1:14" x14ac:dyDescent="0.3">
      <c r="A176" s="2" t="s">
        <v>802</v>
      </c>
      <c r="B176" s="2" t="s">
        <v>172</v>
      </c>
      <c r="C176" s="2" t="s">
        <v>831</v>
      </c>
      <c r="D176" s="3">
        <v>12.212</v>
      </c>
      <c r="E176" s="3">
        <v>0</v>
      </c>
      <c r="F176" s="2" t="s">
        <v>23</v>
      </c>
      <c r="G176" s="2" t="s">
        <v>832</v>
      </c>
      <c r="H176" s="3">
        <v>0</v>
      </c>
      <c r="I176" s="2" t="s">
        <v>18</v>
      </c>
      <c r="J176" s="2" t="s">
        <v>833</v>
      </c>
      <c r="K176" s="2" t="s">
        <v>23</v>
      </c>
      <c r="L176" s="2" t="s">
        <v>834</v>
      </c>
      <c r="M176" s="4">
        <v>0</v>
      </c>
      <c r="N176" t="e">
        <f>OR(LEFT(B176,3)="frg",(_xlfn.XMATCH(B176,ZZZ_Part_Id_[[#All],[FGCODE]])))</f>
        <v>#N/A</v>
      </c>
    </row>
    <row r="177" spans="1:14" x14ac:dyDescent="0.3">
      <c r="A177" s="2" t="s">
        <v>802</v>
      </c>
      <c r="B177" s="2" t="s">
        <v>835</v>
      </c>
      <c r="C177" s="2" t="s">
        <v>836</v>
      </c>
      <c r="D177" s="5">
        <v>-23.22</v>
      </c>
      <c r="E177" s="3">
        <v>0</v>
      </c>
      <c r="F177" s="2" t="s">
        <v>23</v>
      </c>
      <c r="G177" s="2" t="s">
        <v>837</v>
      </c>
      <c r="H177" s="3">
        <v>0</v>
      </c>
      <c r="I177" s="2" t="s">
        <v>18</v>
      </c>
      <c r="J177" s="2" t="s">
        <v>838</v>
      </c>
      <c r="K177" s="2" t="s">
        <v>23</v>
      </c>
      <c r="L177" s="2" t="s">
        <v>839</v>
      </c>
      <c r="M177" s="4">
        <v>0</v>
      </c>
      <c r="N177" t="e">
        <f>OR(LEFT(B177,3)="frg",(_xlfn.XMATCH(B177,ZZZ_Part_Id_[[#All],[FGCODE]])))</f>
        <v>#N/A</v>
      </c>
    </row>
    <row r="178" spans="1:14" x14ac:dyDescent="0.3">
      <c r="A178" s="2" t="s">
        <v>802</v>
      </c>
      <c r="B178" s="2" t="s">
        <v>192</v>
      </c>
      <c r="C178" s="2" t="s">
        <v>840</v>
      </c>
      <c r="D178" s="3">
        <v>0.43</v>
      </c>
      <c r="E178" s="3">
        <v>0</v>
      </c>
      <c r="F178" s="2" t="s">
        <v>194</v>
      </c>
      <c r="G178" s="2" t="s">
        <v>841</v>
      </c>
      <c r="H178" s="3">
        <v>0</v>
      </c>
      <c r="I178" s="2" t="s">
        <v>18</v>
      </c>
      <c r="J178" s="2" t="s">
        <v>842</v>
      </c>
      <c r="K178" s="2" t="s">
        <v>194</v>
      </c>
      <c r="L178" s="2" t="s">
        <v>843</v>
      </c>
      <c r="M178" s="4">
        <v>0</v>
      </c>
      <c r="N178" t="e">
        <f>OR(LEFT(B178,3)="frg",(_xlfn.XMATCH(B178,ZZZ_Part_Id_[[#All],[FGCODE]])))</f>
        <v>#N/A</v>
      </c>
    </row>
    <row r="179" spans="1:14" x14ac:dyDescent="0.3">
      <c r="A179" s="2" t="s">
        <v>802</v>
      </c>
      <c r="B179" s="2" t="s">
        <v>14</v>
      </c>
      <c r="C179" s="2" t="s">
        <v>844</v>
      </c>
      <c r="D179" s="3">
        <v>86</v>
      </c>
      <c r="E179" s="3">
        <v>86</v>
      </c>
      <c r="F179" s="2" t="s">
        <v>16</v>
      </c>
      <c r="G179" s="2" t="s">
        <v>845</v>
      </c>
      <c r="H179" s="3">
        <v>0</v>
      </c>
      <c r="I179" s="2" t="s">
        <v>18</v>
      </c>
      <c r="J179" s="2" t="s">
        <v>846</v>
      </c>
      <c r="K179" s="2" t="s">
        <v>16</v>
      </c>
      <c r="L179" s="2" t="s">
        <v>847</v>
      </c>
      <c r="M179" s="4">
        <v>6.62</v>
      </c>
      <c r="N179" t="e">
        <f>OR(LEFT(B179,3)="frg",(_xlfn.XMATCH(B179,ZZZ_Part_Id_[[#All],[FGCODE]])))</f>
        <v>#N/A</v>
      </c>
    </row>
    <row r="180" spans="1:14" x14ac:dyDescent="0.3">
      <c r="A180" s="2" t="s">
        <v>802</v>
      </c>
      <c r="B180" s="2" t="s">
        <v>213</v>
      </c>
      <c r="C180" s="2" t="s">
        <v>848</v>
      </c>
      <c r="D180" s="3">
        <v>0</v>
      </c>
      <c r="E180" s="3">
        <v>0</v>
      </c>
      <c r="F180" s="2" t="s">
        <v>16</v>
      </c>
      <c r="G180" s="2" t="s">
        <v>849</v>
      </c>
      <c r="H180" s="3">
        <v>0</v>
      </c>
      <c r="I180" s="2" t="s">
        <v>18</v>
      </c>
      <c r="J180" s="2" t="s">
        <v>850</v>
      </c>
      <c r="K180" s="2" t="s">
        <v>16</v>
      </c>
      <c r="L180" s="2" t="s">
        <v>851</v>
      </c>
      <c r="M180" s="4">
        <v>0</v>
      </c>
      <c r="N180" t="e">
        <f>OR(LEFT(B180,3)="frg",(_xlfn.XMATCH(B180,ZZZ_Part_Id_[[#All],[FGCODE]])))</f>
        <v>#N/A</v>
      </c>
    </row>
    <row r="181" spans="1:14" x14ac:dyDescent="0.3">
      <c r="A181" s="2" t="s">
        <v>802</v>
      </c>
      <c r="B181" s="2" t="s">
        <v>218</v>
      </c>
      <c r="C181" s="2" t="s">
        <v>852</v>
      </c>
      <c r="D181" s="3">
        <v>0</v>
      </c>
      <c r="E181" s="3">
        <v>0</v>
      </c>
      <c r="F181" s="2" t="s">
        <v>16</v>
      </c>
      <c r="G181" s="2" t="s">
        <v>853</v>
      </c>
      <c r="H181" s="3">
        <v>0</v>
      </c>
      <c r="I181" s="2" t="s">
        <v>18</v>
      </c>
      <c r="J181" s="2" t="s">
        <v>854</v>
      </c>
      <c r="K181" s="2" t="s">
        <v>16</v>
      </c>
      <c r="L181" s="2" t="s">
        <v>855</v>
      </c>
      <c r="M181" s="4">
        <v>0</v>
      </c>
      <c r="N181" t="e">
        <f>OR(LEFT(B181,3)="frg",(_xlfn.XMATCH(B181,ZZZ_Part_Id_[[#All],[FGCODE]])))</f>
        <v>#N/A</v>
      </c>
    </row>
    <row r="182" spans="1:14" x14ac:dyDescent="0.3">
      <c r="A182" s="2" t="s">
        <v>802</v>
      </c>
      <c r="B182" s="2" t="s">
        <v>223</v>
      </c>
      <c r="C182" s="2" t="s">
        <v>856</v>
      </c>
      <c r="D182" s="5">
        <v>-23.22</v>
      </c>
      <c r="E182" s="3">
        <v>0</v>
      </c>
      <c r="F182" s="2" t="s">
        <v>23</v>
      </c>
      <c r="G182" s="2" t="s">
        <v>857</v>
      </c>
      <c r="H182" s="3">
        <v>0</v>
      </c>
      <c r="I182" s="2" t="s">
        <v>18</v>
      </c>
      <c r="J182" s="2" t="s">
        <v>858</v>
      </c>
      <c r="K182" s="2" t="s">
        <v>23</v>
      </c>
      <c r="L182" s="2" t="s">
        <v>859</v>
      </c>
      <c r="M182" s="4">
        <v>0</v>
      </c>
      <c r="N182" t="e">
        <f>OR(LEFT(B182,3)="frg",(_xlfn.XMATCH(B182,ZZZ_Part_Id_[[#All],[FGCODE]])))</f>
        <v>#N/A</v>
      </c>
    </row>
    <row r="183" spans="1:14" x14ac:dyDescent="0.3">
      <c r="A183" s="2" t="s">
        <v>802</v>
      </c>
      <c r="B183" s="2" t="s">
        <v>65</v>
      </c>
      <c r="C183" s="2" t="s">
        <v>860</v>
      </c>
      <c r="D183" s="5">
        <v>-69.66</v>
      </c>
      <c r="E183" s="3">
        <v>0</v>
      </c>
      <c r="F183" s="2" t="s">
        <v>23</v>
      </c>
      <c r="G183" s="2" t="s">
        <v>861</v>
      </c>
      <c r="H183" s="3">
        <v>0</v>
      </c>
      <c r="I183" s="2" t="s">
        <v>18</v>
      </c>
      <c r="J183" s="2" t="s">
        <v>862</v>
      </c>
      <c r="K183" s="2" t="s">
        <v>23</v>
      </c>
      <c r="L183" s="2" t="s">
        <v>863</v>
      </c>
      <c r="M183" s="4">
        <v>0</v>
      </c>
      <c r="N183" t="b">
        <f>OR(LEFT(B183,3)="frg",(_xlfn.XMATCH(B183,ZZZ_Part_Id_[[#All],[FGCODE]])))</f>
        <v>1</v>
      </c>
    </row>
    <row r="184" spans="1:14" x14ac:dyDescent="0.3">
      <c r="A184" s="2" t="s">
        <v>802</v>
      </c>
      <c r="B184" s="2" t="s">
        <v>232</v>
      </c>
      <c r="C184" s="2" t="s">
        <v>864</v>
      </c>
      <c r="D184" s="5">
        <v>-23.22</v>
      </c>
      <c r="E184" s="3">
        <v>0</v>
      </c>
      <c r="F184" s="2" t="s">
        <v>23</v>
      </c>
      <c r="G184" s="2" t="s">
        <v>865</v>
      </c>
      <c r="H184" s="3">
        <v>0</v>
      </c>
      <c r="I184" s="2" t="s">
        <v>18</v>
      </c>
      <c r="J184" s="2" t="s">
        <v>866</v>
      </c>
      <c r="K184" s="2" t="s">
        <v>23</v>
      </c>
      <c r="L184" s="2" t="s">
        <v>867</v>
      </c>
      <c r="M184" s="4">
        <v>0</v>
      </c>
      <c r="N184" t="e">
        <f>OR(LEFT(B184,3)="frg",(_xlfn.XMATCH(B184,ZZZ_Part_Id_[[#All],[FGCODE]])))</f>
        <v>#N/A</v>
      </c>
    </row>
    <row r="185" spans="1:14" x14ac:dyDescent="0.3">
      <c r="A185" s="2" t="s">
        <v>802</v>
      </c>
      <c r="B185" s="2" t="s">
        <v>161</v>
      </c>
      <c r="C185" s="2" t="s">
        <v>868</v>
      </c>
      <c r="D185" s="3">
        <v>1.72</v>
      </c>
      <c r="E185" s="3">
        <v>0</v>
      </c>
      <c r="F185" s="2" t="s">
        <v>163</v>
      </c>
      <c r="G185" s="2" t="s">
        <v>869</v>
      </c>
      <c r="H185" s="3">
        <v>0</v>
      </c>
      <c r="I185" s="2" t="s">
        <v>18</v>
      </c>
      <c r="J185" s="2" t="s">
        <v>870</v>
      </c>
      <c r="K185" s="2" t="s">
        <v>163</v>
      </c>
      <c r="L185" s="2" t="s">
        <v>871</v>
      </c>
      <c r="M185" s="4">
        <v>0</v>
      </c>
      <c r="N185" t="e">
        <f>OR(LEFT(B185,3)="frg",(_xlfn.XMATCH(B185,ZZZ_Part_Id_[[#All],[FGCODE]])))</f>
        <v>#N/A</v>
      </c>
    </row>
    <row r="186" spans="1:14" x14ac:dyDescent="0.3">
      <c r="A186" s="2" t="s">
        <v>802</v>
      </c>
      <c r="B186" s="2" t="s">
        <v>264</v>
      </c>
      <c r="C186" s="2" t="s">
        <v>872</v>
      </c>
      <c r="D186" s="3">
        <v>4.2999999999999997E-2</v>
      </c>
      <c r="E186" s="3">
        <v>4.2999999999999997E-2</v>
      </c>
      <c r="F186" s="2" t="s">
        <v>16</v>
      </c>
      <c r="G186" s="2" t="s">
        <v>873</v>
      </c>
      <c r="H186" s="3">
        <v>0</v>
      </c>
      <c r="I186" s="2" t="s">
        <v>18</v>
      </c>
      <c r="J186" s="2" t="s">
        <v>874</v>
      </c>
      <c r="K186" s="2" t="s">
        <v>16</v>
      </c>
      <c r="L186" s="2" t="s">
        <v>875</v>
      </c>
      <c r="M186" s="4">
        <v>1.1000000000000001</v>
      </c>
      <c r="N186" t="e">
        <f>OR(LEFT(B186,3)="frg",(_xlfn.XMATCH(B186,ZZZ_Part_Id_[[#All],[FGCODE]])))</f>
        <v>#N/A</v>
      </c>
    </row>
    <row r="187" spans="1:14" x14ac:dyDescent="0.3">
      <c r="A187" s="2" t="s">
        <v>802</v>
      </c>
      <c r="B187" s="2" t="s">
        <v>237</v>
      </c>
      <c r="C187" s="2" t="s">
        <v>876</v>
      </c>
      <c r="D187" s="3">
        <v>0</v>
      </c>
      <c r="E187" s="3">
        <v>0</v>
      </c>
      <c r="F187" s="2" t="s">
        <v>16</v>
      </c>
      <c r="G187" s="2" t="s">
        <v>877</v>
      </c>
      <c r="H187" s="3">
        <v>0</v>
      </c>
      <c r="I187" s="2" t="s">
        <v>18</v>
      </c>
      <c r="J187" s="2" t="s">
        <v>878</v>
      </c>
      <c r="K187" s="2" t="s">
        <v>16</v>
      </c>
      <c r="L187" s="2" t="s">
        <v>879</v>
      </c>
      <c r="M187" s="4">
        <v>0</v>
      </c>
      <c r="N187" t="e">
        <f>OR(LEFT(B187,3)="frg",(_xlfn.XMATCH(B187,ZZZ_Part_Id_[[#All],[FGCODE]])))</f>
        <v>#N/A</v>
      </c>
    </row>
    <row r="188" spans="1:14" x14ac:dyDescent="0.3">
      <c r="A188" s="2" t="s">
        <v>802</v>
      </c>
      <c r="B188" s="2" t="s">
        <v>242</v>
      </c>
      <c r="C188" s="2" t="s">
        <v>880</v>
      </c>
      <c r="D188" s="3">
        <v>0</v>
      </c>
      <c r="E188" s="3">
        <v>0</v>
      </c>
      <c r="F188" s="2" t="s">
        <v>16</v>
      </c>
      <c r="G188" s="2" t="s">
        <v>881</v>
      </c>
      <c r="H188" s="3">
        <v>0</v>
      </c>
      <c r="I188" s="2" t="s">
        <v>18</v>
      </c>
      <c r="J188" s="2" t="s">
        <v>882</v>
      </c>
      <c r="K188" s="2" t="s">
        <v>16</v>
      </c>
      <c r="L188" s="2" t="s">
        <v>883</v>
      </c>
      <c r="M188" s="4">
        <v>0</v>
      </c>
      <c r="N188" t="e">
        <f>OR(LEFT(B188,3)="frg",(_xlfn.XMATCH(B188,ZZZ_Part_Id_[[#All],[FGCODE]])))</f>
        <v>#N/A</v>
      </c>
    </row>
    <row r="189" spans="1:14" x14ac:dyDescent="0.3">
      <c r="A189" s="2" t="s">
        <v>802</v>
      </c>
      <c r="B189" s="2" t="s">
        <v>274</v>
      </c>
      <c r="C189" s="2" t="s">
        <v>884</v>
      </c>
      <c r="D189" s="3">
        <v>14067.406999999999</v>
      </c>
      <c r="E189" s="3">
        <v>0</v>
      </c>
      <c r="F189" s="2" t="s">
        <v>23</v>
      </c>
      <c r="G189" s="2" t="s">
        <v>885</v>
      </c>
      <c r="H189" s="3">
        <v>0</v>
      </c>
      <c r="I189" s="2" t="s">
        <v>18</v>
      </c>
      <c r="J189" s="2" t="s">
        <v>886</v>
      </c>
      <c r="K189" s="2" t="s">
        <v>23</v>
      </c>
      <c r="L189" s="2" t="s">
        <v>887</v>
      </c>
      <c r="M189" s="4">
        <v>0</v>
      </c>
      <c r="N189" t="e">
        <f>OR(LEFT(B189,3)="frg",(_xlfn.XMATCH(B189,ZZZ_Part_Id_[[#All],[FGCODE]])))</f>
        <v>#N/A</v>
      </c>
    </row>
    <row r="190" spans="1:14" x14ac:dyDescent="0.3">
      <c r="A190" s="2" t="s">
        <v>802</v>
      </c>
      <c r="B190" s="2" t="s">
        <v>279</v>
      </c>
      <c r="C190" s="2" t="s">
        <v>888</v>
      </c>
      <c r="D190" s="3">
        <v>0</v>
      </c>
      <c r="E190" s="3">
        <v>0</v>
      </c>
      <c r="F190" s="2" t="s">
        <v>23</v>
      </c>
      <c r="G190" s="2" t="s">
        <v>889</v>
      </c>
      <c r="H190" s="3">
        <v>0</v>
      </c>
      <c r="I190" s="2" t="s">
        <v>18</v>
      </c>
      <c r="J190" s="2" t="s">
        <v>890</v>
      </c>
      <c r="K190" s="2" t="s">
        <v>23</v>
      </c>
      <c r="L190" s="2" t="s">
        <v>891</v>
      </c>
      <c r="M190" s="4">
        <v>0</v>
      </c>
      <c r="N190" t="e">
        <f>OR(LEFT(B190,3)="frg",(_xlfn.XMATCH(B190,ZZZ_Part_Id_[[#All],[FGCODE]])))</f>
        <v>#N/A</v>
      </c>
    </row>
    <row r="191" spans="1:14" x14ac:dyDescent="0.3">
      <c r="A191" s="2" t="s">
        <v>802</v>
      </c>
      <c r="B191" s="2" t="s">
        <v>892</v>
      </c>
      <c r="C191" s="2" t="s">
        <v>893</v>
      </c>
      <c r="D191" s="3">
        <v>0</v>
      </c>
      <c r="E191" s="3">
        <v>0</v>
      </c>
      <c r="F191" s="2" t="s">
        <v>23</v>
      </c>
      <c r="G191" s="2" t="s">
        <v>894</v>
      </c>
      <c r="H191" s="3">
        <v>0</v>
      </c>
      <c r="I191" s="2" t="s">
        <v>18</v>
      </c>
      <c r="J191" s="2" t="s">
        <v>895</v>
      </c>
      <c r="K191" s="2" t="s">
        <v>23</v>
      </c>
      <c r="L191" s="2" t="s">
        <v>896</v>
      </c>
      <c r="M191" s="4">
        <v>0</v>
      </c>
      <c r="N191" t="e">
        <f>OR(LEFT(B191,3)="frg",(_xlfn.XMATCH(B191,ZZZ_Part_Id_[[#All],[FGCODE]])))</f>
        <v>#N/A</v>
      </c>
    </row>
    <row r="192" spans="1:14" x14ac:dyDescent="0.3">
      <c r="A192" s="2" t="s">
        <v>802</v>
      </c>
      <c r="B192" s="2" t="s">
        <v>897</v>
      </c>
      <c r="C192" s="2" t="s">
        <v>898</v>
      </c>
      <c r="D192" s="3">
        <v>0</v>
      </c>
      <c r="E192" s="3">
        <v>0</v>
      </c>
      <c r="F192" s="2" t="s">
        <v>23</v>
      </c>
      <c r="G192" s="2" t="s">
        <v>899</v>
      </c>
      <c r="H192" s="3">
        <v>0</v>
      </c>
      <c r="I192" s="2" t="s">
        <v>18</v>
      </c>
      <c r="J192" s="2" t="s">
        <v>900</v>
      </c>
      <c r="K192" s="2" t="s">
        <v>23</v>
      </c>
      <c r="L192" s="2" t="s">
        <v>901</v>
      </c>
      <c r="M192" s="4">
        <v>0</v>
      </c>
      <c r="N192" t="e">
        <f>OR(LEFT(B192,3)="frg",(_xlfn.XMATCH(B192,ZZZ_Part_Id_[[#All],[FGCODE]])))</f>
        <v>#N/A</v>
      </c>
    </row>
    <row r="193" spans="1:14" x14ac:dyDescent="0.3">
      <c r="A193" s="2" t="s">
        <v>802</v>
      </c>
      <c r="B193" s="2" t="s">
        <v>902</v>
      </c>
      <c r="C193" s="2" t="s">
        <v>903</v>
      </c>
      <c r="D193" s="3">
        <v>0</v>
      </c>
      <c r="E193" s="3">
        <v>0</v>
      </c>
      <c r="F193" s="2" t="s">
        <v>23</v>
      </c>
      <c r="G193" s="2" t="s">
        <v>904</v>
      </c>
      <c r="H193" s="3">
        <v>0</v>
      </c>
      <c r="I193" s="2" t="s">
        <v>18</v>
      </c>
      <c r="J193" s="2" t="s">
        <v>905</v>
      </c>
      <c r="K193" s="2" t="s">
        <v>23</v>
      </c>
      <c r="L193" s="2" t="s">
        <v>906</v>
      </c>
      <c r="M193" s="4">
        <v>0</v>
      </c>
      <c r="N193" t="e">
        <f>OR(LEFT(B193,3)="frg",(_xlfn.XMATCH(B193,ZZZ_Part_Id_[[#All],[FGCODE]])))</f>
        <v>#N/A</v>
      </c>
    </row>
    <row r="194" spans="1:14" x14ac:dyDescent="0.3">
      <c r="A194" s="2" t="s">
        <v>802</v>
      </c>
      <c r="B194" s="2" t="s">
        <v>208</v>
      </c>
      <c r="C194" s="2" t="s">
        <v>907</v>
      </c>
      <c r="D194" s="5">
        <v>-4.2999999999999997E-2</v>
      </c>
      <c r="E194" s="3">
        <v>0</v>
      </c>
      <c r="F194" s="2" t="s">
        <v>23</v>
      </c>
      <c r="G194" s="2" t="s">
        <v>908</v>
      </c>
      <c r="H194" s="3">
        <v>0</v>
      </c>
      <c r="I194" s="2" t="s">
        <v>18</v>
      </c>
      <c r="J194" s="2" t="s">
        <v>909</v>
      </c>
      <c r="K194" s="2" t="s">
        <v>23</v>
      </c>
      <c r="L194" s="2" t="s">
        <v>910</v>
      </c>
      <c r="M194" s="4">
        <v>0</v>
      </c>
      <c r="N194" t="e">
        <f>OR(LEFT(B194,3)="frg",(_xlfn.XMATCH(B194,ZZZ_Part_Id_[[#All],[FGCODE]])))</f>
        <v>#N/A</v>
      </c>
    </row>
    <row r="195" spans="1:14" x14ac:dyDescent="0.3">
      <c r="A195" s="2" t="s">
        <v>802</v>
      </c>
      <c r="B195" s="2" t="s">
        <v>203</v>
      </c>
      <c r="C195" s="2" t="s">
        <v>911</v>
      </c>
      <c r="D195" s="5">
        <v>-4.2999999999999997E-2</v>
      </c>
      <c r="E195" s="3">
        <v>0</v>
      </c>
      <c r="F195" s="2" t="s">
        <v>23</v>
      </c>
      <c r="G195" s="2" t="s">
        <v>912</v>
      </c>
      <c r="H195" s="3">
        <v>0</v>
      </c>
      <c r="I195" s="2" t="s">
        <v>18</v>
      </c>
      <c r="J195" s="2" t="s">
        <v>913</v>
      </c>
      <c r="K195" s="2" t="s">
        <v>23</v>
      </c>
      <c r="L195" s="2" t="s">
        <v>914</v>
      </c>
      <c r="M195" s="4">
        <v>0</v>
      </c>
      <c r="N195" t="e">
        <f>OR(LEFT(B195,3)="frg",(_xlfn.XMATCH(B195,ZZZ_Part_Id_[[#All],[FGCODE]])))</f>
        <v>#N/A</v>
      </c>
    </row>
    <row r="196" spans="1:14" x14ac:dyDescent="0.3">
      <c r="A196" s="2" t="s">
        <v>802</v>
      </c>
      <c r="B196" s="2" t="s">
        <v>198</v>
      </c>
      <c r="C196" s="2" t="s">
        <v>915</v>
      </c>
      <c r="D196" s="5">
        <v>-4.2999999999999997E-2</v>
      </c>
      <c r="E196" s="3">
        <v>0</v>
      </c>
      <c r="F196" s="2" t="s">
        <v>23</v>
      </c>
      <c r="G196" s="2" t="s">
        <v>916</v>
      </c>
      <c r="H196" s="3">
        <v>0</v>
      </c>
      <c r="I196" s="2" t="s">
        <v>18</v>
      </c>
      <c r="J196" s="2" t="s">
        <v>917</v>
      </c>
      <c r="K196" s="2" t="s">
        <v>23</v>
      </c>
      <c r="L196" s="2" t="s">
        <v>918</v>
      </c>
      <c r="M196" s="4">
        <v>0</v>
      </c>
      <c r="N196" t="e">
        <f>OR(LEFT(B196,3)="frg",(_xlfn.XMATCH(B196,ZZZ_Part_Id_[[#All],[FGCODE]])))</f>
        <v>#N/A</v>
      </c>
    </row>
    <row r="197" spans="1:14" x14ac:dyDescent="0.3">
      <c r="A197" s="2" t="s">
        <v>802</v>
      </c>
      <c r="B197" s="2" t="s">
        <v>919</v>
      </c>
      <c r="C197" s="2" t="s">
        <v>920</v>
      </c>
      <c r="D197" s="3">
        <v>0</v>
      </c>
      <c r="E197" s="3">
        <v>0</v>
      </c>
      <c r="F197" s="2" t="s">
        <v>23</v>
      </c>
      <c r="G197" s="2" t="s">
        <v>921</v>
      </c>
      <c r="H197" s="3">
        <v>0</v>
      </c>
      <c r="I197" s="2" t="s">
        <v>18</v>
      </c>
      <c r="J197" s="2" t="s">
        <v>922</v>
      </c>
      <c r="K197" s="2" t="s">
        <v>23</v>
      </c>
      <c r="L197" s="2" t="s">
        <v>923</v>
      </c>
      <c r="M197" s="4">
        <v>0</v>
      </c>
      <c r="N197" t="e">
        <f>OR(LEFT(B197,3)="frg",(_xlfn.XMATCH(B197,ZZZ_Part_Id_[[#All],[FGCODE]])))</f>
        <v>#N/A</v>
      </c>
    </row>
    <row r="198" spans="1:14" x14ac:dyDescent="0.3">
      <c r="A198" s="2" t="s">
        <v>802</v>
      </c>
      <c r="B198" s="2" t="s">
        <v>924</v>
      </c>
      <c r="C198" s="2" t="s">
        <v>925</v>
      </c>
      <c r="D198" s="3">
        <v>0</v>
      </c>
      <c r="E198" s="3">
        <v>0</v>
      </c>
      <c r="F198" s="2" t="s">
        <v>23</v>
      </c>
      <c r="G198" s="2" t="s">
        <v>926</v>
      </c>
      <c r="H198" s="3">
        <v>0</v>
      </c>
      <c r="I198" s="2" t="s">
        <v>18</v>
      </c>
      <c r="J198" s="2" t="s">
        <v>927</v>
      </c>
      <c r="K198" s="2" t="s">
        <v>23</v>
      </c>
      <c r="L198" s="2" t="s">
        <v>928</v>
      </c>
      <c r="M198" s="4">
        <v>0</v>
      </c>
      <c r="N198" t="e">
        <f>OR(LEFT(B198,3)="frg",(_xlfn.XMATCH(B198,ZZZ_Part_Id_[[#All],[FGCODE]])))</f>
        <v>#N/A</v>
      </c>
    </row>
    <row r="199" spans="1:14" x14ac:dyDescent="0.3">
      <c r="A199" s="2" t="s">
        <v>802</v>
      </c>
      <c r="B199" s="2" t="s">
        <v>929</v>
      </c>
      <c r="C199" s="2" t="s">
        <v>930</v>
      </c>
      <c r="D199" s="3">
        <v>0</v>
      </c>
      <c r="E199" s="3">
        <v>0</v>
      </c>
      <c r="F199" s="2" t="s">
        <v>23</v>
      </c>
      <c r="G199" s="2" t="s">
        <v>931</v>
      </c>
      <c r="H199" s="3">
        <v>0</v>
      </c>
      <c r="I199" s="2" t="s">
        <v>18</v>
      </c>
      <c r="J199" s="2" t="s">
        <v>932</v>
      </c>
      <c r="K199" s="2" t="s">
        <v>23</v>
      </c>
      <c r="L199" s="2" t="s">
        <v>933</v>
      </c>
      <c r="M199" s="4">
        <v>0</v>
      </c>
      <c r="N199" t="e">
        <f>OR(LEFT(B199,3)="frg",(_xlfn.XMATCH(B199,ZZZ_Part_Id_[[#All],[FGCODE]])))</f>
        <v>#N/A</v>
      </c>
    </row>
    <row r="200" spans="1:14" x14ac:dyDescent="0.3">
      <c r="A200" s="2" t="s">
        <v>802</v>
      </c>
      <c r="B200" s="2" t="s">
        <v>740</v>
      </c>
      <c r="C200" s="2" t="s">
        <v>934</v>
      </c>
      <c r="D200" s="3">
        <v>456660</v>
      </c>
      <c r="E200" s="3">
        <v>456660</v>
      </c>
      <c r="F200" s="2" t="s">
        <v>16</v>
      </c>
      <c r="G200" s="2" t="s">
        <v>935</v>
      </c>
      <c r="H200" s="3">
        <v>0</v>
      </c>
      <c r="I200" s="2" t="s">
        <v>18</v>
      </c>
      <c r="J200" s="2" t="s">
        <v>936</v>
      </c>
      <c r="K200" s="2" t="s">
        <v>16</v>
      </c>
      <c r="L200" s="2" t="s">
        <v>937</v>
      </c>
      <c r="M200" s="4">
        <v>56210.46</v>
      </c>
      <c r="N200" t="b">
        <f>OR(LEFT(B200,3)="frg",(_xlfn.XMATCH(B200,ZZZ_Part_Id_[[#All],[FGCODE]])))</f>
        <v>1</v>
      </c>
    </row>
    <row r="201" spans="1:14" x14ac:dyDescent="0.3">
      <c r="A201" s="2" t="s">
        <v>938</v>
      </c>
      <c r="B201" s="2" t="s">
        <v>14</v>
      </c>
      <c r="C201" s="2" t="s">
        <v>939</v>
      </c>
      <c r="D201" s="3">
        <v>14</v>
      </c>
      <c r="E201" s="3">
        <v>14</v>
      </c>
      <c r="F201" s="2" t="s">
        <v>16</v>
      </c>
      <c r="G201" s="2" t="s">
        <v>940</v>
      </c>
      <c r="H201" s="3">
        <v>0</v>
      </c>
      <c r="I201" s="2" t="s">
        <v>18</v>
      </c>
      <c r="J201" s="2" t="s">
        <v>941</v>
      </c>
      <c r="K201" s="2" t="s">
        <v>16</v>
      </c>
      <c r="L201" s="2" t="s">
        <v>942</v>
      </c>
      <c r="M201" s="4">
        <v>1.08</v>
      </c>
      <c r="N201" t="e">
        <f>OR(LEFT(B201,3)="frg",(_xlfn.XMATCH(B201,ZZZ_Part_Id_[[#All],[FGCODE]])))</f>
        <v>#N/A</v>
      </c>
    </row>
    <row r="202" spans="1:14" x14ac:dyDescent="0.3">
      <c r="A202" s="2" t="s">
        <v>938</v>
      </c>
      <c r="B202" s="2" t="s">
        <v>264</v>
      </c>
      <c r="C202" s="2" t="s">
        <v>943</v>
      </c>
      <c r="D202" s="3">
        <v>1.4E-2</v>
      </c>
      <c r="E202" s="3">
        <v>1.4E-2</v>
      </c>
      <c r="F202" s="2" t="s">
        <v>16</v>
      </c>
      <c r="G202" s="2" t="s">
        <v>944</v>
      </c>
      <c r="H202" s="3">
        <v>0</v>
      </c>
      <c r="I202" s="2" t="s">
        <v>18</v>
      </c>
      <c r="J202" s="2" t="s">
        <v>945</v>
      </c>
      <c r="K202" s="2" t="s">
        <v>16</v>
      </c>
      <c r="L202" s="2" t="s">
        <v>946</v>
      </c>
      <c r="M202" s="4">
        <v>0.36</v>
      </c>
      <c r="N202" t="e">
        <f>OR(LEFT(B202,3)="frg",(_xlfn.XMATCH(B202,ZZZ_Part_Id_[[#All],[FGCODE]])))</f>
        <v>#N/A</v>
      </c>
    </row>
    <row r="203" spans="1:14" x14ac:dyDescent="0.3">
      <c r="A203" s="2" t="s">
        <v>938</v>
      </c>
      <c r="B203" s="2" t="s">
        <v>947</v>
      </c>
      <c r="C203" s="2" t="s">
        <v>948</v>
      </c>
      <c r="D203" s="3">
        <v>330240</v>
      </c>
      <c r="E203" s="3">
        <v>330240</v>
      </c>
      <c r="F203" s="2" t="s">
        <v>16</v>
      </c>
      <c r="G203" s="2" t="s">
        <v>949</v>
      </c>
      <c r="H203" s="3">
        <v>0</v>
      </c>
      <c r="I203" s="2" t="s">
        <v>18</v>
      </c>
      <c r="J203" s="2" t="s">
        <v>950</v>
      </c>
      <c r="K203" s="2" t="s">
        <v>16</v>
      </c>
      <c r="L203" s="2" t="s">
        <v>951</v>
      </c>
      <c r="M203" s="4">
        <v>20891.04</v>
      </c>
      <c r="N203" t="b">
        <f>OR(LEFT(B203,3)="frg",(_xlfn.XMATCH(B203,ZZZ_Part_Id_[[#All],[FGCODE]])))</f>
        <v>1</v>
      </c>
    </row>
    <row r="204" spans="1:14" x14ac:dyDescent="0.3">
      <c r="A204" s="2" t="s">
        <v>938</v>
      </c>
      <c r="B204" s="2" t="s">
        <v>65</v>
      </c>
      <c r="C204" s="2" t="s">
        <v>952</v>
      </c>
      <c r="D204" s="5">
        <v>-640</v>
      </c>
      <c r="E204" s="5">
        <v>-640</v>
      </c>
      <c r="F204" s="2" t="s">
        <v>23</v>
      </c>
      <c r="G204" s="2" t="s">
        <v>953</v>
      </c>
      <c r="H204" s="3">
        <v>0</v>
      </c>
      <c r="I204" s="2" t="s">
        <v>18</v>
      </c>
      <c r="J204" s="2" t="s">
        <v>954</v>
      </c>
      <c r="K204" s="2" t="s">
        <v>23</v>
      </c>
      <c r="L204" s="2" t="s">
        <v>955</v>
      </c>
      <c r="M204" s="6">
        <v>-1645.82</v>
      </c>
      <c r="N204" t="b">
        <f>OR(LEFT(B204,3)="frg",(_xlfn.XMATCH(B204,ZZZ_Part_Id_[[#All],[FGCODE]])))</f>
        <v>1</v>
      </c>
    </row>
    <row r="205" spans="1:14" x14ac:dyDescent="0.3">
      <c r="A205" s="2" t="s">
        <v>956</v>
      </c>
      <c r="B205" s="2" t="s">
        <v>14</v>
      </c>
      <c r="C205" s="2" t="s">
        <v>957</v>
      </c>
      <c r="D205" s="3">
        <v>40</v>
      </c>
      <c r="E205" s="3">
        <v>40</v>
      </c>
      <c r="F205" s="2" t="s">
        <v>16</v>
      </c>
      <c r="G205" s="2" t="s">
        <v>958</v>
      </c>
      <c r="H205" s="3">
        <v>0</v>
      </c>
      <c r="I205" s="2" t="s">
        <v>18</v>
      </c>
      <c r="J205" s="2" t="s">
        <v>959</v>
      </c>
      <c r="K205" s="2" t="s">
        <v>16</v>
      </c>
      <c r="L205" s="2" t="s">
        <v>960</v>
      </c>
      <c r="M205" s="4">
        <v>3.08</v>
      </c>
      <c r="N205" t="e">
        <f>OR(LEFT(B205,3)="frg",(_xlfn.XMATCH(B205,ZZZ_Part_Id_[[#All],[FGCODE]])))</f>
        <v>#N/A</v>
      </c>
    </row>
    <row r="206" spans="1:14" x14ac:dyDescent="0.3">
      <c r="A206" s="2" t="s">
        <v>956</v>
      </c>
      <c r="B206" s="2" t="s">
        <v>172</v>
      </c>
      <c r="C206" s="2" t="s">
        <v>961</v>
      </c>
      <c r="D206" s="3">
        <v>10</v>
      </c>
      <c r="E206" s="3">
        <v>10</v>
      </c>
      <c r="F206" s="2" t="s">
        <v>23</v>
      </c>
      <c r="G206" s="2" t="s">
        <v>962</v>
      </c>
      <c r="H206" s="3">
        <v>0</v>
      </c>
      <c r="I206" s="2" t="s">
        <v>18</v>
      </c>
      <c r="J206" s="2" t="s">
        <v>963</v>
      </c>
      <c r="K206" s="2" t="s">
        <v>23</v>
      </c>
      <c r="L206" s="2" t="s">
        <v>964</v>
      </c>
      <c r="M206" s="4">
        <v>65</v>
      </c>
      <c r="N206" t="e">
        <f>OR(LEFT(B206,3)="frg",(_xlfn.XMATCH(B206,ZZZ_Part_Id_[[#All],[FGCODE]])))</f>
        <v>#N/A</v>
      </c>
    </row>
    <row r="207" spans="1:14" x14ac:dyDescent="0.3">
      <c r="A207" s="2" t="s">
        <v>956</v>
      </c>
      <c r="B207" s="2" t="s">
        <v>27</v>
      </c>
      <c r="C207" s="2" t="s">
        <v>965</v>
      </c>
      <c r="D207" s="3">
        <v>245088</v>
      </c>
      <c r="E207" s="3">
        <v>245088</v>
      </c>
      <c r="F207" s="2" t="s">
        <v>16</v>
      </c>
      <c r="G207" s="2" t="s">
        <v>966</v>
      </c>
      <c r="H207" s="3">
        <v>0</v>
      </c>
      <c r="I207" s="2" t="s">
        <v>18</v>
      </c>
      <c r="J207" s="2" t="s">
        <v>967</v>
      </c>
      <c r="K207" s="2" t="s">
        <v>16</v>
      </c>
      <c r="L207" s="2" t="s">
        <v>968</v>
      </c>
      <c r="M207" s="4">
        <v>45520.21</v>
      </c>
      <c r="N207" t="b">
        <f>OR(LEFT(B207,3)="frg",(_xlfn.XMATCH(B207,ZZZ_Part_Id_[[#All],[FGCODE]])))</f>
        <v>1</v>
      </c>
    </row>
    <row r="208" spans="1:14" x14ac:dyDescent="0.3">
      <c r="A208" s="2" t="s">
        <v>969</v>
      </c>
      <c r="B208" s="2" t="s">
        <v>97</v>
      </c>
      <c r="C208" s="2" t="s">
        <v>970</v>
      </c>
      <c r="D208" s="3">
        <v>350400</v>
      </c>
      <c r="E208" s="3">
        <v>350400</v>
      </c>
      <c r="F208" s="2" t="s">
        <v>16</v>
      </c>
      <c r="G208" s="2" t="s">
        <v>971</v>
      </c>
      <c r="H208" s="3">
        <v>0</v>
      </c>
      <c r="I208" s="2" t="s">
        <v>18</v>
      </c>
      <c r="J208" s="2" t="s">
        <v>972</v>
      </c>
      <c r="K208" s="2" t="s">
        <v>16</v>
      </c>
      <c r="L208" s="2" t="s">
        <v>973</v>
      </c>
      <c r="M208" s="4">
        <v>74873.22</v>
      </c>
      <c r="N208" t="b">
        <f>OR(LEFT(B208,3)="frg",(_xlfn.XMATCH(B208,ZZZ_Part_Id_[[#All],[FGCODE]])))</f>
        <v>1</v>
      </c>
    </row>
    <row r="209" spans="1:14" x14ac:dyDescent="0.3">
      <c r="A209" s="2" t="s">
        <v>974</v>
      </c>
      <c r="B209" s="2" t="s">
        <v>517</v>
      </c>
      <c r="C209" s="2" t="s">
        <v>975</v>
      </c>
      <c r="D209" s="3">
        <v>171360</v>
      </c>
      <c r="E209" s="3">
        <v>171360</v>
      </c>
      <c r="F209" s="2" t="s">
        <v>16</v>
      </c>
      <c r="G209" s="2" t="s">
        <v>976</v>
      </c>
      <c r="H209" s="3">
        <v>0</v>
      </c>
      <c r="I209" s="2" t="s">
        <v>18</v>
      </c>
      <c r="J209" s="2" t="s">
        <v>977</v>
      </c>
      <c r="K209" s="2" t="s">
        <v>16</v>
      </c>
      <c r="L209" s="2" t="s">
        <v>978</v>
      </c>
      <c r="M209" s="4">
        <v>19889.810000000001</v>
      </c>
      <c r="N209" t="b">
        <f>OR(LEFT(B209,3)="frg",(_xlfn.XMATCH(B209,ZZZ_Part_Id_[[#All],[FGCODE]])))</f>
        <v>1</v>
      </c>
    </row>
    <row r="210" spans="1:14" x14ac:dyDescent="0.3">
      <c r="A210" s="2" t="s">
        <v>979</v>
      </c>
      <c r="B210" s="2" t="s">
        <v>14</v>
      </c>
      <c r="C210" s="2" t="s">
        <v>980</v>
      </c>
      <c r="D210" s="3">
        <v>24</v>
      </c>
      <c r="E210" s="3">
        <v>24</v>
      </c>
      <c r="F210" s="2" t="s">
        <v>16</v>
      </c>
      <c r="G210" s="2" t="s">
        <v>981</v>
      </c>
      <c r="H210" s="3">
        <v>0</v>
      </c>
      <c r="I210" s="2" t="s">
        <v>18</v>
      </c>
      <c r="J210" s="2" t="s">
        <v>982</v>
      </c>
      <c r="K210" s="2" t="s">
        <v>16</v>
      </c>
      <c r="L210" s="2" t="s">
        <v>983</v>
      </c>
      <c r="M210" s="4">
        <v>1.85</v>
      </c>
      <c r="N210" t="e">
        <f>OR(LEFT(B210,3)="frg",(_xlfn.XMATCH(B210,ZZZ_Part_Id_[[#All],[FGCODE]])))</f>
        <v>#N/A</v>
      </c>
    </row>
    <row r="211" spans="1:14" x14ac:dyDescent="0.3">
      <c r="A211" s="2" t="s">
        <v>979</v>
      </c>
      <c r="B211" s="2" t="s">
        <v>172</v>
      </c>
      <c r="C211" s="2" t="s">
        <v>984</v>
      </c>
      <c r="D211" s="3">
        <v>6.7679999999999998</v>
      </c>
      <c r="E211" s="3">
        <v>6.7679999999999998</v>
      </c>
      <c r="F211" s="2" t="s">
        <v>23</v>
      </c>
      <c r="G211" s="2" t="s">
        <v>985</v>
      </c>
      <c r="H211" s="3">
        <v>0</v>
      </c>
      <c r="I211" s="2" t="s">
        <v>18</v>
      </c>
      <c r="J211" s="2" t="s">
        <v>986</v>
      </c>
      <c r="K211" s="2" t="s">
        <v>23</v>
      </c>
      <c r="L211" s="2" t="s">
        <v>987</v>
      </c>
      <c r="M211" s="4">
        <v>43.99</v>
      </c>
      <c r="N211" t="e">
        <f>OR(LEFT(B211,3)="frg",(_xlfn.XMATCH(B211,ZZZ_Part_Id_[[#All],[FGCODE]])))</f>
        <v>#N/A</v>
      </c>
    </row>
    <row r="212" spans="1:14" x14ac:dyDescent="0.3">
      <c r="A212" s="2" t="s">
        <v>979</v>
      </c>
      <c r="B212" s="2" t="s">
        <v>65</v>
      </c>
      <c r="C212" s="2" t="s">
        <v>988</v>
      </c>
      <c r="D212" s="5">
        <v>-1490</v>
      </c>
      <c r="E212" s="5">
        <v>-1490</v>
      </c>
      <c r="F212" s="2" t="s">
        <v>23</v>
      </c>
      <c r="G212" s="2" t="s">
        <v>989</v>
      </c>
      <c r="H212" s="3">
        <v>0</v>
      </c>
      <c r="I212" s="2" t="s">
        <v>18</v>
      </c>
      <c r="J212" s="2" t="s">
        <v>990</v>
      </c>
      <c r="K212" s="2" t="s">
        <v>23</v>
      </c>
      <c r="L212" s="2" t="s">
        <v>991</v>
      </c>
      <c r="M212" s="6">
        <v>-3831.68</v>
      </c>
      <c r="N212" t="b">
        <f>OR(LEFT(B212,3)="frg",(_xlfn.XMATCH(B212,ZZZ_Part_Id_[[#All],[FGCODE]])))</f>
        <v>1</v>
      </c>
    </row>
    <row r="213" spans="1:14" x14ac:dyDescent="0.3">
      <c r="A213" s="2" t="s">
        <v>979</v>
      </c>
      <c r="B213" s="2" t="s">
        <v>426</v>
      </c>
      <c r="C213" s="2" t="s">
        <v>992</v>
      </c>
      <c r="D213" s="3">
        <v>192096</v>
      </c>
      <c r="E213" s="3">
        <v>192096</v>
      </c>
      <c r="F213" s="2" t="s">
        <v>16</v>
      </c>
      <c r="G213" s="2" t="s">
        <v>993</v>
      </c>
      <c r="H213" s="3">
        <v>0</v>
      </c>
      <c r="I213" s="2" t="s">
        <v>18</v>
      </c>
      <c r="J213" s="2" t="s">
        <v>994</v>
      </c>
      <c r="K213" s="2" t="s">
        <v>16</v>
      </c>
      <c r="L213" s="2" t="s">
        <v>995</v>
      </c>
      <c r="M213" s="4">
        <v>35775.86</v>
      </c>
      <c r="N213" t="b">
        <f>OR(LEFT(B213,3)="frg",(_xlfn.XMATCH(B213,ZZZ_Part_Id_[[#All],[FGCODE]])))</f>
        <v>1</v>
      </c>
    </row>
    <row r="214" spans="1:14" x14ac:dyDescent="0.3">
      <c r="A214" s="2" t="s">
        <v>996</v>
      </c>
      <c r="B214" s="2" t="s">
        <v>65</v>
      </c>
      <c r="C214" s="2" t="s">
        <v>997</v>
      </c>
      <c r="D214" s="5">
        <v>-249</v>
      </c>
      <c r="E214" s="5">
        <v>-249</v>
      </c>
      <c r="F214" s="2" t="s">
        <v>23</v>
      </c>
      <c r="G214" s="2" t="s">
        <v>998</v>
      </c>
      <c r="H214" s="3">
        <v>0</v>
      </c>
      <c r="I214" s="2" t="s">
        <v>18</v>
      </c>
      <c r="J214" s="2" t="s">
        <v>999</v>
      </c>
      <c r="K214" s="2" t="s">
        <v>23</v>
      </c>
      <c r="L214" s="2" t="s">
        <v>1000</v>
      </c>
      <c r="M214" s="6">
        <v>-640.33000000000004</v>
      </c>
      <c r="N214" t="b">
        <f>OR(LEFT(B214,3)="frg",(_xlfn.XMATCH(B214,ZZZ_Part_Id_[[#All],[FGCODE]])))</f>
        <v>1</v>
      </c>
    </row>
    <row r="215" spans="1:14" x14ac:dyDescent="0.3">
      <c r="A215" s="2" t="s">
        <v>996</v>
      </c>
      <c r="B215" s="2" t="s">
        <v>97</v>
      </c>
      <c r="C215" s="2" t="s">
        <v>1001</v>
      </c>
      <c r="D215" s="3">
        <v>28800</v>
      </c>
      <c r="E215" s="3">
        <v>28800</v>
      </c>
      <c r="F215" s="2" t="s">
        <v>16</v>
      </c>
      <c r="G215" s="2" t="s">
        <v>1002</v>
      </c>
      <c r="H215" s="3">
        <v>0</v>
      </c>
      <c r="I215" s="2" t="s">
        <v>18</v>
      </c>
      <c r="J215" s="2" t="s">
        <v>1003</v>
      </c>
      <c r="K215" s="2" t="s">
        <v>16</v>
      </c>
      <c r="L215" s="2" t="s">
        <v>1004</v>
      </c>
      <c r="M215" s="4">
        <v>6153.96</v>
      </c>
      <c r="N215" t="b">
        <f>OR(LEFT(B215,3)="frg",(_xlfn.XMATCH(B215,ZZZ_Part_Id_[[#All],[FGCODE]])))</f>
        <v>1</v>
      </c>
    </row>
    <row r="216" spans="1:14" x14ac:dyDescent="0.3">
      <c r="A216" s="2" t="s">
        <v>1005</v>
      </c>
      <c r="B216" s="2" t="s">
        <v>91</v>
      </c>
      <c r="C216" s="2" t="s">
        <v>1006</v>
      </c>
      <c r="D216" s="3">
        <v>108000</v>
      </c>
      <c r="E216" s="3">
        <v>108000</v>
      </c>
      <c r="F216" s="2" t="s">
        <v>16</v>
      </c>
      <c r="G216" s="2" t="s">
        <v>1007</v>
      </c>
      <c r="H216" s="3">
        <v>0</v>
      </c>
      <c r="I216" s="2" t="s">
        <v>18</v>
      </c>
      <c r="J216" s="2" t="s">
        <v>1008</v>
      </c>
      <c r="K216" s="2" t="s">
        <v>16</v>
      </c>
      <c r="L216" s="2" t="s">
        <v>1009</v>
      </c>
      <c r="M216" s="4">
        <v>4048.92</v>
      </c>
      <c r="N216" t="b">
        <f>OR(LEFT(B216,3)="frg",(_xlfn.XMATCH(B216,ZZZ_Part_Id_[[#All],[FGCODE]])))</f>
        <v>1</v>
      </c>
    </row>
    <row r="217" spans="1:14" x14ac:dyDescent="0.3">
      <c r="A217" s="2" t="s">
        <v>1010</v>
      </c>
      <c r="B217" s="2" t="s">
        <v>14</v>
      </c>
      <c r="C217" s="2" t="s">
        <v>1011</v>
      </c>
      <c r="D217" s="3">
        <v>5</v>
      </c>
      <c r="E217" s="3">
        <v>5</v>
      </c>
      <c r="F217" s="2" t="s">
        <v>16</v>
      </c>
      <c r="G217" s="2" t="s">
        <v>131</v>
      </c>
      <c r="H217" s="3">
        <v>0</v>
      </c>
      <c r="I217" s="2" t="s">
        <v>18</v>
      </c>
      <c r="J217" s="2" t="s">
        <v>1012</v>
      </c>
      <c r="K217" s="2" t="s">
        <v>16</v>
      </c>
      <c r="L217" s="2" t="s">
        <v>1013</v>
      </c>
      <c r="M217" s="4">
        <v>0.38</v>
      </c>
      <c r="N217" t="e">
        <f>OR(LEFT(B217,3)="frg",(_xlfn.XMATCH(B217,ZZZ_Part_Id_[[#All],[FGCODE]])))</f>
        <v>#N/A</v>
      </c>
    </row>
    <row r="218" spans="1:14" x14ac:dyDescent="0.3">
      <c r="A218" s="2" t="s">
        <v>1010</v>
      </c>
      <c r="B218" s="2" t="s">
        <v>65</v>
      </c>
      <c r="C218" s="2" t="s">
        <v>1014</v>
      </c>
      <c r="D218" s="5">
        <v>-340</v>
      </c>
      <c r="E218" s="5">
        <v>-340</v>
      </c>
      <c r="F218" s="2" t="s">
        <v>23</v>
      </c>
      <c r="G218" s="2" t="s">
        <v>131</v>
      </c>
      <c r="H218" s="3">
        <v>0</v>
      </c>
      <c r="I218" s="2" t="s">
        <v>18</v>
      </c>
      <c r="J218" s="2" t="s">
        <v>1015</v>
      </c>
      <c r="K218" s="2" t="s">
        <v>23</v>
      </c>
      <c r="L218" s="2" t="s">
        <v>1016</v>
      </c>
      <c r="M218" s="6">
        <v>-874.34</v>
      </c>
      <c r="N218" t="b">
        <f>OR(LEFT(B218,3)="frg",(_xlfn.XMATCH(B218,ZZZ_Part_Id_[[#All],[FGCODE]])))</f>
        <v>1</v>
      </c>
    </row>
    <row r="219" spans="1:14" x14ac:dyDescent="0.3">
      <c r="A219" s="2" t="s">
        <v>1010</v>
      </c>
      <c r="B219" s="2" t="s">
        <v>1017</v>
      </c>
      <c r="C219" s="2" t="s">
        <v>1018</v>
      </c>
      <c r="D219" s="3">
        <v>98280</v>
      </c>
      <c r="E219" s="3">
        <v>98280</v>
      </c>
      <c r="F219" s="2" t="s">
        <v>16</v>
      </c>
      <c r="G219" s="2" t="s">
        <v>131</v>
      </c>
      <c r="H219" s="3">
        <v>0</v>
      </c>
      <c r="I219" s="2" t="s">
        <v>18</v>
      </c>
      <c r="J219" s="2" t="s">
        <v>1019</v>
      </c>
      <c r="K219" s="2" t="s">
        <v>16</v>
      </c>
      <c r="L219" s="2" t="s">
        <v>1020</v>
      </c>
      <c r="M219" s="4">
        <v>8979.84</v>
      </c>
      <c r="N219" t="b">
        <f>OR(LEFT(B219,3)="frg",(_xlfn.XMATCH(B219,ZZZ_Part_Id_[[#All],[FGCODE]])))</f>
        <v>1</v>
      </c>
    </row>
    <row r="220" spans="1:14" x14ac:dyDescent="0.3">
      <c r="A220" s="2" t="s">
        <v>1021</v>
      </c>
      <c r="B220" s="2" t="s">
        <v>27</v>
      </c>
      <c r="C220" s="2" t="s">
        <v>1022</v>
      </c>
      <c r="D220" s="3">
        <v>6624</v>
      </c>
      <c r="E220" s="3">
        <v>6624</v>
      </c>
      <c r="F220" s="2" t="s">
        <v>16</v>
      </c>
      <c r="G220" s="2" t="s">
        <v>1023</v>
      </c>
      <c r="H220" s="3">
        <v>0</v>
      </c>
      <c r="I220" s="2" t="s">
        <v>409</v>
      </c>
      <c r="J220" s="2" t="s">
        <v>1024</v>
      </c>
      <c r="K220" s="2" t="s">
        <v>16</v>
      </c>
      <c r="L220" s="2" t="s">
        <v>1025</v>
      </c>
      <c r="M220" s="4">
        <v>1230.28</v>
      </c>
      <c r="N220" t="b">
        <f>OR(LEFT(B220,3)="frg",(_xlfn.XMATCH(B220,ZZZ_Part_Id_[[#All],[FGCODE]])))</f>
        <v>1</v>
      </c>
    </row>
    <row r="221" spans="1:14" x14ac:dyDescent="0.3">
      <c r="A221" s="2" t="s">
        <v>1026</v>
      </c>
      <c r="B221" s="2" t="s">
        <v>1027</v>
      </c>
      <c r="C221" s="2" t="s">
        <v>1028</v>
      </c>
      <c r="D221" s="3">
        <v>10620</v>
      </c>
      <c r="E221" s="3">
        <v>10620</v>
      </c>
      <c r="F221" s="2" t="s">
        <v>16</v>
      </c>
      <c r="G221" s="2" t="s">
        <v>1029</v>
      </c>
      <c r="H221" s="3">
        <v>0</v>
      </c>
      <c r="I221" s="2" t="s">
        <v>18</v>
      </c>
      <c r="J221" s="2" t="s">
        <v>1030</v>
      </c>
      <c r="K221" s="2" t="s">
        <v>16</v>
      </c>
      <c r="L221" s="2" t="s">
        <v>1031</v>
      </c>
      <c r="M221" s="4">
        <v>1334.72</v>
      </c>
      <c r="N221" t="b">
        <f>OR(LEFT(B221,3)="frg",(_xlfn.XMATCH(B221,ZZZ_Part_Id_[[#All],[FGCODE]])))</f>
        <v>1</v>
      </c>
    </row>
    <row r="222" spans="1:14" x14ac:dyDescent="0.3">
      <c r="A222" s="2" t="s">
        <v>1032</v>
      </c>
      <c r="B222" s="2" t="s">
        <v>65</v>
      </c>
      <c r="C222" s="2" t="s">
        <v>1033</v>
      </c>
      <c r="D222" s="5">
        <v>-340</v>
      </c>
      <c r="E222" s="3">
        <v>0</v>
      </c>
      <c r="F222" s="2" t="s">
        <v>23</v>
      </c>
      <c r="G222" s="2" t="s">
        <v>131</v>
      </c>
      <c r="H222" s="3">
        <v>0</v>
      </c>
      <c r="I222" s="2" t="s">
        <v>18</v>
      </c>
      <c r="J222" s="2" t="s">
        <v>1034</v>
      </c>
      <c r="K222" s="2" t="s">
        <v>23</v>
      </c>
      <c r="L222" s="2" t="s">
        <v>1035</v>
      </c>
      <c r="M222" s="4">
        <v>0</v>
      </c>
      <c r="N222" t="b">
        <f>OR(LEFT(B222,3)="frg",(_xlfn.XMATCH(B222,ZZZ_Part_Id_[[#All],[FGCODE]])))</f>
        <v>1</v>
      </c>
    </row>
    <row r="223" spans="1:14" x14ac:dyDescent="0.3">
      <c r="A223" s="2" t="s">
        <v>1032</v>
      </c>
      <c r="B223" s="2" t="s">
        <v>1017</v>
      </c>
      <c r="C223" s="2" t="s">
        <v>1036</v>
      </c>
      <c r="D223" s="3">
        <v>98280</v>
      </c>
      <c r="E223" s="3">
        <v>0</v>
      </c>
      <c r="F223" s="2" t="s">
        <v>16</v>
      </c>
      <c r="G223" s="2" t="s">
        <v>131</v>
      </c>
      <c r="H223" s="3">
        <v>0</v>
      </c>
      <c r="I223" s="2" t="s">
        <v>18</v>
      </c>
      <c r="J223" s="2" t="s">
        <v>1037</v>
      </c>
      <c r="K223" s="2" t="s">
        <v>16</v>
      </c>
      <c r="L223" s="2" t="s">
        <v>1038</v>
      </c>
      <c r="M223" s="4">
        <v>0</v>
      </c>
      <c r="N223" t="b">
        <f>OR(LEFT(B223,3)="frg",(_xlfn.XMATCH(B223,ZZZ_Part_Id_[[#All],[FGCODE]])))</f>
        <v>1</v>
      </c>
    </row>
    <row r="224" spans="1:14" x14ac:dyDescent="0.3">
      <c r="A224" s="2" t="s">
        <v>1039</v>
      </c>
      <c r="B224" s="2" t="s">
        <v>14</v>
      </c>
      <c r="C224" s="2" t="s">
        <v>1040</v>
      </c>
      <c r="D224" s="3">
        <v>11</v>
      </c>
      <c r="E224" s="3">
        <v>11</v>
      </c>
      <c r="F224" s="2" t="s">
        <v>16</v>
      </c>
      <c r="G224" s="2" t="s">
        <v>1041</v>
      </c>
      <c r="H224" s="3">
        <v>0</v>
      </c>
      <c r="I224" s="2" t="s">
        <v>18</v>
      </c>
      <c r="J224" s="2" t="s">
        <v>1042</v>
      </c>
      <c r="K224" s="2" t="s">
        <v>16</v>
      </c>
      <c r="L224" s="2" t="s">
        <v>1043</v>
      </c>
      <c r="M224" s="4">
        <v>0.85</v>
      </c>
      <c r="N224" t="e">
        <f>OR(LEFT(B224,3)="frg",(_xlfn.XMATCH(B224,ZZZ_Part_Id_[[#All],[FGCODE]])))</f>
        <v>#N/A</v>
      </c>
    </row>
    <row r="225" spans="1:14" x14ac:dyDescent="0.3">
      <c r="A225" s="2" t="s">
        <v>1039</v>
      </c>
      <c r="B225" s="2" t="s">
        <v>264</v>
      </c>
      <c r="C225" s="2" t="s">
        <v>1044</v>
      </c>
      <c r="D225" s="3">
        <v>1.0999999999999999E-2</v>
      </c>
      <c r="E225" s="3">
        <v>1.0999999999999999E-2</v>
      </c>
      <c r="F225" s="2" t="s">
        <v>16</v>
      </c>
      <c r="G225" s="2" t="s">
        <v>1045</v>
      </c>
      <c r="H225" s="3">
        <v>0</v>
      </c>
      <c r="I225" s="2" t="s">
        <v>18</v>
      </c>
      <c r="J225" s="2" t="s">
        <v>1046</v>
      </c>
      <c r="K225" s="2" t="s">
        <v>16</v>
      </c>
      <c r="L225" s="2" t="s">
        <v>1047</v>
      </c>
      <c r="M225" s="4">
        <v>0.28000000000000003</v>
      </c>
      <c r="N225" t="e">
        <f>OR(LEFT(B225,3)="frg",(_xlfn.XMATCH(B225,ZZZ_Part_Id_[[#All],[FGCODE]])))</f>
        <v>#N/A</v>
      </c>
    </row>
    <row r="226" spans="1:14" x14ac:dyDescent="0.3">
      <c r="A226" s="2" t="s">
        <v>1039</v>
      </c>
      <c r="B226" s="2" t="s">
        <v>27</v>
      </c>
      <c r="C226" s="2" t="s">
        <v>1048</v>
      </c>
      <c r="D226" s="3">
        <v>72864</v>
      </c>
      <c r="E226" s="3">
        <v>72864</v>
      </c>
      <c r="F226" s="2" t="s">
        <v>16</v>
      </c>
      <c r="G226" s="2" t="s">
        <v>1049</v>
      </c>
      <c r="H226" s="3">
        <v>0</v>
      </c>
      <c r="I226" s="2" t="s">
        <v>18</v>
      </c>
      <c r="J226" s="2" t="s">
        <v>1050</v>
      </c>
      <c r="K226" s="2" t="s">
        <v>16</v>
      </c>
      <c r="L226" s="2" t="s">
        <v>1051</v>
      </c>
      <c r="M226" s="4">
        <v>13533.03</v>
      </c>
      <c r="N226" t="b">
        <f>OR(LEFT(B226,3)="frg",(_xlfn.XMATCH(B226,ZZZ_Part_Id_[[#All],[FGCODE]])))</f>
        <v>1</v>
      </c>
    </row>
    <row r="227" spans="1:14" x14ac:dyDescent="0.3">
      <c r="A227" s="2" t="s">
        <v>1052</v>
      </c>
      <c r="B227" s="2" t="s">
        <v>14</v>
      </c>
      <c r="C227" s="2" t="s">
        <v>1053</v>
      </c>
      <c r="D227" s="3">
        <v>46</v>
      </c>
      <c r="E227" s="3">
        <v>46</v>
      </c>
      <c r="F227" s="2" t="s">
        <v>16</v>
      </c>
      <c r="G227" s="2" t="s">
        <v>1054</v>
      </c>
      <c r="H227" s="3">
        <v>0</v>
      </c>
      <c r="I227" s="2" t="s">
        <v>18</v>
      </c>
      <c r="J227" s="2" t="s">
        <v>1055</v>
      </c>
      <c r="K227" s="2" t="s">
        <v>16</v>
      </c>
      <c r="L227" s="2" t="s">
        <v>1056</v>
      </c>
      <c r="M227" s="4">
        <v>3.54</v>
      </c>
      <c r="N227" t="e">
        <f>OR(LEFT(B227,3)="frg",(_xlfn.XMATCH(B227,ZZZ_Part_Id_[[#All],[FGCODE]])))</f>
        <v>#N/A</v>
      </c>
    </row>
    <row r="228" spans="1:14" x14ac:dyDescent="0.3">
      <c r="A228" s="2" t="s">
        <v>1052</v>
      </c>
      <c r="B228" s="2" t="s">
        <v>172</v>
      </c>
      <c r="C228" s="2" t="s">
        <v>1057</v>
      </c>
      <c r="D228" s="3">
        <v>13.064</v>
      </c>
      <c r="E228" s="3">
        <v>13.064</v>
      </c>
      <c r="F228" s="2" t="s">
        <v>23</v>
      </c>
      <c r="G228" s="2" t="s">
        <v>1058</v>
      </c>
      <c r="H228" s="3">
        <v>0</v>
      </c>
      <c r="I228" s="2" t="s">
        <v>18</v>
      </c>
      <c r="J228" s="2" t="s">
        <v>1059</v>
      </c>
      <c r="K228" s="2" t="s">
        <v>23</v>
      </c>
      <c r="L228" s="2" t="s">
        <v>1060</v>
      </c>
      <c r="M228" s="4">
        <v>84.92</v>
      </c>
      <c r="N228" t="e">
        <f>OR(LEFT(B228,3)="frg",(_xlfn.XMATCH(B228,ZZZ_Part_Id_[[#All],[FGCODE]])))</f>
        <v>#N/A</v>
      </c>
    </row>
    <row r="229" spans="1:14" x14ac:dyDescent="0.3">
      <c r="A229" s="2" t="s">
        <v>1052</v>
      </c>
      <c r="B229" s="2" t="s">
        <v>97</v>
      </c>
      <c r="C229" s="2" t="s">
        <v>1061</v>
      </c>
      <c r="D229" s="3">
        <v>220800</v>
      </c>
      <c r="E229" s="3">
        <v>220800</v>
      </c>
      <c r="F229" s="2" t="s">
        <v>16</v>
      </c>
      <c r="G229" s="2" t="s">
        <v>1062</v>
      </c>
      <c r="H229" s="3">
        <v>0</v>
      </c>
      <c r="I229" s="2" t="s">
        <v>18</v>
      </c>
      <c r="J229" s="2" t="s">
        <v>1063</v>
      </c>
      <c r="K229" s="2" t="s">
        <v>16</v>
      </c>
      <c r="L229" s="2" t="s">
        <v>1064</v>
      </c>
      <c r="M229" s="4">
        <v>47180.38</v>
      </c>
      <c r="N229" t="b">
        <f>OR(LEFT(B229,3)="frg",(_xlfn.XMATCH(B229,ZZZ_Part_Id_[[#All],[FGCODE]])))</f>
        <v>1</v>
      </c>
    </row>
    <row r="230" spans="1:14" x14ac:dyDescent="0.3">
      <c r="A230" s="2" t="s">
        <v>1065</v>
      </c>
      <c r="B230" s="2" t="s">
        <v>14</v>
      </c>
      <c r="C230" s="2" t="s">
        <v>1066</v>
      </c>
      <c r="D230" s="3">
        <v>140</v>
      </c>
      <c r="E230" s="3">
        <v>140</v>
      </c>
      <c r="F230" s="2" t="s">
        <v>16</v>
      </c>
      <c r="G230" s="2" t="s">
        <v>1067</v>
      </c>
      <c r="H230" s="3">
        <v>0</v>
      </c>
      <c r="I230" s="2" t="s">
        <v>18</v>
      </c>
      <c r="J230" s="2" t="s">
        <v>1068</v>
      </c>
      <c r="K230" s="2" t="s">
        <v>16</v>
      </c>
      <c r="L230" s="2" t="s">
        <v>1069</v>
      </c>
      <c r="M230" s="4">
        <v>10.77</v>
      </c>
      <c r="N230" t="e">
        <f>OR(LEFT(B230,3)="frg",(_xlfn.XMATCH(B230,ZZZ_Part_Id_[[#All],[FGCODE]])))</f>
        <v>#N/A</v>
      </c>
    </row>
    <row r="231" spans="1:14" x14ac:dyDescent="0.3">
      <c r="A231" s="2" t="s">
        <v>1065</v>
      </c>
      <c r="B231" s="2" t="s">
        <v>1027</v>
      </c>
      <c r="C231" s="2" t="s">
        <v>1070</v>
      </c>
      <c r="D231" s="3">
        <v>509760</v>
      </c>
      <c r="E231" s="3">
        <v>509760</v>
      </c>
      <c r="F231" s="2" t="s">
        <v>16</v>
      </c>
      <c r="G231" s="2" t="s">
        <v>1071</v>
      </c>
      <c r="H231" s="3">
        <v>0</v>
      </c>
      <c r="I231" s="2" t="s">
        <v>18</v>
      </c>
      <c r="J231" s="2" t="s">
        <v>1072</v>
      </c>
      <c r="K231" s="2" t="s">
        <v>16</v>
      </c>
      <c r="L231" s="2" t="s">
        <v>1073</v>
      </c>
      <c r="M231" s="4">
        <v>64066.559999999998</v>
      </c>
      <c r="N231" t="b">
        <f>OR(LEFT(B231,3)="frg",(_xlfn.XMATCH(B231,ZZZ_Part_Id_[[#All],[FGCODE]])))</f>
        <v>1</v>
      </c>
    </row>
    <row r="232" spans="1:14" x14ac:dyDescent="0.3">
      <c r="A232" s="2" t="s">
        <v>1074</v>
      </c>
      <c r="B232" s="2" t="s">
        <v>14</v>
      </c>
      <c r="C232" s="2" t="s">
        <v>1075</v>
      </c>
      <c r="D232" s="3">
        <v>40</v>
      </c>
      <c r="E232" s="3">
        <v>40</v>
      </c>
      <c r="F232" s="2" t="s">
        <v>16</v>
      </c>
      <c r="G232" s="2" t="s">
        <v>1076</v>
      </c>
      <c r="H232" s="3">
        <v>0</v>
      </c>
      <c r="I232" s="2" t="s">
        <v>18</v>
      </c>
      <c r="J232" s="2" t="s">
        <v>1077</v>
      </c>
      <c r="K232" s="2" t="s">
        <v>16</v>
      </c>
      <c r="L232" s="2" t="s">
        <v>1078</v>
      </c>
      <c r="M232" s="4">
        <v>3.08</v>
      </c>
      <c r="N232" t="e">
        <f>OR(LEFT(B232,3)="frg",(_xlfn.XMATCH(B232,ZZZ_Part_Id_[[#All],[FGCODE]])))</f>
        <v>#N/A</v>
      </c>
    </row>
    <row r="233" spans="1:14" x14ac:dyDescent="0.3">
      <c r="A233" s="2" t="s">
        <v>1074</v>
      </c>
      <c r="B233" s="2" t="s">
        <v>517</v>
      </c>
      <c r="C233" s="2" t="s">
        <v>1079</v>
      </c>
      <c r="D233" s="3">
        <v>372960</v>
      </c>
      <c r="E233" s="3">
        <v>372960</v>
      </c>
      <c r="F233" s="2" t="s">
        <v>16</v>
      </c>
      <c r="G233" s="2" t="s">
        <v>1080</v>
      </c>
      <c r="H233" s="3">
        <v>0</v>
      </c>
      <c r="I233" s="2" t="s">
        <v>18</v>
      </c>
      <c r="J233" s="2" t="s">
        <v>1081</v>
      </c>
      <c r="K233" s="2" t="s">
        <v>16</v>
      </c>
      <c r="L233" s="2" t="s">
        <v>1082</v>
      </c>
      <c r="M233" s="4">
        <v>43289.59</v>
      </c>
      <c r="N233" t="b">
        <f>OR(LEFT(B233,3)="frg",(_xlfn.XMATCH(B233,ZZZ_Part_Id_[[#All],[FGCODE]])))</f>
        <v>1</v>
      </c>
    </row>
    <row r="234" spans="1:14" x14ac:dyDescent="0.3">
      <c r="A234" s="2" t="s">
        <v>1083</v>
      </c>
      <c r="B234" s="2" t="s">
        <v>264</v>
      </c>
      <c r="C234" s="2" t="s">
        <v>1084</v>
      </c>
      <c r="D234" s="3">
        <v>0.14399999999999999</v>
      </c>
      <c r="E234" s="3">
        <v>0.14399999999999999</v>
      </c>
      <c r="F234" s="2" t="s">
        <v>16</v>
      </c>
      <c r="G234" s="2" t="s">
        <v>1085</v>
      </c>
      <c r="H234" s="3">
        <v>0</v>
      </c>
      <c r="I234" s="2" t="s">
        <v>1086</v>
      </c>
      <c r="J234" s="2" t="s">
        <v>1087</v>
      </c>
      <c r="K234" s="2" t="s">
        <v>16</v>
      </c>
      <c r="L234" s="2" t="s">
        <v>1088</v>
      </c>
      <c r="M234" s="4">
        <v>3.69</v>
      </c>
      <c r="N234" t="e">
        <f>OR(LEFT(B234,3)="frg",(_xlfn.XMATCH(B234,ZZZ_Part_Id_[[#All],[FGCODE]])))</f>
        <v>#N/A</v>
      </c>
    </row>
    <row r="235" spans="1:14" x14ac:dyDescent="0.3">
      <c r="A235" s="2" t="s">
        <v>1083</v>
      </c>
      <c r="B235" s="2" t="s">
        <v>14</v>
      </c>
      <c r="C235" s="2" t="s">
        <v>1089</v>
      </c>
      <c r="D235" s="3">
        <v>96</v>
      </c>
      <c r="E235" s="3">
        <v>96</v>
      </c>
      <c r="F235" s="2" t="s">
        <v>16</v>
      </c>
      <c r="G235" s="2" t="s">
        <v>1090</v>
      </c>
      <c r="H235" s="3">
        <v>0</v>
      </c>
      <c r="I235" s="2" t="s">
        <v>1086</v>
      </c>
      <c r="J235" s="2" t="s">
        <v>1091</v>
      </c>
      <c r="K235" s="2" t="s">
        <v>16</v>
      </c>
      <c r="L235" s="2" t="s">
        <v>1092</v>
      </c>
      <c r="M235" s="4">
        <v>7.39</v>
      </c>
      <c r="N235" t="e">
        <f>OR(LEFT(B235,3)="frg",(_xlfn.XMATCH(B235,ZZZ_Part_Id_[[#All],[FGCODE]])))</f>
        <v>#N/A</v>
      </c>
    </row>
    <row r="236" spans="1:14" x14ac:dyDescent="0.3">
      <c r="A236" s="2" t="s">
        <v>1083</v>
      </c>
      <c r="B236" s="2" t="s">
        <v>1093</v>
      </c>
      <c r="C236" s="2" t="s">
        <v>1094</v>
      </c>
      <c r="D236" s="3">
        <v>3006720</v>
      </c>
      <c r="E236" s="3">
        <v>3006720</v>
      </c>
      <c r="F236" s="2" t="s">
        <v>16</v>
      </c>
      <c r="G236" s="2" t="s">
        <v>1095</v>
      </c>
      <c r="H236" s="3">
        <v>0</v>
      </c>
      <c r="I236" s="2" t="s">
        <v>1086</v>
      </c>
      <c r="J236" s="2" t="s">
        <v>1096</v>
      </c>
      <c r="K236" s="2" t="s">
        <v>16</v>
      </c>
      <c r="L236" s="2" t="s">
        <v>1097</v>
      </c>
      <c r="M236" s="4">
        <v>163986.48000000001</v>
      </c>
      <c r="N236" t="b">
        <f>OR(LEFT(B236,3)="frg",(_xlfn.XMATCH(B236,ZZZ_Part_Id_[[#All],[FGCODE]])))</f>
        <v>1</v>
      </c>
    </row>
    <row r="237" spans="1:14" x14ac:dyDescent="0.3">
      <c r="A237" s="2" t="s">
        <v>1098</v>
      </c>
      <c r="B237" s="2" t="s">
        <v>14</v>
      </c>
      <c r="C237" s="2" t="s">
        <v>1099</v>
      </c>
      <c r="D237" s="3">
        <v>20</v>
      </c>
      <c r="E237" s="3">
        <v>20</v>
      </c>
      <c r="F237" s="2" t="s">
        <v>16</v>
      </c>
      <c r="G237" s="2" t="s">
        <v>1100</v>
      </c>
      <c r="H237" s="3">
        <v>0</v>
      </c>
      <c r="I237" s="2" t="s">
        <v>18</v>
      </c>
      <c r="J237" s="2" t="s">
        <v>1101</v>
      </c>
      <c r="K237" s="2" t="s">
        <v>16</v>
      </c>
      <c r="L237" s="2" t="s">
        <v>1102</v>
      </c>
      <c r="M237" s="4">
        <v>1.54</v>
      </c>
      <c r="N237" t="e">
        <f>OR(LEFT(B237,3)="frg",(_xlfn.XMATCH(B237,ZZZ_Part_Id_[[#All],[FGCODE]])))</f>
        <v>#N/A</v>
      </c>
    </row>
    <row r="238" spans="1:14" x14ac:dyDescent="0.3">
      <c r="A238" s="2" t="s">
        <v>1098</v>
      </c>
      <c r="B238" s="2" t="s">
        <v>264</v>
      </c>
      <c r="C238" s="2" t="s">
        <v>1103</v>
      </c>
      <c r="D238" s="3">
        <v>0.01</v>
      </c>
      <c r="E238" s="3">
        <v>0.01</v>
      </c>
      <c r="F238" s="2" t="s">
        <v>16</v>
      </c>
      <c r="G238" s="2" t="s">
        <v>1104</v>
      </c>
      <c r="H238" s="3">
        <v>0</v>
      </c>
      <c r="I238" s="2" t="s">
        <v>18</v>
      </c>
      <c r="J238" s="2" t="s">
        <v>1105</v>
      </c>
      <c r="K238" s="2" t="s">
        <v>16</v>
      </c>
      <c r="L238" s="2" t="s">
        <v>1106</v>
      </c>
      <c r="M238" s="4">
        <v>0.26</v>
      </c>
      <c r="N238" t="e">
        <f>OR(LEFT(B238,3)="frg",(_xlfn.XMATCH(B238,ZZZ_Part_Id_[[#All],[FGCODE]])))</f>
        <v>#N/A</v>
      </c>
    </row>
    <row r="239" spans="1:14" x14ac:dyDescent="0.3">
      <c r="A239" s="2" t="s">
        <v>1098</v>
      </c>
      <c r="B239" s="2" t="s">
        <v>1107</v>
      </c>
      <c r="C239" s="2" t="s">
        <v>1108</v>
      </c>
      <c r="D239" s="3">
        <v>192000</v>
      </c>
      <c r="E239" s="3">
        <v>192000</v>
      </c>
      <c r="F239" s="2" t="s">
        <v>16</v>
      </c>
      <c r="G239" s="2" t="s">
        <v>1109</v>
      </c>
      <c r="H239" s="3">
        <v>0</v>
      </c>
      <c r="I239" s="2" t="s">
        <v>18</v>
      </c>
      <c r="J239" s="2" t="s">
        <v>1110</v>
      </c>
      <c r="K239" s="2" t="s">
        <v>16</v>
      </c>
      <c r="L239" s="2" t="s">
        <v>1111</v>
      </c>
      <c r="M239" s="4">
        <v>3191.04</v>
      </c>
      <c r="N239" t="b">
        <f>OR(LEFT(B239,3)="frg",(_xlfn.XMATCH(B239,ZZZ_Part_Id_[[#All],[FGCODE]])))</f>
        <v>1</v>
      </c>
    </row>
    <row r="240" spans="1:14" x14ac:dyDescent="0.3">
      <c r="A240" s="2" t="s">
        <v>1112</v>
      </c>
      <c r="B240" s="2" t="s">
        <v>1113</v>
      </c>
      <c r="C240" s="2" t="s">
        <v>1114</v>
      </c>
      <c r="D240" s="3">
        <v>6624</v>
      </c>
      <c r="E240" s="3">
        <v>6624</v>
      </c>
      <c r="F240" s="2" t="s">
        <v>16</v>
      </c>
      <c r="G240" s="2" t="s">
        <v>1115</v>
      </c>
      <c r="H240" s="3">
        <v>0</v>
      </c>
      <c r="I240" s="2" t="s">
        <v>18</v>
      </c>
      <c r="J240" s="2" t="s">
        <v>1116</v>
      </c>
      <c r="K240" s="2" t="s">
        <v>16</v>
      </c>
      <c r="L240" s="2" t="s">
        <v>1117</v>
      </c>
      <c r="M240" s="4">
        <v>1247.0999999999999</v>
      </c>
      <c r="N240" t="b">
        <f>OR(LEFT(B240,3)="frg",(_xlfn.XMATCH(B240,ZZZ_Part_Id_[[#All],[FGCODE]])))</f>
        <v>1</v>
      </c>
    </row>
    <row r="241" spans="1:14" x14ac:dyDescent="0.3">
      <c r="A241" s="2" t="s">
        <v>1118</v>
      </c>
      <c r="B241" s="2" t="s">
        <v>1119</v>
      </c>
      <c r="C241" s="2" t="s">
        <v>1120</v>
      </c>
      <c r="D241" s="3">
        <v>25380</v>
      </c>
      <c r="E241" s="3">
        <v>25380</v>
      </c>
      <c r="F241" s="2" t="s">
        <v>16</v>
      </c>
      <c r="G241" s="2" t="s">
        <v>1121</v>
      </c>
      <c r="H241" s="3">
        <v>0</v>
      </c>
      <c r="I241" s="2" t="s">
        <v>18</v>
      </c>
      <c r="J241" s="2" t="s">
        <v>1122</v>
      </c>
      <c r="K241" s="2" t="s">
        <v>16</v>
      </c>
      <c r="L241" s="2" t="s">
        <v>1123</v>
      </c>
      <c r="M241" s="4">
        <v>1032.71</v>
      </c>
      <c r="N241" t="b">
        <f>OR(LEFT(B241,3)="frg",(_xlfn.XMATCH(B241,ZZZ_Part_Id_[[#All],[FGCODE]])))</f>
        <v>1</v>
      </c>
    </row>
    <row r="242" spans="1:14" x14ac:dyDescent="0.3">
      <c r="A242" s="2" t="s">
        <v>1124</v>
      </c>
      <c r="B242" s="2" t="s">
        <v>1027</v>
      </c>
      <c r="C242" s="2" t="s">
        <v>1125</v>
      </c>
      <c r="D242" s="3">
        <v>467280</v>
      </c>
      <c r="E242" s="3">
        <v>467280</v>
      </c>
      <c r="F242" s="2" t="s">
        <v>16</v>
      </c>
      <c r="G242" s="2" t="s">
        <v>1126</v>
      </c>
      <c r="H242" s="3">
        <v>0</v>
      </c>
      <c r="I242" s="2" t="s">
        <v>18</v>
      </c>
      <c r="J242" s="2" t="s">
        <v>1127</v>
      </c>
      <c r="K242" s="2" t="s">
        <v>16</v>
      </c>
      <c r="L242" s="2" t="s">
        <v>1128</v>
      </c>
      <c r="M242" s="4">
        <v>58727.68</v>
      </c>
      <c r="N242" t="b">
        <f>OR(LEFT(B242,3)="frg",(_xlfn.XMATCH(B242,ZZZ_Part_Id_[[#All],[FGCODE]])))</f>
        <v>1</v>
      </c>
    </row>
    <row r="243" spans="1:14" x14ac:dyDescent="0.3">
      <c r="A243" s="2" t="s">
        <v>1129</v>
      </c>
      <c r="B243" s="2" t="s">
        <v>14</v>
      </c>
      <c r="C243" s="2" t="s">
        <v>1130</v>
      </c>
      <c r="D243" s="3">
        <v>40</v>
      </c>
      <c r="E243" s="3">
        <v>40</v>
      </c>
      <c r="F243" s="2" t="s">
        <v>16</v>
      </c>
      <c r="G243" s="2" t="s">
        <v>1131</v>
      </c>
      <c r="H243" s="3">
        <v>0</v>
      </c>
      <c r="I243" s="2" t="s">
        <v>18</v>
      </c>
      <c r="J243" s="2" t="s">
        <v>1132</v>
      </c>
      <c r="K243" s="2" t="s">
        <v>16</v>
      </c>
      <c r="L243" s="2" t="s">
        <v>1133</v>
      </c>
      <c r="M243" s="4">
        <v>3.08</v>
      </c>
      <c r="N243" t="e">
        <f>OR(LEFT(B243,3)="frg",(_xlfn.XMATCH(B243,ZZZ_Part_Id_[[#All],[FGCODE]])))</f>
        <v>#N/A</v>
      </c>
    </row>
    <row r="244" spans="1:14" x14ac:dyDescent="0.3">
      <c r="A244" s="2" t="s">
        <v>1129</v>
      </c>
      <c r="B244" s="2" t="s">
        <v>517</v>
      </c>
      <c r="C244" s="2" t="s">
        <v>1134</v>
      </c>
      <c r="D244" s="3">
        <v>564480</v>
      </c>
      <c r="E244" s="3">
        <v>564480</v>
      </c>
      <c r="F244" s="2" t="s">
        <v>16</v>
      </c>
      <c r="G244" s="2" t="s">
        <v>1135</v>
      </c>
      <c r="H244" s="3">
        <v>0</v>
      </c>
      <c r="I244" s="2" t="s">
        <v>18</v>
      </c>
      <c r="J244" s="2" t="s">
        <v>1136</v>
      </c>
      <c r="K244" s="2" t="s">
        <v>16</v>
      </c>
      <c r="L244" s="2" t="s">
        <v>1137</v>
      </c>
      <c r="M244" s="4">
        <v>65519.4</v>
      </c>
      <c r="N244" t="b">
        <f>OR(LEFT(B244,3)="frg",(_xlfn.XMATCH(B244,ZZZ_Part_Id_[[#All],[FGCODE]])))</f>
        <v>1</v>
      </c>
    </row>
    <row r="245" spans="1:14" x14ac:dyDescent="0.3">
      <c r="A245" s="2" t="s">
        <v>1138</v>
      </c>
      <c r="B245" s="2" t="s">
        <v>14</v>
      </c>
      <c r="C245" s="2" t="s">
        <v>1139</v>
      </c>
      <c r="D245" s="3">
        <v>8</v>
      </c>
      <c r="E245" s="3">
        <v>8</v>
      </c>
      <c r="F245" s="2" t="s">
        <v>16</v>
      </c>
      <c r="G245" s="2" t="s">
        <v>1140</v>
      </c>
      <c r="H245" s="3">
        <v>0</v>
      </c>
      <c r="I245" s="2" t="s">
        <v>409</v>
      </c>
      <c r="J245" s="2" t="s">
        <v>1141</v>
      </c>
      <c r="K245" s="2" t="s">
        <v>16</v>
      </c>
      <c r="L245" s="2" t="s">
        <v>1142</v>
      </c>
      <c r="M245" s="4">
        <v>0.62</v>
      </c>
      <c r="N245" t="e">
        <f>OR(LEFT(B245,3)="frg",(_xlfn.XMATCH(B245,ZZZ_Part_Id_[[#All],[FGCODE]])))</f>
        <v>#N/A</v>
      </c>
    </row>
    <row r="246" spans="1:14" x14ac:dyDescent="0.3">
      <c r="A246" s="2" t="s">
        <v>1138</v>
      </c>
      <c r="B246" s="2" t="s">
        <v>21</v>
      </c>
      <c r="C246" s="2" t="s">
        <v>1143</v>
      </c>
      <c r="D246" s="5">
        <v>-298</v>
      </c>
      <c r="E246" s="5">
        <v>-298</v>
      </c>
      <c r="F246" s="2" t="s">
        <v>23</v>
      </c>
      <c r="G246" s="2" t="s">
        <v>1144</v>
      </c>
      <c r="H246" s="3">
        <v>0</v>
      </c>
      <c r="I246" s="2" t="s">
        <v>409</v>
      </c>
      <c r="J246" s="2" t="s">
        <v>1145</v>
      </c>
      <c r="K246" s="2" t="s">
        <v>23</v>
      </c>
      <c r="L246" s="2" t="s">
        <v>1146</v>
      </c>
      <c r="M246" s="6">
        <v>-564.26</v>
      </c>
      <c r="N246" t="b">
        <f>OR(LEFT(B246,3)="frg",(_xlfn.XMATCH(B246,ZZZ_Part_Id_[[#All],[FGCODE]])))</f>
        <v>1</v>
      </c>
    </row>
    <row r="247" spans="1:14" x14ac:dyDescent="0.3">
      <c r="A247" s="2" t="s">
        <v>1138</v>
      </c>
      <c r="B247" s="2" t="s">
        <v>121</v>
      </c>
      <c r="C247" s="2" t="s">
        <v>1147</v>
      </c>
      <c r="D247" s="3">
        <v>59616</v>
      </c>
      <c r="E247" s="3">
        <v>59616</v>
      </c>
      <c r="F247" s="2" t="s">
        <v>16</v>
      </c>
      <c r="G247" s="2" t="s">
        <v>1148</v>
      </c>
      <c r="H247" s="3">
        <v>0</v>
      </c>
      <c r="I247" s="2" t="s">
        <v>409</v>
      </c>
      <c r="J247" s="2" t="s">
        <v>1149</v>
      </c>
      <c r="K247" s="2" t="s">
        <v>16</v>
      </c>
      <c r="L247" s="2" t="s">
        <v>1150</v>
      </c>
      <c r="M247" s="4">
        <v>11078.46</v>
      </c>
      <c r="N247" t="b">
        <f>OR(LEFT(B247,3)="frg",(_xlfn.XMATCH(B247,ZZZ_Part_Id_[[#All],[FGCODE]])))</f>
        <v>1</v>
      </c>
    </row>
    <row r="248" spans="1:14" x14ac:dyDescent="0.3">
      <c r="A248" s="2" t="s">
        <v>1151</v>
      </c>
      <c r="B248" s="2" t="s">
        <v>97</v>
      </c>
      <c r="C248" s="2" t="s">
        <v>1152</v>
      </c>
      <c r="D248" s="3">
        <v>172800</v>
      </c>
      <c r="E248" s="3">
        <v>172800</v>
      </c>
      <c r="F248" s="2" t="s">
        <v>16</v>
      </c>
      <c r="G248" s="2" t="s">
        <v>1153</v>
      </c>
      <c r="H248" s="3">
        <v>0</v>
      </c>
      <c r="I248" s="2" t="s">
        <v>18</v>
      </c>
      <c r="J248" s="2" t="s">
        <v>1154</v>
      </c>
      <c r="K248" s="2" t="s">
        <v>16</v>
      </c>
      <c r="L248" s="2" t="s">
        <v>1155</v>
      </c>
      <c r="M248" s="4">
        <v>36923.769999999997</v>
      </c>
      <c r="N248" t="b">
        <f>OR(LEFT(B248,3)="frg",(_xlfn.XMATCH(B248,ZZZ_Part_Id_[[#All],[FGCODE]])))</f>
        <v>1</v>
      </c>
    </row>
    <row r="249" spans="1:14" x14ac:dyDescent="0.3">
      <c r="A249" s="2" t="s">
        <v>1156</v>
      </c>
      <c r="B249" s="2" t="s">
        <v>37</v>
      </c>
      <c r="C249" s="2" t="s">
        <v>1157</v>
      </c>
      <c r="D249" s="3">
        <v>4</v>
      </c>
      <c r="E249" s="3">
        <v>4</v>
      </c>
      <c r="F249" s="2" t="s">
        <v>16</v>
      </c>
      <c r="G249" s="2" t="s">
        <v>1158</v>
      </c>
      <c r="H249" s="3">
        <v>0</v>
      </c>
      <c r="I249" s="2" t="s">
        <v>18</v>
      </c>
      <c r="J249" s="2" t="s">
        <v>1159</v>
      </c>
      <c r="K249" s="2" t="s">
        <v>16</v>
      </c>
      <c r="L249" s="2" t="s">
        <v>1160</v>
      </c>
      <c r="M249" s="4">
        <v>64</v>
      </c>
      <c r="N249" t="e">
        <f>OR(LEFT(B249,3)="frg",(_xlfn.XMATCH(B249,ZZZ_Part_Id_[[#All],[FGCODE]])))</f>
        <v>#N/A</v>
      </c>
    </row>
    <row r="250" spans="1:14" x14ac:dyDescent="0.3">
      <c r="A250" s="2" t="s">
        <v>1156</v>
      </c>
      <c r="B250" s="2" t="s">
        <v>65</v>
      </c>
      <c r="C250" s="2" t="s">
        <v>1161</v>
      </c>
      <c r="D250" s="5">
        <v>-249</v>
      </c>
      <c r="E250" s="5">
        <v>-249</v>
      </c>
      <c r="F250" s="2" t="s">
        <v>23</v>
      </c>
      <c r="G250" s="2" t="s">
        <v>1162</v>
      </c>
      <c r="H250" s="3">
        <v>0</v>
      </c>
      <c r="I250" s="2" t="s">
        <v>18</v>
      </c>
      <c r="J250" s="2" t="s">
        <v>1163</v>
      </c>
      <c r="K250" s="2" t="s">
        <v>23</v>
      </c>
      <c r="L250" s="2" t="s">
        <v>1164</v>
      </c>
      <c r="M250" s="6">
        <v>-640.33000000000004</v>
      </c>
      <c r="N250" t="b">
        <f>OR(LEFT(B250,3)="frg",(_xlfn.XMATCH(B250,ZZZ_Part_Id_[[#All],[FGCODE]])))</f>
        <v>1</v>
      </c>
    </row>
    <row r="251" spans="1:14" x14ac:dyDescent="0.3">
      <c r="A251" s="2" t="s">
        <v>1156</v>
      </c>
      <c r="B251" s="2" t="s">
        <v>97</v>
      </c>
      <c r="C251" s="2" t="s">
        <v>1165</v>
      </c>
      <c r="D251" s="3">
        <v>24000</v>
      </c>
      <c r="E251" s="3">
        <v>24000</v>
      </c>
      <c r="F251" s="2" t="s">
        <v>16</v>
      </c>
      <c r="G251" s="2" t="s">
        <v>1166</v>
      </c>
      <c r="H251" s="3">
        <v>0</v>
      </c>
      <c r="I251" s="2" t="s">
        <v>18</v>
      </c>
      <c r="J251" s="2" t="s">
        <v>1167</v>
      </c>
      <c r="K251" s="2" t="s">
        <v>16</v>
      </c>
      <c r="L251" s="2" t="s">
        <v>1168</v>
      </c>
      <c r="M251" s="4">
        <v>5128.3</v>
      </c>
      <c r="N251" t="b">
        <f>OR(LEFT(B251,3)="frg",(_xlfn.XMATCH(B251,ZZZ_Part_Id_[[#All],[FGCODE]])))</f>
        <v>1</v>
      </c>
    </row>
    <row r="252" spans="1:14" x14ac:dyDescent="0.3">
      <c r="A252" s="2" t="s">
        <v>1169</v>
      </c>
      <c r="B252" s="2" t="s">
        <v>1170</v>
      </c>
      <c r="C252" s="2" t="s">
        <v>1171</v>
      </c>
      <c r="D252" s="3">
        <v>4800</v>
      </c>
      <c r="E252" s="3">
        <v>4800</v>
      </c>
      <c r="F252" s="2" t="s">
        <v>16</v>
      </c>
      <c r="G252" s="2" t="s">
        <v>1172</v>
      </c>
      <c r="H252" s="3">
        <v>0</v>
      </c>
      <c r="I252" s="2" t="s">
        <v>18</v>
      </c>
      <c r="J252" s="2" t="s">
        <v>1173</v>
      </c>
      <c r="K252" s="2" t="s">
        <v>16</v>
      </c>
      <c r="L252" s="2" t="s">
        <v>1174</v>
      </c>
      <c r="M252" s="4">
        <v>1040.21</v>
      </c>
      <c r="N252" t="b">
        <f>OR(LEFT(B252,3)="frg",(_xlfn.XMATCH(B252,ZZZ_Part_Id_[[#All],[FGCODE]])))</f>
        <v>1</v>
      </c>
    </row>
    <row r="253" spans="1:14" x14ac:dyDescent="0.3">
      <c r="A253" s="2" t="s">
        <v>1175</v>
      </c>
      <c r="B253" s="2" t="s">
        <v>86</v>
      </c>
      <c r="C253" s="2" t="s">
        <v>1176</v>
      </c>
      <c r="D253" s="5">
        <v>-498</v>
      </c>
      <c r="E253" s="5">
        <v>-498</v>
      </c>
      <c r="F253" s="2" t="s">
        <v>23</v>
      </c>
      <c r="G253" s="2" t="s">
        <v>1177</v>
      </c>
      <c r="H253" s="3">
        <v>0</v>
      </c>
      <c r="I253" s="2" t="s">
        <v>18</v>
      </c>
      <c r="J253" s="2" t="s">
        <v>1178</v>
      </c>
      <c r="K253" s="2" t="s">
        <v>23</v>
      </c>
      <c r="L253" s="2" t="s">
        <v>1179</v>
      </c>
      <c r="M253" s="6">
        <v>-1303.6600000000001</v>
      </c>
      <c r="N253" t="b">
        <f>OR(LEFT(B253,3)="frg",(_xlfn.XMATCH(B253,ZZZ_Part_Id_[[#All],[FGCODE]])))</f>
        <v>1</v>
      </c>
    </row>
    <row r="254" spans="1:14" x14ac:dyDescent="0.3">
      <c r="A254" s="2" t="s">
        <v>1175</v>
      </c>
      <c r="B254" s="2" t="s">
        <v>1180</v>
      </c>
      <c r="C254" s="2" t="s">
        <v>1181</v>
      </c>
      <c r="D254" s="3">
        <v>43200</v>
      </c>
      <c r="E254" s="3">
        <v>43200</v>
      </c>
      <c r="F254" s="2" t="s">
        <v>16</v>
      </c>
      <c r="G254" s="2" t="s">
        <v>1182</v>
      </c>
      <c r="H254" s="3">
        <v>0</v>
      </c>
      <c r="I254" s="2" t="s">
        <v>18</v>
      </c>
      <c r="J254" s="2" t="s">
        <v>1183</v>
      </c>
      <c r="K254" s="2" t="s">
        <v>16</v>
      </c>
      <c r="L254" s="2" t="s">
        <v>1184</v>
      </c>
      <c r="M254" s="4">
        <v>9573.1200000000008</v>
      </c>
      <c r="N254" t="b">
        <f>OR(LEFT(B254,3)="frg",(_xlfn.XMATCH(B254,ZZZ_Part_Id_[[#All],[FGCODE]])))</f>
        <v>1</v>
      </c>
    </row>
    <row r="255" spans="1:14" x14ac:dyDescent="0.3">
      <c r="A255" s="2" t="s">
        <v>1185</v>
      </c>
      <c r="B255" s="2" t="s">
        <v>14</v>
      </c>
      <c r="C255" s="2" t="s">
        <v>1186</v>
      </c>
      <c r="D255" s="3">
        <v>40</v>
      </c>
      <c r="E255" s="3">
        <v>40</v>
      </c>
      <c r="F255" s="2" t="s">
        <v>16</v>
      </c>
      <c r="G255" s="2" t="s">
        <v>1187</v>
      </c>
      <c r="H255" s="3">
        <v>0</v>
      </c>
      <c r="I255" s="2" t="s">
        <v>18</v>
      </c>
      <c r="J255" s="2" t="s">
        <v>1188</v>
      </c>
      <c r="K255" s="2" t="s">
        <v>16</v>
      </c>
      <c r="L255" s="2" t="s">
        <v>1189</v>
      </c>
      <c r="M255" s="4">
        <v>3.08</v>
      </c>
      <c r="N255" t="e">
        <f>OR(LEFT(B255,3)="frg",(_xlfn.XMATCH(B255,ZZZ_Part_Id_[[#All],[FGCODE]])))</f>
        <v>#N/A</v>
      </c>
    </row>
    <row r="256" spans="1:14" x14ac:dyDescent="0.3">
      <c r="A256" s="2" t="s">
        <v>1185</v>
      </c>
      <c r="B256" s="2" t="s">
        <v>97</v>
      </c>
      <c r="C256" s="2" t="s">
        <v>1190</v>
      </c>
      <c r="D256" s="3">
        <v>153600</v>
      </c>
      <c r="E256" s="3">
        <v>153600</v>
      </c>
      <c r="F256" s="2" t="s">
        <v>16</v>
      </c>
      <c r="G256" s="2" t="s">
        <v>1191</v>
      </c>
      <c r="H256" s="3">
        <v>0</v>
      </c>
      <c r="I256" s="2" t="s">
        <v>18</v>
      </c>
      <c r="J256" s="2" t="s">
        <v>1192</v>
      </c>
      <c r="K256" s="2" t="s">
        <v>16</v>
      </c>
      <c r="L256" s="2" t="s">
        <v>1193</v>
      </c>
      <c r="M256" s="4">
        <v>32821.129999999997</v>
      </c>
      <c r="N256" t="b">
        <f>OR(LEFT(B256,3)="frg",(_xlfn.XMATCH(B256,ZZZ_Part_Id_[[#All],[FGCODE]])))</f>
        <v>1</v>
      </c>
    </row>
    <row r="257" spans="1:14" x14ac:dyDescent="0.3">
      <c r="A257" s="2" t="s">
        <v>1194</v>
      </c>
      <c r="B257" s="2" t="s">
        <v>14</v>
      </c>
      <c r="C257" s="2" t="s">
        <v>1195</v>
      </c>
      <c r="D257" s="3">
        <v>64</v>
      </c>
      <c r="E257" s="3">
        <v>64</v>
      </c>
      <c r="F257" s="2" t="s">
        <v>16</v>
      </c>
      <c r="G257" s="2" t="s">
        <v>1196</v>
      </c>
      <c r="H257" s="3">
        <v>0</v>
      </c>
      <c r="I257" s="2" t="s">
        <v>18</v>
      </c>
      <c r="J257" s="2" t="s">
        <v>1197</v>
      </c>
      <c r="K257" s="2" t="s">
        <v>16</v>
      </c>
      <c r="L257" s="2" t="s">
        <v>1198</v>
      </c>
      <c r="M257" s="4">
        <v>4.92</v>
      </c>
      <c r="N257" t="e">
        <f>OR(LEFT(B257,3)="frg",(_xlfn.XMATCH(B257,ZZZ_Part_Id_[[#All],[FGCODE]])))</f>
        <v>#N/A</v>
      </c>
    </row>
    <row r="258" spans="1:14" x14ac:dyDescent="0.3">
      <c r="A258" s="2" t="s">
        <v>1194</v>
      </c>
      <c r="B258" s="2" t="s">
        <v>1119</v>
      </c>
      <c r="C258" s="2" t="s">
        <v>1199</v>
      </c>
      <c r="D258" s="3">
        <v>1192860</v>
      </c>
      <c r="E258" s="3">
        <v>1192860</v>
      </c>
      <c r="F258" s="2" t="s">
        <v>16</v>
      </c>
      <c r="G258" s="2" t="s">
        <v>1200</v>
      </c>
      <c r="H258" s="3">
        <v>0</v>
      </c>
      <c r="I258" s="2" t="s">
        <v>18</v>
      </c>
      <c r="J258" s="2" t="s">
        <v>1201</v>
      </c>
      <c r="K258" s="2" t="s">
        <v>16</v>
      </c>
      <c r="L258" s="2" t="s">
        <v>1202</v>
      </c>
      <c r="M258" s="4">
        <v>48537.37</v>
      </c>
      <c r="N258" t="b">
        <f>OR(LEFT(B258,3)="frg",(_xlfn.XMATCH(B258,ZZZ_Part_Id_[[#All],[FGCODE]])))</f>
        <v>1</v>
      </c>
    </row>
    <row r="259" spans="1:14" x14ac:dyDescent="0.3">
      <c r="A259" s="2" t="s">
        <v>1203</v>
      </c>
      <c r="B259" s="2" t="s">
        <v>86</v>
      </c>
      <c r="C259" s="2" t="s">
        <v>1204</v>
      </c>
      <c r="D259" s="5">
        <v>-249</v>
      </c>
      <c r="E259" s="5">
        <v>-249</v>
      </c>
      <c r="F259" s="2" t="s">
        <v>23</v>
      </c>
      <c r="G259" s="2" t="s">
        <v>1205</v>
      </c>
      <c r="H259" s="3">
        <v>0</v>
      </c>
      <c r="I259" s="2" t="s">
        <v>18</v>
      </c>
      <c r="J259" s="2" t="s">
        <v>1206</v>
      </c>
      <c r="K259" s="2" t="s">
        <v>23</v>
      </c>
      <c r="L259" s="2" t="s">
        <v>1207</v>
      </c>
      <c r="M259" s="6">
        <v>-651.83000000000004</v>
      </c>
      <c r="N259" t="b">
        <f>OR(LEFT(B259,3)="frg",(_xlfn.XMATCH(B259,ZZZ_Part_Id_[[#All],[FGCODE]])))</f>
        <v>1</v>
      </c>
    </row>
    <row r="260" spans="1:14" x14ac:dyDescent="0.3">
      <c r="A260" s="2" t="s">
        <v>1203</v>
      </c>
      <c r="B260" s="2" t="s">
        <v>1180</v>
      </c>
      <c r="C260" s="2" t="s">
        <v>1208</v>
      </c>
      <c r="D260" s="3">
        <v>28800</v>
      </c>
      <c r="E260" s="3">
        <v>28800</v>
      </c>
      <c r="F260" s="2" t="s">
        <v>16</v>
      </c>
      <c r="G260" s="2" t="s">
        <v>1209</v>
      </c>
      <c r="H260" s="3">
        <v>0</v>
      </c>
      <c r="I260" s="2" t="s">
        <v>18</v>
      </c>
      <c r="J260" s="2" t="s">
        <v>1210</v>
      </c>
      <c r="K260" s="2" t="s">
        <v>16</v>
      </c>
      <c r="L260" s="2" t="s">
        <v>1211</v>
      </c>
      <c r="M260" s="4">
        <v>6382.08</v>
      </c>
      <c r="N260" t="b">
        <f>OR(LEFT(B260,3)="frg",(_xlfn.XMATCH(B260,ZZZ_Part_Id_[[#All],[FGCODE]])))</f>
        <v>1</v>
      </c>
    </row>
    <row r="261" spans="1:14" x14ac:dyDescent="0.3">
      <c r="A261" s="2" t="s">
        <v>1212</v>
      </c>
      <c r="B261" s="2" t="s">
        <v>1027</v>
      </c>
      <c r="C261" s="2" t="s">
        <v>1213</v>
      </c>
      <c r="D261" s="3">
        <v>106200</v>
      </c>
      <c r="E261" s="3">
        <v>106200</v>
      </c>
      <c r="F261" s="2" t="s">
        <v>16</v>
      </c>
      <c r="G261" s="2" t="s">
        <v>1214</v>
      </c>
      <c r="H261" s="3">
        <v>0</v>
      </c>
      <c r="I261" s="2" t="s">
        <v>18</v>
      </c>
      <c r="J261" s="2" t="s">
        <v>1215</v>
      </c>
      <c r="K261" s="2" t="s">
        <v>16</v>
      </c>
      <c r="L261" s="2" t="s">
        <v>1216</v>
      </c>
      <c r="M261" s="4">
        <v>13347.2</v>
      </c>
      <c r="N261" t="b">
        <f>OR(LEFT(B261,3)="frg",(_xlfn.XMATCH(B261,ZZZ_Part_Id_[[#All],[FGCODE]])))</f>
        <v>1</v>
      </c>
    </row>
    <row r="262" spans="1:14" x14ac:dyDescent="0.3">
      <c r="A262" s="2" t="s">
        <v>1217</v>
      </c>
      <c r="B262" s="2" t="s">
        <v>97</v>
      </c>
      <c r="C262" s="2" t="s">
        <v>1218</v>
      </c>
      <c r="D262" s="3">
        <v>57600</v>
      </c>
      <c r="E262" s="3">
        <v>57600</v>
      </c>
      <c r="F262" s="2" t="s">
        <v>16</v>
      </c>
      <c r="G262" s="2" t="s">
        <v>1219</v>
      </c>
      <c r="H262" s="3">
        <v>0</v>
      </c>
      <c r="I262" s="2" t="s">
        <v>18</v>
      </c>
      <c r="J262" s="2" t="s">
        <v>1220</v>
      </c>
      <c r="K262" s="2" t="s">
        <v>16</v>
      </c>
      <c r="L262" s="2" t="s">
        <v>1221</v>
      </c>
      <c r="M262" s="4">
        <v>12307.92</v>
      </c>
      <c r="N262" t="b">
        <f>OR(LEFT(B262,3)="frg",(_xlfn.XMATCH(B262,ZZZ_Part_Id_[[#All],[FGCODE]])))</f>
        <v>1</v>
      </c>
    </row>
    <row r="263" spans="1:14" x14ac:dyDescent="0.3">
      <c r="A263" s="2" t="s">
        <v>1222</v>
      </c>
      <c r="B263" s="2" t="s">
        <v>14</v>
      </c>
      <c r="C263" s="2" t="s">
        <v>1223</v>
      </c>
      <c r="D263" s="3">
        <v>20</v>
      </c>
      <c r="E263" s="3">
        <v>20</v>
      </c>
      <c r="F263" s="2" t="s">
        <v>16</v>
      </c>
      <c r="G263" s="2" t="s">
        <v>1224</v>
      </c>
      <c r="H263" s="3">
        <v>0</v>
      </c>
      <c r="I263" s="2" t="s">
        <v>18</v>
      </c>
      <c r="J263" s="2" t="s">
        <v>1225</v>
      </c>
      <c r="K263" s="2" t="s">
        <v>16</v>
      </c>
      <c r="L263" s="2" t="s">
        <v>1226</v>
      </c>
      <c r="M263" s="4">
        <v>1.54</v>
      </c>
      <c r="N263" t="e">
        <f>OR(LEFT(B263,3)="frg",(_xlfn.XMATCH(B263,ZZZ_Part_Id_[[#All],[FGCODE]])))</f>
        <v>#N/A</v>
      </c>
    </row>
    <row r="264" spans="1:14" x14ac:dyDescent="0.3">
      <c r="A264" s="2" t="s">
        <v>1222</v>
      </c>
      <c r="B264" s="2" t="s">
        <v>1119</v>
      </c>
      <c r="C264" s="2" t="s">
        <v>1227</v>
      </c>
      <c r="D264" s="3">
        <v>558360</v>
      </c>
      <c r="E264" s="3">
        <v>558360</v>
      </c>
      <c r="F264" s="2" t="s">
        <v>16</v>
      </c>
      <c r="G264" s="2" t="s">
        <v>1228</v>
      </c>
      <c r="H264" s="3">
        <v>0</v>
      </c>
      <c r="I264" s="2" t="s">
        <v>18</v>
      </c>
      <c r="J264" s="2" t="s">
        <v>1229</v>
      </c>
      <c r="K264" s="2" t="s">
        <v>16</v>
      </c>
      <c r="L264" s="2" t="s">
        <v>1230</v>
      </c>
      <c r="M264" s="4">
        <v>22719.62</v>
      </c>
      <c r="N264" t="b">
        <f>OR(LEFT(B264,3)="frg",(_xlfn.XMATCH(B264,ZZZ_Part_Id_[[#All],[FGCODE]])))</f>
        <v>1</v>
      </c>
    </row>
    <row r="265" spans="1:14" x14ac:dyDescent="0.3">
      <c r="A265" s="2" t="s">
        <v>1231</v>
      </c>
      <c r="B265" s="2" t="s">
        <v>97</v>
      </c>
      <c r="C265" s="2" t="s">
        <v>1232</v>
      </c>
      <c r="D265" s="3">
        <v>211200</v>
      </c>
      <c r="E265" s="3">
        <v>211200</v>
      </c>
      <c r="F265" s="2" t="s">
        <v>16</v>
      </c>
      <c r="G265" s="2" t="s">
        <v>1233</v>
      </c>
      <c r="H265" s="3">
        <v>0</v>
      </c>
      <c r="I265" s="2" t="s">
        <v>18</v>
      </c>
      <c r="J265" s="2" t="s">
        <v>1234</v>
      </c>
      <c r="K265" s="2" t="s">
        <v>16</v>
      </c>
      <c r="L265" s="2" t="s">
        <v>1235</v>
      </c>
      <c r="M265" s="4">
        <v>45129.05</v>
      </c>
      <c r="N265" t="b">
        <f>OR(LEFT(B265,3)="frg",(_xlfn.XMATCH(B265,ZZZ_Part_Id_[[#All],[FGCODE]])))</f>
        <v>1</v>
      </c>
    </row>
    <row r="266" spans="1:14" x14ac:dyDescent="0.3">
      <c r="A266" s="2" t="s">
        <v>1236</v>
      </c>
      <c r="B266" s="2" t="s">
        <v>14</v>
      </c>
      <c r="C266" s="2" t="s">
        <v>1237</v>
      </c>
      <c r="D266" s="3">
        <v>10</v>
      </c>
      <c r="E266" s="3">
        <v>10</v>
      </c>
      <c r="F266" s="2" t="s">
        <v>16</v>
      </c>
      <c r="G266" s="2" t="s">
        <v>1238</v>
      </c>
      <c r="H266" s="3">
        <v>0</v>
      </c>
      <c r="I266" s="2" t="s">
        <v>18</v>
      </c>
      <c r="J266" s="2" t="s">
        <v>1239</v>
      </c>
      <c r="K266" s="2" t="s">
        <v>16</v>
      </c>
      <c r="L266" s="2" t="s">
        <v>1240</v>
      </c>
      <c r="M266" s="4">
        <v>0.77</v>
      </c>
      <c r="N266" t="e">
        <f>OR(LEFT(B266,3)="frg",(_xlfn.XMATCH(B266,ZZZ_Part_Id_[[#All],[FGCODE]])))</f>
        <v>#N/A</v>
      </c>
    </row>
    <row r="267" spans="1:14" x14ac:dyDescent="0.3">
      <c r="A267" s="2" t="s">
        <v>1236</v>
      </c>
      <c r="B267" s="2" t="s">
        <v>65</v>
      </c>
      <c r="C267" s="2" t="s">
        <v>1241</v>
      </c>
      <c r="D267" s="5">
        <v>-295</v>
      </c>
      <c r="E267" s="5">
        <v>-295</v>
      </c>
      <c r="F267" s="2" t="s">
        <v>23</v>
      </c>
      <c r="G267" s="2" t="s">
        <v>1242</v>
      </c>
      <c r="H267" s="3">
        <v>0</v>
      </c>
      <c r="I267" s="2" t="s">
        <v>18</v>
      </c>
      <c r="J267" s="2" t="s">
        <v>1243</v>
      </c>
      <c r="K267" s="2" t="s">
        <v>23</v>
      </c>
      <c r="L267" s="2" t="s">
        <v>1244</v>
      </c>
      <c r="M267" s="6">
        <v>-758.62</v>
      </c>
      <c r="N267" t="b">
        <f>OR(LEFT(B267,3)="frg",(_xlfn.XMATCH(B267,ZZZ_Part_Id_[[#All],[FGCODE]])))</f>
        <v>1</v>
      </c>
    </row>
    <row r="268" spans="1:14" x14ac:dyDescent="0.3">
      <c r="A268" s="2" t="s">
        <v>1236</v>
      </c>
      <c r="B268" s="2" t="s">
        <v>1245</v>
      </c>
      <c r="C268" s="2" t="s">
        <v>1246</v>
      </c>
      <c r="D268" s="3">
        <v>40320</v>
      </c>
      <c r="E268" s="3">
        <v>40320</v>
      </c>
      <c r="F268" s="2" t="s">
        <v>16</v>
      </c>
      <c r="G268" s="2" t="s">
        <v>1247</v>
      </c>
      <c r="H268" s="3">
        <v>0</v>
      </c>
      <c r="I268" s="2" t="s">
        <v>18</v>
      </c>
      <c r="J268" s="2" t="s">
        <v>1248</v>
      </c>
      <c r="K268" s="2" t="s">
        <v>16</v>
      </c>
      <c r="L268" s="2" t="s">
        <v>1249</v>
      </c>
      <c r="M268" s="4">
        <v>5045.24</v>
      </c>
      <c r="N268" t="b">
        <f>OR(LEFT(B268,3)="frg",(_xlfn.XMATCH(B268,ZZZ_Part_Id_[[#All],[FGCODE]])))</f>
        <v>1</v>
      </c>
    </row>
    <row r="269" spans="1:14" x14ac:dyDescent="0.3">
      <c r="A269" s="2" t="s">
        <v>1250</v>
      </c>
      <c r="B269" s="2" t="s">
        <v>426</v>
      </c>
      <c r="C269" s="2" t="s">
        <v>1251</v>
      </c>
      <c r="D269" s="3">
        <v>304704</v>
      </c>
      <c r="E269" s="3">
        <v>304704</v>
      </c>
      <c r="F269" s="2" t="s">
        <v>16</v>
      </c>
      <c r="G269" s="2" t="s">
        <v>1252</v>
      </c>
      <c r="H269" s="3">
        <v>0</v>
      </c>
      <c r="I269" s="2" t="s">
        <v>18</v>
      </c>
      <c r="J269" s="2" t="s">
        <v>1253</v>
      </c>
      <c r="K269" s="2" t="s">
        <v>16</v>
      </c>
      <c r="L269" s="2" t="s">
        <v>1254</v>
      </c>
      <c r="M269" s="4">
        <v>56747.9</v>
      </c>
      <c r="N269" t="b">
        <f>OR(LEFT(B269,3)="frg",(_xlfn.XMATCH(B269,ZZZ_Part_Id_[[#All],[FGCODE]])))</f>
        <v>1</v>
      </c>
    </row>
    <row r="270" spans="1:14" x14ac:dyDescent="0.3">
      <c r="A270" s="2" t="s">
        <v>1255</v>
      </c>
      <c r="B270" s="2" t="s">
        <v>97</v>
      </c>
      <c r="C270" s="2" t="s">
        <v>1256</v>
      </c>
      <c r="D270" s="3">
        <v>100800</v>
      </c>
      <c r="E270" s="3">
        <v>100800</v>
      </c>
      <c r="F270" s="2" t="s">
        <v>16</v>
      </c>
      <c r="G270" s="2" t="s">
        <v>1257</v>
      </c>
      <c r="H270" s="3">
        <v>0</v>
      </c>
      <c r="I270" s="2" t="s">
        <v>18</v>
      </c>
      <c r="J270" s="2" t="s">
        <v>1258</v>
      </c>
      <c r="K270" s="2" t="s">
        <v>16</v>
      </c>
      <c r="L270" s="2" t="s">
        <v>1259</v>
      </c>
      <c r="M270" s="4">
        <v>21538.87</v>
      </c>
      <c r="N270" t="b">
        <f>OR(LEFT(B270,3)="frg",(_xlfn.XMATCH(B270,ZZZ_Part_Id_[[#All],[FGCODE]])))</f>
        <v>1</v>
      </c>
    </row>
    <row r="271" spans="1:14" x14ac:dyDescent="0.3">
      <c r="A271" s="2" t="s">
        <v>1260</v>
      </c>
      <c r="B271" s="2" t="s">
        <v>14</v>
      </c>
      <c r="C271" s="2" t="s">
        <v>1261</v>
      </c>
      <c r="D271" s="3">
        <v>40</v>
      </c>
      <c r="E271" s="3">
        <v>40</v>
      </c>
      <c r="F271" s="2" t="s">
        <v>16</v>
      </c>
      <c r="G271" s="2" t="s">
        <v>1262</v>
      </c>
      <c r="H271" s="3">
        <v>0</v>
      </c>
      <c r="I271" s="2" t="s">
        <v>18</v>
      </c>
      <c r="J271" s="2" t="s">
        <v>1263</v>
      </c>
      <c r="K271" s="2" t="s">
        <v>16</v>
      </c>
      <c r="L271" s="2" t="s">
        <v>1264</v>
      </c>
      <c r="M271" s="4">
        <v>3.08</v>
      </c>
      <c r="N271" t="e">
        <f>OR(LEFT(B271,3)="frg",(_xlfn.XMATCH(B271,ZZZ_Part_Id_[[#All],[FGCODE]])))</f>
        <v>#N/A</v>
      </c>
    </row>
    <row r="272" spans="1:14" x14ac:dyDescent="0.3">
      <c r="A272" s="2" t="s">
        <v>1260</v>
      </c>
      <c r="B272" s="2" t="s">
        <v>1119</v>
      </c>
      <c r="C272" s="2" t="s">
        <v>1265</v>
      </c>
      <c r="D272" s="3">
        <v>913680</v>
      </c>
      <c r="E272" s="3">
        <v>913680</v>
      </c>
      <c r="F272" s="2" t="s">
        <v>16</v>
      </c>
      <c r="G272" s="2" t="s">
        <v>1266</v>
      </c>
      <c r="H272" s="3">
        <v>0</v>
      </c>
      <c r="I272" s="2" t="s">
        <v>18</v>
      </c>
      <c r="J272" s="2" t="s">
        <v>1267</v>
      </c>
      <c r="K272" s="2" t="s">
        <v>16</v>
      </c>
      <c r="L272" s="2" t="s">
        <v>1268</v>
      </c>
      <c r="M272" s="4">
        <v>37177.56</v>
      </c>
      <c r="N272" t="b">
        <f>OR(LEFT(B272,3)="frg",(_xlfn.XMATCH(B272,ZZZ_Part_Id_[[#All],[FGCODE]])))</f>
        <v>1</v>
      </c>
    </row>
    <row r="273" spans="1:14" x14ac:dyDescent="0.3">
      <c r="A273" s="2" t="s">
        <v>1269</v>
      </c>
      <c r="B273" s="2" t="s">
        <v>14</v>
      </c>
      <c r="C273" s="2" t="s">
        <v>1270</v>
      </c>
      <c r="D273" s="3">
        <v>12</v>
      </c>
      <c r="E273" s="3">
        <v>12</v>
      </c>
      <c r="F273" s="2" t="s">
        <v>16</v>
      </c>
      <c r="G273" s="2" t="s">
        <v>1271</v>
      </c>
      <c r="H273" s="3">
        <v>0</v>
      </c>
      <c r="I273" s="2" t="s">
        <v>18</v>
      </c>
      <c r="J273" s="2" t="s">
        <v>1272</v>
      </c>
      <c r="K273" s="2" t="s">
        <v>16</v>
      </c>
      <c r="L273" s="2" t="s">
        <v>1273</v>
      </c>
      <c r="M273" s="4">
        <v>0.92</v>
      </c>
      <c r="N273" t="e">
        <f>OR(LEFT(B273,3)="frg",(_xlfn.XMATCH(B273,ZZZ_Part_Id_[[#All],[FGCODE]])))</f>
        <v>#N/A</v>
      </c>
    </row>
    <row r="274" spans="1:14" x14ac:dyDescent="0.3">
      <c r="A274" s="2" t="s">
        <v>1269</v>
      </c>
      <c r="B274" s="2" t="s">
        <v>65</v>
      </c>
      <c r="C274" s="2" t="s">
        <v>1274</v>
      </c>
      <c r="D274" s="5">
        <v>-1155</v>
      </c>
      <c r="E274" s="5">
        <v>-1155</v>
      </c>
      <c r="F274" s="2" t="s">
        <v>23</v>
      </c>
      <c r="G274" s="2" t="s">
        <v>1275</v>
      </c>
      <c r="H274" s="3">
        <v>0</v>
      </c>
      <c r="I274" s="2" t="s">
        <v>18</v>
      </c>
      <c r="J274" s="2" t="s">
        <v>1276</v>
      </c>
      <c r="K274" s="2" t="s">
        <v>23</v>
      </c>
      <c r="L274" s="2" t="s">
        <v>1277</v>
      </c>
      <c r="M274" s="6">
        <v>-2970.2</v>
      </c>
      <c r="N274" t="b">
        <f>OR(LEFT(B274,3)="frg",(_xlfn.XMATCH(B274,ZZZ_Part_Id_[[#All],[FGCODE]])))</f>
        <v>1</v>
      </c>
    </row>
    <row r="275" spans="1:14" x14ac:dyDescent="0.3">
      <c r="A275" s="2" t="s">
        <v>1269</v>
      </c>
      <c r="B275" s="2" t="s">
        <v>947</v>
      </c>
      <c r="C275" s="2" t="s">
        <v>1278</v>
      </c>
      <c r="D275" s="3">
        <v>330240</v>
      </c>
      <c r="E275" s="3">
        <v>330240</v>
      </c>
      <c r="F275" s="2" t="s">
        <v>16</v>
      </c>
      <c r="G275" s="2" t="s">
        <v>1279</v>
      </c>
      <c r="H275" s="3">
        <v>0</v>
      </c>
      <c r="I275" s="2" t="s">
        <v>18</v>
      </c>
      <c r="J275" s="2" t="s">
        <v>1280</v>
      </c>
      <c r="K275" s="2" t="s">
        <v>16</v>
      </c>
      <c r="L275" s="2" t="s">
        <v>1281</v>
      </c>
      <c r="M275" s="4">
        <v>20891.04</v>
      </c>
      <c r="N275" t="b">
        <f>OR(LEFT(B275,3)="frg",(_xlfn.XMATCH(B275,ZZZ_Part_Id_[[#All],[FGCODE]])))</f>
        <v>1</v>
      </c>
    </row>
    <row r="276" spans="1:14" x14ac:dyDescent="0.3">
      <c r="A276" s="2" t="s">
        <v>1282</v>
      </c>
      <c r="B276" s="2" t="s">
        <v>426</v>
      </c>
      <c r="C276" s="2" t="s">
        <v>1283</v>
      </c>
      <c r="D276" s="3">
        <v>105984</v>
      </c>
      <c r="E276" s="3">
        <v>105984</v>
      </c>
      <c r="F276" s="2" t="s">
        <v>16</v>
      </c>
      <c r="G276" s="2" t="s">
        <v>1284</v>
      </c>
      <c r="H276" s="3">
        <v>0</v>
      </c>
      <c r="I276" s="2" t="s">
        <v>409</v>
      </c>
      <c r="J276" s="2" t="s">
        <v>1285</v>
      </c>
      <c r="K276" s="2" t="s">
        <v>16</v>
      </c>
      <c r="L276" s="2" t="s">
        <v>1286</v>
      </c>
      <c r="M276" s="4">
        <v>19738.400000000001</v>
      </c>
      <c r="N276" t="b">
        <f>OR(LEFT(B276,3)="frg",(_xlfn.XMATCH(B276,ZZZ_Part_Id_[[#All],[FGCODE]])))</f>
        <v>1</v>
      </c>
    </row>
    <row r="277" spans="1:14" x14ac:dyDescent="0.3">
      <c r="A277" s="2" t="s">
        <v>1287</v>
      </c>
      <c r="B277" s="2" t="s">
        <v>14</v>
      </c>
      <c r="C277" s="2" t="s">
        <v>1288</v>
      </c>
      <c r="D277" s="3">
        <v>40</v>
      </c>
      <c r="E277" s="3">
        <v>40</v>
      </c>
      <c r="F277" s="2" t="s">
        <v>16</v>
      </c>
      <c r="G277" s="2" t="s">
        <v>1289</v>
      </c>
      <c r="H277" s="3">
        <v>0</v>
      </c>
      <c r="I277" s="2" t="s">
        <v>409</v>
      </c>
      <c r="J277" s="2" t="s">
        <v>1290</v>
      </c>
      <c r="K277" s="2" t="s">
        <v>16</v>
      </c>
      <c r="L277" s="2" t="s">
        <v>1291</v>
      </c>
      <c r="M277" s="4">
        <v>3.08</v>
      </c>
      <c r="N277" t="e">
        <f>OR(LEFT(B277,3)="frg",(_xlfn.XMATCH(B277,ZZZ_Part_Id_[[#All],[FGCODE]])))</f>
        <v>#N/A</v>
      </c>
    </row>
    <row r="278" spans="1:14" x14ac:dyDescent="0.3">
      <c r="A278" s="2" t="s">
        <v>1287</v>
      </c>
      <c r="B278" s="2" t="s">
        <v>1119</v>
      </c>
      <c r="C278" s="2" t="s">
        <v>1292</v>
      </c>
      <c r="D278" s="3">
        <v>913680</v>
      </c>
      <c r="E278" s="3">
        <v>913680</v>
      </c>
      <c r="F278" s="2" t="s">
        <v>16</v>
      </c>
      <c r="G278" s="2" t="s">
        <v>1293</v>
      </c>
      <c r="H278" s="3">
        <v>0</v>
      </c>
      <c r="I278" s="2" t="s">
        <v>409</v>
      </c>
      <c r="J278" s="2" t="s">
        <v>1294</v>
      </c>
      <c r="K278" s="2" t="s">
        <v>16</v>
      </c>
      <c r="L278" s="2" t="s">
        <v>1295</v>
      </c>
      <c r="M278" s="4">
        <v>37177.56</v>
      </c>
      <c r="N278" t="b">
        <f>OR(LEFT(B278,3)="frg",(_xlfn.XMATCH(B278,ZZZ_Part_Id_[[#All],[FGCODE]])))</f>
        <v>1</v>
      </c>
    </row>
    <row r="279" spans="1:14" x14ac:dyDescent="0.3">
      <c r="A279" s="2" t="s">
        <v>1296</v>
      </c>
      <c r="B279" s="2" t="s">
        <v>14</v>
      </c>
      <c r="C279" s="2" t="s">
        <v>1297</v>
      </c>
      <c r="D279" s="3">
        <v>58</v>
      </c>
      <c r="E279" s="3">
        <v>58</v>
      </c>
      <c r="F279" s="2" t="s">
        <v>16</v>
      </c>
      <c r="G279" s="2" t="s">
        <v>1298</v>
      </c>
      <c r="H279" s="3">
        <v>0</v>
      </c>
      <c r="I279" s="2" t="s">
        <v>409</v>
      </c>
      <c r="J279" s="2" t="s">
        <v>1299</v>
      </c>
      <c r="K279" s="2" t="s">
        <v>16</v>
      </c>
      <c r="L279" s="2" t="s">
        <v>1300</v>
      </c>
      <c r="M279" s="4">
        <v>4.46</v>
      </c>
      <c r="N279" t="e">
        <f>OR(LEFT(B279,3)="frg",(_xlfn.XMATCH(B279,ZZZ_Part_Id_[[#All],[FGCODE]])))</f>
        <v>#N/A</v>
      </c>
    </row>
    <row r="280" spans="1:14" x14ac:dyDescent="0.3">
      <c r="A280" s="2" t="s">
        <v>1296</v>
      </c>
      <c r="B280" s="2" t="s">
        <v>172</v>
      </c>
      <c r="C280" s="2" t="s">
        <v>1301</v>
      </c>
      <c r="D280" s="3">
        <v>16.356000000000002</v>
      </c>
      <c r="E280" s="3">
        <v>16.356000000000002</v>
      </c>
      <c r="F280" s="2" t="s">
        <v>23</v>
      </c>
      <c r="G280" s="2" t="s">
        <v>1302</v>
      </c>
      <c r="H280" s="3">
        <v>0</v>
      </c>
      <c r="I280" s="2" t="s">
        <v>409</v>
      </c>
      <c r="J280" s="2" t="s">
        <v>1303</v>
      </c>
      <c r="K280" s="2" t="s">
        <v>23</v>
      </c>
      <c r="L280" s="2" t="s">
        <v>1304</v>
      </c>
      <c r="M280" s="4">
        <v>106.31</v>
      </c>
      <c r="N280" t="e">
        <f>OR(LEFT(B280,3)="frg",(_xlfn.XMATCH(B280,ZZZ_Part_Id_[[#All],[FGCODE]])))</f>
        <v>#N/A</v>
      </c>
    </row>
    <row r="281" spans="1:14" x14ac:dyDescent="0.3">
      <c r="A281" s="2" t="s">
        <v>1296</v>
      </c>
      <c r="B281" s="2" t="s">
        <v>426</v>
      </c>
      <c r="C281" s="2" t="s">
        <v>1305</v>
      </c>
      <c r="D281" s="3">
        <v>384192</v>
      </c>
      <c r="E281" s="3">
        <v>384192</v>
      </c>
      <c r="F281" s="2" t="s">
        <v>16</v>
      </c>
      <c r="G281" s="2" t="s">
        <v>1306</v>
      </c>
      <c r="H281" s="3">
        <v>0</v>
      </c>
      <c r="I281" s="2" t="s">
        <v>409</v>
      </c>
      <c r="J281" s="2" t="s">
        <v>1307</v>
      </c>
      <c r="K281" s="2" t="s">
        <v>16</v>
      </c>
      <c r="L281" s="2" t="s">
        <v>1308</v>
      </c>
      <c r="M281" s="4">
        <v>71551.7</v>
      </c>
      <c r="N281" t="b">
        <f>OR(LEFT(B281,3)="frg",(_xlfn.XMATCH(B281,ZZZ_Part_Id_[[#All],[FGCODE]])))</f>
        <v>1</v>
      </c>
    </row>
    <row r="282" spans="1:14" x14ac:dyDescent="0.3">
      <c r="A282" s="2" t="s">
        <v>1309</v>
      </c>
      <c r="B282" s="2" t="s">
        <v>14</v>
      </c>
      <c r="C282" s="2" t="s">
        <v>1310</v>
      </c>
      <c r="D282" s="3">
        <v>140</v>
      </c>
      <c r="E282" s="3">
        <v>140</v>
      </c>
      <c r="F282" s="2" t="s">
        <v>16</v>
      </c>
      <c r="G282" s="2" t="s">
        <v>1311</v>
      </c>
      <c r="H282" s="3">
        <v>0</v>
      </c>
      <c r="I282" s="2" t="s">
        <v>18</v>
      </c>
      <c r="J282" s="2" t="s">
        <v>1312</v>
      </c>
      <c r="K282" s="2" t="s">
        <v>16</v>
      </c>
      <c r="L282" s="2" t="s">
        <v>1313</v>
      </c>
      <c r="M282" s="4">
        <v>10.77</v>
      </c>
      <c r="N282" t="e">
        <f>OR(LEFT(B282,3)="frg",(_xlfn.XMATCH(B282,ZZZ_Part_Id_[[#All],[FGCODE]])))</f>
        <v>#N/A</v>
      </c>
    </row>
    <row r="283" spans="1:14" x14ac:dyDescent="0.3">
      <c r="A283" s="2" t="s">
        <v>1309</v>
      </c>
      <c r="B283" s="2" t="s">
        <v>740</v>
      </c>
      <c r="C283" s="2" t="s">
        <v>1314</v>
      </c>
      <c r="D283" s="3">
        <v>509760</v>
      </c>
      <c r="E283" s="3">
        <v>509760</v>
      </c>
      <c r="F283" s="2" t="s">
        <v>16</v>
      </c>
      <c r="G283" s="2" t="s">
        <v>1315</v>
      </c>
      <c r="H283" s="3">
        <v>0</v>
      </c>
      <c r="I283" s="2" t="s">
        <v>18</v>
      </c>
      <c r="J283" s="2" t="s">
        <v>1316</v>
      </c>
      <c r="K283" s="2" t="s">
        <v>16</v>
      </c>
      <c r="L283" s="2" t="s">
        <v>1317</v>
      </c>
      <c r="M283" s="4">
        <v>62746.559999999998</v>
      </c>
      <c r="N283" t="b">
        <f>OR(LEFT(B283,3)="frg",(_xlfn.XMATCH(B283,ZZZ_Part_Id_[[#All],[FGCODE]])))</f>
        <v>1</v>
      </c>
    </row>
    <row r="284" spans="1:14" x14ac:dyDescent="0.3">
      <c r="A284" s="2" t="s">
        <v>1318</v>
      </c>
      <c r="B284" s="2" t="s">
        <v>759</v>
      </c>
      <c r="C284" s="2" t="s">
        <v>1319</v>
      </c>
      <c r="D284" s="3">
        <v>2</v>
      </c>
      <c r="E284" s="3">
        <v>2</v>
      </c>
      <c r="F284" s="2" t="s">
        <v>16</v>
      </c>
      <c r="G284" s="2" t="s">
        <v>1320</v>
      </c>
      <c r="H284" s="3">
        <v>0</v>
      </c>
      <c r="I284" s="2" t="s">
        <v>18</v>
      </c>
      <c r="J284" s="2" t="s">
        <v>1321</v>
      </c>
      <c r="K284" s="2" t="s">
        <v>16</v>
      </c>
      <c r="L284" s="2" t="s">
        <v>1322</v>
      </c>
      <c r="M284" s="4">
        <v>9.06</v>
      </c>
      <c r="N284" t="e">
        <f>OR(LEFT(B284,3)="frg",(_xlfn.XMATCH(B284,ZZZ_Part_Id_[[#All],[FGCODE]])))</f>
        <v>#N/A</v>
      </c>
    </row>
    <row r="285" spans="1:14" x14ac:dyDescent="0.3">
      <c r="A285" s="2" t="s">
        <v>1318</v>
      </c>
      <c r="B285" s="2" t="s">
        <v>764</v>
      </c>
      <c r="C285" s="2" t="s">
        <v>1323</v>
      </c>
      <c r="D285" s="3">
        <v>2</v>
      </c>
      <c r="E285" s="3">
        <v>2</v>
      </c>
      <c r="F285" s="2" t="s">
        <v>23</v>
      </c>
      <c r="G285" s="2" t="s">
        <v>1324</v>
      </c>
      <c r="H285" s="3">
        <v>0</v>
      </c>
      <c r="I285" s="2" t="s">
        <v>18</v>
      </c>
      <c r="J285" s="2" t="s">
        <v>1325</v>
      </c>
      <c r="K285" s="2" t="s">
        <v>23</v>
      </c>
      <c r="L285" s="2" t="s">
        <v>1326</v>
      </c>
      <c r="M285" s="4">
        <v>13</v>
      </c>
      <c r="N285" t="e">
        <f>OR(LEFT(B285,3)="frg",(_xlfn.XMATCH(B285,ZZZ_Part_Id_[[#All],[FGCODE]])))</f>
        <v>#N/A</v>
      </c>
    </row>
    <row r="286" spans="1:14" x14ac:dyDescent="0.3">
      <c r="A286" s="2" t="s">
        <v>1318</v>
      </c>
      <c r="B286" s="2" t="s">
        <v>1327</v>
      </c>
      <c r="C286" s="2" t="s">
        <v>1328</v>
      </c>
      <c r="D286" s="3">
        <v>5000</v>
      </c>
      <c r="E286" s="3">
        <v>5000</v>
      </c>
      <c r="F286" s="2" t="s">
        <v>16</v>
      </c>
      <c r="G286" s="2" t="s">
        <v>1329</v>
      </c>
      <c r="H286" s="3">
        <v>0</v>
      </c>
      <c r="I286" s="2" t="s">
        <v>18</v>
      </c>
      <c r="J286" s="2" t="s">
        <v>1330</v>
      </c>
      <c r="K286" s="2" t="s">
        <v>16</v>
      </c>
      <c r="L286" s="2" t="s">
        <v>1331</v>
      </c>
      <c r="M286" s="4">
        <v>289.3</v>
      </c>
      <c r="N286" t="b">
        <f>OR(LEFT(B286,3)="frg",(_xlfn.XMATCH(B286,ZZZ_Part_Id_[[#All],[FGCODE]])))</f>
        <v>1</v>
      </c>
    </row>
    <row r="287" spans="1:14" x14ac:dyDescent="0.3">
      <c r="A287" s="2" t="s">
        <v>1332</v>
      </c>
      <c r="B287" s="2" t="s">
        <v>759</v>
      </c>
      <c r="C287" s="2" t="s">
        <v>1333</v>
      </c>
      <c r="D287" s="3">
        <v>2</v>
      </c>
      <c r="E287" s="3">
        <v>2</v>
      </c>
      <c r="F287" s="2" t="s">
        <v>16</v>
      </c>
      <c r="G287" s="2" t="s">
        <v>1334</v>
      </c>
      <c r="H287" s="3">
        <v>0</v>
      </c>
      <c r="I287" s="2" t="s">
        <v>18</v>
      </c>
      <c r="J287" s="2" t="s">
        <v>1335</v>
      </c>
      <c r="K287" s="2" t="s">
        <v>16</v>
      </c>
      <c r="L287" s="2" t="s">
        <v>1336</v>
      </c>
      <c r="M287" s="4">
        <v>9.06</v>
      </c>
      <c r="N287" t="e">
        <f>OR(LEFT(B287,3)="frg",(_xlfn.XMATCH(B287,ZZZ_Part_Id_[[#All],[FGCODE]])))</f>
        <v>#N/A</v>
      </c>
    </row>
    <row r="288" spans="1:14" x14ac:dyDescent="0.3">
      <c r="A288" s="2" t="s">
        <v>1332</v>
      </c>
      <c r="B288" s="2" t="s">
        <v>764</v>
      </c>
      <c r="C288" s="2" t="s">
        <v>1337</v>
      </c>
      <c r="D288" s="3">
        <v>2</v>
      </c>
      <c r="E288" s="3">
        <v>2</v>
      </c>
      <c r="F288" s="2" t="s">
        <v>23</v>
      </c>
      <c r="G288" s="2" t="s">
        <v>1338</v>
      </c>
      <c r="H288" s="3">
        <v>0</v>
      </c>
      <c r="I288" s="2" t="s">
        <v>18</v>
      </c>
      <c r="J288" s="2" t="s">
        <v>1339</v>
      </c>
      <c r="K288" s="2" t="s">
        <v>23</v>
      </c>
      <c r="L288" s="2" t="s">
        <v>1340</v>
      </c>
      <c r="M288" s="4">
        <v>13</v>
      </c>
      <c r="N288" t="e">
        <f>OR(LEFT(B288,3)="frg",(_xlfn.XMATCH(B288,ZZZ_Part_Id_[[#All],[FGCODE]])))</f>
        <v>#N/A</v>
      </c>
    </row>
    <row r="289" spans="1:14" x14ac:dyDescent="0.3">
      <c r="A289" s="2" t="s">
        <v>1332</v>
      </c>
      <c r="B289" s="2" t="s">
        <v>396</v>
      </c>
      <c r="C289" s="2" t="s">
        <v>1341</v>
      </c>
      <c r="D289" s="3">
        <v>500</v>
      </c>
      <c r="E289" s="3">
        <v>500</v>
      </c>
      <c r="F289" s="2" t="s">
        <v>16</v>
      </c>
      <c r="G289" s="2" t="s">
        <v>1342</v>
      </c>
      <c r="H289" s="3">
        <v>0</v>
      </c>
      <c r="I289" s="2" t="s">
        <v>18</v>
      </c>
      <c r="J289" s="2" t="s">
        <v>1343</v>
      </c>
      <c r="K289" s="2" t="s">
        <v>16</v>
      </c>
      <c r="L289" s="2" t="s">
        <v>1344</v>
      </c>
      <c r="M289" s="4">
        <v>18.12</v>
      </c>
      <c r="N289" t="b">
        <f>OR(LEFT(B289,3)="frg",(_xlfn.XMATCH(B289,ZZZ_Part_Id_[[#All],[FGCODE]])))</f>
        <v>1</v>
      </c>
    </row>
    <row r="290" spans="1:14" x14ac:dyDescent="0.3">
      <c r="A290" s="2" t="s">
        <v>1345</v>
      </c>
      <c r="B290" s="2" t="s">
        <v>1119</v>
      </c>
      <c r="C290" s="2" t="s">
        <v>1346</v>
      </c>
      <c r="D290" s="3">
        <v>913680</v>
      </c>
      <c r="E290" s="3">
        <v>913680</v>
      </c>
      <c r="F290" s="2" t="s">
        <v>16</v>
      </c>
      <c r="G290" s="2" t="s">
        <v>1347</v>
      </c>
      <c r="H290" s="3">
        <v>0</v>
      </c>
      <c r="I290" s="2" t="s">
        <v>409</v>
      </c>
      <c r="J290" s="2" t="s">
        <v>1348</v>
      </c>
      <c r="K290" s="2" t="s">
        <v>16</v>
      </c>
      <c r="L290" s="2" t="s">
        <v>1349</v>
      </c>
      <c r="M290" s="4">
        <v>37177.56</v>
      </c>
      <c r="N290" t="b">
        <f>OR(LEFT(B290,3)="frg",(_xlfn.XMATCH(B290,ZZZ_Part_Id_[[#All],[FGCODE]])))</f>
        <v>1</v>
      </c>
    </row>
    <row r="291" spans="1:14" x14ac:dyDescent="0.3">
      <c r="A291" s="2" t="s">
        <v>1345</v>
      </c>
      <c r="B291" s="2" t="s">
        <v>14</v>
      </c>
      <c r="C291" s="2" t="s">
        <v>1350</v>
      </c>
      <c r="D291" s="3">
        <v>36</v>
      </c>
      <c r="E291" s="3">
        <v>36</v>
      </c>
      <c r="F291" s="2" t="s">
        <v>16</v>
      </c>
      <c r="G291" s="2" t="s">
        <v>1351</v>
      </c>
      <c r="H291" s="3">
        <v>0</v>
      </c>
      <c r="I291" s="2" t="s">
        <v>409</v>
      </c>
      <c r="J291" s="2" t="s">
        <v>1352</v>
      </c>
      <c r="K291" s="2" t="s">
        <v>16</v>
      </c>
      <c r="L291" s="2" t="s">
        <v>1353</v>
      </c>
      <c r="M291" s="4">
        <v>2.77</v>
      </c>
      <c r="N291" t="e">
        <f>OR(LEFT(B291,3)="frg",(_xlfn.XMATCH(B291,ZZZ_Part_Id_[[#All],[FGCODE]])))</f>
        <v>#N/A</v>
      </c>
    </row>
    <row r="292" spans="1:14" x14ac:dyDescent="0.3">
      <c r="A292" s="2" t="s">
        <v>1345</v>
      </c>
      <c r="B292" s="2" t="s">
        <v>140</v>
      </c>
      <c r="C292" s="2" t="s">
        <v>1354</v>
      </c>
      <c r="D292" s="3">
        <v>1.44</v>
      </c>
      <c r="E292" s="3">
        <v>1.44</v>
      </c>
      <c r="F292" s="2" t="s">
        <v>16</v>
      </c>
      <c r="G292" s="2" t="s">
        <v>1355</v>
      </c>
      <c r="H292" s="3">
        <v>0</v>
      </c>
      <c r="I292" s="2" t="s">
        <v>409</v>
      </c>
      <c r="J292" s="2" t="s">
        <v>1356</v>
      </c>
      <c r="K292" s="2" t="s">
        <v>16</v>
      </c>
      <c r="L292" s="2" t="s">
        <v>1357</v>
      </c>
      <c r="M292" s="4">
        <v>2.38</v>
      </c>
      <c r="N292" t="e">
        <f>OR(LEFT(B292,3)="frg",(_xlfn.XMATCH(B292,ZZZ_Part_Id_[[#All],[FGCODE]])))</f>
        <v>#N/A</v>
      </c>
    </row>
    <row r="293" spans="1:14" x14ac:dyDescent="0.3">
      <c r="A293" s="2" t="s">
        <v>1345</v>
      </c>
      <c r="B293" s="2" t="s">
        <v>192</v>
      </c>
      <c r="C293" s="2" t="s">
        <v>1358</v>
      </c>
      <c r="D293" s="3">
        <v>0.36</v>
      </c>
      <c r="E293" s="3">
        <v>0.36</v>
      </c>
      <c r="F293" s="2" t="s">
        <v>194</v>
      </c>
      <c r="G293" s="2" t="s">
        <v>1359</v>
      </c>
      <c r="H293" s="3">
        <v>0</v>
      </c>
      <c r="I293" s="2" t="s">
        <v>409</v>
      </c>
      <c r="J293" s="2" t="s">
        <v>1360</v>
      </c>
      <c r="K293" s="2" t="s">
        <v>194</v>
      </c>
      <c r="L293" s="2" t="s">
        <v>1361</v>
      </c>
      <c r="M293" s="4">
        <v>1.8</v>
      </c>
      <c r="N293" t="e">
        <f>OR(LEFT(B293,3)="frg",(_xlfn.XMATCH(B293,ZZZ_Part_Id_[[#All],[FGCODE]])))</f>
        <v>#N/A</v>
      </c>
    </row>
    <row r="294" spans="1:14" x14ac:dyDescent="0.3">
      <c r="A294" s="2" t="s">
        <v>1362</v>
      </c>
      <c r="B294" s="2" t="s">
        <v>1027</v>
      </c>
      <c r="C294" s="2" t="s">
        <v>1363</v>
      </c>
      <c r="D294" s="3">
        <v>1019520</v>
      </c>
      <c r="E294" s="3">
        <v>1019520</v>
      </c>
      <c r="F294" s="2" t="s">
        <v>16</v>
      </c>
      <c r="G294" s="2" t="s">
        <v>1364</v>
      </c>
      <c r="H294" s="3">
        <v>0</v>
      </c>
      <c r="I294" s="2" t="s">
        <v>18</v>
      </c>
      <c r="J294" s="2" t="s">
        <v>1365</v>
      </c>
      <c r="K294" s="2" t="s">
        <v>16</v>
      </c>
      <c r="L294" s="2" t="s">
        <v>1366</v>
      </c>
      <c r="M294" s="4">
        <v>128133.13</v>
      </c>
      <c r="N294" t="b">
        <f>OR(LEFT(B294,3)="frg",(_xlfn.XMATCH(B294,ZZZ_Part_Id_[[#All],[FGCODE]])))</f>
        <v>1</v>
      </c>
    </row>
    <row r="295" spans="1:14" x14ac:dyDescent="0.3">
      <c r="A295" s="2" t="s">
        <v>1367</v>
      </c>
      <c r="B295" s="2" t="s">
        <v>27</v>
      </c>
      <c r="C295" s="2" t="s">
        <v>1368</v>
      </c>
      <c r="D295" s="3">
        <v>317952</v>
      </c>
      <c r="E295" s="3">
        <v>317952</v>
      </c>
      <c r="F295" s="2" t="s">
        <v>16</v>
      </c>
      <c r="G295" s="2" t="s">
        <v>1369</v>
      </c>
      <c r="H295" s="3">
        <v>0</v>
      </c>
      <c r="I295" s="2" t="s">
        <v>18</v>
      </c>
      <c r="J295" s="2" t="s">
        <v>1370</v>
      </c>
      <c r="K295" s="2" t="s">
        <v>16</v>
      </c>
      <c r="L295" s="2" t="s">
        <v>1371</v>
      </c>
      <c r="M295" s="4">
        <v>59053.4</v>
      </c>
      <c r="N295" t="b">
        <f>OR(LEFT(B295,3)="frg",(_xlfn.XMATCH(B295,ZZZ_Part_Id_[[#All],[FGCODE]])))</f>
        <v>1</v>
      </c>
    </row>
    <row r="296" spans="1:14" x14ac:dyDescent="0.3">
      <c r="A296" s="2" t="s">
        <v>1372</v>
      </c>
      <c r="B296" s="2" t="s">
        <v>1119</v>
      </c>
      <c r="C296" s="2" t="s">
        <v>1373</v>
      </c>
      <c r="D296" s="3">
        <v>355320</v>
      </c>
      <c r="E296" s="3">
        <v>355320</v>
      </c>
      <c r="F296" s="2" t="s">
        <v>16</v>
      </c>
      <c r="G296" s="2" t="s">
        <v>1374</v>
      </c>
      <c r="H296" s="3">
        <v>0</v>
      </c>
      <c r="I296" s="2" t="s">
        <v>409</v>
      </c>
      <c r="J296" s="2" t="s">
        <v>1375</v>
      </c>
      <c r="K296" s="2" t="s">
        <v>16</v>
      </c>
      <c r="L296" s="2" t="s">
        <v>1376</v>
      </c>
      <c r="M296" s="4">
        <v>14457.94</v>
      </c>
      <c r="N296" t="b">
        <f>OR(LEFT(B296,3)="frg",(_xlfn.XMATCH(B296,ZZZ_Part_Id_[[#All],[FGCODE]])))</f>
        <v>1</v>
      </c>
    </row>
    <row r="297" spans="1:14" x14ac:dyDescent="0.3">
      <c r="A297" s="2" t="s">
        <v>1372</v>
      </c>
      <c r="B297" s="2" t="s">
        <v>86</v>
      </c>
      <c r="C297" s="2" t="s">
        <v>1377</v>
      </c>
      <c r="D297" s="5">
        <v>-714</v>
      </c>
      <c r="E297" s="5">
        <v>-714</v>
      </c>
      <c r="F297" s="2" t="s">
        <v>23</v>
      </c>
      <c r="G297" s="2" t="s">
        <v>1378</v>
      </c>
      <c r="H297" s="3">
        <v>0</v>
      </c>
      <c r="I297" s="2" t="s">
        <v>409</v>
      </c>
      <c r="J297" s="2" t="s">
        <v>1379</v>
      </c>
      <c r="K297" s="2" t="s">
        <v>23</v>
      </c>
      <c r="L297" s="2" t="s">
        <v>1380</v>
      </c>
      <c r="M297" s="6">
        <v>-1869.11</v>
      </c>
      <c r="N297" t="b">
        <f>OR(LEFT(B297,3)="frg",(_xlfn.XMATCH(B297,ZZZ_Part_Id_[[#All],[FGCODE]])))</f>
        <v>1</v>
      </c>
    </row>
    <row r="298" spans="1:14" x14ac:dyDescent="0.3">
      <c r="A298" s="2" t="s">
        <v>1372</v>
      </c>
      <c r="B298" s="2" t="s">
        <v>14</v>
      </c>
      <c r="C298" s="2" t="s">
        <v>1381</v>
      </c>
      <c r="D298" s="3">
        <v>9</v>
      </c>
      <c r="E298" s="3">
        <v>9</v>
      </c>
      <c r="F298" s="2" t="s">
        <v>16</v>
      </c>
      <c r="G298" s="2" t="s">
        <v>1382</v>
      </c>
      <c r="H298" s="3">
        <v>0</v>
      </c>
      <c r="I298" s="2" t="s">
        <v>409</v>
      </c>
      <c r="J298" s="2" t="s">
        <v>1383</v>
      </c>
      <c r="K298" s="2" t="s">
        <v>16</v>
      </c>
      <c r="L298" s="2" t="s">
        <v>1384</v>
      </c>
      <c r="M298" s="4">
        <v>0.69</v>
      </c>
      <c r="N298" t="e">
        <f>OR(LEFT(B298,3)="frg",(_xlfn.XMATCH(B298,ZZZ_Part_Id_[[#All],[FGCODE]])))</f>
        <v>#N/A</v>
      </c>
    </row>
    <row r="299" spans="1:14" x14ac:dyDescent="0.3">
      <c r="A299" s="2" t="s">
        <v>1372</v>
      </c>
      <c r="B299" s="2" t="s">
        <v>140</v>
      </c>
      <c r="C299" s="2" t="s">
        <v>1385</v>
      </c>
      <c r="D299" s="3">
        <v>0.36</v>
      </c>
      <c r="E299" s="3">
        <v>0.36</v>
      </c>
      <c r="F299" s="2" t="s">
        <v>16</v>
      </c>
      <c r="G299" s="2" t="s">
        <v>1386</v>
      </c>
      <c r="H299" s="3">
        <v>0</v>
      </c>
      <c r="I299" s="2" t="s">
        <v>409</v>
      </c>
      <c r="J299" s="2" t="s">
        <v>1387</v>
      </c>
      <c r="K299" s="2" t="s">
        <v>16</v>
      </c>
      <c r="L299" s="2" t="s">
        <v>1388</v>
      </c>
      <c r="M299" s="4">
        <v>0.59</v>
      </c>
      <c r="N299" t="e">
        <f>OR(LEFT(B299,3)="frg",(_xlfn.XMATCH(B299,ZZZ_Part_Id_[[#All],[FGCODE]])))</f>
        <v>#N/A</v>
      </c>
    </row>
    <row r="300" spans="1:14" x14ac:dyDescent="0.3">
      <c r="A300" s="2" t="s">
        <v>1372</v>
      </c>
      <c r="B300" s="2" t="s">
        <v>192</v>
      </c>
      <c r="C300" s="2" t="s">
        <v>1389</v>
      </c>
      <c r="D300" s="3">
        <v>0.09</v>
      </c>
      <c r="E300" s="3">
        <v>0.09</v>
      </c>
      <c r="F300" s="2" t="s">
        <v>194</v>
      </c>
      <c r="G300" s="2" t="s">
        <v>1390</v>
      </c>
      <c r="H300" s="3">
        <v>0</v>
      </c>
      <c r="I300" s="2" t="s">
        <v>409</v>
      </c>
      <c r="J300" s="2" t="s">
        <v>1391</v>
      </c>
      <c r="K300" s="2" t="s">
        <v>194</v>
      </c>
      <c r="L300" s="2" t="s">
        <v>1392</v>
      </c>
      <c r="M300" s="4">
        <v>0.45</v>
      </c>
      <c r="N300" t="e">
        <f>OR(LEFT(B300,3)="frg",(_xlfn.XMATCH(B300,ZZZ_Part_Id_[[#All],[FGCODE]])))</f>
        <v>#N/A</v>
      </c>
    </row>
    <row r="301" spans="1:14" x14ac:dyDescent="0.3">
      <c r="A301" s="2" t="s">
        <v>1393</v>
      </c>
      <c r="B301" s="2" t="s">
        <v>322</v>
      </c>
      <c r="C301" s="2" t="s">
        <v>1394</v>
      </c>
      <c r="D301" s="3">
        <v>685260</v>
      </c>
      <c r="E301" s="3">
        <v>685260</v>
      </c>
      <c r="F301" s="2" t="s">
        <v>16</v>
      </c>
      <c r="G301" s="2" t="s">
        <v>1395</v>
      </c>
      <c r="H301" s="3">
        <v>0</v>
      </c>
      <c r="I301" s="2" t="s">
        <v>409</v>
      </c>
      <c r="J301" s="2" t="s">
        <v>1396</v>
      </c>
      <c r="K301" s="2" t="s">
        <v>16</v>
      </c>
      <c r="L301" s="2" t="s">
        <v>1397</v>
      </c>
      <c r="M301" s="4">
        <v>29281.22</v>
      </c>
      <c r="N301" t="b">
        <f>OR(LEFT(B301,3)="frg",(_xlfn.XMATCH(B301,ZZZ_Part_Id_[[#All],[FGCODE]])))</f>
        <v>1</v>
      </c>
    </row>
    <row r="302" spans="1:14" x14ac:dyDescent="0.3">
      <c r="A302" s="2" t="s">
        <v>1393</v>
      </c>
      <c r="B302" s="2" t="s">
        <v>86</v>
      </c>
      <c r="C302" s="2" t="s">
        <v>1398</v>
      </c>
      <c r="D302" s="5">
        <v>-952</v>
      </c>
      <c r="E302" s="5">
        <v>-952</v>
      </c>
      <c r="F302" s="2" t="s">
        <v>23</v>
      </c>
      <c r="G302" s="2" t="s">
        <v>1399</v>
      </c>
      <c r="H302" s="3">
        <v>0</v>
      </c>
      <c r="I302" s="2" t="s">
        <v>409</v>
      </c>
      <c r="J302" s="2" t="s">
        <v>1400</v>
      </c>
      <c r="K302" s="2" t="s">
        <v>23</v>
      </c>
      <c r="L302" s="2" t="s">
        <v>1401</v>
      </c>
      <c r="M302" s="6">
        <v>-2492.15</v>
      </c>
      <c r="N302" t="b">
        <f>OR(LEFT(B302,3)="frg",(_xlfn.XMATCH(B302,ZZZ_Part_Id_[[#All],[FGCODE]])))</f>
        <v>1</v>
      </c>
    </row>
    <row r="303" spans="1:14" x14ac:dyDescent="0.3">
      <c r="A303" s="2" t="s">
        <v>1393</v>
      </c>
      <c r="B303" s="2" t="s">
        <v>14</v>
      </c>
      <c r="C303" s="2" t="s">
        <v>1402</v>
      </c>
      <c r="D303" s="3">
        <v>23</v>
      </c>
      <c r="E303" s="3">
        <v>23</v>
      </c>
      <c r="F303" s="2" t="s">
        <v>16</v>
      </c>
      <c r="G303" s="2" t="s">
        <v>1403</v>
      </c>
      <c r="H303" s="3">
        <v>0</v>
      </c>
      <c r="I303" s="2" t="s">
        <v>409</v>
      </c>
      <c r="J303" s="2" t="s">
        <v>1404</v>
      </c>
      <c r="K303" s="2" t="s">
        <v>16</v>
      </c>
      <c r="L303" s="2" t="s">
        <v>1405</v>
      </c>
      <c r="M303" s="4">
        <v>1.77</v>
      </c>
      <c r="N303" t="e">
        <f>OR(LEFT(B303,3)="frg",(_xlfn.XMATCH(B303,ZZZ_Part_Id_[[#All],[FGCODE]])))</f>
        <v>#N/A</v>
      </c>
    </row>
    <row r="304" spans="1:14" x14ac:dyDescent="0.3">
      <c r="A304" s="2" t="s">
        <v>1393</v>
      </c>
      <c r="B304" s="2" t="s">
        <v>140</v>
      </c>
      <c r="C304" s="2" t="s">
        <v>1406</v>
      </c>
      <c r="D304" s="3">
        <v>0.92</v>
      </c>
      <c r="E304" s="3">
        <v>0.92</v>
      </c>
      <c r="F304" s="2" t="s">
        <v>16</v>
      </c>
      <c r="G304" s="2" t="s">
        <v>1407</v>
      </c>
      <c r="H304" s="3">
        <v>0</v>
      </c>
      <c r="I304" s="2" t="s">
        <v>409</v>
      </c>
      <c r="J304" s="2" t="s">
        <v>1408</v>
      </c>
      <c r="K304" s="2" t="s">
        <v>16</v>
      </c>
      <c r="L304" s="2" t="s">
        <v>1409</v>
      </c>
      <c r="M304" s="4">
        <v>1.52</v>
      </c>
      <c r="N304" t="e">
        <f>OR(LEFT(B304,3)="frg",(_xlfn.XMATCH(B304,ZZZ_Part_Id_[[#All],[FGCODE]])))</f>
        <v>#N/A</v>
      </c>
    </row>
    <row r="305" spans="1:14" x14ac:dyDescent="0.3">
      <c r="A305" s="2" t="s">
        <v>1393</v>
      </c>
      <c r="B305" s="2" t="s">
        <v>192</v>
      </c>
      <c r="C305" s="2" t="s">
        <v>1410</v>
      </c>
      <c r="D305" s="3">
        <v>0.23</v>
      </c>
      <c r="E305" s="3">
        <v>0.23</v>
      </c>
      <c r="F305" s="2" t="s">
        <v>194</v>
      </c>
      <c r="G305" s="2" t="s">
        <v>1411</v>
      </c>
      <c r="H305" s="3">
        <v>0</v>
      </c>
      <c r="I305" s="2" t="s">
        <v>409</v>
      </c>
      <c r="J305" s="2" t="s">
        <v>1412</v>
      </c>
      <c r="K305" s="2" t="s">
        <v>194</v>
      </c>
      <c r="L305" s="2" t="s">
        <v>1413</v>
      </c>
      <c r="M305" s="4">
        <v>1.1499999999999999</v>
      </c>
      <c r="N305" t="e">
        <f>OR(LEFT(B305,3)="frg",(_xlfn.XMATCH(B305,ZZZ_Part_Id_[[#All],[FGCODE]])))</f>
        <v>#N/A</v>
      </c>
    </row>
    <row r="306" spans="1:14" x14ac:dyDescent="0.3">
      <c r="A306" s="2" t="s">
        <v>1414</v>
      </c>
      <c r="B306" s="2" t="s">
        <v>76</v>
      </c>
      <c r="C306" s="2" t="s">
        <v>1415</v>
      </c>
      <c r="D306" s="3">
        <v>279180</v>
      </c>
      <c r="E306" s="3">
        <v>279180</v>
      </c>
      <c r="F306" s="2" t="s">
        <v>16</v>
      </c>
      <c r="G306" s="2" t="s">
        <v>1416</v>
      </c>
      <c r="H306" s="3">
        <v>0</v>
      </c>
      <c r="I306" s="2" t="s">
        <v>409</v>
      </c>
      <c r="J306" s="2" t="s">
        <v>1417</v>
      </c>
      <c r="K306" s="2" t="s">
        <v>16</v>
      </c>
      <c r="L306" s="2" t="s">
        <v>1418</v>
      </c>
      <c r="M306" s="4">
        <v>2294.8200000000002</v>
      </c>
      <c r="N306" t="b">
        <f>OR(LEFT(B306,3)="frg",(_xlfn.XMATCH(B306,ZZZ_Part_Id_[[#All],[FGCODE]])))</f>
        <v>1</v>
      </c>
    </row>
    <row r="307" spans="1:14" x14ac:dyDescent="0.3">
      <c r="A307" s="2" t="s">
        <v>1414</v>
      </c>
      <c r="B307" s="2" t="s">
        <v>86</v>
      </c>
      <c r="C307" s="2" t="s">
        <v>1419</v>
      </c>
      <c r="D307" s="5">
        <v>-476</v>
      </c>
      <c r="E307" s="5">
        <v>-476</v>
      </c>
      <c r="F307" s="2" t="s">
        <v>23</v>
      </c>
      <c r="G307" s="2" t="s">
        <v>1420</v>
      </c>
      <c r="H307" s="3">
        <v>0</v>
      </c>
      <c r="I307" s="2" t="s">
        <v>409</v>
      </c>
      <c r="J307" s="2" t="s">
        <v>1421</v>
      </c>
      <c r="K307" s="2" t="s">
        <v>23</v>
      </c>
      <c r="L307" s="2" t="s">
        <v>1422</v>
      </c>
      <c r="M307" s="6">
        <v>-1246.07</v>
      </c>
      <c r="N307" t="b">
        <f>OR(LEFT(B307,3)="frg",(_xlfn.XMATCH(B307,ZZZ_Part_Id_[[#All],[FGCODE]])))</f>
        <v>1</v>
      </c>
    </row>
    <row r="308" spans="1:14" x14ac:dyDescent="0.3">
      <c r="A308" s="2" t="s">
        <v>1414</v>
      </c>
      <c r="B308" s="2" t="s">
        <v>14</v>
      </c>
      <c r="C308" s="2" t="s">
        <v>1423</v>
      </c>
      <c r="D308" s="3">
        <v>9</v>
      </c>
      <c r="E308" s="3">
        <v>9</v>
      </c>
      <c r="F308" s="2" t="s">
        <v>16</v>
      </c>
      <c r="G308" s="2" t="s">
        <v>1424</v>
      </c>
      <c r="H308" s="3">
        <v>0</v>
      </c>
      <c r="I308" s="2" t="s">
        <v>409</v>
      </c>
      <c r="J308" s="2" t="s">
        <v>1425</v>
      </c>
      <c r="K308" s="2" t="s">
        <v>16</v>
      </c>
      <c r="L308" s="2" t="s">
        <v>1426</v>
      </c>
      <c r="M308" s="4">
        <v>0.69</v>
      </c>
      <c r="N308" t="e">
        <f>OR(LEFT(B308,3)="frg",(_xlfn.XMATCH(B308,ZZZ_Part_Id_[[#All],[FGCODE]])))</f>
        <v>#N/A</v>
      </c>
    </row>
    <row r="309" spans="1:14" x14ac:dyDescent="0.3">
      <c r="A309" s="2" t="s">
        <v>1414</v>
      </c>
      <c r="B309" s="2" t="s">
        <v>140</v>
      </c>
      <c r="C309" s="2" t="s">
        <v>1427</v>
      </c>
      <c r="D309" s="3">
        <v>0.36</v>
      </c>
      <c r="E309" s="3">
        <v>0.36</v>
      </c>
      <c r="F309" s="2" t="s">
        <v>16</v>
      </c>
      <c r="G309" s="2" t="s">
        <v>1428</v>
      </c>
      <c r="H309" s="3">
        <v>0</v>
      </c>
      <c r="I309" s="2" t="s">
        <v>409</v>
      </c>
      <c r="J309" s="2" t="s">
        <v>1429</v>
      </c>
      <c r="K309" s="2" t="s">
        <v>16</v>
      </c>
      <c r="L309" s="2" t="s">
        <v>1430</v>
      </c>
      <c r="M309" s="4">
        <v>0.59</v>
      </c>
      <c r="N309" t="e">
        <f>OR(LEFT(B309,3)="frg",(_xlfn.XMATCH(B309,ZZZ_Part_Id_[[#All],[FGCODE]])))</f>
        <v>#N/A</v>
      </c>
    </row>
    <row r="310" spans="1:14" x14ac:dyDescent="0.3">
      <c r="A310" s="2" t="s">
        <v>1414</v>
      </c>
      <c r="B310" s="2" t="s">
        <v>192</v>
      </c>
      <c r="C310" s="2" t="s">
        <v>1431</v>
      </c>
      <c r="D310" s="3">
        <v>0.09</v>
      </c>
      <c r="E310" s="3">
        <v>0.09</v>
      </c>
      <c r="F310" s="2" t="s">
        <v>194</v>
      </c>
      <c r="G310" s="2" t="s">
        <v>1432</v>
      </c>
      <c r="H310" s="3">
        <v>0</v>
      </c>
      <c r="I310" s="2" t="s">
        <v>409</v>
      </c>
      <c r="J310" s="2" t="s">
        <v>1433</v>
      </c>
      <c r="K310" s="2" t="s">
        <v>194</v>
      </c>
      <c r="L310" s="2" t="s">
        <v>1434</v>
      </c>
      <c r="M310" s="4">
        <v>0.45</v>
      </c>
      <c r="N310" t="e">
        <f>OR(LEFT(B310,3)="frg",(_xlfn.XMATCH(B310,ZZZ_Part_Id_[[#All],[FGCODE]])))</f>
        <v>#N/A</v>
      </c>
    </row>
    <row r="311" spans="1:14" x14ac:dyDescent="0.3">
      <c r="A311" s="2" t="s">
        <v>1435</v>
      </c>
      <c r="B311" s="2" t="s">
        <v>426</v>
      </c>
      <c r="C311" s="2" t="s">
        <v>1436</v>
      </c>
      <c r="D311" s="3">
        <v>145728</v>
      </c>
      <c r="E311" s="3">
        <v>145728</v>
      </c>
      <c r="F311" s="2" t="s">
        <v>16</v>
      </c>
      <c r="G311" s="2" t="s">
        <v>1437</v>
      </c>
      <c r="H311" s="3">
        <v>0</v>
      </c>
      <c r="I311" s="2" t="s">
        <v>18</v>
      </c>
      <c r="J311" s="2" t="s">
        <v>1438</v>
      </c>
      <c r="K311" s="2" t="s">
        <v>16</v>
      </c>
      <c r="L311" s="2" t="s">
        <v>1439</v>
      </c>
      <c r="M311" s="4">
        <v>27140.3</v>
      </c>
      <c r="N311" t="b">
        <f>OR(LEFT(B311,3)="frg",(_xlfn.XMATCH(B311,ZZZ_Part_Id_[[#All],[FGCODE]])))</f>
        <v>1</v>
      </c>
    </row>
    <row r="312" spans="1:14" x14ac:dyDescent="0.3">
      <c r="A312" s="2" t="s">
        <v>1440</v>
      </c>
      <c r="B312" s="2" t="s">
        <v>14</v>
      </c>
      <c r="C312" s="2" t="s">
        <v>1441</v>
      </c>
      <c r="D312" s="3">
        <v>14</v>
      </c>
      <c r="E312" s="3">
        <v>14</v>
      </c>
      <c r="F312" s="2" t="s">
        <v>16</v>
      </c>
      <c r="G312" s="2" t="s">
        <v>1442</v>
      </c>
      <c r="H312" s="3">
        <v>0</v>
      </c>
      <c r="I312" s="2" t="s">
        <v>409</v>
      </c>
      <c r="J312" s="2" t="s">
        <v>1443</v>
      </c>
      <c r="K312" s="2" t="s">
        <v>16</v>
      </c>
      <c r="L312" s="2" t="s">
        <v>1444</v>
      </c>
      <c r="M312" s="4">
        <v>1.08</v>
      </c>
      <c r="N312" t="e">
        <f>OR(LEFT(B312,3)="frg",(_xlfn.XMATCH(B312,ZZZ_Part_Id_[[#All],[FGCODE]])))</f>
        <v>#N/A</v>
      </c>
    </row>
    <row r="313" spans="1:14" x14ac:dyDescent="0.3">
      <c r="A313" s="2" t="s">
        <v>1440</v>
      </c>
      <c r="B313" s="2" t="s">
        <v>1445</v>
      </c>
      <c r="C313" s="2" t="s">
        <v>1446</v>
      </c>
      <c r="D313" s="3">
        <v>328680</v>
      </c>
      <c r="E313" s="3">
        <v>328680</v>
      </c>
      <c r="F313" s="2" t="s">
        <v>16</v>
      </c>
      <c r="G313" s="2" t="s">
        <v>1447</v>
      </c>
      <c r="H313" s="3">
        <v>0</v>
      </c>
      <c r="I313" s="2" t="s">
        <v>409</v>
      </c>
      <c r="J313" s="2" t="s">
        <v>1448</v>
      </c>
      <c r="K313" s="2" t="s">
        <v>16</v>
      </c>
      <c r="L313" s="2" t="s">
        <v>1449</v>
      </c>
      <c r="M313" s="4">
        <v>12539.12</v>
      </c>
      <c r="N313" t="b">
        <f>OR(LEFT(B313,3)="frg",(_xlfn.XMATCH(B313,ZZZ_Part_Id_[[#All],[FGCODE]])))</f>
        <v>1</v>
      </c>
    </row>
    <row r="314" spans="1:14" x14ac:dyDescent="0.3">
      <c r="A314" s="2" t="s">
        <v>1450</v>
      </c>
      <c r="B314" s="2" t="s">
        <v>27</v>
      </c>
      <c r="C314" s="2" t="s">
        <v>1451</v>
      </c>
      <c r="D314" s="3">
        <v>370944</v>
      </c>
      <c r="E314" s="3">
        <v>370944</v>
      </c>
      <c r="F314" s="2" t="s">
        <v>16</v>
      </c>
      <c r="G314" s="2" t="s">
        <v>1452</v>
      </c>
      <c r="H314" s="3">
        <v>0</v>
      </c>
      <c r="I314" s="2" t="s">
        <v>18</v>
      </c>
      <c r="J314" s="2" t="s">
        <v>1453</v>
      </c>
      <c r="K314" s="2" t="s">
        <v>16</v>
      </c>
      <c r="L314" s="2" t="s">
        <v>1454</v>
      </c>
      <c r="M314" s="4">
        <v>68895.679999999993</v>
      </c>
      <c r="N314" t="b">
        <f>OR(LEFT(B314,3)="frg",(_xlfn.XMATCH(B314,ZZZ_Part_Id_[[#All],[FGCODE]])))</f>
        <v>1</v>
      </c>
    </row>
    <row r="315" spans="1:14" x14ac:dyDescent="0.3">
      <c r="A315" s="2" t="s">
        <v>1455</v>
      </c>
      <c r="B315" s="2" t="s">
        <v>14</v>
      </c>
      <c r="C315" s="2" t="s">
        <v>1456</v>
      </c>
      <c r="D315" s="3">
        <v>6</v>
      </c>
      <c r="E315" s="3">
        <v>6</v>
      </c>
      <c r="F315" s="2" t="s">
        <v>16</v>
      </c>
      <c r="G315" s="2" t="s">
        <v>1457</v>
      </c>
      <c r="H315" s="3">
        <v>0</v>
      </c>
      <c r="I315" s="2" t="s">
        <v>18</v>
      </c>
      <c r="J315" s="2" t="s">
        <v>1458</v>
      </c>
      <c r="K315" s="2" t="s">
        <v>16</v>
      </c>
      <c r="L315" s="2" t="s">
        <v>1459</v>
      </c>
      <c r="M315" s="4">
        <v>0.46</v>
      </c>
      <c r="N315" t="e">
        <f>OR(LEFT(B315,3)="frg",(_xlfn.XMATCH(B315,ZZZ_Part_Id_[[#All],[FGCODE]])))</f>
        <v>#N/A</v>
      </c>
    </row>
    <row r="316" spans="1:14" x14ac:dyDescent="0.3">
      <c r="A316" s="2" t="s">
        <v>1455</v>
      </c>
      <c r="B316" s="2" t="s">
        <v>65</v>
      </c>
      <c r="C316" s="2" t="s">
        <v>1460</v>
      </c>
      <c r="D316" s="5">
        <v>-894</v>
      </c>
      <c r="E316" s="5">
        <v>-894</v>
      </c>
      <c r="F316" s="2" t="s">
        <v>23</v>
      </c>
      <c r="G316" s="2" t="s">
        <v>1461</v>
      </c>
      <c r="H316" s="3">
        <v>0</v>
      </c>
      <c r="I316" s="2" t="s">
        <v>18</v>
      </c>
      <c r="J316" s="2" t="s">
        <v>1462</v>
      </c>
      <c r="K316" s="2" t="s">
        <v>23</v>
      </c>
      <c r="L316" s="2" t="s">
        <v>1463</v>
      </c>
      <c r="M316" s="6">
        <v>-2299.0100000000002</v>
      </c>
      <c r="N316" t="b">
        <f>OR(LEFT(B316,3)="frg",(_xlfn.XMATCH(B316,ZZZ_Part_Id_[[#All],[FGCODE]])))</f>
        <v>1</v>
      </c>
    </row>
    <row r="317" spans="1:14" x14ac:dyDescent="0.3">
      <c r="A317" s="2" t="s">
        <v>1455</v>
      </c>
      <c r="B317" s="2" t="s">
        <v>426</v>
      </c>
      <c r="C317" s="2" t="s">
        <v>1464</v>
      </c>
      <c r="D317" s="3">
        <v>59616</v>
      </c>
      <c r="E317" s="3">
        <v>59616</v>
      </c>
      <c r="F317" s="2" t="s">
        <v>16</v>
      </c>
      <c r="G317" s="2" t="s">
        <v>1465</v>
      </c>
      <c r="H317" s="3">
        <v>0</v>
      </c>
      <c r="I317" s="2" t="s">
        <v>18</v>
      </c>
      <c r="J317" s="2" t="s">
        <v>1466</v>
      </c>
      <c r="K317" s="2" t="s">
        <v>16</v>
      </c>
      <c r="L317" s="2" t="s">
        <v>1467</v>
      </c>
      <c r="M317" s="4">
        <v>11102.85</v>
      </c>
      <c r="N317" t="b">
        <f>OR(LEFT(B317,3)="frg",(_xlfn.XMATCH(B317,ZZZ_Part_Id_[[#All],[FGCODE]])))</f>
        <v>1</v>
      </c>
    </row>
    <row r="318" spans="1:14" x14ac:dyDescent="0.3">
      <c r="A318" s="2" t="s">
        <v>1468</v>
      </c>
      <c r="B318" s="2" t="s">
        <v>426</v>
      </c>
      <c r="C318" s="2" t="s">
        <v>1469</v>
      </c>
      <c r="D318" s="3">
        <v>13248</v>
      </c>
      <c r="E318" s="3">
        <v>13248</v>
      </c>
      <c r="F318" s="2" t="s">
        <v>16</v>
      </c>
      <c r="G318" s="2" t="s">
        <v>1470</v>
      </c>
      <c r="H318" s="3">
        <v>0</v>
      </c>
      <c r="I318" s="2" t="s">
        <v>18</v>
      </c>
      <c r="J318" s="2" t="s">
        <v>1471</v>
      </c>
      <c r="K318" s="2" t="s">
        <v>16</v>
      </c>
      <c r="L318" s="2" t="s">
        <v>1472</v>
      </c>
      <c r="M318" s="4">
        <v>2467.3000000000002</v>
      </c>
      <c r="N318" t="b">
        <f>OR(LEFT(B318,3)="frg",(_xlfn.XMATCH(B318,ZZZ_Part_Id_[[#All],[FGCODE]])))</f>
        <v>1</v>
      </c>
    </row>
    <row r="319" spans="1:14" x14ac:dyDescent="0.3">
      <c r="A319" s="2" t="s">
        <v>1473</v>
      </c>
      <c r="B319" s="2" t="s">
        <v>1093</v>
      </c>
      <c r="C319" s="2" t="s">
        <v>1474</v>
      </c>
      <c r="D319" s="3">
        <v>939600</v>
      </c>
      <c r="E319" s="3">
        <v>939600</v>
      </c>
      <c r="F319" s="2" t="s">
        <v>16</v>
      </c>
      <c r="G319" s="2" t="s">
        <v>1475</v>
      </c>
      <c r="H319" s="3">
        <v>0</v>
      </c>
      <c r="I319" s="2" t="s">
        <v>409</v>
      </c>
      <c r="J319" s="2" t="s">
        <v>1476</v>
      </c>
      <c r="K319" s="2" t="s">
        <v>16</v>
      </c>
      <c r="L319" s="2" t="s">
        <v>1477</v>
      </c>
      <c r="M319" s="4">
        <v>51245.95</v>
      </c>
      <c r="N319" t="b">
        <f>OR(LEFT(B319,3)="frg",(_xlfn.XMATCH(B319,ZZZ_Part_Id_[[#All],[FGCODE]])))</f>
        <v>1</v>
      </c>
    </row>
    <row r="320" spans="1:14" x14ac:dyDescent="0.3">
      <c r="A320" s="2" t="s">
        <v>1478</v>
      </c>
      <c r="B320" s="2" t="s">
        <v>27</v>
      </c>
      <c r="C320" s="2" t="s">
        <v>1479</v>
      </c>
      <c r="D320" s="3">
        <v>298080</v>
      </c>
      <c r="E320" s="3">
        <v>298080</v>
      </c>
      <c r="F320" s="2" t="s">
        <v>16</v>
      </c>
      <c r="G320" s="2" t="s">
        <v>1480</v>
      </c>
      <c r="H320" s="3">
        <v>0</v>
      </c>
      <c r="I320" s="2" t="s">
        <v>409</v>
      </c>
      <c r="J320" s="2" t="s">
        <v>1481</v>
      </c>
      <c r="K320" s="2" t="s">
        <v>16</v>
      </c>
      <c r="L320" s="2" t="s">
        <v>1482</v>
      </c>
      <c r="M320" s="4">
        <v>55362.6</v>
      </c>
      <c r="N320" t="b">
        <f>OR(LEFT(B320,3)="frg",(_xlfn.XMATCH(B320,ZZZ_Part_Id_[[#All],[FGCODE]])))</f>
        <v>1</v>
      </c>
    </row>
    <row r="321" spans="1:14" x14ac:dyDescent="0.3">
      <c r="A321" s="2" t="s">
        <v>1478</v>
      </c>
      <c r="B321" s="2" t="s">
        <v>21</v>
      </c>
      <c r="C321" s="2" t="s">
        <v>1483</v>
      </c>
      <c r="D321" s="5">
        <v>-1490</v>
      </c>
      <c r="E321" s="5">
        <v>-1490</v>
      </c>
      <c r="F321" s="2" t="s">
        <v>23</v>
      </c>
      <c r="G321" s="2" t="s">
        <v>1484</v>
      </c>
      <c r="H321" s="3">
        <v>0</v>
      </c>
      <c r="I321" s="2" t="s">
        <v>409</v>
      </c>
      <c r="J321" s="2" t="s">
        <v>1485</v>
      </c>
      <c r="K321" s="2" t="s">
        <v>23</v>
      </c>
      <c r="L321" s="2" t="s">
        <v>1486</v>
      </c>
      <c r="M321" s="6">
        <v>-2821.32</v>
      </c>
      <c r="N321" t="b">
        <f>OR(LEFT(B321,3)="frg",(_xlfn.XMATCH(B321,ZZZ_Part_Id_[[#All],[FGCODE]])))</f>
        <v>1</v>
      </c>
    </row>
    <row r="322" spans="1:14" x14ac:dyDescent="0.3">
      <c r="A322" s="2" t="s">
        <v>1478</v>
      </c>
      <c r="B322" s="2" t="s">
        <v>14</v>
      </c>
      <c r="C322" s="2" t="s">
        <v>1487</v>
      </c>
      <c r="D322" s="3">
        <v>40</v>
      </c>
      <c r="E322" s="3">
        <v>40</v>
      </c>
      <c r="F322" s="2" t="s">
        <v>16</v>
      </c>
      <c r="G322" s="2" t="s">
        <v>1488</v>
      </c>
      <c r="H322" s="3">
        <v>0</v>
      </c>
      <c r="I322" s="2" t="s">
        <v>409</v>
      </c>
      <c r="J322" s="2" t="s">
        <v>1489</v>
      </c>
      <c r="K322" s="2" t="s">
        <v>16</v>
      </c>
      <c r="L322" s="2" t="s">
        <v>1490</v>
      </c>
      <c r="M322" s="4">
        <v>3.08</v>
      </c>
      <c r="N322" t="e">
        <f>OR(LEFT(B322,3)="frg",(_xlfn.XMATCH(B322,ZZZ_Part_Id_[[#All],[FGCODE]])))</f>
        <v>#N/A</v>
      </c>
    </row>
    <row r="323" spans="1:14" x14ac:dyDescent="0.3">
      <c r="A323" s="2" t="s">
        <v>1478</v>
      </c>
      <c r="B323" s="2" t="s">
        <v>140</v>
      </c>
      <c r="C323" s="2" t="s">
        <v>1491</v>
      </c>
      <c r="D323" s="3">
        <v>1.6</v>
      </c>
      <c r="E323" s="3">
        <v>1.6</v>
      </c>
      <c r="F323" s="2" t="s">
        <v>16</v>
      </c>
      <c r="G323" s="2" t="s">
        <v>1492</v>
      </c>
      <c r="H323" s="3">
        <v>0</v>
      </c>
      <c r="I323" s="2" t="s">
        <v>409</v>
      </c>
      <c r="J323" s="2" t="s">
        <v>1493</v>
      </c>
      <c r="K323" s="2" t="s">
        <v>16</v>
      </c>
      <c r="L323" s="2" t="s">
        <v>1494</v>
      </c>
      <c r="M323" s="4">
        <v>2.64</v>
      </c>
      <c r="N323" t="e">
        <f>OR(LEFT(B323,3)="frg",(_xlfn.XMATCH(B323,ZZZ_Part_Id_[[#All],[FGCODE]])))</f>
        <v>#N/A</v>
      </c>
    </row>
    <row r="324" spans="1:14" x14ac:dyDescent="0.3">
      <c r="A324" s="2" t="s">
        <v>1478</v>
      </c>
      <c r="B324" s="2" t="s">
        <v>192</v>
      </c>
      <c r="C324" s="2" t="s">
        <v>1495</v>
      </c>
      <c r="D324" s="3">
        <v>0.4</v>
      </c>
      <c r="E324" s="3">
        <v>0.4</v>
      </c>
      <c r="F324" s="2" t="s">
        <v>194</v>
      </c>
      <c r="G324" s="2" t="s">
        <v>1496</v>
      </c>
      <c r="H324" s="3">
        <v>0</v>
      </c>
      <c r="I324" s="2" t="s">
        <v>409</v>
      </c>
      <c r="J324" s="2" t="s">
        <v>1497</v>
      </c>
      <c r="K324" s="2" t="s">
        <v>194</v>
      </c>
      <c r="L324" s="2" t="s">
        <v>1498</v>
      </c>
      <c r="M324" s="4">
        <v>2</v>
      </c>
      <c r="N324" t="e">
        <f>OR(LEFT(B324,3)="frg",(_xlfn.XMATCH(B324,ZZZ_Part_Id_[[#All],[FGCODE]])))</f>
        <v>#N/A</v>
      </c>
    </row>
    <row r="325" spans="1:14" x14ac:dyDescent="0.3">
      <c r="A325" s="2" t="s">
        <v>1478</v>
      </c>
      <c r="B325" s="2" t="s">
        <v>145</v>
      </c>
      <c r="C325" s="2" t="s">
        <v>1499</v>
      </c>
      <c r="D325" s="3">
        <v>0.16</v>
      </c>
      <c r="E325" s="3">
        <v>0.16</v>
      </c>
      <c r="F325" s="2" t="s">
        <v>147</v>
      </c>
      <c r="G325" s="2" t="s">
        <v>1500</v>
      </c>
      <c r="H325" s="3">
        <v>0</v>
      </c>
      <c r="I325" s="2" t="s">
        <v>409</v>
      </c>
      <c r="J325" s="2" t="s">
        <v>1501</v>
      </c>
      <c r="K325" s="2" t="s">
        <v>147</v>
      </c>
      <c r="L325" s="2" t="s">
        <v>1502</v>
      </c>
      <c r="M325" s="4">
        <v>25.03</v>
      </c>
      <c r="N325" t="e">
        <f>OR(LEFT(B325,3)="frg",(_xlfn.XMATCH(B325,ZZZ_Part_Id_[[#All],[FGCODE]])))</f>
        <v>#N/A</v>
      </c>
    </row>
    <row r="326" spans="1:14" x14ac:dyDescent="0.3">
      <c r="A326" s="2" t="s">
        <v>1503</v>
      </c>
      <c r="B326" s="2" t="s">
        <v>14</v>
      </c>
      <c r="C326" s="2" t="s">
        <v>1504</v>
      </c>
      <c r="D326" s="3">
        <v>76</v>
      </c>
      <c r="E326" s="3">
        <v>76</v>
      </c>
      <c r="F326" s="2" t="s">
        <v>16</v>
      </c>
      <c r="G326" s="2" t="s">
        <v>1505</v>
      </c>
      <c r="H326" s="3">
        <v>0</v>
      </c>
      <c r="I326" s="2" t="s">
        <v>18</v>
      </c>
      <c r="J326" s="2" t="s">
        <v>1506</v>
      </c>
      <c r="K326" s="2" t="s">
        <v>16</v>
      </c>
      <c r="L326" s="2" t="s">
        <v>1507</v>
      </c>
      <c r="M326" s="4">
        <v>5.85</v>
      </c>
      <c r="N326" t="e">
        <f>OR(LEFT(B326,3)="frg",(_xlfn.XMATCH(B326,ZZZ_Part_Id_[[#All],[FGCODE]])))</f>
        <v>#N/A</v>
      </c>
    </row>
    <row r="327" spans="1:14" x14ac:dyDescent="0.3">
      <c r="A327" s="2" t="s">
        <v>1503</v>
      </c>
      <c r="B327" s="2" t="s">
        <v>264</v>
      </c>
      <c r="C327" s="2" t="s">
        <v>1508</v>
      </c>
      <c r="D327" s="3">
        <v>3.7999999999999999E-2</v>
      </c>
      <c r="E327" s="3">
        <v>3.7999999999999999E-2</v>
      </c>
      <c r="F327" s="2" t="s">
        <v>16</v>
      </c>
      <c r="G327" s="2" t="s">
        <v>1509</v>
      </c>
      <c r="H327" s="3">
        <v>0</v>
      </c>
      <c r="I327" s="2" t="s">
        <v>18</v>
      </c>
      <c r="J327" s="2" t="s">
        <v>1510</v>
      </c>
      <c r="K327" s="2" t="s">
        <v>16</v>
      </c>
      <c r="L327" s="2" t="s">
        <v>1511</v>
      </c>
      <c r="M327" s="4">
        <v>0.97</v>
      </c>
      <c r="N327" t="e">
        <f>OR(LEFT(B327,3)="frg",(_xlfn.XMATCH(B327,ZZZ_Part_Id_[[#All],[FGCODE]])))</f>
        <v>#N/A</v>
      </c>
    </row>
    <row r="328" spans="1:14" x14ac:dyDescent="0.3">
      <c r="A328" s="2" t="s">
        <v>1503</v>
      </c>
      <c r="B328" s="2" t="s">
        <v>1512</v>
      </c>
      <c r="C328" s="2" t="s">
        <v>1513</v>
      </c>
      <c r="D328" s="3">
        <v>403560</v>
      </c>
      <c r="E328" s="3">
        <v>403560</v>
      </c>
      <c r="F328" s="2" t="s">
        <v>16</v>
      </c>
      <c r="G328" s="2" t="s">
        <v>1514</v>
      </c>
      <c r="H328" s="3">
        <v>0</v>
      </c>
      <c r="I328" s="2" t="s">
        <v>18</v>
      </c>
      <c r="J328" s="2" t="s">
        <v>1515</v>
      </c>
      <c r="K328" s="2" t="s">
        <v>16</v>
      </c>
      <c r="L328" s="2" t="s">
        <v>1516</v>
      </c>
      <c r="M328" s="4">
        <v>50719.360000000001</v>
      </c>
      <c r="N328" t="b">
        <f>OR(LEFT(B328,3)="frg",(_xlfn.XMATCH(B328,ZZZ_Part_Id_[[#All],[FGCODE]])))</f>
        <v>1</v>
      </c>
    </row>
    <row r="329" spans="1:14" x14ac:dyDescent="0.3">
      <c r="A329" s="2" t="s">
        <v>1517</v>
      </c>
      <c r="B329" s="2" t="s">
        <v>97</v>
      </c>
      <c r="C329" s="2" t="s">
        <v>1518</v>
      </c>
      <c r="D329" s="3">
        <v>168000</v>
      </c>
      <c r="E329" s="3">
        <v>168000</v>
      </c>
      <c r="F329" s="2" t="s">
        <v>16</v>
      </c>
      <c r="G329" s="2" t="s">
        <v>1519</v>
      </c>
      <c r="H329" s="3">
        <v>0</v>
      </c>
      <c r="I329" s="2" t="s">
        <v>409</v>
      </c>
      <c r="J329" s="2" t="s">
        <v>1520</v>
      </c>
      <c r="K329" s="2" t="s">
        <v>16</v>
      </c>
      <c r="L329" s="2" t="s">
        <v>1521</v>
      </c>
      <c r="M329" s="4">
        <v>35898.11</v>
      </c>
      <c r="N329" t="b">
        <f>OR(LEFT(B329,3)="frg",(_xlfn.XMATCH(B329,ZZZ_Part_Id_[[#All],[FGCODE]])))</f>
        <v>1</v>
      </c>
    </row>
    <row r="330" spans="1:14" x14ac:dyDescent="0.3">
      <c r="A330" s="2" t="s">
        <v>1517</v>
      </c>
      <c r="B330" s="2" t="s">
        <v>14</v>
      </c>
      <c r="C330" s="2" t="s">
        <v>1522</v>
      </c>
      <c r="D330" s="3">
        <v>35</v>
      </c>
      <c r="E330" s="3">
        <v>35</v>
      </c>
      <c r="F330" s="2" t="s">
        <v>16</v>
      </c>
      <c r="G330" s="2" t="s">
        <v>1523</v>
      </c>
      <c r="H330" s="3">
        <v>0</v>
      </c>
      <c r="I330" s="2" t="s">
        <v>409</v>
      </c>
      <c r="J330" s="2" t="s">
        <v>1524</v>
      </c>
      <c r="K330" s="2" t="s">
        <v>16</v>
      </c>
      <c r="L330" s="2" t="s">
        <v>1525</v>
      </c>
      <c r="M330" s="4">
        <v>2.69</v>
      </c>
      <c r="N330" t="e">
        <f>OR(LEFT(B330,3)="frg",(_xlfn.XMATCH(B330,ZZZ_Part_Id_[[#All],[FGCODE]])))</f>
        <v>#N/A</v>
      </c>
    </row>
    <row r="331" spans="1:14" x14ac:dyDescent="0.3">
      <c r="A331" s="2" t="s">
        <v>1517</v>
      </c>
      <c r="B331" s="2" t="s">
        <v>140</v>
      </c>
      <c r="C331" s="2" t="s">
        <v>1526</v>
      </c>
      <c r="D331" s="3">
        <v>1.4</v>
      </c>
      <c r="E331" s="3">
        <v>1.4</v>
      </c>
      <c r="F331" s="2" t="s">
        <v>16</v>
      </c>
      <c r="G331" s="2" t="s">
        <v>1527</v>
      </c>
      <c r="H331" s="3">
        <v>0</v>
      </c>
      <c r="I331" s="2" t="s">
        <v>409</v>
      </c>
      <c r="J331" s="2" t="s">
        <v>1528</v>
      </c>
      <c r="K331" s="2" t="s">
        <v>16</v>
      </c>
      <c r="L331" s="2" t="s">
        <v>1529</v>
      </c>
      <c r="M331" s="4">
        <v>2.31</v>
      </c>
      <c r="N331" t="e">
        <f>OR(LEFT(B331,3)="frg",(_xlfn.XMATCH(B331,ZZZ_Part_Id_[[#All],[FGCODE]])))</f>
        <v>#N/A</v>
      </c>
    </row>
    <row r="332" spans="1:14" x14ac:dyDescent="0.3">
      <c r="A332" s="2" t="s">
        <v>1517</v>
      </c>
      <c r="B332" s="2" t="s">
        <v>192</v>
      </c>
      <c r="C332" s="2" t="s">
        <v>1530</v>
      </c>
      <c r="D332" s="3">
        <v>0.35</v>
      </c>
      <c r="E332" s="3">
        <v>0.35</v>
      </c>
      <c r="F332" s="2" t="s">
        <v>194</v>
      </c>
      <c r="G332" s="2" t="s">
        <v>1531</v>
      </c>
      <c r="H332" s="3">
        <v>0</v>
      </c>
      <c r="I332" s="2" t="s">
        <v>409</v>
      </c>
      <c r="J332" s="2" t="s">
        <v>1532</v>
      </c>
      <c r="K332" s="2" t="s">
        <v>194</v>
      </c>
      <c r="L332" s="2" t="s">
        <v>1533</v>
      </c>
      <c r="M332" s="4">
        <v>1.75</v>
      </c>
      <c r="N332" t="e">
        <f>OR(LEFT(B332,3)="frg",(_xlfn.XMATCH(B332,ZZZ_Part_Id_[[#All],[FGCODE]])))</f>
        <v>#N/A</v>
      </c>
    </row>
    <row r="333" spans="1:14" x14ac:dyDescent="0.3">
      <c r="A333" s="2" t="s">
        <v>1534</v>
      </c>
      <c r="B333" s="2" t="s">
        <v>1535</v>
      </c>
      <c r="C333" s="2" t="s">
        <v>1536</v>
      </c>
      <c r="D333" s="3">
        <v>4000</v>
      </c>
      <c r="E333" s="3">
        <v>4000</v>
      </c>
      <c r="F333" s="2" t="s">
        <v>16</v>
      </c>
      <c r="G333" s="2" t="s">
        <v>1537</v>
      </c>
      <c r="H333" s="3">
        <v>0</v>
      </c>
      <c r="I333" s="2" t="s">
        <v>18</v>
      </c>
      <c r="J333" s="2" t="s">
        <v>1538</v>
      </c>
      <c r="K333" s="2" t="s">
        <v>16</v>
      </c>
      <c r="L333" s="2" t="s">
        <v>1539</v>
      </c>
      <c r="M333" s="4">
        <v>201.4</v>
      </c>
      <c r="N333" t="b">
        <f>OR(LEFT(B333,3)="frg",(_xlfn.XMATCH(B333,ZZZ_Part_Id_[[#All],[FGCODE]])))</f>
        <v>1</v>
      </c>
    </row>
    <row r="334" spans="1:14" x14ac:dyDescent="0.3">
      <c r="A334" s="2" t="s">
        <v>1540</v>
      </c>
      <c r="B334" s="2" t="s">
        <v>1027</v>
      </c>
      <c r="C334" s="2" t="s">
        <v>1541</v>
      </c>
      <c r="D334" s="3">
        <v>201780</v>
      </c>
      <c r="E334" s="3">
        <v>201780</v>
      </c>
      <c r="F334" s="2" t="s">
        <v>16</v>
      </c>
      <c r="G334" s="2" t="s">
        <v>1542</v>
      </c>
      <c r="H334" s="3">
        <v>0</v>
      </c>
      <c r="I334" s="2" t="s">
        <v>18</v>
      </c>
      <c r="J334" s="2" t="s">
        <v>1543</v>
      </c>
      <c r="K334" s="2" t="s">
        <v>16</v>
      </c>
      <c r="L334" s="2" t="s">
        <v>1544</v>
      </c>
      <c r="M334" s="4">
        <v>25359.68</v>
      </c>
      <c r="N334" t="b">
        <f>OR(LEFT(B334,3)="frg",(_xlfn.XMATCH(B334,ZZZ_Part_Id_[[#All],[FGCODE]])))</f>
        <v>1</v>
      </c>
    </row>
    <row r="335" spans="1:14" x14ac:dyDescent="0.3">
      <c r="A335" s="2" t="s">
        <v>1545</v>
      </c>
      <c r="B335" s="2" t="s">
        <v>27</v>
      </c>
      <c r="C335" s="2" t="s">
        <v>1546</v>
      </c>
      <c r="D335" s="3">
        <v>205344</v>
      </c>
      <c r="E335" s="3">
        <v>205344</v>
      </c>
      <c r="F335" s="2" t="s">
        <v>16</v>
      </c>
      <c r="G335" s="2" t="s">
        <v>1547</v>
      </c>
      <c r="H335" s="3">
        <v>0</v>
      </c>
      <c r="I335" s="2" t="s">
        <v>18</v>
      </c>
      <c r="J335" s="2" t="s">
        <v>1548</v>
      </c>
      <c r="K335" s="2" t="s">
        <v>16</v>
      </c>
      <c r="L335" s="2" t="s">
        <v>1549</v>
      </c>
      <c r="M335" s="4">
        <v>38138.68</v>
      </c>
      <c r="N335" t="b">
        <f>OR(LEFT(B335,3)="frg",(_xlfn.XMATCH(B335,ZZZ_Part_Id_[[#All],[FGCODE]])))</f>
        <v>1</v>
      </c>
    </row>
    <row r="336" spans="1:14" x14ac:dyDescent="0.3">
      <c r="A336" s="2" t="s">
        <v>1550</v>
      </c>
      <c r="B336" s="2" t="s">
        <v>97</v>
      </c>
      <c r="C336" s="2" t="s">
        <v>1551</v>
      </c>
      <c r="D336" s="3">
        <v>302400</v>
      </c>
      <c r="E336" s="3">
        <v>302400</v>
      </c>
      <c r="F336" s="2" t="s">
        <v>16</v>
      </c>
      <c r="G336" s="2" t="s">
        <v>1552</v>
      </c>
      <c r="H336" s="3">
        <v>0</v>
      </c>
      <c r="I336" s="2" t="s">
        <v>18</v>
      </c>
      <c r="J336" s="2" t="s">
        <v>1553</v>
      </c>
      <c r="K336" s="2" t="s">
        <v>16</v>
      </c>
      <c r="L336" s="2" t="s">
        <v>1554</v>
      </c>
      <c r="M336" s="4">
        <v>64616.59</v>
      </c>
      <c r="N336" t="b">
        <f>OR(LEFT(B336,3)="frg",(_xlfn.XMATCH(B336,ZZZ_Part_Id_[[#All],[FGCODE]])))</f>
        <v>1</v>
      </c>
    </row>
    <row r="337" spans="1:14" x14ac:dyDescent="0.3">
      <c r="A337" s="2" t="s">
        <v>1555</v>
      </c>
      <c r="B337" s="2" t="s">
        <v>1093</v>
      </c>
      <c r="C337" s="2" t="s">
        <v>1556</v>
      </c>
      <c r="D337" s="3">
        <v>2067120</v>
      </c>
      <c r="E337" s="3">
        <v>2067120</v>
      </c>
      <c r="F337" s="2" t="s">
        <v>16</v>
      </c>
      <c r="G337" s="2" t="s">
        <v>1557</v>
      </c>
      <c r="H337" s="3">
        <v>0</v>
      </c>
      <c r="I337" s="2" t="s">
        <v>18</v>
      </c>
      <c r="J337" s="2" t="s">
        <v>1558</v>
      </c>
      <c r="K337" s="2" t="s">
        <v>16</v>
      </c>
      <c r="L337" s="2" t="s">
        <v>1559</v>
      </c>
      <c r="M337" s="4">
        <v>112741.16</v>
      </c>
      <c r="N337" t="b">
        <f>OR(LEFT(B337,3)="frg",(_xlfn.XMATCH(B337,ZZZ_Part_Id_[[#All],[FGCODE]])))</f>
        <v>1</v>
      </c>
    </row>
    <row r="338" spans="1:14" x14ac:dyDescent="0.3">
      <c r="A338" s="2" t="s">
        <v>1560</v>
      </c>
      <c r="B338" s="2" t="s">
        <v>65</v>
      </c>
      <c r="C338" s="2" t="s">
        <v>1561</v>
      </c>
      <c r="D338" s="5">
        <v>-410</v>
      </c>
      <c r="E338" s="5">
        <v>-410</v>
      </c>
      <c r="F338" s="2" t="s">
        <v>23</v>
      </c>
      <c r="G338" s="2" t="s">
        <v>1562</v>
      </c>
      <c r="H338" s="3">
        <v>0</v>
      </c>
      <c r="I338" s="2" t="s">
        <v>18</v>
      </c>
      <c r="J338" s="2" t="s">
        <v>1563</v>
      </c>
      <c r="K338" s="2" t="s">
        <v>23</v>
      </c>
      <c r="L338" s="2" t="s">
        <v>1564</v>
      </c>
      <c r="M338" s="6">
        <v>-1054.3599999999999</v>
      </c>
      <c r="N338" t="b">
        <f>OR(LEFT(B338,3)="frg",(_xlfn.XMATCH(B338,ZZZ_Part_Id_[[#All],[FGCODE]])))</f>
        <v>1</v>
      </c>
    </row>
    <row r="339" spans="1:14" x14ac:dyDescent="0.3">
      <c r="A339" s="2" t="s">
        <v>1560</v>
      </c>
      <c r="B339" s="2" t="s">
        <v>97</v>
      </c>
      <c r="C339" s="2" t="s">
        <v>1565</v>
      </c>
      <c r="D339" s="3">
        <v>57600</v>
      </c>
      <c r="E339" s="3">
        <v>57600</v>
      </c>
      <c r="F339" s="2" t="s">
        <v>16</v>
      </c>
      <c r="G339" s="2" t="s">
        <v>1566</v>
      </c>
      <c r="H339" s="3">
        <v>0</v>
      </c>
      <c r="I339" s="2" t="s">
        <v>18</v>
      </c>
      <c r="J339" s="2" t="s">
        <v>1567</v>
      </c>
      <c r="K339" s="2" t="s">
        <v>16</v>
      </c>
      <c r="L339" s="2" t="s">
        <v>1568</v>
      </c>
      <c r="M339" s="4">
        <v>12307.92</v>
      </c>
      <c r="N339" t="b">
        <f>OR(LEFT(B339,3)="frg",(_xlfn.XMATCH(B339,ZZZ_Part_Id_[[#All],[FGCODE]])))</f>
        <v>1</v>
      </c>
    </row>
    <row r="340" spans="1:14" x14ac:dyDescent="0.3">
      <c r="A340" s="2" t="s">
        <v>1569</v>
      </c>
      <c r="B340" s="2" t="s">
        <v>27</v>
      </c>
      <c r="C340" s="2" t="s">
        <v>1570</v>
      </c>
      <c r="D340" s="3">
        <v>119232</v>
      </c>
      <c r="E340" s="3">
        <v>119232</v>
      </c>
      <c r="F340" s="2" t="s">
        <v>16</v>
      </c>
      <c r="G340" s="2" t="s">
        <v>1571</v>
      </c>
      <c r="H340" s="3">
        <v>0</v>
      </c>
      <c r="I340" s="2" t="s">
        <v>18</v>
      </c>
      <c r="J340" s="2" t="s">
        <v>1572</v>
      </c>
      <c r="K340" s="2" t="s">
        <v>16</v>
      </c>
      <c r="L340" s="2" t="s">
        <v>1573</v>
      </c>
      <c r="M340" s="4">
        <v>22145.040000000001</v>
      </c>
      <c r="N340" t="b">
        <f>OR(LEFT(B340,3)="frg",(_xlfn.XMATCH(B340,ZZZ_Part_Id_[[#All],[FGCODE]])))</f>
        <v>1</v>
      </c>
    </row>
    <row r="341" spans="1:14" x14ac:dyDescent="0.3">
      <c r="A341" s="2" t="s">
        <v>1574</v>
      </c>
      <c r="B341" s="2" t="s">
        <v>27</v>
      </c>
      <c r="C341" s="2" t="s">
        <v>1575</v>
      </c>
      <c r="D341" s="3">
        <v>417312</v>
      </c>
      <c r="E341" s="3">
        <v>417312</v>
      </c>
      <c r="F341" s="2" t="s">
        <v>16</v>
      </c>
      <c r="G341" s="2" t="s">
        <v>1576</v>
      </c>
      <c r="H341" s="3">
        <v>0</v>
      </c>
      <c r="I341" s="2" t="s">
        <v>18</v>
      </c>
      <c r="J341" s="2" t="s">
        <v>1577</v>
      </c>
      <c r="K341" s="2" t="s">
        <v>16</v>
      </c>
      <c r="L341" s="2" t="s">
        <v>1578</v>
      </c>
      <c r="M341" s="4">
        <v>77507.64</v>
      </c>
      <c r="N341" t="b">
        <f>OR(LEFT(B341,3)="frg",(_xlfn.XMATCH(B341,ZZZ_Part_Id_[[#All],[FGCODE]])))</f>
        <v>1</v>
      </c>
    </row>
    <row r="342" spans="1:14" x14ac:dyDescent="0.3">
      <c r="A342" s="2" t="s">
        <v>1579</v>
      </c>
      <c r="B342" s="2" t="s">
        <v>97</v>
      </c>
      <c r="C342" s="2" t="s">
        <v>1580</v>
      </c>
      <c r="D342" s="3">
        <v>369600</v>
      </c>
      <c r="E342" s="3">
        <v>369600</v>
      </c>
      <c r="F342" s="2" t="s">
        <v>16</v>
      </c>
      <c r="G342" s="2" t="s">
        <v>1581</v>
      </c>
      <c r="H342" s="3">
        <v>0</v>
      </c>
      <c r="I342" s="2" t="s">
        <v>409</v>
      </c>
      <c r="J342" s="2" t="s">
        <v>1582</v>
      </c>
      <c r="K342" s="2" t="s">
        <v>16</v>
      </c>
      <c r="L342" s="2" t="s">
        <v>1583</v>
      </c>
      <c r="M342" s="4">
        <v>78975.83</v>
      </c>
      <c r="N342" t="b">
        <f>OR(LEFT(B342,3)="frg",(_xlfn.XMATCH(B342,ZZZ_Part_Id_[[#All],[FGCODE]])))</f>
        <v>1</v>
      </c>
    </row>
    <row r="343" spans="1:14" x14ac:dyDescent="0.3">
      <c r="A343" s="2" t="s">
        <v>1584</v>
      </c>
      <c r="B343" s="2" t="s">
        <v>740</v>
      </c>
      <c r="C343" s="2" t="s">
        <v>1585</v>
      </c>
      <c r="D343" s="3">
        <v>1019520</v>
      </c>
      <c r="E343" s="3">
        <v>1019520</v>
      </c>
      <c r="F343" s="2" t="s">
        <v>16</v>
      </c>
      <c r="G343" s="2" t="s">
        <v>1586</v>
      </c>
      <c r="H343" s="3">
        <v>0</v>
      </c>
      <c r="I343" s="2" t="s">
        <v>18</v>
      </c>
      <c r="J343" s="2" t="s">
        <v>1587</v>
      </c>
      <c r="K343" s="2" t="s">
        <v>16</v>
      </c>
      <c r="L343" s="2" t="s">
        <v>1588</v>
      </c>
      <c r="M343" s="4">
        <v>125493.12</v>
      </c>
      <c r="N343" t="b">
        <f>OR(LEFT(B343,3)="frg",(_xlfn.XMATCH(B343,ZZZ_Part_Id_[[#All],[FGCODE]])))</f>
        <v>1</v>
      </c>
    </row>
    <row r="344" spans="1:14" x14ac:dyDescent="0.3">
      <c r="A344" s="2" t="s">
        <v>1589</v>
      </c>
      <c r="B344" s="2" t="s">
        <v>1590</v>
      </c>
      <c r="C344" s="2" t="s">
        <v>1591</v>
      </c>
      <c r="D344" s="3">
        <v>687240</v>
      </c>
      <c r="E344" s="3">
        <v>687240</v>
      </c>
      <c r="F344" s="2" t="s">
        <v>16</v>
      </c>
      <c r="G344" s="2" t="s">
        <v>1592</v>
      </c>
      <c r="H344" s="3">
        <v>0</v>
      </c>
      <c r="I344" s="2" t="s">
        <v>18</v>
      </c>
      <c r="J344" s="2" t="s">
        <v>1593</v>
      </c>
      <c r="K344" s="2" t="s">
        <v>16</v>
      </c>
      <c r="L344" s="2" t="s">
        <v>1594</v>
      </c>
      <c r="M344" s="4">
        <v>26314.52</v>
      </c>
      <c r="N344" t="b">
        <f>OR(LEFT(B344,3)="frg",(_xlfn.XMATCH(B344,ZZZ_Part_Id_[[#All],[FGCODE]])))</f>
        <v>1</v>
      </c>
    </row>
    <row r="345" spans="1:14" x14ac:dyDescent="0.3">
      <c r="A345" s="2" t="s">
        <v>1589</v>
      </c>
      <c r="B345" s="2" t="s">
        <v>14</v>
      </c>
      <c r="C345" s="2" t="s">
        <v>1595</v>
      </c>
      <c r="D345" s="3">
        <v>15</v>
      </c>
      <c r="E345" s="3">
        <v>15</v>
      </c>
      <c r="F345" s="2" t="s">
        <v>16</v>
      </c>
      <c r="G345" s="2" t="s">
        <v>1596</v>
      </c>
      <c r="H345" s="3">
        <v>0</v>
      </c>
      <c r="I345" s="2" t="s">
        <v>18</v>
      </c>
      <c r="J345" s="2" t="s">
        <v>1597</v>
      </c>
      <c r="K345" s="2" t="s">
        <v>16</v>
      </c>
      <c r="L345" s="2" t="s">
        <v>1598</v>
      </c>
      <c r="M345" s="4">
        <v>1.1499999999999999</v>
      </c>
      <c r="N345" t="e">
        <f>OR(LEFT(B345,3)="frg",(_xlfn.XMATCH(B345,ZZZ_Part_Id_[[#All],[FGCODE]])))</f>
        <v>#N/A</v>
      </c>
    </row>
    <row r="346" spans="1:14" x14ac:dyDescent="0.3">
      <c r="A346" s="2" t="s">
        <v>1589</v>
      </c>
      <c r="B346" s="2" t="s">
        <v>140</v>
      </c>
      <c r="C346" s="2" t="s">
        <v>1599</v>
      </c>
      <c r="D346" s="3">
        <v>0.6</v>
      </c>
      <c r="E346" s="3">
        <v>0.6</v>
      </c>
      <c r="F346" s="2" t="s">
        <v>16</v>
      </c>
      <c r="G346" s="2" t="s">
        <v>1600</v>
      </c>
      <c r="H346" s="3">
        <v>0</v>
      </c>
      <c r="I346" s="2" t="s">
        <v>18</v>
      </c>
      <c r="J346" s="2" t="s">
        <v>1601</v>
      </c>
      <c r="K346" s="2" t="s">
        <v>16</v>
      </c>
      <c r="L346" s="2" t="s">
        <v>1602</v>
      </c>
      <c r="M346" s="4">
        <v>0.99</v>
      </c>
      <c r="N346" t="e">
        <f>OR(LEFT(B346,3)="frg",(_xlfn.XMATCH(B346,ZZZ_Part_Id_[[#All],[FGCODE]])))</f>
        <v>#N/A</v>
      </c>
    </row>
    <row r="347" spans="1:14" x14ac:dyDescent="0.3">
      <c r="A347" s="2" t="s">
        <v>1589</v>
      </c>
      <c r="B347" s="2" t="s">
        <v>192</v>
      </c>
      <c r="C347" s="2" t="s">
        <v>1603</v>
      </c>
      <c r="D347" s="3">
        <v>0.15</v>
      </c>
      <c r="E347" s="3">
        <v>0.15</v>
      </c>
      <c r="F347" s="2" t="s">
        <v>194</v>
      </c>
      <c r="G347" s="2" t="s">
        <v>1604</v>
      </c>
      <c r="H347" s="3">
        <v>0</v>
      </c>
      <c r="I347" s="2" t="s">
        <v>18</v>
      </c>
      <c r="J347" s="2" t="s">
        <v>1605</v>
      </c>
      <c r="K347" s="2" t="s">
        <v>194</v>
      </c>
      <c r="L347" s="2" t="s">
        <v>1606</v>
      </c>
      <c r="M347" s="4">
        <v>0.75</v>
      </c>
      <c r="N347" t="e">
        <f>OR(LEFT(B347,3)="frg",(_xlfn.XMATCH(B347,ZZZ_Part_Id_[[#All],[FGCODE]])))</f>
        <v>#N/A</v>
      </c>
    </row>
    <row r="348" spans="1:14" x14ac:dyDescent="0.3">
      <c r="A348" s="2" t="s">
        <v>1589</v>
      </c>
      <c r="B348" s="2" t="s">
        <v>86</v>
      </c>
      <c r="C348" s="2" t="s">
        <v>1607</v>
      </c>
      <c r="D348" s="5">
        <v>-1864</v>
      </c>
      <c r="E348" s="5">
        <v>-1864</v>
      </c>
      <c r="F348" s="2" t="s">
        <v>23</v>
      </c>
      <c r="G348" s="2" t="s">
        <v>1608</v>
      </c>
      <c r="H348" s="3">
        <v>0</v>
      </c>
      <c r="I348" s="2" t="s">
        <v>18</v>
      </c>
      <c r="J348" s="2" t="s">
        <v>1609</v>
      </c>
      <c r="K348" s="2" t="s">
        <v>23</v>
      </c>
      <c r="L348" s="2" t="s">
        <v>1610</v>
      </c>
      <c r="M348" s="6">
        <v>-4879.58</v>
      </c>
      <c r="N348" t="b">
        <f>OR(LEFT(B348,3)="frg",(_xlfn.XMATCH(B348,ZZZ_Part_Id_[[#All],[FGCODE]])))</f>
        <v>1</v>
      </c>
    </row>
    <row r="349" spans="1:14" x14ac:dyDescent="0.3">
      <c r="A349" s="2" t="s">
        <v>1611</v>
      </c>
      <c r="B349" s="2" t="s">
        <v>1445</v>
      </c>
      <c r="C349" s="2" t="s">
        <v>1612</v>
      </c>
      <c r="D349" s="3">
        <v>179280</v>
      </c>
      <c r="E349" s="3">
        <v>179280</v>
      </c>
      <c r="F349" s="2" t="s">
        <v>16</v>
      </c>
      <c r="G349" s="2" t="s">
        <v>1613</v>
      </c>
      <c r="H349" s="3">
        <v>0</v>
      </c>
      <c r="I349" s="2" t="s">
        <v>409</v>
      </c>
      <c r="J349" s="2" t="s">
        <v>1614</v>
      </c>
      <c r="K349" s="2" t="s">
        <v>16</v>
      </c>
      <c r="L349" s="2" t="s">
        <v>1615</v>
      </c>
      <c r="M349" s="4">
        <v>6839.52</v>
      </c>
      <c r="N349" t="b">
        <f>OR(LEFT(B349,3)="frg",(_xlfn.XMATCH(B349,ZZZ_Part_Id_[[#All],[FGCODE]])))</f>
        <v>1</v>
      </c>
    </row>
    <row r="350" spans="1:14" x14ac:dyDescent="0.3">
      <c r="A350" s="2" t="s">
        <v>1616</v>
      </c>
      <c r="B350" s="2" t="s">
        <v>1445</v>
      </c>
      <c r="C350" s="2" t="s">
        <v>1617</v>
      </c>
      <c r="D350" s="3">
        <v>268920</v>
      </c>
      <c r="E350" s="3">
        <v>268920</v>
      </c>
      <c r="F350" s="2" t="s">
        <v>16</v>
      </c>
      <c r="G350" s="2" t="s">
        <v>1618</v>
      </c>
      <c r="H350" s="3">
        <v>0</v>
      </c>
      <c r="I350" s="2" t="s">
        <v>18</v>
      </c>
      <c r="J350" s="2" t="s">
        <v>1619</v>
      </c>
      <c r="K350" s="2" t="s">
        <v>16</v>
      </c>
      <c r="L350" s="2" t="s">
        <v>1620</v>
      </c>
      <c r="M350" s="4">
        <v>10259.280000000001</v>
      </c>
      <c r="N350" t="b">
        <f>OR(LEFT(B350,3)="frg",(_xlfn.XMATCH(B350,ZZZ_Part_Id_[[#All],[FGCODE]])))</f>
        <v>1</v>
      </c>
    </row>
    <row r="351" spans="1:14" x14ac:dyDescent="0.3">
      <c r="A351" s="2" t="s">
        <v>1616</v>
      </c>
      <c r="B351" s="2" t="s">
        <v>86</v>
      </c>
      <c r="C351" s="2" t="s">
        <v>1621</v>
      </c>
      <c r="D351" s="5">
        <v>-699</v>
      </c>
      <c r="E351" s="5">
        <v>-699</v>
      </c>
      <c r="F351" s="2" t="s">
        <v>23</v>
      </c>
      <c r="G351" s="2" t="s">
        <v>1622</v>
      </c>
      <c r="H351" s="3">
        <v>0</v>
      </c>
      <c r="I351" s="2" t="s">
        <v>18</v>
      </c>
      <c r="J351" s="2" t="s">
        <v>1623</v>
      </c>
      <c r="K351" s="2" t="s">
        <v>23</v>
      </c>
      <c r="L351" s="2" t="s">
        <v>1624</v>
      </c>
      <c r="M351" s="6">
        <v>-1829.84</v>
      </c>
      <c r="N351" t="b">
        <f>OR(LEFT(B351,3)="frg",(_xlfn.XMATCH(B351,ZZZ_Part_Id_[[#All],[FGCODE]])))</f>
        <v>1</v>
      </c>
    </row>
    <row r="352" spans="1:14" x14ac:dyDescent="0.3">
      <c r="A352" s="2" t="s">
        <v>1616</v>
      </c>
      <c r="B352" s="2" t="s">
        <v>14</v>
      </c>
      <c r="C352" s="2" t="s">
        <v>1625</v>
      </c>
      <c r="D352" s="3">
        <v>6</v>
      </c>
      <c r="E352" s="3">
        <v>6</v>
      </c>
      <c r="F352" s="2" t="s">
        <v>16</v>
      </c>
      <c r="G352" s="2" t="s">
        <v>1626</v>
      </c>
      <c r="H352" s="3">
        <v>0</v>
      </c>
      <c r="I352" s="2" t="s">
        <v>18</v>
      </c>
      <c r="J352" s="2" t="s">
        <v>1627</v>
      </c>
      <c r="K352" s="2" t="s">
        <v>16</v>
      </c>
      <c r="L352" s="2" t="s">
        <v>1628</v>
      </c>
      <c r="M352" s="4">
        <v>0.46</v>
      </c>
      <c r="N352" t="e">
        <f>OR(LEFT(B352,3)="frg",(_xlfn.XMATCH(B352,ZZZ_Part_Id_[[#All],[FGCODE]])))</f>
        <v>#N/A</v>
      </c>
    </row>
    <row r="353" spans="1:14" x14ac:dyDescent="0.3">
      <c r="A353" s="2" t="s">
        <v>1616</v>
      </c>
      <c r="B353" s="2" t="s">
        <v>140</v>
      </c>
      <c r="C353" s="2" t="s">
        <v>1629</v>
      </c>
      <c r="D353" s="3">
        <v>0.24</v>
      </c>
      <c r="E353" s="3">
        <v>0.24</v>
      </c>
      <c r="F353" s="2" t="s">
        <v>16</v>
      </c>
      <c r="G353" s="2" t="s">
        <v>1630</v>
      </c>
      <c r="H353" s="3">
        <v>0</v>
      </c>
      <c r="I353" s="2" t="s">
        <v>18</v>
      </c>
      <c r="J353" s="2" t="s">
        <v>1631</v>
      </c>
      <c r="K353" s="2" t="s">
        <v>16</v>
      </c>
      <c r="L353" s="2" t="s">
        <v>1632</v>
      </c>
      <c r="M353" s="4">
        <v>0.4</v>
      </c>
      <c r="N353" t="e">
        <f>OR(LEFT(B353,3)="frg",(_xlfn.XMATCH(B353,ZZZ_Part_Id_[[#All],[FGCODE]])))</f>
        <v>#N/A</v>
      </c>
    </row>
    <row r="354" spans="1:14" x14ac:dyDescent="0.3">
      <c r="A354" s="2" t="s">
        <v>1616</v>
      </c>
      <c r="B354" s="2" t="s">
        <v>192</v>
      </c>
      <c r="C354" s="2" t="s">
        <v>1633</v>
      </c>
      <c r="D354" s="3">
        <v>0.06</v>
      </c>
      <c r="E354" s="3">
        <v>0.06</v>
      </c>
      <c r="F354" s="2" t="s">
        <v>194</v>
      </c>
      <c r="G354" s="2" t="s">
        <v>1634</v>
      </c>
      <c r="H354" s="3">
        <v>0</v>
      </c>
      <c r="I354" s="2" t="s">
        <v>18</v>
      </c>
      <c r="J354" s="2" t="s">
        <v>1635</v>
      </c>
      <c r="K354" s="2" t="s">
        <v>194</v>
      </c>
      <c r="L354" s="2" t="s">
        <v>1636</v>
      </c>
      <c r="M354" s="4">
        <v>0.3</v>
      </c>
      <c r="N354" t="e">
        <f>OR(LEFT(B354,3)="frg",(_xlfn.XMATCH(B354,ZZZ_Part_Id_[[#All],[FGCODE]])))</f>
        <v>#N/A</v>
      </c>
    </row>
    <row r="355" spans="1:14" x14ac:dyDescent="0.3">
      <c r="A355" s="2" t="s">
        <v>1616</v>
      </c>
      <c r="B355" s="2" t="s">
        <v>145</v>
      </c>
      <c r="C355" s="2" t="s">
        <v>1637</v>
      </c>
      <c r="D355" s="3">
        <v>2.4E-2</v>
      </c>
      <c r="E355" s="3">
        <v>2.4E-2</v>
      </c>
      <c r="F355" s="2" t="s">
        <v>147</v>
      </c>
      <c r="G355" s="2" t="s">
        <v>1638</v>
      </c>
      <c r="H355" s="3">
        <v>0</v>
      </c>
      <c r="I355" s="2" t="s">
        <v>18</v>
      </c>
      <c r="J355" s="2" t="s">
        <v>1639</v>
      </c>
      <c r="K355" s="2" t="s">
        <v>147</v>
      </c>
      <c r="L355" s="2" t="s">
        <v>1640</v>
      </c>
      <c r="M355" s="4">
        <v>3.75</v>
      </c>
      <c r="N355" t="e">
        <f>OR(LEFT(B355,3)="frg",(_xlfn.XMATCH(B355,ZZZ_Part_Id_[[#All],[FGCODE]])))</f>
        <v>#N/A</v>
      </c>
    </row>
    <row r="356" spans="1:14" x14ac:dyDescent="0.3">
      <c r="A356" s="2" t="s">
        <v>1641</v>
      </c>
      <c r="B356" s="2" t="s">
        <v>97</v>
      </c>
      <c r="C356" s="2" t="s">
        <v>1642</v>
      </c>
      <c r="D356" s="3">
        <v>38400</v>
      </c>
      <c r="E356" s="3">
        <v>38400</v>
      </c>
      <c r="F356" s="2" t="s">
        <v>16</v>
      </c>
      <c r="G356" s="2" t="s">
        <v>1643</v>
      </c>
      <c r="H356" s="3">
        <v>0</v>
      </c>
      <c r="I356" s="2" t="s">
        <v>409</v>
      </c>
      <c r="J356" s="2" t="s">
        <v>1644</v>
      </c>
      <c r="K356" s="2" t="s">
        <v>16</v>
      </c>
      <c r="L356" s="2" t="s">
        <v>1645</v>
      </c>
      <c r="M356" s="4">
        <v>8205.2800000000007</v>
      </c>
      <c r="N356" t="b">
        <f>OR(LEFT(B356,3)="frg",(_xlfn.XMATCH(B356,ZZZ_Part_Id_[[#All],[FGCODE]])))</f>
        <v>1</v>
      </c>
    </row>
    <row r="357" spans="1:14" x14ac:dyDescent="0.3">
      <c r="A357" s="2" t="s">
        <v>1641</v>
      </c>
      <c r="B357" s="2" t="s">
        <v>14</v>
      </c>
      <c r="C357" s="2" t="s">
        <v>1646</v>
      </c>
      <c r="D357" s="3">
        <v>7</v>
      </c>
      <c r="E357" s="3">
        <v>7</v>
      </c>
      <c r="F357" s="2" t="s">
        <v>16</v>
      </c>
      <c r="G357" s="2" t="s">
        <v>1647</v>
      </c>
      <c r="H357" s="3">
        <v>0</v>
      </c>
      <c r="I357" s="2" t="s">
        <v>409</v>
      </c>
      <c r="J357" s="2" t="s">
        <v>1648</v>
      </c>
      <c r="K357" s="2" t="s">
        <v>16</v>
      </c>
      <c r="L357" s="2" t="s">
        <v>1649</v>
      </c>
      <c r="M357" s="4">
        <v>0.54</v>
      </c>
      <c r="N357" t="e">
        <f>OR(LEFT(B357,3)="frg",(_xlfn.XMATCH(B357,ZZZ_Part_Id_[[#All],[FGCODE]])))</f>
        <v>#N/A</v>
      </c>
    </row>
    <row r="358" spans="1:14" x14ac:dyDescent="0.3">
      <c r="A358" s="2" t="s">
        <v>1641</v>
      </c>
      <c r="B358" s="2" t="s">
        <v>140</v>
      </c>
      <c r="C358" s="2" t="s">
        <v>1650</v>
      </c>
      <c r="D358" s="3">
        <v>0.28000000000000003</v>
      </c>
      <c r="E358" s="3">
        <v>0.28000000000000003</v>
      </c>
      <c r="F358" s="2" t="s">
        <v>16</v>
      </c>
      <c r="G358" s="2" t="s">
        <v>1651</v>
      </c>
      <c r="H358" s="3">
        <v>0</v>
      </c>
      <c r="I358" s="2" t="s">
        <v>409</v>
      </c>
      <c r="J358" s="2" t="s">
        <v>1652</v>
      </c>
      <c r="K358" s="2" t="s">
        <v>16</v>
      </c>
      <c r="L358" s="2" t="s">
        <v>1653</v>
      </c>
      <c r="M358" s="4">
        <v>0.46</v>
      </c>
      <c r="N358" t="e">
        <f>OR(LEFT(B358,3)="frg",(_xlfn.XMATCH(B358,ZZZ_Part_Id_[[#All],[FGCODE]])))</f>
        <v>#N/A</v>
      </c>
    </row>
    <row r="359" spans="1:14" x14ac:dyDescent="0.3">
      <c r="A359" s="2" t="s">
        <v>1641</v>
      </c>
      <c r="B359" s="2" t="s">
        <v>192</v>
      </c>
      <c r="C359" s="2" t="s">
        <v>1654</v>
      </c>
      <c r="D359" s="3">
        <v>7.0000000000000007E-2</v>
      </c>
      <c r="E359" s="3">
        <v>7.0000000000000007E-2</v>
      </c>
      <c r="F359" s="2" t="s">
        <v>194</v>
      </c>
      <c r="G359" s="2" t="s">
        <v>1655</v>
      </c>
      <c r="H359" s="3">
        <v>0</v>
      </c>
      <c r="I359" s="2" t="s">
        <v>409</v>
      </c>
      <c r="J359" s="2" t="s">
        <v>1656</v>
      </c>
      <c r="K359" s="2" t="s">
        <v>194</v>
      </c>
      <c r="L359" s="2" t="s">
        <v>1657</v>
      </c>
      <c r="M359" s="4">
        <v>0.35</v>
      </c>
      <c r="N359" t="e">
        <f>OR(LEFT(B359,3)="frg",(_xlfn.XMATCH(B359,ZZZ_Part_Id_[[#All],[FGCODE]])))</f>
        <v>#N/A</v>
      </c>
    </row>
    <row r="360" spans="1:14" x14ac:dyDescent="0.3">
      <c r="A360" s="2" t="s">
        <v>1641</v>
      </c>
      <c r="B360" s="2" t="s">
        <v>145</v>
      </c>
      <c r="C360" s="2" t="s">
        <v>1658</v>
      </c>
      <c r="D360" s="3">
        <v>2.8000000000000001E-2</v>
      </c>
      <c r="E360" s="3">
        <v>2.8000000000000001E-2</v>
      </c>
      <c r="F360" s="2" t="s">
        <v>147</v>
      </c>
      <c r="G360" s="2" t="s">
        <v>1659</v>
      </c>
      <c r="H360" s="3">
        <v>0</v>
      </c>
      <c r="I360" s="2" t="s">
        <v>409</v>
      </c>
      <c r="J360" s="2" t="s">
        <v>1660</v>
      </c>
      <c r="K360" s="2" t="s">
        <v>147</v>
      </c>
      <c r="L360" s="2" t="s">
        <v>1661</v>
      </c>
      <c r="M360" s="4">
        <v>4.38</v>
      </c>
      <c r="N360" t="e">
        <f>OR(LEFT(B360,3)="frg",(_xlfn.XMATCH(B360,ZZZ_Part_Id_[[#All],[FGCODE]])))</f>
        <v>#N/A</v>
      </c>
    </row>
    <row r="361" spans="1:14" x14ac:dyDescent="0.3">
      <c r="A361" s="2" t="s">
        <v>1641</v>
      </c>
      <c r="B361" s="2" t="s">
        <v>65</v>
      </c>
      <c r="C361" s="2" t="s">
        <v>1662</v>
      </c>
      <c r="D361" s="5">
        <v>-249</v>
      </c>
      <c r="E361" s="5">
        <v>-249</v>
      </c>
      <c r="F361" s="2" t="s">
        <v>23</v>
      </c>
      <c r="G361" s="2" t="s">
        <v>1663</v>
      </c>
      <c r="H361" s="3">
        <v>0</v>
      </c>
      <c r="I361" s="2" t="s">
        <v>409</v>
      </c>
      <c r="J361" s="2" t="s">
        <v>1664</v>
      </c>
      <c r="K361" s="2" t="s">
        <v>23</v>
      </c>
      <c r="L361" s="2" t="s">
        <v>1665</v>
      </c>
      <c r="M361" s="6">
        <v>-640.33000000000004</v>
      </c>
      <c r="N361" t="b">
        <f>OR(LEFT(B361,3)="frg",(_xlfn.XMATCH(B361,ZZZ_Part_Id_[[#All],[FGCODE]])))</f>
        <v>1</v>
      </c>
    </row>
    <row r="362" spans="1:14" x14ac:dyDescent="0.3">
      <c r="A362" s="2" t="s">
        <v>1666</v>
      </c>
      <c r="B362" s="2" t="s">
        <v>1667</v>
      </c>
      <c r="C362" s="2" t="s">
        <v>1668</v>
      </c>
      <c r="D362" s="3">
        <v>334080</v>
      </c>
      <c r="E362" s="3">
        <v>334080</v>
      </c>
      <c r="F362" s="2" t="s">
        <v>16</v>
      </c>
      <c r="G362" s="2" t="s">
        <v>1669</v>
      </c>
      <c r="H362" s="3">
        <v>0</v>
      </c>
      <c r="I362" s="2" t="s">
        <v>409</v>
      </c>
      <c r="J362" s="2" t="s">
        <v>1670</v>
      </c>
      <c r="K362" s="2" t="s">
        <v>16</v>
      </c>
      <c r="L362" s="2" t="s">
        <v>1671</v>
      </c>
      <c r="M362" s="4">
        <v>17642.72</v>
      </c>
      <c r="N362" t="b">
        <f>OR(LEFT(B362,3)="frg",(_xlfn.XMATCH(B362,ZZZ_Part_Id_[[#All],[FGCODE]])))</f>
        <v>1</v>
      </c>
    </row>
    <row r="363" spans="1:14" x14ac:dyDescent="0.3">
      <c r="A363" s="2" t="s">
        <v>1666</v>
      </c>
      <c r="B363" s="2" t="s">
        <v>86</v>
      </c>
      <c r="C363" s="2" t="s">
        <v>1672</v>
      </c>
      <c r="D363" s="5">
        <v>-720</v>
      </c>
      <c r="E363" s="5">
        <v>-720</v>
      </c>
      <c r="F363" s="2" t="s">
        <v>23</v>
      </c>
      <c r="G363" s="2" t="s">
        <v>1673</v>
      </c>
      <c r="H363" s="3">
        <v>0</v>
      </c>
      <c r="I363" s="2" t="s">
        <v>409</v>
      </c>
      <c r="J363" s="2" t="s">
        <v>1674</v>
      </c>
      <c r="K363" s="2" t="s">
        <v>23</v>
      </c>
      <c r="L363" s="2" t="s">
        <v>1675</v>
      </c>
      <c r="M363" s="6">
        <v>-1884.82</v>
      </c>
      <c r="N363" t="b">
        <f>OR(LEFT(B363,3)="frg",(_xlfn.XMATCH(B363,ZZZ_Part_Id_[[#All],[FGCODE]])))</f>
        <v>1</v>
      </c>
    </row>
    <row r="364" spans="1:14" x14ac:dyDescent="0.3">
      <c r="A364" s="2" t="s">
        <v>1666</v>
      </c>
      <c r="B364" s="2" t="s">
        <v>14</v>
      </c>
      <c r="C364" s="2" t="s">
        <v>1676</v>
      </c>
      <c r="D364" s="3">
        <v>11</v>
      </c>
      <c r="E364" s="3">
        <v>11</v>
      </c>
      <c r="F364" s="2" t="s">
        <v>16</v>
      </c>
      <c r="G364" s="2" t="s">
        <v>1677</v>
      </c>
      <c r="H364" s="3">
        <v>0</v>
      </c>
      <c r="I364" s="2" t="s">
        <v>409</v>
      </c>
      <c r="J364" s="2" t="s">
        <v>1678</v>
      </c>
      <c r="K364" s="2" t="s">
        <v>16</v>
      </c>
      <c r="L364" s="2" t="s">
        <v>1679</v>
      </c>
      <c r="M364" s="4">
        <v>0.85</v>
      </c>
      <c r="N364" t="e">
        <f>OR(LEFT(B364,3)="frg",(_xlfn.XMATCH(B364,ZZZ_Part_Id_[[#All],[FGCODE]])))</f>
        <v>#N/A</v>
      </c>
    </row>
    <row r="365" spans="1:14" x14ac:dyDescent="0.3">
      <c r="A365" s="2" t="s">
        <v>1666</v>
      </c>
      <c r="B365" s="2" t="s">
        <v>140</v>
      </c>
      <c r="C365" s="2" t="s">
        <v>1680</v>
      </c>
      <c r="D365" s="3">
        <v>0.44</v>
      </c>
      <c r="E365" s="3">
        <v>0.44</v>
      </c>
      <c r="F365" s="2" t="s">
        <v>16</v>
      </c>
      <c r="G365" s="2" t="s">
        <v>1681</v>
      </c>
      <c r="H365" s="3">
        <v>0</v>
      </c>
      <c r="I365" s="2" t="s">
        <v>409</v>
      </c>
      <c r="J365" s="2" t="s">
        <v>1682</v>
      </c>
      <c r="K365" s="2" t="s">
        <v>16</v>
      </c>
      <c r="L365" s="2" t="s">
        <v>1683</v>
      </c>
      <c r="M365" s="4">
        <v>0.73</v>
      </c>
      <c r="N365" t="e">
        <f>OR(LEFT(B365,3)="frg",(_xlfn.XMATCH(B365,ZZZ_Part_Id_[[#All],[FGCODE]])))</f>
        <v>#N/A</v>
      </c>
    </row>
    <row r="366" spans="1:14" x14ac:dyDescent="0.3">
      <c r="A366" s="2" t="s">
        <v>1666</v>
      </c>
      <c r="B366" s="2" t="s">
        <v>192</v>
      </c>
      <c r="C366" s="2" t="s">
        <v>1684</v>
      </c>
      <c r="D366" s="3">
        <v>0.11</v>
      </c>
      <c r="E366" s="3">
        <v>0.11</v>
      </c>
      <c r="F366" s="2" t="s">
        <v>194</v>
      </c>
      <c r="G366" s="2" t="s">
        <v>1685</v>
      </c>
      <c r="H366" s="3">
        <v>0</v>
      </c>
      <c r="I366" s="2" t="s">
        <v>409</v>
      </c>
      <c r="J366" s="2" t="s">
        <v>1686</v>
      </c>
      <c r="K366" s="2" t="s">
        <v>194</v>
      </c>
      <c r="L366" s="2" t="s">
        <v>1687</v>
      </c>
      <c r="M366" s="4">
        <v>0.55000000000000004</v>
      </c>
      <c r="N366" t="e">
        <f>OR(LEFT(B366,3)="frg",(_xlfn.XMATCH(B366,ZZZ_Part_Id_[[#All],[FGCODE]])))</f>
        <v>#N/A</v>
      </c>
    </row>
    <row r="367" spans="1:14" x14ac:dyDescent="0.3">
      <c r="A367" s="2" t="s">
        <v>1666</v>
      </c>
      <c r="B367" s="2" t="s">
        <v>145</v>
      </c>
      <c r="C367" s="2" t="s">
        <v>1688</v>
      </c>
      <c r="D367" s="3">
        <v>4.3999999999999997E-2</v>
      </c>
      <c r="E367" s="3">
        <v>4.3999999999999997E-2</v>
      </c>
      <c r="F367" s="2" t="s">
        <v>147</v>
      </c>
      <c r="G367" s="2" t="s">
        <v>1689</v>
      </c>
      <c r="H367" s="3">
        <v>0</v>
      </c>
      <c r="I367" s="2" t="s">
        <v>409</v>
      </c>
      <c r="J367" s="2" t="s">
        <v>1690</v>
      </c>
      <c r="K367" s="2" t="s">
        <v>147</v>
      </c>
      <c r="L367" s="2" t="s">
        <v>1691</v>
      </c>
      <c r="M367" s="4">
        <v>6.88</v>
      </c>
      <c r="N367" t="e">
        <f>OR(LEFT(B367,3)="frg",(_xlfn.XMATCH(B367,ZZZ_Part_Id_[[#All],[FGCODE]])))</f>
        <v>#N/A</v>
      </c>
    </row>
    <row r="368" spans="1:14" x14ac:dyDescent="0.3">
      <c r="A368" s="2" t="s">
        <v>1692</v>
      </c>
      <c r="B368" s="2" t="s">
        <v>97</v>
      </c>
      <c r="C368" s="2" t="s">
        <v>1693</v>
      </c>
      <c r="D368" s="3">
        <v>273600</v>
      </c>
      <c r="E368" s="3">
        <v>273600</v>
      </c>
      <c r="F368" s="2" t="s">
        <v>16</v>
      </c>
      <c r="G368" s="2" t="s">
        <v>1694</v>
      </c>
      <c r="H368" s="3">
        <v>0</v>
      </c>
      <c r="I368" s="2" t="s">
        <v>409</v>
      </c>
      <c r="J368" s="2" t="s">
        <v>1695</v>
      </c>
      <c r="K368" s="2" t="s">
        <v>16</v>
      </c>
      <c r="L368" s="2" t="s">
        <v>1696</v>
      </c>
      <c r="M368" s="4">
        <v>58462.62</v>
      </c>
      <c r="N368" t="b">
        <f>OR(LEFT(B368,3)="frg",(_xlfn.XMATCH(B368,ZZZ_Part_Id_[[#All],[FGCODE]])))</f>
        <v>1</v>
      </c>
    </row>
    <row r="369" spans="1:14" x14ac:dyDescent="0.3">
      <c r="A369" s="2" t="s">
        <v>1692</v>
      </c>
      <c r="B369" s="2" t="s">
        <v>14</v>
      </c>
      <c r="C369" s="2" t="s">
        <v>1697</v>
      </c>
      <c r="D369" s="3">
        <v>57</v>
      </c>
      <c r="E369" s="3">
        <v>57</v>
      </c>
      <c r="F369" s="2" t="s">
        <v>16</v>
      </c>
      <c r="G369" s="2" t="s">
        <v>1698</v>
      </c>
      <c r="H369" s="3">
        <v>0</v>
      </c>
      <c r="I369" s="2" t="s">
        <v>409</v>
      </c>
      <c r="J369" s="2" t="s">
        <v>1699</v>
      </c>
      <c r="K369" s="2" t="s">
        <v>16</v>
      </c>
      <c r="L369" s="2" t="s">
        <v>1700</v>
      </c>
      <c r="M369" s="4">
        <v>4.3899999999999997</v>
      </c>
      <c r="N369" t="e">
        <f>OR(LEFT(B369,3)="frg",(_xlfn.XMATCH(B369,ZZZ_Part_Id_[[#All],[FGCODE]])))</f>
        <v>#N/A</v>
      </c>
    </row>
    <row r="370" spans="1:14" x14ac:dyDescent="0.3">
      <c r="A370" s="2" t="s">
        <v>1692</v>
      </c>
      <c r="B370" s="2" t="s">
        <v>140</v>
      </c>
      <c r="C370" s="2" t="s">
        <v>1701</v>
      </c>
      <c r="D370" s="3">
        <v>2.2799999999999998</v>
      </c>
      <c r="E370" s="3">
        <v>2.2799999999999998</v>
      </c>
      <c r="F370" s="2" t="s">
        <v>16</v>
      </c>
      <c r="G370" s="2" t="s">
        <v>1702</v>
      </c>
      <c r="H370" s="3">
        <v>0</v>
      </c>
      <c r="I370" s="2" t="s">
        <v>409</v>
      </c>
      <c r="J370" s="2" t="s">
        <v>1703</v>
      </c>
      <c r="K370" s="2" t="s">
        <v>16</v>
      </c>
      <c r="L370" s="2" t="s">
        <v>1704</v>
      </c>
      <c r="M370" s="4">
        <v>3.76</v>
      </c>
      <c r="N370" t="e">
        <f>OR(LEFT(B370,3)="frg",(_xlfn.XMATCH(B370,ZZZ_Part_Id_[[#All],[FGCODE]])))</f>
        <v>#N/A</v>
      </c>
    </row>
    <row r="371" spans="1:14" x14ac:dyDescent="0.3">
      <c r="A371" s="2" t="s">
        <v>1692</v>
      </c>
      <c r="B371" s="2" t="s">
        <v>192</v>
      </c>
      <c r="C371" s="2" t="s">
        <v>1705</v>
      </c>
      <c r="D371" s="3">
        <v>0.56999999999999995</v>
      </c>
      <c r="E371" s="3">
        <v>0.56999999999999995</v>
      </c>
      <c r="F371" s="2" t="s">
        <v>194</v>
      </c>
      <c r="G371" s="2" t="s">
        <v>1706</v>
      </c>
      <c r="H371" s="3">
        <v>0</v>
      </c>
      <c r="I371" s="2" t="s">
        <v>409</v>
      </c>
      <c r="J371" s="2" t="s">
        <v>1707</v>
      </c>
      <c r="K371" s="2" t="s">
        <v>194</v>
      </c>
      <c r="L371" s="2" t="s">
        <v>1708</v>
      </c>
      <c r="M371" s="4">
        <v>2.85</v>
      </c>
      <c r="N371" t="e">
        <f>OR(LEFT(B371,3)="frg",(_xlfn.XMATCH(B371,ZZZ_Part_Id_[[#All],[FGCODE]])))</f>
        <v>#N/A</v>
      </c>
    </row>
    <row r="372" spans="1:14" x14ac:dyDescent="0.3">
      <c r="A372" s="2" t="s">
        <v>1692</v>
      </c>
      <c r="B372" s="2" t="s">
        <v>145</v>
      </c>
      <c r="C372" s="2" t="s">
        <v>1709</v>
      </c>
      <c r="D372" s="3">
        <v>0.22800000000000001</v>
      </c>
      <c r="E372" s="3">
        <v>0.22800000000000001</v>
      </c>
      <c r="F372" s="2" t="s">
        <v>147</v>
      </c>
      <c r="G372" s="2" t="s">
        <v>1710</v>
      </c>
      <c r="H372" s="3">
        <v>0</v>
      </c>
      <c r="I372" s="2" t="s">
        <v>409</v>
      </c>
      <c r="J372" s="2" t="s">
        <v>1711</v>
      </c>
      <c r="K372" s="2" t="s">
        <v>147</v>
      </c>
      <c r="L372" s="2" t="s">
        <v>1712</v>
      </c>
      <c r="M372" s="4">
        <v>35.659999999999997</v>
      </c>
      <c r="N372" t="e">
        <f>OR(LEFT(B372,3)="frg",(_xlfn.XMATCH(B372,ZZZ_Part_Id_[[#All],[FGCODE]])))</f>
        <v>#N/A</v>
      </c>
    </row>
    <row r="373" spans="1:14" x14ac:dyDescent="0.3">
      <c r="A373" s="2" t="s">
        <v>1713</v>
      </c>
      <c r="B373" s="2" t="s">
        <v>27</v>
      </c>
      <c r="C373" s="2" t="s">
        <v>1714</v>
      </c>
      <c r="D373" s="3">
        <v>291456</v>
      </c>
      <c r="E373" s="3">
        <v>291456</v>
      </c>
      <c r="F373" s="2" t="s">
        <v>16</v>
      </c>
      <c r="G373" s="2" t="s">
        <v>1715</v>
      </c>
      <c r="H373" s="3">
        <v>0</v>
      </c>
      <c r="I373" s="2" t="s">
        <v>18</v>
      </c>
      <c r="J373" s="2" t="s">
        <v>1716</v>
      </c>
      <c r="K373" s="2" t="s">
        <v>16</v>
      </c>
      <c r="L373" s="2" t="s">
        <v>1717</v>
      </c>
      <c r="M373" s="4">
        <v>54132.32</v>
      </c>
      <c r="N373" t="b">
        <f>OR(LEFT(B373,3)="frg",(_xlfn.XMATCH(B373,ZZZ_Part_Id_[[#All],[FGCODE]])))</f>
        <v>1</v>
      </c>
    </row>
    <row r="374" spans="1:14" x14ac:dyDescent="0.3">
      <c r="A374" s="2" t="s">
        <v>1718</v>
      </c>
      <c r="B374" s="2" t="s">
        <v>1170</v>
      </c>
      <c r="C374" s="2" t="s">
        <v>1719</v>
      </c>
      <c r="D374" s="3">
        <v>19200</v>
      </c>
      <c r="E374" s="3">
        <v>19200</v>
      </c>
      <c r="F374" s="2" t="s">
        <v>16</v>
      </c>
      <c r="G374" s="2" t="s">
        <v>1720</v>
      </c>
      <c r="H374" s="3">
        <v>0</v>
      </c>
      <c r="I374" s="2" t="s">
        <v>409</v>
      </c>
      <c r="J374" s="2" t="s">
        <v>1721</v>
      </c>
      <c r="K374" s="2" t="s">
        <v>16</v>
      </c>
      <c r="L374" s="2" t="s">
        <v>1722</v>
      </c>
      <c r="M374" s="4">
        <v>4160.84</v>
      </c>
      <c r="N374" t="b">
        <f>OR(LEFT(B374,3)="frg",(_xlfn.XMATCH(B374,ZZZ_Part_Id_[[#All],[FGCODE]])))</f>
        <v>1</v>
      </c>
    </row>
    <row r="375" spans="1:14" x14ac:dyDescent="0.3">
      <c r="A375" s="2" t="s">
        <v>1718</v>
      </c>
      <c r="B375" s="2" t="s">
        <v>14</v>
      </c>
      <c r="C375" s="2" t="s">
        <v>1723</v>
      </c>
      <c r="D375" s="3">
        <v>4</v>
      </c>
      <c r="E375" s="3">
        <v>4</v>
      </c>
      <c r="F375" s="2" t="s">
        <v>16</v>
      </c>
      <c r="G375" s="2" t="s">
        <v>1724</v>
      </c>
      <c r="H375" s="3">
        <v>0</v>
      </c>
      <c r="I375" s="2" t="s">
        <v>409</v>
      </c>
      <c r="J375" s="2" t="s">
        <v>1725</v>
      </c>
      <c r="K375" s="2" t="s">
        <v>16</v>
      </c>
      <c r="L375" s="2" t="s">
        <v>1726</v>
      </c>
      <c r="M375" s="4">
        <v>0.31</v>
      </c>
      <c r="N375" t="e">
        <f>OR(LEFT(B375,3)="frg",(_xlfn.XMATCH(B375,ZZZ_Part_Id_[[#All],[FGCODE]])))</f>
        <v>#N/A</v>
      </c>
    </row>
    <row r="376" spans="1:14" x14ac:dyDescent="0.3">
      <c r="A376" s="2" t="s">
        <v>1718</v>
      </c>
      <c r="B376" s="2" t="s">
        <v>140</v>
      </c>
      <c r="C376" s="2" t="s">
        <v>1727</v>
      </c>
      <c r="D376" s="3">
        <v>0.16</v>
      </c>
      <c r="E376" s="3">
        <v>0.16</v>
      </c>
      <c r="F376" s="2" t="s">
        <v>16</v>
      </c>
      <c r="G376" s="2" t="s">
        <v>1728</v>
      </c>
      <c r="H376" s="3">
        <v>0</v>
      </c>
      <c r="I376" s="2" t="s">
        <v>409</v>
      </c>
      <c r="J376" s="2" t="s">
        <v>1729</v>
      </c>
      <c r="K376" s="2" t="s">
        <v>16</v>
      </c>
      <c r="L376" s="2" t="s">
        <v>1730</v>
      </c>
      <c r="M376" s="4">
        <v>0.26</v>
      </c>
      <c r="N376" t="e">
        <f>OR(LEFT(B376,3)="frg",(_xlfn.XMATCH(B376,ZZZ_Part_Id_[[#All],[FGCODE]])))</f>
        <v>#N/A</v>
      </c>
    </row>
    <row r="377" spans="1:14" x14ac:dyDescent="0.3">
      <c r="A377" s="2" t="s">
        <v>1718</v>
      </c>
      <c r="B377" s="2" t="s">
        <v>192</v>
      </c>
      <c r="C377" s="2" t="s">
        <v>1731</v>
      </c>
      <c r="D377" s="3">
        <v>0.04</v>
      </c>
      <c r="E377" s="3">
        <v>0.04</v>
      </c>
      <c r="F377" s="2" t="s">
        <v>194</v>
      </c>
      <c r="G377" s="2" t="s">
        <v>1732</v>
      </c>
      <c r="H377" s="3">
        <v>0</v>
      </c>
      <c r="I377" s="2" t="s">
        <v>409</v>
      </c>
      <c r="J377" s="2" t="s">
        <v>1733</v>
      </c>
      <c r="K377" s="2" t="s">
        <v>194</v>
      </c>
      <c r="L377" s="2" t="s">
        <v>1734</v>
      </c>
      <c r="M377" s="4">
        <v>0.2</v>
      </c>
      <c r="N377" t="e">
        <f>OR(LEFT(B377,3)="frg",(_xlfn.XMATCH(B377,ZZZ_Part_Id_[[#All],[FGCODE]])))</f>
        <v>#N/A</v>
      </c>
    </row>
    <row r="378" spans="1:14" x14ac:dyDescent="0.3">
      <c r="A378" s="2" t="s">
        <v>1735</v>
      </c>
      <c r="B378" s="2" t="s">
        <v>97</v>
      </c>
      <c r="C378" s="2" t="s">
        <v>1736</v>
      </c>
      <c r="D378" s="3">
        <v>134400</v>
      </c>
      <c r="E378" s="3">
        <v>134400</v>
      </c>
      <c r="F378" s="2" t="s">
        <v>16</v>
      </c>
      <c r="G378" s="2" t="s">
        <v>1737</v>
      </c>
      <c r="H378" s="3">
        <v>0</v>
      </c>
      <c r="I378" s="2" t="s">
        <v>409</v>
      </c>
      <c r="J378" s="2" t="s">
        <v>1738</v>
      </c>
      <c r="K378" s="2" t="s">
        <v>16</v>
      </c>
      <c r="L378" s="2" t="s">
        <v>1739</v>
      </c>
      <c r="M378" s="4">
        <v>28718.48</v>
      </c>
      <c r="N378" t="b">
        <f>OR(LEFT(B378,3)="frg",(_xlfn.XMATCH(B378,ZZZ_Part_Id_[[#All],[FGCODE]])))</f>
        <v>1</v>
      </c>
    </row>
    <row r="379" spans="1:14" x14ac:dyDescent="0.3">
      <c r="A379" s="2" t="s">
        <v>1735</v>
      </c>
      <c r="B379" s="2" t="s">
        <v>65</v>
      </c>
      <c r="C379" s="2" t="s">
        <v>1740</v>
      </c>
      <c r="D379" s="5">
        <v>-498</v>
      </c>
      <c r="E379" s="5">
        <v>-498</v>
      </c>
      <c r="F379" s="2" t="s">
        <v>23</v>
      </c>
      <c r="G379" s="2" t="s">
        <v>1741</v>
      </c>
      <c r="H379" s="3">
        <v>0</v>
      </c>
      <c r="I379" s="2" t="s">
        <v>409</v>
      </c>
      <c r="J379" s="2" t="s">
        <v>1742</v>
      </c>
      <c r="K379" s="2" t="s">
        <v>23</v>
      </c>
      <c r="L379" s="2" t="s">
        <v>1743</v>
      </c>
      <c r="M379" s="6">
        <v>-1280.6600000000001</v>
      </c>
      <c r="N379" t="b">
        <f>OR(LEFT(B379,3)="frg",(_xlfn.XMATCH(B379,ZZZ_Part_Id_[[#All],[FGCODE]])))</f>
        <v>1</v>
      </c>
    </row>
    <row r="380" spans="1:14" x14ac:dyDescent="0.3">
      <c r="A380" s="2" t="s">
        <v>1735</v>
      </c>
      <c r="B380" s="2" t="s">
        <v>14</v>
      </c>
      <c r="C380" s="2" t="s">
        <v>1744</v>
      </c>
      <c r="D380" s="3">
        <v>26</v>
      </c>
      <c r="E380" s="3">
        <v>26</v>
      </c>
      <c r="F380" s="2" t="s">
        <v>16</v>
      </c>
      <c r="G380" s="2" t="s">
        <v>1745</v>
      </c>
      <c r="H380" s="3">
        <v>0</v>
      </c>
      <c r="I380" s="2" t="s">
        <v>409</v>
      </c>
      <c r="J380" s="2" t="s">
        <v>1746</v>
      </c>
      <c r="K380" s="2" t="s">
        <v>16</v>
      </c>
      <c r="L380" s="2" t="s">
        <v>1747</v>
      </c>
      <c r="M380" s="4">
        <v>2</v>
      </c>
      <c r="N380" t="e">
        <f>OR(LEFT(B380,3)="frg",(_xlfn.XMATCH(B380,ZZZ_Part_Id_[[#All],[FGCODE]])))</f>
        <v>#N/A</v>
      </c>
    </row>
    <row r="381" spans="1:14" x14ac:dyDescent="0.3">
      <c r="A381" s="2" t="s">
        <v>1735</v>
      </c>
      <c r="B381" s="2" t="s">
        <v>140</v>
      </c>
      <c r="C381" s="2" t="s">
        <v>1748</v>
      </c>
      <c r="D381" s="3">
        <v>1.04</v>
      </c>
      <c r="E381" s="3">
        <v>1.04</v>
      </c>
      <c r="F381" s="2" t="s">
        <v>16</v>
      </c>
      <c r="G381" s="2" t="s">
        <v>1749</v>
      </c>
      <c r="H381" s="3">
        <v>0</v>
      </c>
      <c r="I381" s="2" t="s">
        <v>409</v>
      </c>
      <c r="J381" s="2" t="s">
        <v>1750</v>
      </c>
      <c r="K381" s="2" t="s">
        <v>16</v>
      </c>
      <c r="L381" s="2" t="s">
        <v>1751</v>
      </c>
      <c r="M381" s="4">
        <v>1.72</v>
      </c>
      <c r="N381" t="e">
        <f>OR(LEFT(B381,3)="frg",(_xlfn.XMATCH(B381,ZZZ_Part_Id_[[#All],[FGCODE]])))</f>
        <v>#N/A</v>
      </c>
    </row>
    <row r="382" spans="1:14" x14ac:dyDescent="0.3">
      <c r="A382" s="2" t="s">
        <v>1735</v>
      </c>
      <c r="B382" s="2" t="s">
        <v>192</v>
      </c>
      <c r="C382" s="2" t="s">
        <v>1752</v>
      </c>
      <c r="D382" s="3">
        <v>0.26</v>
      </c>
      <c r="E382" s="3">
        <v>0.26</v>
      </c>
      <c r="F382" s="2" t="s">
        <v>194</v>
      </c>
      <c r="G382" s="2" t="s">
        <v>1753</v>
      </c>
      <c r="H382" s="3">
        <v>0</v>
      </c>
      <c r="I382" s="2" t="s">
        <v>409</v>
      </c>
      <c r="J382" s="2" t="s">
        <v>1754</v>
      </c>
      <c r="K382" s="2" t="s">
        <v>194</v>
      </c>
      <c r="L382" s="2" t="s">
        <v>1755</v>
      </c>
      <c r="M382" s="4">
        <v>1.3</v>
      </c>
      <c r="N382" t="e">
        <f>OR(LEFT(B382,3)="frg",(_xlfn.XMATCH(B382,ZZZ_Part_Id_[[#All],[FGCODE]])))</f>
        <v>#N/A</v>
      </c>
    </row>
    <row r="383" spans="1:14" x14ac:dyDescent="0.3">
      <c r="A383" s="2" t="s">
        <v>1735</v>
      </c>
      <c r="B383" s="2" t="s">
        <v>145</v>
      </c>
      <c r="C383" s="2" t="s">
        <v>1756</v>
      </c>
      <c r="D383" s="3">
        <v>0.104</v>
      </c>
      <c r="E383" s="3">
        <v>0.104</v>
      </c>
      <c r="F383" s="2" t="s">
        <v>147</v>
      </c>
      <c r="G383" s="2" t="s">
        <v>1757</v>
      </c>
      <c r="H383" s="3">
        <v>0</v>
      </c>
      <c r="I383" s="2" t="s">
        <v>409</v>
      </c>
      <c r="J383" s="2" t="s">
        <v>1758</v>
      </c>
      <c r="K383" s="2" t="s">
        <v>147</v>
      </c>
      <c r="L383" s="2" t="s">
        <v>1759</v>
      </c>
      <c r="M383" s="4">
        <v>16.27</v>
      </c>
      <c r="N383" t="e">
        <f>OR(LEFT(B383,3)="frg",(_xlfn.XMATCH(B383,ZZZ_Part_Id_[[#All],[FGCODE]])))</f>
        <v>#N/A</v>
      </c>
    </row>
    <row r="384" spans="1:14" x14ac:dyDescent="0.3">
      <c r="A384" s="2" t="s">
        <v>1760</v>
      </c>
      <c r="B384" s="2" t="s">
        <v>27</v>
      </c>
      <c r="C384" s="2" t="s">
        <v>1761</v>
      </c>
      <c r="D384" s="3">
        <v>384192</v>
      </c>
      <c r="E384" s="3">
        <v>384192</v>
      </c>
      <c r="F384" s="2" t="s">
        <v>16</v>
      </c>
      <c r="G384" s="2" t="s">
        <v>1762</v>
      </c>
      <c r="H384" s="3">
        <v>0</v>
      </c>
      <c r="I384" s="2" t="s">
        <v>409</v>
      </c>
      <c r="J384" s="2" t="s">
        <v>1763</v>
      </c>
      <c r="K384" s="2" t="s">
        <v>16</v>
      </c>
      <c r="L384" s="2" t="s">
        <v>1764</v>
      </c>
      <c r="M384" s="4">
        <v>71356.240000000005</v>
      </c>
      <c r="N384" t="b">
        <f>OR(LEFT(B384,3)="frg",(_xlfn.XMATCH(B384,ZZZ_Part_Id_[[#All],[FGCODE]])))</f>
        <v>1</v>
      </c>
    </row>
    <row r="385" spans="1:14" x14ac:dyDescent="0.3">
      <c r="A385" s="2" t="s">
        <v>1765</v>
      </c>
      <c r="B385" s="2" t="s">
        <v>699</v>
      </c>
      <c r="C385" s="2" t="s">
        <v>1766</v>
      </c>
      <c r="D385" s="3">
        <v>13248</v>
      </c>
      <c r="E385" s="3">
        <v>13248</v>
      </c>
      <c r="F385" s="2" t="s">
        <v>16</v>
      </c>
      <c r="G385" s="2" t="s">
        <v>1767</v>
      </c>
      <c r="H385" s="3">
        <v>0</v>
      </c>
      <c r="I385" s="2" t="s">
        <v>18</v>
      </c>
      <c r="J385" s="2" t="s">
        <v>1768</v>
      </c>
      <c r="K385" s="2" t="s">
        <v>16</v>
      </c>
      <c r="L385" s="2" t="s">
        <v>1769</v>
      </c>
      <c r="M385" s="4">
        <v>2415.2399999999998</v>
      </c>
      <c r="N385" t="b">
        <f>OR(LEFT(B385,3)="frg",(_xlfn.XMATCH(B385,ZZZ_Part_Id_[[#All],[FGCODE]])))</f>
        <v>1</v>
      </c>
    </row>
    <row r="386" spans="1:14" x14ac:dyDescent="0.3">
      <c r="A386" s="2" t="s">
        <v>1765</v>
      </c>
      <c r="B386" s="2" t="s">
        <v>14</v>
      </c>
      <c r="C386" s="2" t="s">
        <v>1770</v>
      </c>
      <c r="D386" s="3">
        <v>2</v>
      </c>
      <c r="E386" s="3">
        <v>2</v>
      </c>
      <c r="F386" s="2" t="s">
        <v>16</v>
      </c>
      <c r="G386" s="2" t="s">
        <v>1771</v>
      </c>
      <c r="H386" s="3">
        <v>0</v>
      </c>
      <c r="I386" s="2" t="s">
        <v>18</v>
      </c>
      <c r="J386" s="2" t="s">
        <v>1772</v>
      </c>
      <c r="K386" s="2" t="s">
        <v>16</v>
      </c>
      <c r="L386" s="2" t="s">
        <v>1773</v>
      </c>
      <c r="M386" s="4">
        <v>0.15</v>
      </c>
      <c r="N386" t="e">
        <f>OR(LEFT(B386,3)="frg",(_xlfn.XMATCH(B386,ZZZ_Part_Id_[[#All],[FGCODE]])))</f>
        <v>#N/A</v>
      </c>
    </row>
    <row r="387" spans="1:14" x14ac:dyDescent="0.3">
      <c r="A387" s="2" t="s">
        <v>1765</v>
      </c>
      <c r="B387" s="2" t="s">
        <v>140</v>
      </c>
      <c r="C387" s="2" t="s">
        <v>1774</v>
      </c>
      <c r="D387" s="3">
        <v>0.08</v>
      </c>
      <c r="E387" s="3">
        <v>0.08</v>
      </c>
      <c r="F387" s="2" t="s">
        <v>16</v>
      </c>
      <c r="G387" s="2" t="s">
        <v>1775</v>
      </c>
      <c r="H387" s="3">
        <v>0</v>
      </c>
      <c r="I387" s="2" t="s">
        <v>18</v>
      </c>
      <c r="J387" s="2" t="s">
        <v>1776</v>
      </c>
      <c r="K387" s="2" t="s">
        <v>16</v>
      </c>
      <c r="L387" s="2" t="s">
        <v>1777</v>
      </c>
      <c r="M387" s="4">
        <v>0.13</v>
      </c>
      <c r="N387" t="e">
        <f>OR(LEFT(B387,3)="frg",(_xlfn.XMATCH(B387,ZZZ_Part_Id_[[#All],[FGCODE]])))</f>
        <v>#N/A</v>
      </c>
    </row>
    <row r="388" spans="1:14" x14ac:dyDescent="0.3">
      <c r="A388" s="2" t="s">
        <v>1765</v>
      </c>
      <c r="B388" s="2" t="s">
        <v>192</v>
      </c>
      <c r="C388" s="2" t="s">
        <v>1778</v>
      </c>
      <c r="D388" s="3">
        <v>0.02</v>
      </c>
      <c r="E388" s="3">
        <v>0.02</v>
      </c>
      <c r="F388" s="2" t="s">
        <v>194</v>
      </c>
      <c r="G388" s="2" t="s">
        <v>1779</v>
      </c>
      <c r="H388" s="3">
        <v>0</v>
      </c>
      <c r="I388" s="2" t="s">
        <v>18</v>
      </c>
      <c r="J388" s="2" t="s">
        <v>1780</v>
      </c>
      <c r="K388" s="2" t="s">
        <v>194</v>
      </c>
      <c r="L388" s="2" t="s">
        <v>1781</v>
      </c>
      <c r="M388" s="4">
        <v>0.1</v>
      </c>
      <c r="N388" t="e">
        <f>OR(LEFT(B388,3)="frg",(_xlfn.XMATCH(B388,ZZZ_Part_Id_[[#All],[FGCODE]])))</f>
        <v>#N/A</v>
      </c>
    </row>
    <row r="389" spans="1:14" x14ac:dyDescent="0.3">
      <c r="A389" s="2" t="s">
        <v>1765</v>
      </c>
      <c r="B389" s="2" t="s">
        <v>145</v>
      </c>
      <c r="C389" s="2" t="s">
        <v>1782</v>
      </c>
      <c r="D389" s="3">
        <v>8.0000000000000002E-3</v>
      </c>
      <c r="E389" s="3">
        <v>8.0000000000000002E-3</v>
      </c>
      <c r="F389" s="2" t="s">
        <v>147</v>
      </c>
      <c r="G389" s="2" t="s">
        <v>1783</v>
      </c>
      <c r="H389" s="3">
        <v>0</v>
      </c>
      <c r="I389" s="2" t="s">
        <v>18</v>
      </c>
      <c r="J389" s="2" t="s">
        <v>1784</v>
      </c>
      <c r="K389" s="2" t="s">
        <v>147</v>
      </c>
      <c r="L389" s="2" t="s">
        <v>1785</v>
      </c>
      <c r="M389" s="4">
        <v>1.25</v>
      </c>
      <c r="N389" t="e">
        <f>OR(LEFT(B389,3)="frg",(_xlfn.XMATCH(B389,ZZZ_Part_Id_[[#All],[FGCODE]])))</f>
        <v>#N/A</v>
      </c>
    </row>
    <row r="390" spans="1:14" x14ac:dyDescent="0.3">
      <c r="A390" s="2" t="s">
        <v>1786</v>
      </c>
      <c r="B390" s="2" t="s">
        <v>289</v>
      </c>
      <c r="C390" s="2" t="s">
        <v>1787</v>
      </c>
      <c r="D390" s="3">
        <v>27000</v>
      </c>
      <c r="E390" s="3">
        <v>27000</v>
      </c>
      <c r="F390" s="2" t="s">
        <v>16</v>
      </c>
      <c r="G390" s="2" t="s">
        <v>1788</v>
      </c>
      <c r="H390" s="3">
        <v>0</v>
      </c>
      <c r="I390" s="2" t="s">
        <v>409</v>
      </c>
      <c r="J390" s="2" t="s">
        <v>1789</v>
      </c>
      <c r="K390" s="2" t="s">
        <v>16</v>
      </c>
      <c r="L390" s="2" t="s">
        <v>1790</v>
      </c>
      <c r="M390" s="4">
        <v>2043.63</v>
      </c>
      <c r="N390" t="b">
        <f>OR(LEFT(B390,3)="frg",(_xlfn.XMATCH(B390,ZZZ_Part_Id_[[#All],[FGCODE]])))</f>
        <v>1</v>
      </c>
    </row>
    <row r="391" spans="1:14" x14ac:dyDescent="0.3">
      <c r="A391" s="2" t="s">
        <v>1786</v>
      </c>
      <c r="B391" s="2" t="s">
        <v>65</v>
      </c>
      <c r="C391" s="2" t="s">
        <v>1791</v>
      </c>
      <c r="D391" s="5">
        <v>-20</v>
      </c>
      <c r="E391" s="5">
        <v>-20</v>
      </c>
      <c r="F391" s="2" t="s">
        <v>23</v>
      </c>
      <c r="G391" s="2" t="s">
        <v>1792</v>
      </c>
      <c r="H391" s="3">
        <v>0</v>
      </c>
      <c r="I391" s="2" t="s">
        <v>409</v>
      </c>
      <c r="J391" s="2" t="s">
        <v>1793</v>
      </c>
      <c r="K391" s="2" t="s">
        <v>23</v>
      </c>
      <c r="L391" s="2" t="s">
        <v>1794</v>
      </c>
      <c r="M391" s="6">
        <v>-51.43</v>
      </c>
      <c r="N391" t="b">
        <f>OR(LEFT(B391,3)="frg",(_xlfn.XMATCH(B391,ZZZ_Part_Id_[[#All],[FGCODE]])))</f>
        <v>1</v>
      </c>
    </row>
    <row r="392" spans="1:14" x14ac:dyDescent="0.3">
      <c r="A392" s="2" t="s">
        <v>1786</v>
      </c>
      <c r="B392" s="2" t="s">
        <v>14</v>
      </c>
      <c r="C392" s="2" t="s">
        <v>1795</v>
      </c>
      <c r="D392" s="3">
        <v>2</v>
      </c>
      <c r="E392" s="3">
        <v>2</v>
      </c>
      <c r="F392" s="2" t="s">
        <v>16</v>
      </c>
      <c r="G392" s="2" t="s">
        <v>1796</v>
      </c>
      <c r="H392" s="3">
        <v>0</v>
      </c>
      <c r="I392" s="2" t="s">
        <v>409</v>
      </c>
      <c r="J392" s="2" t="s">
        <v>1797</v>
      </c>
      <c r="K392" s="2" t="s">
        <v>16</v>
      </c>
      <c r="L392" s="2" t="s">
        <v>1798</v>
      </c>
      <c r="M392" s="4">
        <v>0.15</v>
      </c>
      <c r="N392" t="e">
        <f>OR(LEFT(B392,3)="frg",(_xlfn.XMATCH(B392,ZZZ_Part_Id_[[#All],[FGCODE]])))</f>
        <v>#N/A</v>
      </c>
    </row>
    <row r="393" spans="1:14" x14ac:dyDescent="0.3">
      <c r="A393" s="2" t="s">
        <v>1786</v>
      </c>
      <c r="B393" s="2" t="s">
        <v>140</v>
      </c>
      <c r="C393" s="2" t="s">
        <v>1799</v>
      </c>
      <c r="D393" s="3">
        <v>0.08</v>
      </c>
      <c r="E393" s="3">
        <v>0.08</v>
      </c>
      <c r="F393" s="2" t="s">
        <v>16</v>
      </c>
      <c r="G393" s="2" t="s">
        <v>1800</v>
      </c>
      <c r="H393" s="3">
        <v>0</v>
      </c>
      <c r="I393" s="2" t="s">
        <v>409</v>
      </c>
      <c r="J393" s="2" t="s">
        <v>1801</v>
      </c>
      <c r="K393" s="2" t="s">
        <v>16</v>
      </c>
      <c r="L393" s="2" t="s">
        <v>1802</v>
      </c>
      <c r="M393" s="4">
        <v>0.13</v>
      </c>
      <c r="N393" t="e">
        <f>OR(LEFT(B393,3)="frg",(_xlfn.XMATCH(B393,ZZZ_Part_Id_[[#All],[FGCODE]])))</f>
        <v>#N/A</v>
      </c>
    </row>
    <row r="394" spans="1:14" x14ac:dyDescent="0.3">
      <c r="A394" s="2" t="s">
        <v>1786</v>
      </c>
      <c r="B394" s="2" t="s">
        <v>192</v>
      </c>
      <c r="C394" s="2" t="s">
        <v>1803</v>
      </c>
      <c r="D394" s="3">
        <v>0.02</v>
      </c>
      <c r="E394" s="3">
        <v>0.02</v>
      </c>
      <c r="F394" s="2" t="s">
        <v>194</v>
      </c>
      <c r="G394" s="2" t="s">
        <v>1804</v>
      </c>
      <c r="H394" s="3">
        <v>0</v>
      </c>
      <c r="I394" s="2" t="s">
        <v>409</v>
      </c>
      <c r="J394" s="2" t="s">
        <v>1805</v>
      </c>
      <c r="K394" s="2" t="s">
        <v>194</v>
      </c>
      <c r="L394" s="2" t="s">
        <v>1806</v>
      </c>
      <c r="M394" s="4">
        <v>0.1</v>
      </c>
      <c r="N394" t="e">
        <f>OR(LEFT(B394,3)="frg",(_xlfn.XMATCH(B394,ZZZ_Part_Id_[[#All],[FGCODE]])))</f>
        <v>#N/A</v>
      </c>
    </row>
    <row r="395" spans="1:14" x14ac:dyDescent="0.3">
      <c r="A395" s="2" t="s">
        <v>1786</v>
      </c>
      <c r="B395" s="2" t="s">
        <v>145</v>
      </c>
      <c r="C395" s="2" t="s">
        <v>1807</v>
      </c>
      <c r="D395" s="3">
        <v>8.0000000000000002E-3</v>
      </c>
      <c r="E395" s="3">
        <v>8.0000000000000002E-3</v>
      </c>
      <c r="F395" s="2" t="s">
        <v>147</v>
      </c>
      <c r="G395" s="2" t="s">
        <v>1808</v>
      </c>
      <c r="H395" s="3">
        <v>0</v>
      </c>
      <c r="I395" s="2" t="s">
        <v>409</v>
      </c>
      <c r="J395" s="2" t="s">
        <v>1809</v>
      </c>
      <c r="K395" s="2" t="s">
        <v>147</v>
      </c>
      <c r="L395" s="2" t="s">
        <v>1810</v>
      </c>
      <c r="M395" s="4">
        <v>1.25</v>
      </c>
      <c r="N395" t="e">
        <f>OR(LEFT(B395,3)="frg",(_xlfn.XMATCH(B395,ZZZ_Part_Id_[[#All],[FGCODE]])))</f>
        <v>#N/A</v>
      </c>
    </row>
    <row r="396" spans="1:14" x14ac:dyDescent="0.3">
      <c r="A396" s="2" t="s">
        <v>1811</v>
      </c>
      <c r="B396" s="2" t="s">
        <v>740</v>
      </c>
      <c r="C396" s="2" t="s">
        <v>1812</v>
      </c>
      <c r="D396" s="3">
        <v>21240</v>
      </c>
      <c r="E396" s="3">
        <v>21240</v>
      </c>
      <c r="F396" s="2" t="s">
        <v>16</v>
      </c>
      <c r="G396" s="2" t="s">
        <v>1813</v>
      </c>
      <c r="H396" s="3">
        <v>0</v>
      </c>
      <c r="I396" s="2" t="s">
        <v>409</v>
      </c>
      <c r="J396" s="2" t="s">
        <v>1814</v>
      </c>
      <c r="K396" s="2" t="s">
        <v>16</v>
      </c>
      <c r="L396" s="2" t="s">
        <v>1815</v>
      </c>
      <c r="M396" s="4">
        <v>2614.44</v>
      </c>
      <c r="N396" t="b">
        <f>OR(LEFT(B396,3)="frg",(_xlfn.XMATCH(B396,ZZZ_Part_Id_[[#All],[FGCODE]])))</f>
        <v>1</v>
      </c>
    </row>
    <row r="397" spans="1:14" x14ac:dyDescent="0.3">
      <c r="A397" s="2" t="s">
        <v>1811</v>
      </c>
      <c r="B397" s="2" t="s">
        <v>14</v>
      </c>
      <c r="C397" s="2" t="s">
        <v>1816</v>
      </c>
      <c r="D397" s="3">
        <v>2</v>
      </c>
      <c r="E397" s="3">
        <v>2</v>
      </c>
      <c r="F397" s="2" t="s">
        <v>16</v>
      </c>
      <c r="G397" s="2" t="s">
        <v>1817</v>
      </c>
      <c r="H397" s="3">
        <v>0</v>
      </c>
      <c r="I397" s="2" t="s">
        <v>409</v>
      </c>
      <c r="J397" s="2" t="s">
        <v>1818</v>
      </c>
      <c r="K397" s="2" t="s">
        <v>16</v>
      </c>
      <c r="L397" s="2" t="s">
        <v>1819</v>
      </c>
      <c r="M397" s="4">
        <v>0.15</v>
      </c>
      <c r="N397" t="e">
        <f>OR(LEFT(B397,3)="frg",(_xlfn.XMATCH(B397,ZZZ_Part_Id_[[#All],[FGCODE]])))</f>
        <v>#N/A</v>
      </c>
    </row>
    <row r="398" spans="1:14" x14ac:dyDescent="0.3">
      <c r="A398" s="2" t="s">
        <v>1811</v>
      </c>
      <c r="B398" s="2" t="s">
        <v>140</v>
      </c>
      <c r="C398" s="2" t="s">
        <v>1820</v>
      </c>
      <c r="D398" s="3">
        <v>0.08</v>
      </c>
      <c r="E398" s="3">
        <v>0.08</v>
      </c>
      <c r="F398" s="2" t="s">
        <v>16</v>
      </c>
      <c r="G398" s="2" t="s">
        <v>1821</v>
      </c>
      <c r="H398" s="3">
        <v>0</v>
      </c>
      <c r="I398" s="2" t="s">
        <v>409</v>
      </c>
      <c r="J398" s="2" t="s">
        <v>1822</v>
      </c>
      <c r="K398" s="2" t="s">
        <v>16</v>
      </c>
      <c r="L398" s="2" t="s">
        <v>1823</v>
      </c>
      <c r="M398" s="4">
        <v>0.13</v>
      </c>
      <c r="N398" t="e">
        <f>OR(LEFT(B398,3)="frg",(_xlfn.XMATCH(B398,ZZZ_Part_Id_[[#All],[FGCODE]])))</f>
        <v>#N/A</v>
      </c>
    </row>
    <row r="399" spans="1:14" x14ac:dyDescent="0.3">
      <c r="A399" s="2" t="s">
        <v>1811</v>
      </c>
      <c r="B399" s="2" t="s">
        <v>192</v>
      </c>
      <c r="C399" s="2" t="s">
        <v>1824</v>
      </c>
      <c r="D399" s="3">
        <v>0.02</v>
      </c>
      <c r="E399" s="3">
        <v>0.02</v>
      </c>
      <c r="F399" s="2" t="s">
        <v>194</v>
      </c>
      <c r="G399" s="2" t="s">
        <v>1825</v>
      </c>
      <c r="H399" s="3">
        <v>0</v>
      </c>
      <c r="I399" s="2" t="s">
        <v>409</v>
      </c>
      <c r="J399" s="2" t="s">
        <v>1826</v>
      </c>
      <c r="K399" s="2" t="s">
        <v>194</v>
      </c>
      <c r="L399" s="2" t="s">
        <v>1827</v>
      </c>
      <c r="M399" s="4">
        <v>0.1</v>
      </c>
      <c r="N399" t="e">
        <f>OR(LEFT(B399,3)="frg",(_xlfn.XMATCH(B399,ZZZ_Part_Id_[[#All],[FGCODE]])))</f>
        <v>#N/A</v>
      </c>
    </row>
    <row r="400" spans="1:14" x14ac:dyDescent="0.3">
      <c r="A400" s="2" t="s">
        <v>1811</v>
      </c>
      <c r="B400" s="2" t="s">
        <v>145</v>
      </c>
      <c r="C400" s="2" t="s">
        <v>1828</v>
      </c>
      <c r="D400" s="3">
        <v>8.0000000000000002E-3</v>
      </c>
      <c r="E400" s="3">
        <v>8.0000000000000002E-3</v>
      </c>
      <c r="F400" s="2" t="s">
        <v>147</v>
      </c>
      <c r="G400" s="2" t="s">
        <v>1829</v>
      </c>
      <c r="H400" s="3">
        <v>0</v>
      </c>
      <c r="I400" s="2" t="s">
        <v>409</v>
      </c>
      <c r="J400" s="2" t="s">
        <v>1830</v>
      </c>
      <c r="K400" s="2" t="s">
        <v>147</v>
      </c>
      <c r="L400" s="2" t="s">
        <v>1831</v>
      </c>
      <c r="M400" s="4">
        <v>1.25</v>
      </c>
      <c r="N400" t="e">
        <f>OR(LEFT(B400,3)="frg",(_xlfn.XMATCH(B400,ZZZ_Part_Id_[[#All],[FGCODE]])))</f>
        <v>#N/A</v>
      </c>
    </row>
    <row r="401" spans="1:14" x14ac:dyDescent="0.3">
      <c r="A401" s="2" t="s">
        <v>1832</v>
      </c>
      <c r="B401" s="2" t="s">
        <v>97</v>
      </c>
      <c r="C401" s="2" t="s">
        <v>1833</v>
      </c>
      <c r="D401" s="3">
        <v>350400</v>
      </c>
      <c r="E401" s="3">
        <v>350400</v>
      </c>
      <c r="F401" s="2" t="s">
        <v>16</v>
      </c>
      <c r="G401" s="2" t="s">
        <v>1834</v>
      </c>
      <c r="H401" s="3">
        <v>0</v>
      </c>
      <c r="I401" s="2" t="s">
        <v>409</v>
      </c>
      <c r="J401" s="2" t="s">
        <v>1835</v>
      </c>
      <c r="K401" s="2" t="s">
        <v>16</v>
      </c>
      <c r="L401" s="2" t="s">
        <v>1836</v>
      </c>
      <c r="M401" s="4">
        <v>74873.19</v>
      </c>
      <c r="N401" t="b">
        <f>OR(LEFT(B401,3)="frg",(_xlfn.XMATCH(B401,ZZZ_Part_Id_[[#All],[FGCODE]])))</f>
        <v>1</v>
      </c>
    </row>
    <row r="402" spans="1:14" x14ac:dyDescent="0.3">
      <c r="A402" s="2" t="s">
        <v>1832</v>
      </c>
      <c r="B402" s="2" t="s">
        <v>14</v>
      </c>
      <c r="C402" s="2" t="s">
        <v>1837</v>
      </c>
      <c r="D402" s="3">
        <v>73</v>
      </c>
      <c r="E402" s="3">
        <v>73</v>
      </c>
      <c r="F402" s="2" t="s">
        <v>16</v>
      </c>
      <c r="G402" s="2" t="s">
        <v>1838</v>
      </c>
      <c r="H402" s="3">
        <v>0</v>
      </c>
      <c r="I402" s="2" t="s">
        <v>409</v>
      </c>
      <c r="J402" s="2" t="s">
        <v>1839</v>
      </c>
      <c r="K402" s="2" t="s">
        <v>16</v>
      </c>
      <c r="L402" s="2" t="s">
        <v>1840</v>
      </c>
      <c r="M402" s="4">
        <v>5.62</v>
      </c>
      <c r="N402" t="e">
        <f>OR(LEFT(B402,3)="frg",(_xlfn.XMATCH(B402,ZZZ_Part_Id_[[#All],[FGCODE]])))</f>
        <v>#N/A</v>
      </c>
    </row>
    <row r="403" spans="1:14" x14ac:dyDescent="0.3">
      <c r="A403" s="2" t="s">
        <v>1832</v>
      </c>
      <c r="B403" s="2" t="s">
        <v>140</v>
      </c>
      <c r="C403" s="2" t="s">
        <v>1841</v>
      </c>
      <c r="D403" s="3">
        <v>2.92</v>
      </c>
      <c r="E403" s="3">
        <v>2.92</v>
      </c>
      <c r="F403" s="2" t="s">
        <v>16</v>
      </c>
      <c r="G403" s="2" t="s">
        <v>1842</v>
      </c>
      <c r="H403" s="3">
        <v>0</v>
      </c>
      <c r="I403" s="2" t="s">
        <v>409</v>
      </c>
      <c r="J403" s="2" t="s">
        <v>1843</v>
      </c>
      <c r="K403" s="2" t="s">
        <v>16</v>
      </c>
      <c r="L403" s="2" t="s">
        <v>1844</v>
      </c>
      <c r="M403" s="4">
        <v>4.82</v>
      </c>
      <c r="N403" t="e">
        <f>OR(LEFT(B403,3)="frg",(_xlfn.XMATCH(B403,ZZZ_Part_Id_[[#All],[FGCODE]])))</f>
        <v>#N/A</v>
      </c>
    </row>
    <row r="404" spans="1:14" x14ac:dyDescent="0.3">
      <c r="A404" s="2" t="s">
        <v>1832</v>
      </c>
      <c r="B404" s="2" t="s">
        <v>192</v>
      </c>
      <c r="C404" s="2" t="s">
        <v>1845</v>
      </c>
      <c r="D404" s="3">
        <v>0.73</v>
      </c>
      <c r="E404" s="3">
        <v>0.73</v>
      </c>
      <c r="F404" s="2" t="s">
        <v>194</v>
      </c>
      <c r="G404" s="2" t="s">
        <v>1846</v>
      </c>
      <c r="H404" s="3">
        <v>0</v>
      </c>
      <c r="I404" s="2" t="s">
        <v>409</v>
      </c>
      <c r="J404" s="2" t="s">
        <v>1847</v>
      </c>
      <c r="K404" s="2" t="s">
        <v>194</v>
      </c>
      <c r="L404" s="2" t="s">
        <v>1848</v>
      </c>
      <c r="M404" s="4">
        <v>3.65</v>
      </c>
      <c r="N404" t="e">
        <f>OR(LEFT(B404,3)="frg",(_xlfn.XMATCH(B404,ZZZ_Part_Id_[[#All],[FGCODE]])))</f>
        <v>#N/A</v>
      </c>
    </row>
    <row r="405" spans="1:14" x14ac:dyDescent="0.3">
      <c r="A405" s="2" t="s">
        <v>1832</v>
      </c>
      <c r="B405" s="2" t="s">
        <v>145</v>
      </c>
      <c r="C405" s="2" t="s">
        <v>1849</v>
      </c>
      <c r="D405" s="3">
        <v>0.29199999999999998</v>
      </c>
      <c r="E405" s="3">
        <v>0.29199999999999998</v>
      </c>
      <c r="F405" s="2" t="s">
        <v>147</v>
      </c>
      <c r="G405" s="2" t="s">
        <v>1850</v>
      </c>
      <c r="H405" s="3">
        <v>0</v>
      </c>
      <c r="I405" s="2" t="s">
        <v>409</v>
      </c>
      <c r="J405" s="2" t="s">
        <v>1851</v>
      </c>
      <c r="K405" s="2" t="s">
        <v>147</v>
      </c>
      <c r="L405" s="2" t="s">
        <v>1852</v>
      </c>
      <c r="M405" s="4">
        <v>45.67</v>
      </c>
      <c r="N405" t="e">
        <f>OR(LEFT(B405,3)="frg",(_xlfn.XMATCH(B405,ZZZ_Part_Id_[[#All],[FGCODE]])))</f>
        <v>#N/A</v>
      </c>
    </row>
    <row r="406" spans="1:14" x14ac:dyDescent="0.3">
      <c r="A406" s="2" t="s">
        <v>1853</v>
      </c>
      <c r="B406" s="2" t="s">
        <v>1590</v>
      </c>
      <c r="C406" s="2" t="s">
        <v>1854</v>
      </c>
      <c r="D406" s="3">
        <v>2868480</v>
      </c>
      <c r="E406" s="3">
        <v>2868480</v>
      </c>
      <c r="F406" s="2" t="s">
        <v>16</v>
      </c>
      <c r="G406" s="2" t="s">
        <v>1855</v>
      </c>
      <c r="H406" s="3">
        <v>0</v>
      </c>
      <c r="I406" s="2" t="s">
        <v>18</v>
      </c>
      <c r="J406" s="2" t="s">
        <v>1856</v>
      </c>
      <c r="K406" s="2" t="s">
        <v>16</v>
      </c>
      <c r="L406" s="2" t="s">
        <v>1857</v>
      </c>
      <c r="M406" s="4">
        <v>109834.22</v>
      </c>
      <c r="N406" t="b">
        <f>OR(LEFT(B406,3)="frg",(_xlfn.XMATCH(B406,ZZZ_Part_Id_[[#All],[FGCODE]])))</f>
        <v>1</v>
      </c>
    </row>
    <row r="407" spans="1:14" x14ac:dyDescent="0.3">
      <c r="A407" s="2" t="s">
        <v>1853</v>
      </c>
      <c r="B407" s="2" t="s">
        <v>14</v>
      </c>
      <c r="C407" s="2" t="s">
        <v>1858</v>
      </c>
      <c r="D407" s="3">
        <v>96</v>
      </c>
      <c r="E407" s="3">
        <v>96</v>
      </c>
      <c r="F407" s="2" t="s">
        <v>16</v>
      </c>
      <c r="G407" s="2" t="s">
        <v>1859</v>
      </c>
      <c r="H407" s="3">
        <v>0</v>
      </c>
      <c r="I407" s="2" t="s">
        <v>18</v>
      </c>
      <c r="J407" s="2" t="s">
        <v>1860</v>
      </c>
      <c r="K407" s="2" t="s">
        <v>16</v>
      </c>
      <c r="L407" s="2" t="s">
        <v>1861</v>
      </c>
      <c r="M407" s="4">
        <v>7.39</v>
      </c>
      <c r="N407" t="e">
        <f>OR(LEFT(B407,3)="frg",(_xlfn.XMATCH(B407,ZZZ_Part_Id_[[#All],[FGCODE]])))</f>
        <v>#N/A</v>
      </c>
    </row>
    <row r="408" spans="1:14" x14ac:dyDescent="0.3">
      <c r="A408" s="2" t="s">
        <v>1853</v>
      </c>
      <c r="B408" s="2" t="s">
        <v>140</v>
      </c>
      <c r="C408" s="2" t="s">
        <v>1862</v>
      </c>
      <c r="D408" s="3">
        <v>3.84</v>
      </c>
      <c r="E408" s="3">
        <v>3.84</v>
      </c>
      <c r="F408" s="2" t="s">
        <v>16</v>
      </c>
      <c r="G408" s="2" t="s">
        <v>1863</v>
      </c>
      <c r="H408" s="3">
        <v>0</v>
      </c>
      <c r="I408" s="2" t="s">
        <v>18</v>
      </c>
      <c r="J408" s="2" t="s">
        <v>1864</v>
      </c>
      <c r="K408" s="2" t="s">
        <v>16</v>
      </c>
      <c r="L408" s="2" t="s">
        <v>1865</v>
      </c>
      <c r="M408" s="4">
        <v>6.34</v>
      </c>
      <c r="N408" t="e">
        <f>OR(LEFT(B408,3)="frg",(_xlfn.XMATCH(B408,ZZZ_Part_Id_[[#All],[FGCODE]])))</f>
        <v>#N/A</v>
      </c>
    </row>
    <row r="409" spans="1:14" x14ac:dyDescent="0.3">
      <c r="A409" s="2" t="s">
        <v>1853</v>
      </c>
      <c r="B409" s="2" t="s">
        <v>192</v>
      </c>
      <c r="C409" s="2" t="s">
        <v>1866</v>
      </c>
      <c r="D409" s="3">
        <v>0.96</v>
      </c>
      <c r="E409" s="3">
        <v>0.96</v>
      </c>
      <c r="F409" s="2" t="s">
        <v>194</v>
      </c>
      <c r="G409" s="2" t="s">
        <v>1867</v>
      </c>
      <c r="H409" s="3">
        <v>0</v>
      </c>
      <c r="I409" s="2" t="s">
        <v>18</v>
      </c>
      <c r="J409" s="2" t="s">
        <v>1868</v>
      </c>
      <c r="K409" s="2" t="s">
        <v>194</v>
      </c>
      <c r="L409" s="2" t="s">
        <v>1869</v>
      </c>
      <c r="M409" s="4">
        <v>4.8</v>
      </c>
      <c r="N409" t="e">
        <f>OR(LEFT(B409,3)="frg",(_xlfn.XMATCH(B409,ZZZ_Part_Id_[[#All],[FGCODE]])))</f>
        <v>#N/A</v>
      </c>
    </row>
    <row r="410" spans="1:14" x14ac:dyDescent="0.3">
      <c r="A410" s="2" t="s">
        <v>1853</v>
      </c>
      <c r="B410" s="2" t="s">
        <v>167</v>
      </c>
      <c r="C410" s="2" t="s">
        <v>1870</v>
      </c>
      <c r="D410" s="3">
        <v>16.096</v>
      </c>
      <c r="E410" s="3">
        <v>16.096</v>
      </c>
      <c r="F410" s="2" t="s">
        <v>23</v>
      </c>
      <c r="G410" s="2" t="s">
        <v>1871</v>
      </c>
      <c r="H410" s="3">
        <v>0</v>
      </c>
      <c r="I410" s="2" t="s">
        <v>18</v>
      </c>
      <c r="J410" s="2" t="s">
        <v>1872</v>
      </c>
      <c r="K410" s="2" t="s">
        <v>23</v>
      </c>
      <c r="L410" s="2" t="s">
        <v>1873</v>
      </c>
      <c r="M410" s="4">
        <v>104.67</v>
      </c>
      <c r="N410" t="e">
        <f>OR(LEFT(B410,3)="frg",(_xlfn.XMATCH(B410,ZZZ_Part_Id_[[#All],[FGCODE]])))</f>
        <v>#N/A</v>
      </c>
    </row>
    <row r="411" spans="1:14" x14ac:dyDescent="0.3">
      <c r="A411" s="2" t="s">
        <v>1853</v>
      </c>
      <c r="B411" s="2" t="s">
        <v>187</v>
      </c>
      <c r="C411" s="2" t="s">
        <v>1874</v>
      </c>
      <c r="D411" s="3">
        <v>50</v>
      </c>
      <c r="E411" s="3">
        <v>50</v>
      </c>
      <c r="F411" s="2" t="s">
        <v>16</v>
      </c>
      <c r="G411" s="2" t="s">
        <v>1875</v>
      </c>
      <c r="H411" s="3">
        <v>0</v>
      </c>
      <c r="I411" s="2" t="s">
        <v>18</v>
      </c>
      <c r="J411" s="2" t="s">
        <v>1876</v>
      </c>
      <c r="K411" s="2" t="s">
        <v>16</v>
      </c>
      <c r="L411" s="2" t="s">
        <v>1877</v>
      </c>
      <c r="M411" s="4">
        <v>208.82</v>
      </c>
      <c r="N411" t="e">
        <f>OR(LEFT(B411,3)="frg",(_xlfn.XMATCH(B411,ZZZ_Part_Id_[[#All],[FGCODE]])))</f>
        <v>#N/A</v>
      </c>
    </row>
    <row r="412" spans="1:14" x14ac:dyDescent="0.3">
      <c r="A412" s="2" t="s">
        <v>1853</v>
      </c>
      <c r="B412" s="2" t="s">
        <v>177</v>
      </c>
      <c r="C412" s="2" t="s">
        <v>1878</v>
      </c>
      <c r="D412" s="3">
        <v>4</v>
      </c>
      <c r="E412" s="3">
        <v>4</v>
      </c>
      <c r="F412" s="2" t="s">
        <v>16</v>
      </c>
      <c r="G412" s="2" t="s">
        <v>1879</v>
      </c>
      <c r="H412" s="3">
        <v>0</v>
      </c>
      <c r="I412" s="2" t="s">
        <v>18</v>
      </c>
      <c r="J412" s="2" t="s">
        <v>1880</v>
      </c>
      <c r="K412" s="2" t="s">
        <v>16</v>
      </c>
      <c r="L412" s="2" t="s">
        <v>1881</v>
      </c>
      <c r="M412" s="4">
        <v>105.22</v>
      </c>
      <c r="N412" t="e">
        <f>OR(LEFT(B412,3)="frg",(_xlfn.XMATCH(B412,ZZZ_Part_Id_[[#All],[FGCODE]])))</f>
        <v>#N/A</v>
      </c>
    </row>
    <row r="413" spans="1:14" x14ac:dyDescent="0.3">
      <c r="A413" s="2" t="s">
        <v>1882</v>
      </c>
      <c r="B413" s="2" t="s">
        <v>37</v>
      </c>
      <c r="C413" s="2" t="s">
        <v>1883</v>
      </c>
      <c r="D413" s="3">
        <v>12</v>
      </c>
      <c r="E413" s="3">
        <v>12</v>
      </c>
      <c r="F413" s="2" t="s">
        <v>16</v>
      </c>
      <c r="G413" s="2" t="s">
        <v>1884</v>
      </c>
      <c r="H413" s="3">
        <v>0</v>
      </c>
      <c r="I413" s="2" t="s">
        <v>18</v>
      </c>
      <c r="J413" s="2" t="s">
        <v>1885</v>
      </c>
      <c r="K413" s="2" t="s">
        <v>16</v>
      </c>
      <c r="L413" s="2" t="s">
        <v>1886</v>
      </c>
      <c r="M413" s="4">
        <v>192</v>
      </c>
      <c r="N413" t="e">
        <f>OR(LEFT(B413,3)="frg",(_xlfn.XMATCH(B413,ZZZ_Part_Id_[[#All],[FGCODE]])))</f>
        <v>#N/A</v>
      </c>
    </row>
    <row r="414" spans="1:14" x14ac:dyDescent="0.3">
      <c r="A414" s="2" t="s">
        <v>1882</v>
      </c>
      <c r="B414" s="2" t="s">
        <v>65</v>
      </c>
      <c r="C414" s="2" t="s">
        <v>1887</v>
      </c>
      <c r="D414" s="5">
        <v>-498</v>
      </c>
      <c r="E414" s="5">
        <v>-498</v>
      </c>
      <c r="F414" s="2" t="s">
        <v>23</v>
      </c>
      <c r="G414" s="2" t="s">
        <v>1888</v>
      </c>
      <c r="H414" s="3">
        <v>0</v>
      </c>
      <c r="I414" s="2" t="s">
        <v>18</v>
      </c>
      <c r="J414" s="2" t="s">
        <v>1889</v>
      </c>
      <c r="K414" s="2" t="s">
        <v>23</v>
      </c>
      <c r="L414" s="2" t="s">
        <v>1890</v>
      </c>
      <c r="M414" s="6">
        <v>-1280.6600000000001</v>
      </c>
      <c r="N414" t="b">
        <f>OR(LEFT(B414,3)="frg",(_xlfn.XMATCH(B414,ZZZ_Part_Id_[[#All],[FGCODE]])))</f>
        <v>1</v>
      </c>
    </row>
    <row r="415" spans="1:14" x14ac:dyDescent="0.3">
      <c r="A415" s="2" t="s">
        <v>1882</v>
      </c>
      <c r="B415" s="2" t="s">
        <v>97</v>
      </c>
      <c r="C415" s="2" t="s">
        <v>1891</v>
      </c>
      <c r="D415" s="3">
        <v>67200</v>
      </c>
      <c r="E415" s="3">
        <v>67200</v>
      </c>
      <c r="F415" s="2" t="s">
        <v>16</v>
      </c>
      <c r="G415" s="2" t="s">
        <v>1892</v>
      </c>
      <c r="H415" s="3">
        <v>0</v>
      </c>
      <c r="I415" s="2" t="s">
        <v>18</v>
      </c>
      <c r="J415" s="2" t="s">
        <v>1893</v>
      </c>
      <c r="K415" s="2" t="s">
        <v>16</v>
      </c>
      <c r="L415" s="2" t="s">
        <v>1894</v>
      </c>
      <c r="M415" s="4">
        <v>14359.24</v>
      </c>
      <c r="N415" t="b">
        <f>OR(LEFT(B415,3)="frg",(_xlfn.XMATCH(B415,ZZZ_Part_Id_[[#All],[FGCODE]])))</f>
        <v>1</v>
      </c>
    </row>
    <row r="416" spans="1:14" x14ac:dyDescent="0.3">
      <c r="A416" s="2" t="s">
        <v>1895</v>
      </c>
      <c r="B416" s="2" t="s">
        <v>27</v>
      </c>
      <c r="C416" s="2" t="s">
        <v>1896</v>
      </c>
      <c r="D416" s="3">
        <v>317952</v>
      </c>
      <c r="E416" s="3">
        <v>317952</v>
      </c>
      <c r="F416" s="2" t="s">
        <v>16</v>
      </c>
      <c r="G416" s="2" t="s">
        <v>1897</v>
      </c>
      <c r="H416" s="3">
        <v>0</v>
      </c>
      <c r="I416" s="2" t="s">
        <v>18</v>
      </c>
      <c r="J416" s="2" t="s">
        <v>1898</v>
      </c>
      <c r="K416" s="2" t="s">
        <v>16</v>
      </c>
      <c r="L416" s="2" t="s">
        <v>1899</v>
      </c>
      <c r="M416" s="4">
        <v>59053.440000000002</v>
      </c>
      <c r="N416" t="b">
        <f>OR(LEFT(B416,3)="frg",(_xlfn.XMATCH(B416,ZZZ_Part_Id_[[#All],[FGCODE]])))</f>
        <v>1</v>
      </c>
    </row>
    <row r="417" spans="1:14" x14ac:dyDescent="0.3">
      <c r="A417" s="2" t="s">
        <v>1900</v>
      </c>
      <c r="B417" s="2" t="s">
        <v>1170</v>
      </c>
      <c r="C417" s="2" t="s">
        <v>1901</v>
      </c>
      <c r="D417" s="3">
        <v>19200</v>
      </c>
      <c r="E417" s="3">
        <v>19200</v>
      </c>
      <c r="F417" s="2" t="s">
        <v>16</v>
      </c>
      <c r="G417" s="2" t="s">
        <v>1902</v>
      </c>
      <c r="H417" s="3">
        <v>0</v>
      </c>
      <c r="I417" s="2" t="s">
        <v>18</v>
      </c>
      <c r="J417" s="2" t="s">
        <v>1903</v>
      </c>
      <c r="K417" s="2" t="s">
        <v>16</v>
      </c>
      <c r="L417" s="2" t="s">
        <v>1904</v>
      </c>
      <c r="M417" s="4">
        <v>4160.84</v>
      </c>
      <c r="N417" t="b">
        <f>OR(LEFT(B417,3)="frg",(_xlfn.XMATCH(B417,ZZZ_Part_Id_[[#All],[FGCODE]])))</f>
        <v>1</v>
      </c>
    </row>
    <row r="418" spans="1:14" x14ac:dyDescent="0.3">
      <c r="A418" s="2" t="s">
        <v>1905</v>
      </c>
      <c r="B418" s="2" t="s">
        <v>14</v>
      </c>
      <c r="C418" s="2" t="s">
        <v>1906</v>
      </c>
      <c r="D418" s="3">
        <v>16</v>
      </c>
      <c r="E418" s="3">
        <v>16</v>
      </c>
      <c r="F418" s="2" t="s">
        <v>16</v>
      </c>
      <c r="G418" s="2" t="s">
        <v>1907</v>
      </c>
      <c r="H418" s="3">
        <v>0</v>
      </c>
      <c r="I418" s="2" t="s">
        <v>18</v>
      </c>
      <c r="J418" s="2" t="s">
        <v>1908</v>
      </c>
      <c r="K418" s="2" t="s">
        <v>16</v>
      </c>
      <c r="L418" s="2" t="s">
        <v>1909</v>
      </c>
      <c r="M418" s="4">
        <v>1.23</v>
      </c>
      <c r="N418" t="e">
        <f>OR(LEFT(B418,3)="frg",(_xlfn.XMATCH(B418,ZZZ_Part_Id_[[#All],[FGCODE]])))</f>
        <v>#N/A</v>
      </c>
    </row>
    <row r="419" spans="1:14" x14ac:dyDescent="0.3">
      <c r="A419" s="2" t="s">
        <v>1905</v>
      </c>
      <c r="B419" s="2" t="s">
        <v>426</v>
      </c>
      <c r="C419" s="2" t="s">
        <v>1910</v>
      </c>
      <c r="D419" s="3">
        <v>92736</v>
      </c>
      <c r="E419" s="3">
        <v>92736</v>
      </c>
      <c r="F419" s="2" t="s">
        <v>16</v>
      </c>
      <c r="G419" s="2" t="s">
        <v>1911</v>
      </c>
      <c r="H419" s="3">
        <v>0</v>
      </c>
      <c r="I419" s="2" t="s">
        <v>18</v>
      </c>
      <c r="J419" s="2" t="s">
        <v>1912</v>
      </c>
      <c r="K419" s="2" t="s">
        <v>16</v>
      </c>
      <c r="L419" s="2" t="s">
        <v>1913</v>
      </c>
      <c r="M419" s="4">
        <v>17271.099999999999</v>
      </c>
      <c r="N419" t="b">
        <f>OR(LEFT(B419,3)="frg",(_xlfn.XMATCH(B419,ZZZ_Part_Id_[[#All],[FGCODE]])))</f>
        <v>1</v>
      </c>
    </row>
    <row r="420" spans="1:14" x14ac:dyDescent="0.3">
      <c r="A420" s="2" t="s">
        <v>1914</v>
      </c>
      <c r="B420" s="2" t="s">
        <v>14</v>
      </c>
      <c r="C420" s="2" t="s">
        <v>1915</v>
      </c>
      <c r="D420" s="3">
        <v>64</v>
      </c>
      <c r="E420" s="3">
        <v>64</v>
      </c>
      <c r="F420" s="2" t="s">
        <v>16</v>
      </c>
      <c r="G420" s="2" t="s">
        <v>1916</v>
      </c>
      <c r="H420" s="3">
        <v>0</v>
      </c>
      <c r="I420" s="2" t="s">
        <v>18</v>
      </c>
      <c r="J420" s="2" t="s">
        <v>1917</v>
      </c>
      <c r="K420" s="2" t="s">
        <v>16</v>
      </c>
      <c r="L420" s="2" t="s">
        <v>1918</v>
      </c>
      <c r="M420" s="4">
        <v>4.92</v>
      </c>
      <c r="N420" t="e">
        <f>OR(LEFT(B420,3)="frg",(_xlfn.XMATCH(B420,ZZZ_Part_Id_[[#All],[FGCODE]])))</f>
        <v>#N/A</v>
      </c>
    </row>
    <row r="421" spans="1:14" x14ac:dyDescent="0.3">
      <c r="A421" s="2" t="s">
        <v>1914</v>
      </c>
      <c r="B421" s="2" t="s">
        <v>426</v>
      </c>
      <c r="C421" s="2" t="s">
        <v>1919</v>
      </c>
      <c r="D421" s="3">
        <v>377568</v>
      </c>
      <c r="E421" s="3">
        <v>377568</v>
      </c>
      <c r="F421" s="2" t="s">
        <v>16</v>
      </c>
      <c r="G421" s="2" t="s">
        <v>1920</v>
      </c>
      <c r="H421" s="3">
        <v>0</v>
      </c>
      <c r="I421" s="2" t="s">
        <v>18</v>
      </c>
      <c r="J421" s="2" t="s">
        <v>1921</v>
      </c>
      <c r="K421" s="2" t="s">
        <v>16</v>
      </c>
      <c r="L421" s="2" t="s">
        <v>1922</v>
      </c>
      <c r="M421" s="4">
        <v>70318.05</v>
      </c>
      <c r="N421" t="b">
        <f>OR(LEFT(B421,3)="frg",(_xlfn.XMATCH(B421,ZZZ_Part_Id_[[#All],[FGCODE]])))</f>
        <v>1</v>
      </c>
    </row>
    <row r="422" spans="1:14" x14ac:dyDescent="0.3">
      <c r="A422" s="2" t="s">
        <v>1923</v>
      </c>
      <c r="B422" s="2" t="s">
        <v>1924</v>
      </c>
      <c r="C422" s="2" t="s">
        <v>1925</v>
      </c>
      <c r="D422" s="3">
        <v>324576</v>
      </c>
      <c r="E422" s="3">
        <v>324576</v>
      </c>
      <c r="F422" s="2" t="s">
        <v>16</v>
      </c>
      <c r="G422" s="2" t="s">
        <v>1926</v>
      </c>
      <c r="H422" s="3">
        <v>0</v>
      </c>
      <c r="I422" s="2" t="s">
        <v>409</v>
      </c>
      <c r="J422" s="2" t="s">
        <v>1927</v>
      </c>
      <c r="K422" s="2" t="s">
        <v>16</v>
      </c>
      <c r="L422" s="2" t="s">
        <v>1928</v>
      </c>
      <c r="M422" s="4">
        <v>91069.53</v>
      </c>
      <c r="N422" t="b">
        <f>OR(LEFT(B422,3)="frg",(_xlfn.XMATCH(B422,ZZZ_Part_Id_[[#All],[FGCODE]])))</f>
        <v>1</v>
      </c>
    </row>
    <row r="423" spans="1:14" x14ac:dyDescent="0.3">
      <c r="A423" s="2" t="s">
        <v>1923</v>
      </c>
      <c r="B423" s="2" t="s">
        <v>14</v>
      </c>
      <c r="C423" s="2" t="s">
        <v>1929</v>
      </c>
      <c r="D423" s="3">
        <v>49</v>
      </c>
      <c r="E423" s="3">
        <v>49</v>
      </c>
      <c r="F423" s="2" t="s">
        <v>16</v>
      </c>
      <c r="G423" s="2" t="s">
        <v>1930</v>
      </c>
      <c r="H423" s="3">
        <v>0</v>
      </c>
      <c r="I423" s="2" t="s">
        <v>409</v>
      </c>
      <c r="J423" s="2" t="s">
        <v>1931</v>
      </c>
      <c r="K423" s="2" t="s">
        <v>16</v>
      </c>
      <c r="L423" s="2" t="s">
        <v>1932</v>
      </c>
      <c r="M423" s="4">
        <v>3.77</v>
      </c>
      <c r="N423" t="e">
        <f>OR(LEFT(B423,3)="frg",(_xlfn.XMATCH(B423,ZZZ_Part_Id_[[#All],[FGCODE]])))</f>
        <v>#N/A</v>
      </c>
    </row>
    <row r="424" spans="1:14" x14ac:dyDescent="0.3">
      <c r="A424" s="2" t="s">
        <v>1923</v>
      </c>
      <c r="B424" s="2" t="s">
        <v>140</v>
      </c>
      <c r="C424" s="2" t="s">
        <v>1933</v>
      </c>
      <c r="D424" s="3">
        <v>1.96</v>
      </c>
      <c r="E424" s="3">
        <v>1.96</v>
      </c>
      <c r="F424" s="2" t="s">
        <v>16</v>
      </c>
      <c r="G424" s="2" t="s">
        <v>1934</v>
      </c>
      <c r="H424" s="3">
        <v>0</v>
      </c>
      <c r="I424" s="2" t="s">
        <v>409</v>
      </c>
      <c r="J424" s="2" t="s">
        <v>1935</v>
      </c>
      <c r="K424" s="2" t="s">
        <v>16</v>
      </c>
      <c r="L424" s="2" t="s">
        <v>1936</v>
      </c>
      <c r="M424" s="4">
        <v>3.24</v>
      </c>
      <c r="N424" t="e">
        <f>OR(LEFT(B424,3)="frg",(_xlfn.XMATCH(B424,ZZZ_Part_Id_[[#All],[FGCODE]])))</f>
        <v>#N/A</v>
      </c>
    </row>
    <row r="425" spans="1:14" x14ac:dyDescent="0.3">
      <c r="A425" s="2" t="s">
        <v>1923</v>
      </c>
      <c r="B425" s="2" t="s">
        <v>192</v>
      </c>
      <c r="C425" s="2" t="s">
        <v>1937</v>
      </c>
      <c r="D425" s="3">
        <v>0.49</v>
      </c>
      <c r="E425" s="3">
        <v>0.49</v>
      </c>
      <c r="F425" s="2" t="s">
        <v>194</v>
      </c>
      <c r="G425" s="2" t="s">
        <v>1938</v>
      </c>
      <c r="H425" s="3">
        <v>0</v>
      </c>
      <c r="I425" s="2" t="s">
        <v>409</v>
      </c>
      <c r="J425" s="2" t="s">
        <v>1939</v>
      </c>
      <c r="K425" s="2" t="s">
        <v>194</v>
      </c>
      <c r="L425" s="2" t="s">
        <v>1940</v>
      </c>
      <c r="M425" s="4">
        <v>2.4500000000000002</v>
      </c>
      <c r="N425" t="e">
        <f>OR(LEFT(B425,3)="frg",(_xlfn.XMATCH(B425,ZZZ_Part_Id_[[#All],[FGCODE]])))</f>
        <v>#N/A</v>
      </c>
    </row>
    <row r="426" spans="1:14" x14ac:dyDescent="0.3">
      <c r="A426" s="2" t="s">
        <v>1923</v>
      </c>
      <c r="B426" s="2" t="s">
        <v>145</v>
      </c>
      <c r="C426" s="2" t="s">
        <v>1941</v>
      </c>
      <c r="D426" s="3">
        <v>0.19600000000000001</v>
      </c>
      <c r="E426" s="3">
        <v>1E-3</v>
      </c>
      <c r="F426" s="2" t="s">
        <v>147</v>
      </c>
      <c r="G426" s="2" t="s">
        <v>1942</v>
      </c>
      <c r="H426" s="3">
        <v>0</v>
      </c>
      <c r="I426" s="2" t="s">
        <v>409</v>
      </c>
      <c r="J426" s="2" t="s">
        <v>1943</v>
      </c>
      <c r="K426" s="2" t="s">
        <v>147</v>
      </c>
      <c r="L426" s="2" t="s">
        <v>1944</v>
      </c>
      <c r="M426" s="4">
        <v>0.16</v>
      </c>
      <c r="N426" t="e">
        <f>OR(LEFT(B426,3)="frg",(_xlfn.XMATCH(B426,ZZZ_Part_Id_[[#All],[FGCODE]])))</f>
        <v>#N/A</v>
      </c>
    </row>
    <row r="427" spans="1:14" x14ac:dyDescent="0.3">
      <c r="A427" s="2" t="s">
        <v>1923</v>
      </c>
      <c r="B427" s="2" t="s">
        <v>187</v>
      </c>
      <c r="C427" s="2" t="s">
        <v>1945</v>
      </c>
      <c r="D427" s="3">
        <v>5</v>
      </c>
      <c r="E427" s="3">
        <v>5</v>
      </c>
      <c r="F427" s="2" t="s">
        <v>16</v>
      </c>
      <c r="G427" s="2" t="s">
        <v>1946</v>
      </c>
      <c r="H427" s="3">
        <v>0</v>
      </c>
      <c r="I427" s="2" t="s">
        <v>409</v>
      </c>
      <c r="J427" s="2" t="s">
        <v>1947</v>
      </c>
      <c r="K427" s="2" t="s">
        <v>16</v>
      </c>
      <c r="L427" s="2" t="s">
        <v>1948</v>
      </c>
      <c r="M427" s="4">
        <v>20.89</v>
      </c>
      <c r="N427" t="e">
        <f>OR(LEFT(B427,3)="frg",(_xlfn.XMATCH(B427,ZZZ_Part_Id_[[#All],[FGCODE]])))</f>
        <v>#N/A</v>
      </c>
    </row>
    <row r="428" spans="1:14" x14ac:dyDescent="0.3">
      <c r="A428" s="2" t="s">
        <v>1949</v>
      </c>
      <c r="B428" s="2" t="s">
        <v>14</v>
      </c>
      <c r="C428" s="2" t="s">
        <v>1950</v>
      </c>
      <c r="D428" s="3">
        <v>9</v>
      </c>
      <c r="E428" s="3">
        <v>9</v>
      </c>
      <c r="F428" s="2" t="s">
        <v>16</v>
      </c>
      <c r="G428" s="2" t="s">
        <v>1951</v>
      </c>
      <c r="H428" s="3">
        <v>0</v>
      </c>
      <c r="I428" s="2" t="s">
        <v>18</v>
      </c>
      <c r="J428" s="2" t="s">
        <v>1952</v>
      </c>
      <c r="K428" s="2" t="s">
        <v>16</v>
      </c>
      <c r="L428" s="2" t="s">
        <v>1953</v>
      </c>
      <c r="M428" s="4">
        <v>0.69</v>
      </c>
      <c r="N428" t="e">
        <f>OR(LEFT(B428,3)="frg",(_xlfn.XMATCH(B428,ZZZ_Part_Id_[[#All],[FGCODE]])))</f>
        <v>#N/A</v>
      </c>
    </row>
    <row r="429" spans="1:14" x14ac:dyDescent="0.3">
      <c r="A429" s="2" t="s">
        <v>1949</v>
      </c>
      <c r="B429" s="2" t="s">
        <v>21</v>
      </c>
      <c r="C429" s="2" t="s">
        <v>1954</v>
      </c>
      <c r="D429" s="5">
        <v>-298</v>
      </c>
      <c r="E429" s="5">
        <v>-298</v>
      </c>
      <c r="F429" s="2" t="s">
        <v>23</v>
      </c>
      <c r="G429" s="2" t="s">
        <v>1955</v>
      </c>
      <c r="H429" s="3">
        <v>0</v>
      </c>
      <c r="I429" s="2" t="s">
        <v>18</v>
      </c>
      <c r="J429" s="2" t="s">
        <v>1956</v>
      </c>
      <c r="K429" s="2" t="s">
        <v>23</v>
      </c>
      <c r="L429" s="2" t="s">
        <v>1957</v>
      </c>
      <c r="M429" s="6">
        <v>-564.26</v>
      </c>
      <c r="N429" t="b">
        <f>OR(LEFT(B429,3)="frg",(_xlfn.XMATCH(B429,ZZZ_Part_Id_[[#All],[FGCODE]])))</f>
        <v>1</v>
      </c>
    </row>
    <row r="430" spans="1:14" x14ac:dyDescent="0.3">
      <c r="A430" s="2" t="s">
        <v>1949</v>
      </c>
      <c r="B430" s="2" t="s">
        <v>27</v>
      </c>
      <c r="C430" s="2" t="s">
        <v>1958</v>
      </c>
      <c r="D430" s="3">
        <v>66240</v>
      </c>
      <c r="E430" s="3">
        <v>66240</v>
      </c>
      <c r="F430" s="2" t="s">
        <v>16</v>
      </c>
      <c r="G430" s="2" t="s">
        <v>1959</v>
      </c>
      <c r="H430" s="3">
        <v>0</v>
      </c>
      <c r="I430" s="2" t="s">
        <v>18</v>
      </c>
      <c r="J430" s="2" t="s">
        <v>1960</v>
      </c>
      <c r="K430" s="2" t="s">
        <v>16</v>
      </c>
      <c r="L430" s="2" t="s">
        <v>1961</v>
      </c>
      <c r="M430" s="4">
        <v>12302.8</v>
      </c>
      <c r="N430" t="b">
        <f>OR(LEFT(B430,3)="frg",(_xlfn.XMATCH(B430,ZZZ_Part_Id_[[#All],[FGCODE]])))</f>
        <v>1</v>
      </c>
    </row>
    <row r="431" spans="1:14" x14ac:dyDescent="0.3">
      <c r="A431" s="2" t="s">
        <v>1962</v>
      </c>
      <c r="B431" s="2" t="s">
        <v>14</v>
      </c>
      <c r="C431" s="2" t="s">
        <v>1963</v>
      </c>
      <c r="D431" s="3">
        <v>4</v>
      </c>
      <c r="E431" s="3">
        <v>4</v>
      </c>
      <c r="F431" s="2" t="s">
        <v>16</v>
      </c>
      <c r="G431" s="2" t="s">
        <v>1964</v>
      </c>
      <c r="H431" s="3">
        <v>0</v>
      </c>
      <c r="I431" s="2" t="s">
        <v>18</v>
      </c>
      <c r="J431" s="2" t="s">
        <v>1965</v>
      </c>
      <c r="K431" s="2" t="s">
        <v>16</v>
      </c>
      <c r="L431" s="2" t="s">
        <v>1966</v>
      </c>
      <c r="M431" s="4">
        <v>0.31</v>
      </c>
      <c r="N431" t="e">
        <f>OR(LEFT(B431,3)="frg",(_xlfn.XMATCH(B431,ZZZ_Part_Id_[[#All],[FGCODE]])))</f>
        <v>#N/A</v>
      </c>
    </row>
    <row r="432" spans="1:14" x14ac:dyDescent="0.3">
      <c r="A432" s="2" t="s">
        <v>1962</v>
      </c>
      <c r="B432" s="2" t="s">
        <v>21</v>
      </c>
      <c r="C432" s="2" t="s">
        <v>1967</v>
      </c>
      <c r="D432" s="5">
        <v>-40</v>
      </c>
      <c r="E432" s="5">
        <v>-40</v>
      </c>
      <c r="F432" s="2" t="s">
        <v>23</v>
      </c>
      <c r="G432" s="2" t="s">
        <v>1968</v>
      </c>
      <c r="H432" s="3">
        <v>0</v>
      </c>
      <c r="I432" s="2" t="s">
        <v>18</v>
      </c>
      <c r="J432" s="2" t="s">
        <v>1969</v>
      </c>
      <c r="K432" s="2" t="s">
        <v>23</v>
      </c>
      <c r="L432" s="2" t="s">
        <v>1970</v>
      </c>
      <c r="M432" s="6">
        <v>-75.739999999999995</v>
      </c>
      <c r="N432" t="b">
        <f>OR(LEFT(B432,3)="frg",(_xlfn.XMATCH(B432,ZZZ_Part_Id_[[#All],[FGCODE]])))</f>
        <v>1</v>
      </c>
    </row>
    <row r="433" spans="1:14" x14ac:dyDescent="0.3">
      <c r="A433" s="2" t="s">
        <v>1962</v>
      </c>
      <c r="B433" s="2" t="s">
        <v>121</v>
      </c>
      <c r="C433" s="2" t="s">
        <v>1971</v>
      </c>
      <c r="D433" s="3">
        <v>27248</v>
      </c>
      <c r="E433" s="3">
        <v>27248</v>
      </c>
      <c r="F433" s="2" t="s">
        <v>16</v>
      </c>
      <c r="G433" s="2" t="s">
        <v>1972</v>
      </c>
      <c r="H433" s="3">
        <v>0</v>
      </c>
      <c r="I433" s="2" t="s">
        <v>18</v>
      </c>
      <c r="J433" s="2" t="s">
        <v>1973</v>
      </c>
      <c r="K433" s="2" t="s">
        <v>16</v>
      </c>
      <c r="L433" s="2" t="s">
        <v>1974</v>
      </c>
      <c r="M433" s="4">
        <v>5063.5</v>
      </c>
      <c r="N433" t="b">
        <f>OR(LEFT(B433,3)="frg",(_xlfn.XMATCH(B433,ZZZ_Part_Id_[[#All],[FGCODE]])))</f>
        <v>1</v>
      </c>
    </row>
    <row r="434" spans="1:14" x14ac:dyDescent="0.3">
      <c r="A434" s="2" t="s">
        <v>1975</v>
      </c>
      <c r="B434" s="2" t="s">
        <v>27</v>
      </c>
      <c r="C434" s="2" t="s">
        <v>1976</v>
      </c>
      <c r="D434" s="3">
        <v>13248</v>
      </c>
      <c r="E434" s="3">
        <v>13248</v>
      </c>
      <c r="F434" s="2" t="s">
        <v>16</v>
      </c>
      <c r="G434" s="2" t="s">
        <v>1977</v>
      </c>
      <c r="H434" s="3">
        <v>0</v>
      </c>
      <c r="I434" s="2" t="s">
        <v>18</v>
      </c>
      <c r="J434" s="2" t="s">
        <v>1978</v>
      </c>
      <c r="K434" s="2" t="s">
        <v>16</v>
      </c>
      <c r="L434" s="2" t="s">
        <v>1979</v>
      </c>
      <c r="M434" s="4">
        <v>2460.56</v>
      </c>
      <c r="N434" t="b">
        <f>OR(LEFT(B434,3)="frg",(_xlfn.XMATCH(B434,ZZZ_Part_Id_[[#All],[FGCODE]])))</f>
        <v>1</v>
      </c>
    </row>
    <row r="435" spans="1:14" x14ac:dyDescent="0.3">
      <c r="A435" s="2" t="s">
        <v>1980</v>
      </c>
      <c r="B435" s="2" t="s">
        <v>14</v>
      </c>
      <c r="C435" s="2" t="s">
        <v>1981</v>
      </c>
      <c r="D435" s="3">
        <v>15</v>
      </c>
      <c r="E435" s="3">
        <v>15</v>
      </c>
      <c r="F435" s="2" t="s">
        <v>16</v>
      </c>
      <c r="G435" s="2" t="s">
        <v>1982</v>
      </c>
      <c r="H435" s="3">
        <v>0</v>
      </c>
      <c r="I435" s="2" t="s">
        <v>409</v>
      </c>
      <c r="J435" s="2" t="s">
        <v>1983</v>
      </c>
      <c r="K435" s="2" t="s">
        <v>16</v>
      </c>
      <c r="L435" s="2" t="s">
        <v>1984</v>
      </c>
      <c r="M435" s="4">
        <v>1.1499999999999999</v>
      </c>
      <c r="N435" t="e">
        <f>OR(LEFT(B435,3)="frg",(_xlfn.XMATCH(B435,ZZZ_Part_Id_[[#All],[FGCODE]])))</f>
        <v>#N/A</v>
      </c>
    </row>
    <row r="436" spans="1:14" x14ac:dyDescent="0.3">
      <c r="A436" s="2" t="s">
        <v>1980</v>
      </c>
      <c r="B436" s="2" t="s">
        <v>65</v>
      </c>
      <c r="C436" s="2" t="s">
        <v>1985</v>
      </c>
      <c r="D436" s="5">
        <v>-241</v>
      </c>
      <c r="E436" s="5">
        <v>-241</v>
      </c>
      <c r="F436" s="2" t="s">
        <v>23</v>
      </c>
      <c r="G436" s="2" t="s">
        <v>1986</v>
      </c>
      <c r="H436" s="3">
        <v>0</v>
      </c>
      <c r="I436" s="2" t="s">
        <v>409</v>
      </c>
      <c r="J436" s="2" t="s">
        <v>1987</v>
      </c>
      <c r="K436" s="2" t="s">
        <v>23</v>
      </c>
      <c r="L436" s="2" t="s">
        <v>1988</v>
      </c>
      <c r="M436" s="6">
        <v>-619.76</v>
      </c>
      <c r="N436" t="b">
        <f>OR(LEFT(B436,3)="frg",(_xlfn.XMATCH(B436,ZZZ_Part_Id_[[#All],[FGCODE]])))</f>
        <v>1</v>
      </c>
    </row>
    <row r="437" spans="1:14" x14ac:dyDescent="0.3">
      <c r="A437" s="2" t="s">
        <v>1980</v>
      </c>
      <c r="B437" s="2" t="s">
        <v>1989</v>
      </c>
      <c r="C437" s="2" t="s">
        <v>1990</v>
      </c>
      <c r="D437" s="3">
        <v>285696</v>
      </c>
      <c r="E437" s="3">
        <v>285696</v>
      </c>
      <c r="F437" s="2" t="s">
        <v>16</v>
      </c>
      <c r="G437" s="2" t="s">
        <v>1991</v>
      </c>
      <c r="H437" s="3">
        <v>0</v>
      </c>
      <c r="I437" s="2" t="s">
        <v>409</v>
      </c>
      <c r="J437" s="2" t="s">
        <v>1992</v>
      </c>
      <c r="K437" s="2" t="s">
        <v>16</v>
      </c>
      <c r="L437" s="2" t="s">
        <v>1993</v>
      </c>
      <c r="M437" s="4">
        <v>17873.13</v>
      </c>
      <c r="N437" t="b">
        <f>OR(LEFT(B437,3)="frg",(_xlfn.XMATCH(B437,ZZZ_Part_Id_[[#All],[FGCODE]])))</f>
        <v>1</v>
      </c>
    </row>
    <row r="438" spans="1:14" x14ac:dyDescent="0.3">
      <c r="A438" s="2" t="s">
        <v>1994</v>
      </c>
      <c r="B438" s="2" t="s">
        <v>14</v>
      </c>
      <c r="C438" s="2" t="s">
        <v>1995</v>
      </c>
      <c r="D438" s="3">
        <v>29</v>
      </c>
      <c r="E438" s="3">
        <v>29</v>
      </c>
      <c r="F438" s="2" t="s">
        <v>16</v>
      </c>
      <c r="G438" s="2" t="s">
        <v>1996</v>
      </c>
      <c r="H438" s="3">
        <v>0</v>
      </c>
      <c r="I438" s="2" t="s">
        <v>18</v>
      </c>
      <c r="J438" s="2" t="s">
        <v>1997</v>
      </c>
      <c r="K438" s="2" t="s">
        <v>16</v>
      </c>
      <c r="L438" s="2" t="s">
        <v>1998</v>
      </c>
      <c r="M438" s="4">
        <v>2.23</v>
      </c>
      <c r="N438" t="e">
        <f>OR(LEFT(B438,3)="frg",(_xlfn.XMATCH(B438,ZZZ_Part_Id_[[#All],[FGCODE]])))</f>
        <v>#N/A</v>
      </c>
    </row>
    <row r="439" spans="1:14" x14ac:dyDescent="0.3">
      <c r="A439" s="2" t="s">
        <v>1994</v>
      </c>
      <c r="B439" s="2" t="s">
        <v>65</v>
      </c>
      <c r="C439" s="2" t="s">
        <v>1999</v>
      </c>
      <c r="D439" s="5">
        <v>-1340</v>
      </c>
      <c r="E439" s="5">
        <v>-1340</v>
      </c>
      <c r="F439" s="2" t="s">
        <v>23</v>
      </c>
      <c r="G439" s="2" t="s">
        <v>2000</v>
      </c>
      <c r="H439" s="3">
        <v>0</v>
      </c>
      <c r="I439" s="2" t="s">
        <v>18</v>
      </c>
      <c r="J439" s="2" t="s">
        <v>2001</v>
      </c>
      <c r="K439" s="2" t="s">
        <v>23</v>
      </c>
      <c r="L439" s="2" t="s">
        <v>2002</v>
      </c>
      <c r="M439" s="6">
        <v>-3445.94</v>
      </c>
      <c r="N439" t="b">
        <f>OR(LEFT(B439,3)="frg",(_xlfn.XMATCH(B439,ZZZ_Part_Id_[[#All],[FGCODE]])))</f>
        <v>1</v>
      </c>
    </row>
    <row r="440" spans="1:14" x14ac:dyDescent="0.3">
      <c r="A440" s="2" t="s">
        <v>1994</v>
      </c>
      <c r="B440" s="2" t="s">
        <v>517</v>
      </c>
      <c r="C440" s="2" t="s">
        <v>2003</v>
      </c>
      <c r="D440" s="3">
        <v>342720</v>
      </c>
      <c r="E440" s="3">
        <v>342720</v>
      </c>
      <c r="F440" s="2" t="s">
        <v>16</v>
      </c>
      <c r="G440" s="2" t="s">
        <v>2004</v>
      </c>
      <c r="H440" s="3">
        <v>0</v>
      </c>
      <c r="I440" s="2" t="s">
        <v>18</v>
      </c>
      <c r="J440" s="2" t="s">
        <v>2005</v>
      </c>
      <c r="K440" s="2" t="s">
        <v>16</v>
      </c>
      <c r="L440" s="2" t="s">
        <v>2006</v>
      </c>
      <c r="M440" s="4">
        <v>39779.620000000003</v>
      </c>
      <c r="N440" t="b">
        <f>OR(LEFT(B440,3)="frg",(_xlfn.XMATCH(B440,ZZZ_Part_Id_[[#All],[FGCODE]])))</f>
        <v>1</v>
      </c>
    </row>
    <row r="441" spans="1:14" x14ac:dyDescent="0.3">
      <c r="A441" s="2" t="s">
        <v>2007</v>
      </c>
      <c r="B441" s="2" t="s">
        <v>2008</v>
      </c>
      <c r="C441" s="2" t="s">
        <v>2009</v>
      </c>
      <c r="D441" s="3">
        <v>30240</v>
      </c>
      <c r="E441" s="3">
        <v>30240</v>
      </c>
      <c r="F441" s="2" t="s">
        <v>16</v>
      </c>
      <c r="G441" s="2" t="s">
        <v>2010</v>
      </c>
      <c r="H441" s="3">
        <v>0</v>
      </c>
      <c r="I441" s="2" t="s">
        <v>18</v>
      </c>
      <c r="J441" s="2" t="s">
        <v>2011</v>
      </c>
      <c r="K441" s="2" t="s">
        <v>16</v>
      </c>
      <c r="L441" s="2" t="s">
        <v>2012</v>
      </c>
      <c r="M441" s="4">
        <v>3539.29</v>
      </c>
      <c r="N441" t="b">
        <f>OR(LEFT(B441,3)="frg",(_xlfn.XMATCH(B441,ZZZ_Part_Id_[[#All],[FGCODE]])))</f>
        <v>1</v>
      </c>
    </row>
    <row r="442" spans="1:14" x14ac:dyDescent="0.3">
      <c r="A442" s="2" t="s">
        <v>2013</v>
      </c>
      <c r="B442" s="2" t="s">
        <v>14</v>
      </c>
      <c r="C442" s="2" t="s">
        <v>2014</v>
      </c>
      <c r="D442" s="3">
        <v>64</v>
      </c>
      <c r="E442" s="3">
        <v>64</v>
      </c>
      <c r="F442" s="2" t="s">
        <v>16</v>
      </c>
      <c r="G442" s="2" t="s">
        <v>2015</v>
      </c>
      <c r="H442" s="3">
        <v>0</v>
      </c>
      <c r="I442" s="2" t="s">
        <v>18</v>
      </c>
      <c r="J442" s="2" t="s">
        <v>2016</v>
      </c>
      <c r="K442" s="2" t="s">
        <v>16</v>
      </c>
      <c r="L442" s="2" t="s">
        <v>2017</v>
      </c>
      <c r="M442" s="4">
        <v>4.92</v>
      </c>
      <c r="N442" t="e">
        <f>OR(LEFT(B442,3)="frg",(_xlfn.XMATCH(B442,ZZZ_Part_Id_[[#All],[FGCODE]])))</f>
        <v>#N/A</v>
      </c>
    </row>
    <row r="443" spans="1:14" x14ac:dyDescent="0.3">
      <c r="A443" s="2" t="s">
        <v>2013</v>
      </c>
      <c r="B443" s="2" t="s">
        <v>1027</v>
      </c>
      <c r="C443" s="2" t="s">
        <v>2018</v>
      </c>
      <c r="D443" s="3">
        <v>307980</v>
      </c>
      <c r="E443" s="3">
        <v>307980</v>
      </c>
      <c r="F443" s="2" t="s">
        <v>16</v>
      </c>
      <c r="G443" s="2" t="s">
        <v>2019</v>
      </c>
      <c r="H443" s="3">
        <v>0</v>
      </c>
      <c r="I443" s="2" t="s">
        <v>18</v>
      </c>
      <c r="J443" s="2" t="s">
        <v>2020</v>
      </c>
      <c r="K443" s="2" t="s">
        <v>16</v>
      </c>
      <c r="L443" s="2" t="s">
        <v>2021</v>
      </c>
      <c r="M443" s="4">
        <v>38706.879999999997</v>
      </c>
      <c r="N443" t="b">
        <f>OR(LEFT(B443,3)="frg",(_xlfn.XMATCH(B443,ZZZ_Part_Id_[[#All],[FGCODE]])))</f>
        <v>1</v>
      </c>
    </row>
    <row r="444" spans="1:14" x14ac:dyDescent="0.3">
      <c r="A444" s="2" t="s">
        <v>2022</v>
      </c>
      <c r="B444" s="2" t="s">
        <v>2023</v>
      </c>
      <c r="C444" s="2" t="s">
        <v>2024</v>
      </c>
      <c r="D444" s="3">
        <v>20640</v>
      </c>
      <c r="E444" s="3">
        <v>20640</v>
      </c>
      <c r="F444" s="2" t="s">
        <v>16</v>
      </c>
      <c r="G444" s="2" t="s">
        <v>2025</v>
      </c>
      <c r="H444" s="3">
        <v>0</v>
      </c>
      <c r="I444" s="2" t="s">
        <v>409</v>
      </c>
      <c r="J444" s="2" t="s">
        <v>2026</v>
      </c>
      <c r="K444" s="2" t="s">
        <v>16</v>
      </c>
      <c r="L444" s="2" t="s">
        <v>2027</v>
      </c>
      <c r="M444" s="4">
        <v>1327.36</v>
      </c>
      <c r="N444" t="b">
        <f>OR(LEFT(B444,3)="frg",(_xlfn.XMATCH(B444,ZZZ_Part_Id_[[#All],[FGCODE]])))</f>
        <v>1</v>
      </c>
    </row>
    <row r="445" spans="1:14" x14ac:dyDescent="0.3">
      <c r="A445" s="2" t="s">
        <v>2028</v>
      </c>
      <c r="B445" s="2" t="s">
        <v>14</v>
      </c>
      <c r="C445" s="2" t="s">
        <v>2029</v>
      </c>
      <c r="D445" s="3">
        <v>10</v>
      </c>
      <c r="E445" s="3">
        <v>10</v>
      </c>
      <c r="F445" s="2" t="s">
        <v>16</v>
      </c>
      <c r="G445" s="2" t="s">
        <v>2030</v>
      </c>
      <c r="H445" s="3">
        <v>0</v>
      </c>
      <c r="I445" s="2" t="s">
        <v>409</v>
      </c>
      <c r="J445" s="2" t="s">
        <v>2031</v>
      </c>
      <c r="K445" s="2" t="s">
        <v>16</v>
      </c>
      <c r="L445" s="2" t="s">
        <v>2032</v>
      </c>
      <c r="M445" s="4">
        <v>0.77</v>
      </c>
      <c r="N445" t="e">
        <f>OR(LEFT(B445,3)="frg",(_xlfn.XMATCH(B445,ZZZ_Part_Id_[[#All],[FGCODE]])))</f>
        <v>#N/A</v>
      </c>
    </row>
    <row r="446" spans="1:14" x14ac:dyDescent="0.3">
      <c r="A446" s="2" t="s">
        <v>2028</v>
      </c>
      <c r="B446" s="2" t="s">
        <v>21</v>
      </c>
      <c r="C446" s="2" t="s">
        <v>2033</v>
      </c>
      <c r="D446" s="5">
        <v>-353.92</v>
      </c>
      <c r="E446" s="5">
        <v>-353.92</v>
      </c>
      <c r="F446" s="2" t="s">
        <v>23</v>
      </c>
      <c r="G446" s="2" t="s">
        <v>2034</v>
      </c>
      <c r="H446" s="3">
        <v>0</v>
      </c>
      <c r="I446" s="2" t="s">
        <v>409</v>
      </c>
      <c r="J446" s="2" t="s">
        <v>2035</v>
      </c>
      <c r="K446" s="2" t="s">
        <v>23</v>
      </c>
      <c r="L446" s="2" t="s">
        <v>2036</v>
      </c>
      <c r="M446" s="6">
        <v>-670.15</v>
      </c>
      <c r="N446" t="b">
        <f>OR(LEFT(B446,3)="frg",(_xlfn.XMATCH(B446,ZZZ_Part_Id_[[#All],[FGCODE]])))</f>
        <v>1</v>
      </c>
    </row>
    <row r="447" spans="1:14" x14ac:dyDescent="0.3">
      <c r="A447" s="2" t="s">
        <v>2028</v>
      </c>
      <c r="B447" s="2" t="s">
        <v>2023</v>
      </c>
      <c r="C447" s="2" t="s">
        <v>2037</v>
      </c>
      <c r="D447" s="3">
        <v>190400</v>
      </c>
      <c r="E447" s="3">
        <v>190400</v>
      </c>
      <c r="F447" s="2" t="s">
        <v>16</v>
      </c>
      <c r="G447" s="2" t="s">
        <v>2038</v>
      </c>
      <c r="H447" s="3">
        <v>0</v>
      </c>
      <c r="I447" s="2" t="s">
        <v>409</v>
      </c>
      <c r="J447" s="2" t="s">
        <v>2039</v>
      </c>
      <c r="K447" s="2" t="s">
        <v>16</v>
      </c>
      <c r="L447" s="2" t="s">
        <v>2040</v>
      </c>
      <c r="M447" s="4">
        <v>12244.65</v>
      </c>
      <c r="N447" t="b">
        <f>OR(LEFT(B447,3)="frg",(_xlfn.XMATCH(B447,ZZZ_Part_Id_[[#All],[FGCODE]])))</f>
        <v>1</v>
      </c>
    </row>
    <row r="448" spans="1:14" x14ac:dyDescent="0.3">
      <c r="A448" s="2" t="s">
        <v>2041</v>
      </c>
      <c r="B448" s="2" t="s">
        <v>65</v>
      </c>
      <c r="C448" s="2" t="s">
        <v>2042</v>
      </c>
      <c r="D448" s="5">
        <v>-228</v>
      </c>
      <c r="E448" s="5">
        <v>-228</v>
      </c>
      <c r="F448" s="2" t="s">
        <v>23</v>
      </c>
      <c r="G448" s="2" t="s">
        <v>2043</v>
      </c>
      <c r="H448" s="3">
        <v>0</v>
      </c>
      <c r="I448" s="2" t="s">
        <v>18</v>
      </c>
      <c r="J448" s="2" t="s">
        <v>2044</v>
      </c>
      <c r="K448" s="2" t="s">
        <v>23</v>
      </c>
      <c r="L448" s="2" t="s">
        <v>2045</v>
      </c>
      <c r="M448" s="6">
        <v>-586.32000000000005</v>
      </c>
      <c r="N448" t="b">
        <f>OR(LEFT(B448,3)="frg",(_xlfn.XMATCH(B448,ZZZ_Part_Id_[[#All],[FGCODE]])))</f>
        <v>1</v>
      </c>
    </row>
    <row r="449" spans="1:14" x14ac:dyDescent="0.3">
      <c r="A449" s="2" t="s">
        <v>2041</v>
      </c>
      <c r="B449" s="2" t="s">
        <v>70</v>
      </c>
      <c r="C449" s="2" t="s">
        <v>2046</v>
      </c>
      <c r="D449" s="3">
        <v>69696</v>
      </c>
      <c r="E449" s="3">
        <v>69696</v>
      </c>
      <c r="F449" s="2" t="s">
        <v>16</v>
      </c>
      <c r="G449" s="2" t="s">
        <v>2047</v>
      </c>
      <c r="H449" s="3">
        <v>0</v>
      </c>
      <c r="I449" s="2" t="s">
        <v>18</v>
      </c>
      <c r="J449" s="2" t="s">
        <v>2048</v>
      </c>
      <c r="K449" s="2" t="s">
        <v>16</v>
      </c>
      <c r="L449" s="2" t="s">
        <v>2049</v>
      </c>
      <c r="M449" s="4">
        <v>10912.99</v>
      </c>
      <c r="N449" t="b">
        <f>OR(LEFT(B449,3)="frg",(_xlfn.XMATCH(B449,ZZZ_Part_Id_[[#All],[FGCODE]])))</f>
        <v>1</v>
      </c>
    </row>
    <row r="450" spans="1:14" x14ac:dyDescent="0.3">
      <c r="A450" s="2" t="s">
        <v>2050</v>
      </c>
      <c r="B450" s="2" t="s">
        <v>14</v>
      </c>
      <c r="C450" s="2" t="s">
        <v>2051</v>
      </c>
      <c r="D450" s="3">
        <v>4</v>
      </c>
      <c r="E450" s="3">
        <v>4</v>
      </c>
      <c r="F450" s="2" t="s">
        <v>16</v>
      </c>
      <c r="G450" s="2" t="s">
        <v>2052</v>
      </c>
      <c r="H450" s="3">
        <v>0</v>
      </c>
      <c r="I450" s="2" t="s">
        <v>18</v>
      </c>
      <c r="J450" s="2" t="s">
        <v>2053</v>
      </c>
      <c r="K450" s="2" t="s">
        <v>16</v>
      </c>
      <c r="L450" s="2" t="s">
        <v>2054</v>
      </c>
      <c r="M450" s="4">
        <v>0.31</v>
      </c>
      <c r="N450" t="e">
        <f>OR(LEFT(B450,3)="frg",(_xlfn.XMATCH(B450,ZZZ_Part_Id_[[#All],[FGCODE]])))</f>
        <v>#N/A</v>
      </c>
    </row>
    <row r="451" spans="1:14" x14ac:dyDescent="0.3">
      <c r="A451" s="2" t="s">
        <v>2050</v>
      </c>
      <c r="B451" s="2" t="s">
        <v>65</v>
      </c>
      <c r="C451" s="2" t="s">
        <v>2055</v>
      </c>
      <c r="D451" s="5">
        <v>-241</v>
      </c>
      <c r="E451" s="5">
        <v>-241</v>
      </c>
      <c r="F451" s="2" t="s">
        <v>23</v>
      </c>
      <c r="G451" s="2" t="s">
        <v>2056</v>
      </c>
      <c r="H451" s="3">
        <v>0</v>
      </c>
      <c r="I451" s="2" t="s">
        <v>18</v>
      </c>
      <c r="J451" s="2" t="s">
        <v>2057</v>
      </c>
      <c r="K451" s="2" t="s">
        <v>23</v>
      </c>
      <c r="L451" s="2" t="s">
        <v>2058</v>
      </c>
      <c r="M451" s="6">
        <v>-619.76</v>
      </c>
      <c r="N451" t="b">
        <f>OR(LEFT(B451,3)="frg",(_xlfn.XMATCH(B451,ZZZ_Part_Id_[[#All],[FGCODE]])))</f>
        <v>1</v>
      </c>
    </row>
    <row r="452" spans="1:14" x14ac:dyDescent="0.3">
      <c r="A452" s="2" t="s">
        <v>2050</v>
      </c>
      <c r="B452" s="2" t="s">
        <v>1989</v>
      </c>
      <c r="C452" s="2" t="s">
        <v>2059</v>
      </c>
      <c r="D452" s="3">
        <v>53568</v>
      </c>
      <c r="E452" s="3">
        <v>53568</v>
      </c>
      <c r="F452" s="2" t="s">
        <v>16</v>
      </c>
      <c r="G452" s="2" t="s">
        <v>2060</v>
      </c>
      <c r="H452" s="3">
        <v>0</v>
      </c>
      <c r="I452" s="2" t="s">
        <v>18</v>
      </c>
      <c r="J452" s="2" t="s">
        <v>2061</v>
      </c>
      <c r="K452" s="2" t="s">
        <v>16</v>
      </c>
      <c r="L452" s="2" t="s">
        <v>2062</v>
      </c>
      <c r="M452" s="4">
        <v>3351.21</v>
      </c>
      <c r="N452" t="b">
        <f>OR(LEFT(B452,3)="frg",(_xlfn.XMATCH(B452,ZZZ_Part_Id_[[#All],[FGCODE]])))</f>
        <v>1</v>
      </c>
    </row>
    <row r="453" spans="1:14" x14ac:dyDescent="0.3">
      <c r="A453" s="2" t="s">
        <v>2063</v>
      </c>
      <c r="B453" s="2" t="s">
        <v>1027</v>
      </c>
      <c r="C453" s="2" t="s">
        <v>2064</v>
      </c>
      <c r="D453" s="3">
        <v>785880</v>
      </c>
      <c r="E453" s="3">
        <v>785880</v>
      </c>
      <c r="F453" s="2" t="s">
        <v>16</v>
      </c>
      <c r="G453" s="2" t="s">
        <v>2065</v>
      </c>
      <c r="H453" s="3">
        <v>0</v>
      </c>
      <c r="I453" s="2" t="s">
        <v>18</v>
      </c>
      <c r="J453" s="2" t="s">
        <v>2066</v>
      </c>
      <c r="K453" s="2" t="s">
        <v>16</v>
      </c>
      <c r="L453" s="2" t="s">
        <v>2067</v>
      </c>
      <c r="M453" s="4">
        <v>98769.279999999999</v>
      </c>
      <c r="N453" t="b">
        <f>OR(LEFT(B453,3)="frg",(_xlfn.XMATCH(B453,ZZZ_Part_Id_[[#All],[FGCODE]])))</f>
        <v>1</v>
      </c>
    </row>
    <row r="454" spans="1:14" x14ac:dyDescent="0.3">
      <c r="A454" s="2" t="s">
        <v>2068</v>
      </c>
      <c r="B454" s="2" t="s">
        <v>14</v>
      </c>
      <c r="C454" s="2" t="s">
        <v>2069</v>
      </c>
      <c r="D454" s="3">
        <v>64</v>
      </c>
      <c r="E454" s="3">
        <v>64</v>
      </c>
      <c r="F454" s="2" t="s">
        <v>16</v>
      </c>
      <c r="G454" s="2" t="s">
        <v>2070</v>
      </c>
      <c r="H454" s="3">
        <v>0</v>
      </c>
      <c r="I454" s="2" t="s">
        <v>18</v>
      </c>
      <c r="J454" s="2" t="s">
        <v>2071</v>
      </c>
      <c r="K454" s="2" t="s">
        <v>16</v>
      </c>
      <c r="L454" s="2" t="s">
        <v>2072</v>
      </c>
      <c r="M454" s="4">
        <v>4.92</v>
      </c>
      <c r="N454" t="e">
        <f>OR(LEFT(B454,3)="frg",(_xlfn.XMATCH(B454,ZZZ_Part_Id_[[#All],[FGCODE]])))</f>
        <v>#N/A</v>
      </c>
    </row>
    <row r="455" spans="1:14" x14ac:dyDescent="0.3">
      <c r="A455" s="2" t="s">
        <v>2068</v>
      </c>
      <c r="B455" s="2" t="s">
        <v>426</v>
      </c>
      <c r="C455" s="2" t="s">
        <v>2073</v>
      </c>
      <c r="D455" s="3">
        <v>390816</v>
      </c>
      <c r="E455" s="3">
        <v>390816</v>
      </c>
      <c r="F455" s="2" t="s">
        <v>16</v>
      </c>
      <c r="G455" s="2" t="s">
        <v>2074</v>
      </c>
      <c r="H455" s="3">
        <v>0</v>
      </c>
      <c r="I455" s="2" t="s">
        <v>18</v>
      </c>
      <c r="J455" s="2" t="s">
        <v>2075</v>
      </c>
      <c r="K455" s="2" t="s">
        <v>16</v>
      </c>
      <c r="L455" s="2" t="s">
        <v>2076</v>
      </c>
      <c r="M455" s="4">
        <v>72785.350000000006</v>
      </c>
      <c r="N455" t="b">
        <f>OR(LEFT(B455,3)="frg",(_xlfn.XMATCH(B455,ZZZ_Part_Id_[[#All],[FGCODE]])))</f>
        <v>1</v>
      </c>
    </row>
    <row r="456" spans="1:14" x14ac:dyDescent="0.3">
      <c r="A456" s="2" t="s">
        <v>2077</v>
      </c>
      <c r="B456" s="2" t="s">
        <v>14</v>
      </c>
      <c r="C456" s="2" t="s">
        <v>2078</v>
      </c>
      <c r="D456" s="3">
        <v>16</v>
      </c>
      <c r="E456" s="3">
        <v>16</v>
      </c>
      <c r="F456" s="2" t="s">
        <v>16</v>
      </c>
      <c r="G456" s="2" t="s">
        <v>2079</v>
      </c>
      <c r="H456" s="3">
        <v>0</v>
      </c>
      <c r="I456" s="2" t="s">
        <v>18</v>
      </c>
      <c r="J456" s="2" t="s">
        <v>2080</v>
      </c>
      <c r="K456" s="2" t="s">
        <v>16</v>
      </c>
      <c r="L456" s="2" t="s">
        <v>2081</v>
      </c>
      <c r="M456" s="4">
        <v>1.23</v>
      </c>
      <c r="N456" t="e">
        <f>OR(LEFT(B456,3)="frg",(_xlfn.XMATCH(B456,ZZZ_Part_Id_[[#All],[FGCODE]])))</f>
        <v>#N/A</v>
      </c>
    </row>
    <row r="457" spans="1:14" x14ac:dyDescent="0.3">
      <c r="A457" s="2" t="s">
        <v>2077</v>
      </c>
      <c r="B457" s="2" t="s">
        <v>65</v>
      </c>
      <c r="C457" s="2" t="s">
        <v>2082</v>
      </c>
      <c r="D457" s="5">
        <v>-608</v>
      </c>
      <c r="E457" s="5">
        <v>-608</v>
      </c>
      <c r="F457" s="2" t="s">
        <v>23</v>
      </c>
      <c r="G457" s="2" t="s">
        <v>2083</v>
      </c>
      <c r="H457" s="3">
        <v>0</v>
      </c>
      <c r="I457" s="2" t="s">
        <v>18</v>
      </c>
      <c r="J457" s="2" t="s">
        <v>2084</v>
      </c>
      <c r="K457" s="2" t="s">
        <v>23</v>
      </c>
      <c r="L457" s="2" t="s">
        <v>2085</v>
      </c>
      <c r="M457" s="6">
        <v>-1563.53</v>
      </c>
      <c r="N457" t="b">
        <f>OR(LEFT(B457,3)="frg",(_xlfn.XMATCH(B457,ZZZ_Part_Id_[[#All],[FGCODE]])))</f>
        <v>1</v>
      </c>
    </row>
    <row r="458" spans="1:14" x14ac:dyDescent="0.3">
      <c r="A458" s="2" t="s">
        <v>2077</v>
      </c>
      <c r="B458" s="2" t="s">
        <v>2086</v>
      </c>
      <c r="C458" s="2" t="s">
        <v>2087</v>
      </c>
      <c r="D458" s="3">
        <v>84480</v>
      </c>
      <c r="E458" s="3">
        <v>84480</v>
      </c>
      <c r="F458" s="2" t="s">
        <v>16</v>
      </c>
      <c r="G458" s="2" t="s">
        <v>2088</v>
      </c>
      <c r="H458" s="3">
        <v>0</v>
      </c>
      <c r="I458" s="2" t="s">
        <v>18</v>
      </c>
      <c r="J458" s="2" t="s">
        <v>2089</v>
      </c>
      <c r="K458" s="2" t="s">
        <v>16</v>
      </c>
      <c r="L458" s="2" t="s">
        <v>2090</v>
      </c>
      <c r="M458" s="4">
        <v>12346.8</v>
      </c>
      <c r="N458" t="b">
        <f>OR(LEFT(B458,3)="frg",(_xlfn.XMATCH(B458,ZZZ_Part_Id_[[#All],[FGCODE]])))</f>
        <v>1</v>
      </c>
    </row>
    <row r="459" spans="1:14" x14ac:dyDescent="0.3">
      <c r="A459" s="2" t="s">
        <v>2091</v>
      </c>
      <c r="B459" s="2" t="s">
        <v>14</v>
      </c>
      <c r="C459" s="2" t="s">
        <v>2092</v>
      </c>
      <c r="D459" s="3">
        <v>10</v>
      </c>
      <c r="E459" s="3">
        <v>10</v>
      </c>
      <c r="F459" s="2" t="s">
        <v>16</v>
      </c>
      <c r="G459" s="2" t="s">
        <v>2093</v>
      </c>
      <c r="H459" s="3">
        <v>0</v>
      </c>
      <c r="I459" s="2" t="s">
        <v>18</v>
      </c>
      <c r="J459" s="2" t="s">
        <v>2094</v>
      </c>
      <c r="K459" s="2" t="s">
        <v>16</v>
      </c>
      <c r="L459" s="2" t="s">
        <v>2095</v>
      </c>
      <c r="M459" s="4">
        <v>0.77</v>
      </c>
      <c r="N459" t="e">
        <f>OR(LEFT(B459,3)="frg",(_xlfn.XMATCH(B459,ZZZ_Part_Id_[[#All],[FGCODE]])))</f>
        <v>#N/A</v>
      </c>
    </row>
    <row r="460" spans="1:14" x14ac:dyDescent="0.3">
      <c r="A460" s="2" t="s">
        <v>2091</v>
      </c>
      <c r="B460" s="2" t="s">
        <v>65</v>
      </c>
      <c r="C460" s="2" t="s">
        <v>2096</v>
      </c>
      <c r="D460" s="5">
        <v>-940</v>
      </c>
      <c r="E460" s="5">
        <v>-940</v>
      </c>
      <c r="F460" s="2" t="s">
        <v>23</v>
      </c>
      <c r="G460" s="2" t="s">
        <v>2097</v>
      </c>
      <c r="H460" s="3">
        <v>0</v>
      </c>
      <c r="I460" s="2" t="s">
        <v>18</v>
      </c>
      <c r="J460" s="2" t="s">
        <v>2098</v>
      </c>
      <c r="K460" s="2" t="s">
        <v>23</v>
      </c>
      <c r="L460" s="2" t="s">
        <v>2099</v>
      </c>
      <c r="M460" s="6">
        <v>-2417.3000000000002</v>
      </c>
      <c r="N460" t="b">
        <f>OR(LEFT(B460,3)="frg",(_xlfn.XMATCH(B460,ZZZ_Part_Id_[[#All],[FGCODE]])))</f>
        <v>1</v>
      </c>
    </row>
    <row r="461" spans="1:14" x14ac:dyDescent="0.3">
      <c r="A461" s="2" t="s">
        <v>2091</v>
      </c>
      <c r="B461" s="2" t="s">
        <v>2100</v>
      </c>
      <c r="C461" s="2" t="s">
        <v>2101</v>
      </c>
      <c r="D461" s="3">
        <v>106200</v>
      </c>
      <c r="E461" s="3">
        <v>106200</v>
      </c>
      <c r="F461" s="2" t="s">
        <v>16</v>
      </c>
      <c r="G461" s="2" t="s">
        <v>2102</v>
      </c>
      <c r="H461" s="3">
        <v>0</v>
      </c>
      <c r="I461" s="2" t="s">
        <v>18</v>
      </c>
      <c r="J461" s="2" t="s">
        <v>2103</v>
      </c>
      <c r="K461" s="2" t="s">
        <v>16</v>
      </c>
      <c r="L461" s="2" t="s">
        <v>2104</v>
      </c>
      <c r="M461" s="4">
        <v>13072.2</v>
      </c>
      <c r="N461" t="b">
        <f>OR(LEFT(B461,3)="frg",(_xlfn.XMATCH(B461,ZZZ_Part_Id_[[#All],[FGCODE]])))</f>
        <v>1</v>
      </c>
    </row>
    <row r="462" spans="1:14" x14ac:dyDescent="0.3">
      <c r="A462" s="2" t="s">
        <v>2105</v>
      </c>
      <c r="B462" s="2" t="s">
        <v>740</v>
      </c>
      <c r="C462" s="2" t="s">
        <v>2106</v>
      </c>
      <c r="D462" s="3">
        <v>31860</v>
      </c>
      <c r="E462" s="3">
        <v>31860</v>
      </c>
      <c r="F462" s="2" t="s">
        <v>16</v>
      </c>
      <c r="G462" s="2" t="s">
        <v>2107</v>
      </c>
      <c r="H462" s="3">
        <v>0</v>
      </c>
      <c r="I462" s="2" t="s">
        <v>18</v>
      </c>
      <c r="J462" s="2" t="s">
        <v>2108</v>
      </c>
      <c r="K462" s="2" t="s">
        <v>16</v>
      </c>
      <c r="L462" s="2" t="s">
        <v>2109</v>
      </c>
      <c r="M462" s="4">
        <v>3921.66</v>
      </c>
      <c r="N462" t="b">
        <f>OR(LEFT(B462,3)="frg",(_xlfn.XMATCH(B462,ZZZ_Part_Id_[[#All],[FGCODE]])))</f>
        <v>1</v>
      </c>
    </row>
    <row r="463" spans="1:14" x14ac:dyDescent="0.3">
      <c r="A463" s="2" t="s">
        <v>2110</v>
      </c>
      <c r="B463" s="2" t="s">
        <v>14</v>
      </c>
      <c r="C463" s="2" t="s">
        <v>2111</v>
      </c>
      <c r="D463" s="3">
        <v>4</v>
      </c>
      <c r="E463" s="3">
        <v>4</v>
      </c>
      <c r="F463" s="2" t="s">
        <v>16</v>
      </c>
      <c r="G463" s="2" t="s">
        <v>2112</v>
      </c>
      <c r="H463" s="3">
        <v>0</v>
      </c>
      <c r="I463" s="2" t="s">
        <v>409</v>
      </c>
      <c r="J463" s="2" t="s">
        <v>2113</v>
      </c>
      <c r="K463" s="2" t="s">
        <v>16</v>
      </c>
      <c r="L463" s="2" t="s">
        <v>2114</v>
      </c>
      <c r="M463" s="4">
        <v>0.31</v>
      </c>
      <c r="N463" t="e">
        <f>OR(LEFT(B463,3)="frg",(_xlfn.XMATCH(B463,ZZZ_Part_Id_[[#All],[FGCODE]])))</f>
        <v>#N/A</v>
      </c>
    </row>
    <row r="464" spans="1:14" x14ac:dyDescent="0.3">
      <c r="A464" s="2" t="s">
        <v>2110</v>
      </c>
      <c r="B464" s="2" t="s">
        <v>2115</v>
      </c>
      <c r="C464" s="2" t="s">
        <v>2116</v>
      </c>
      <c r="D464" s="3">
        <v>14400</v>
      </c>
      <c r="E464" s="3">
        <v>14400</v>
      </c>
      <c r="F464" s="2" t="s">
        <v>16</v>
      </c>
      <c r="G464" s="2" t="s">
        <v>2117</v>
      </c>
      <c r="H464" s="3">
        <v>0</v>
      </c>
      <c r="I464" s="2" t="s">
        <v>409</v>
      </c>
      <c r="J464" s="2" t="s">
        <v>2118</v>
      </c>
      <c r="K464" s="2" t="s">
        <v>16</v>
      </c>
      <c r="L464" s="2" t="s">
        <v>2119</v>
      </c>
      <c r="M464" s="4">
        <v>2973.04</v>
      </c>
      <c r="N464" t="b">
        <f>OR(LEFT(B464,3)="frg",(_xlfn.XMATCH(B464,ZZZ_Part_Id_[[#All],[FGCODE]])))</f>
        <v>1</v>
      </c>
    </row>
    <row r="465" spans="1:14" x14ac:dyDescent="0.3">
      <c r="A465" s="2" t="s">
        <v>2120</v>
      </c>
      <c r="B465" s="2" t="s">
        <v>2121</v>
      </c>
      <c r="C465" s="2" t="s">
        <v>2122</v>
      </c>
      <c r="D465" s="3">
        <v>19872</v>
      </c>
      <c r="E465" s="3">
        <v>19872</v>
      </c>
      <c r="F465" s="2" t="s">
        <v>16</v>
      </c>
      <c r="G465" s="2" t="s">
        <v>2123</v>
      </c>
      <c r="H465" s="3">
        <v>0</v>
      </c>
      <c r="I465" s="2" t="s">
        <v>18</v>
      </c>
      <c r="J465" s="2" t="s">
        <v>2124</v>
      </c>
      <c r="K465" s="2" t="s">
        <v>16</v>
      </c>
      <c r="L465" s="2" t="s">
        <v>2125</v>
      </c>
      <c r="M465" s="4">
        <v>2945.44</v>
      </c>
      <c r="N465" t="b">
        <f>OR(LEFT(B465,3)="frg",(_xlfn.XMATCH(B465,ZZZ_Part_Id_[[#All],[FGCODE]])))</f>
        <v>1</v>
      </c>
    </row>
    <row r="466" spans="1:14" x14ac:dyDescent="0.3">
      <c r="A466" s="2" t="s">
        <v>2126</v>
      </c>
      <c r="B466" s="2" t="s">
        <v>2127</v>
      </c>
      <c r="C466" s="2" t="s">
        <v>2128</v>
      </c>
      <c r="D466" s="3">
        <v>9936</v>
      </c>
      <c r="E466" s="3">
        <v>9936</v>
      </c>
      <c r="F466" s="2" t="s">
        <v>16</v>
      </c>
      <c r="G466" s="2" t="s">
        <v>2129</v>
      </c>
      <c r="H466" s="3">
        <v>0</v>
      </c>
      <c r="I466" s="2" t="s">
        <v>18</v>
      </c>
      <c r="J466" s="2" t="s">
        <v>2130</v>
      </c>
      <c r="K466" s="2" t="s">
        <v>16</v>
      </c>
      <c r="L466" s="2" t="s">
        <v>2131</v>
      </c>
      <c r="M466" s="4">
        <v>1358.06</v>
      </c>
      <c r="N466" t="b">
        <f>OR(LEFT(B466,3)="frg",(_xlfn.XMATCH(B466,ZZZ_Part_Id_[[#All],[FGCODE]])))</f>
        <v>1</v>
      </c>
    </row>
    <row r="467" spans="1:14" x14ac:dyDescent="0.3">
      <c r="A467" s="2" t="s">
        <v>2132</v>
      </c>
      <c r="B467" s="2" t="s">
        <v>740</v>
      </c>
      <c r="C467" s="2" t="s">
        <v>2133</v>
      </c>
      <c r="D467" s="3">
        <v>605340</v>
      </c>
      <c r="E467" s="3">
        <v>605340</v>
      </c>
      <c r="F467" s="2" t="s">
        <v>16</v>
      </c>
      <c r="G467" s="2" t="s">
        <v>2134</v>
      </c>
      <c r="H467" s="3">
        <v>0</v>
      </c>
      <c r="I467" s="2" t="s">
        <v>18</v>
      </c>
      <c r="J467" s="2" t="s">
        <v>2135</v>
      </c>
      <c r="K467" s="2" t="s">
        <v>16</v>
      </c>
      <c r="L467" s="2" t="s">
        <v>2136</v>
      </c>
      <c r="M467" s="4">
        <v>74511.539999999994</v>
      </c>
      <c r="N467" t="b">
        <f>OR(LEFT(B467,3)="frg",(_xlfn.XMATCH(B467,ZZZ_Part_Id_[[#All],[FGCODE]])))</f>
        <v>1</v>
      </c>
    </row>
    <row r="468" spans="1:14" x14ac:dyDescent="0.3">
      <c r="A468" s="2" t="s">
        <v>2137</v>
      </c>
      <c r="B468" s="2" t="s">
        <v>426</v>
      </c>
      <c r="C468" s="2" t="s">
        <v>2138</v>
      </c>
      <c r="D468" s="3">
        <v>410688</v>
      </c>
      <c r="E468" s="3">
        <v>410688</v>
      </c>
      <c r="F468" s="2" t="s">
        <v>16</v>
      </c>
      <c r="G468" s="2" t="s">
        <v>2139</v>
      </c>
      <c r="H468" s="3">
        <v>0</v>
      </c>
      <c r="I468" s="2" t="s">
        <v>18</v>
      </c>
      <c r="J468" s="2" t="s">
        <v>2140</v>
      </c>
      <c r="K468" s="2" t="s">
        <v>16</v>
      </c>
      <c r="L468" s="2" t="s">
        <v>2141</v>
      </c>
      <c r="M468" s="4">
        <v>76486.3</v>
      </c>
      <c r="N468" t="b">
        <f>OR(LEFT(B468,3)="frg",(_xlfn.XMATCH(B468,ZZZ_Part_Id_[[#All],[FGCODE]])))</f>
        <v>1</v>
      </c>
    </row>
    <row r="469" spans="1:14" x14ac:dyDescent="0.3">
      <c r="A469" s="2" t="s">
        <v>2142</v>
      </c>
      <c r="B469" s="2" t="s">
        <v>86</v>
      </c>
      <c r="C469" s="2" t="s">
        <v>2143</v>
      </c>
      <c r="D469" s="5">
        <v>-211</v>
      </c>
      <c r="E469" s="5">
        <v>-211</v>
      </c>
      <c r="F469" s="2" t="s">
        <v>23</v>
      </c>
      <c r="G469" s="2" t="s">
        <v>2144</v>
      </c>
      <c r="H469" s="3">
        <v>0</v>
      </c>
      <c r="I469" s="2" t="s">
        <v>409</v>
      </c>
      <c r="J469" s="2" t="s">
        <v>2145</v>
      </c>
      <c r="K469" s="2" t="s">
        <v>23</v>
      </c>
      <c r="L469" s="2" t="s">
        <v>2146</v>
      </c>
      <c r="M469" s="6">
        <v>-552.36</v>
      </c>
      <c r="N469" t="b">
        <f>OR(LEFT(B469,3)="frg",(_xlfn.XMATCH(B469,ZZZ_Part_Id_[[#All],[FGCODE]])))</f>
        <v>1</v>
      </c>
    </row>
    <row r="470" spans="1:14" x14ac:dyDescent="0.3">
      <c r="A470" s="2" t="s">
        <v>2142</v>
      </c>
      <c r="B470" s="2" t="s">
        <v>783</v>
      </c>
      <c r="C470" s="2" t="s">
        <v>2147</v>
      </c>
      <c r="D470" s="3">
        <v>197752</v>
      </c>
      <c r="E470" s="3">
        <v>197752</v>
      </c>
      <c r="F470" s="2" t="s">
        <v>16</v>
      </c>
      <c r="G470" s="2" t="s">
        <v>2148</v>
      </c>
      <c r="H470" s="3">
        <v>0</v>
      </c>
      <c r="I470" s="2" t="s">
        <v>409</v>
      </c>
      <c r="J470" s="2" t="s">
        <v>2149</v>
      </c>
      <c r="K470" s="2" t="s">
        <v>16</v>
      </c>
      <c r="L470" s="2" t="s">
        <v>2150</v>
      </c>
      <c r="M470" s="4">
        <v>8960.15</v>
      </c>
      <c r="N470" t="b">
        <f>OR(LEFT(B470,3)="frg",(_xlfn.XMATCH(B470,ZZZ_Part_Id_[[#All],[FGCODE]])))</f>
        <v>1</v>
      </c>
    </row>
    <row r="471" spans="1:14" x14ac:dyDescent="0.3">
      <c r="A471" s="2" t="s">
        <v>2151</v>
      </c>
      <c r="B471" s="2" t="s">
        <v>21</v>
      </c>
      <c r="C471" s="2" t="s">
        <v>2152</v>
      </c>
      <c r="D471" s="5">
        <v>-323</v>
      </c>
      <c r="E471" s="5">
        <v>-323</v>
      </c>
      <c r="F471" s="2" t="s">
        <v>23</v>
      </c>
      <c r="G471" s="2" t="s">
        <v>2153</v>
      </c>
      <c r="H471" s="3">
        <v>0</v>
      </c>
      <c r="I471" s="2" t="s">
        <v>18</v>
      </c>
      <c r="J471" s="2" t="s">
        <v>2154</v>
      </c>
      <c r="K471" s="2" t="s">
        <v>23</v>
      </c>
      <c r="L471" s="2" t="s">
        <v>2155</v>
      </c>
      <c r="M471" s="6">
        <v>-611.6</v>
      </c>
      <c r="N471" t="b">
        <f>OR(LEFT(B471,3)="frg",(_xlfn.XMATCH(B471,ZZZ_Part_Id_[[#All],[FGCODE]])))</f>
        <v>1</v>
      </c>
    </row>
    <row r="472" spans="1:14" x14ac:dyDescent="0.3">
      <c r="A472" s="2" t="s">
        <v>2151</v>
      </c>
      <c r="B472" s="2" t="s">
        <v>1027</v>
      </c>
      <c r="C472" s="2" t="s">
        <v>2156</v>
      </c>
      <c r="D472" s="3">
        <v>74340</v>
      </c>
      <c r="E472" s="3">
        <v>0</v>
      </c>
      <c r="F472" s="2" t="s">
        <v>16</v>
      </c>
      <c r="G472" s="2" t="s">
        <v>2157</v>
      </c>
      <c r="H472" s="3">
        <v>0</v>
      </c>
      <c r="I472" s="2" t="s">
        <v>18</v>
      </c>
      <c r="J472" s="2" t="s">
        <v>2158</v>
      </c>
      <c r="K472" s="2" t="s">
        <v>16</v>
      </c>
      <c r="L472" s="2" t="s">
        <v>2159</v>
      </c>
      <c r="M472" s="6">
        <v>-0.01</v>
      </c>
      <c r="N472" t="b">
        <f>OR(LEFT(B472,3)="frg",(_xlfn.XMATCH(B472,ZZZ_Part_Id_[[#All],[FGCODE]])))</f>
        <v>1</v>
      </c>
    </row>
    <row r="473" spans="1:14" x14ac:dyDescent="0.3">
      <c r="A473" s="2" t="s">
        <v>2151</v>
      </c>
      <c r="B473" s="2" t="s">
        <v>1512</v>
      </c>
      <c r="C473" s="2" t="s">
        <v>2160</v>
      </c>
      <c r="D473" s="3">
        <v>74340</v>
      </c>
      <c r="E473" s="3">
        <v>74340</v>
      </c>
      <c r="F473" s="2" t="s">
        <v>16</v>
      </c>
      <c r="G473" s="2" t="s">
        <v>131</v>
      </c>
      <c r="H473" s="3">
        <v>0</v>
      </c>
      <c r="I473" s="2" t="s">
        <v>18</v>
      </c>
      <c r="J473" s="2" t="s">
        <v>2161</v>
      </c>
      <c r="K473" s="2" t="s">
        <v>16</v>
      </c>
      <c r="L473" s="2" t="s">
        <v>2162</v>
      </c>
      <c r="M473" s="4">
        <v>9343.0400000000009</v>
      </c>
      <c r="N473" t="b">
        <f>OR(LEFT(B473,3)="frg",(_xlfn.XMATCH(B473,ZZZ_Part_Id_[[#All],[FGCODE]])))</f>
        <v>1</v>
      </c>
    </row>
    <row r="474" spans="1:14" x14ac:dyDescent="0.3">
      <c r="A474" s="2" t="s">
        <v>2163</v>
      </c>
      <c r="B474" s="2" t="s">
        <v>1027</v>
      </c>
      <c r="C474" s="2" t="s">
        <v>2164</v>
      </c>
      <c r="D474" s="3">
        <v>53100</v>
      </c>
      <c r="E474" s="3">
        <v>0</v>
      </c>
      <c r="F474" s="2" t="s">
        <v>16</v>
      </c>
      <c r="G474" s="2" t="s">
        <v>2165</v>
      </c>
      <c r="H474" s="3">
        <v>0</v>
      </c>
      <c r="I474" s="2" t="s">
        <v>18</v>
      </c>
      <c r="J474" s="2" t="s">
        <v>2166</v>
      </c>
      <c r="K474" s="2" t="s">
        <v>16</v>
      </c>
      <c r="L474" s="2" t="s">
        <v>2167</v>
      </c>
      <c r="M474" s="4">
        <v>0</v>
      </c>
      <c r="N474" t="b">
        <f>OR(LEFT(B474,3)="frg",(_xlfn.XMATCH(B474,ZZZ_Part_Id_[[#All],[FGCODE]])))</f>
        <v>1</v>
      </c>
    </row>
    <row r="475" spans="1:14" x14ac:dyDescent="0.3">
      <c r="A475" s="2" t="s">
        <v>2163</v>
      </c>
      <c r="B475" s="2" t="s">
        <v>2168</v>
      </c>
      <c r="C475" s="2" t="s">
        <v>2169</v>
      </c>
      <c r="D475" s="3">
        <v>53100</v>
      </c>
      <c r="E475" s="3">
        <v>53100</v>
      </c>
      <c r="F475" s="2" t="s">
        <v>16</v>
      </c>
      <c r="G475" s="2" t="s">
        <v>131</v>
      </c>
      <c r="H475" s="3">
        <v>0</v>
      </c>
      <c r="I475" s="2" t="s">
        <v>18</v>
      </c>
      <c r="J475" s="2" t="s">
        <v>2170</v>
      </c>
      <c r="K475" s="2" t="s">
        <v>16</v>
      </c>
      <c r="L475" s="2" t="s">
        <v>2171</v>
      </c>
      <c r="M475" s="4">
        <v>6753.25</v>
      </c>
      <c r="N475" t="b">
        <f>OR(LEFT(B475,3)="frg",(_xlfn.XMATCH(B475,ZZZ_Part_Id_[[#All],[FGCODE]])))</f>
        <v>1</v>
      </c>
    </row>
    <row r="476" spans="1:14" x14ac:dyDescent="0.3">
      <c r="A476" s="2" t="s">
        <v>2172</v>
      </c>
      <c r="B476" s="2" t="s">
        <v>2168</v>
      </c>
      <c r="C476" s="2" t="s">
        <v>2173</v>
      </c>
      <c r="D476" s="3">
        <v>42480</v>
      </c>
      <c r="E476" s="3">
        <v>0</v>
      </c>
      <c r="F476" s="2" t="s">
        <v>16</v>
      </c>
      <c r="G476" s="2" t="s">
        <v>2174</v>
      </c>
      <c r="H476" s="3">
        <v>0</v>
      </c>
      <c r="I476" s="2" t="s">
        <v>18</v>
      </c>
      <c r="J476" s="2" t="s">
        <v>2175</v>
      </c>
      <c r="K476" s="2" t="s">
        <v>16</v>
      </c>
      <c r="L476" s="2" t="s">
        <v>2176</v>
      </c>
      <c r="M476" s="4">
        <v>0</v>
      </c>
      <c r="N476" t="b">
        <f>OR(LEFT(B476,3)="frg",(_xlfn.XMATCH(B476,ZZZ_Part_Id_[[#All],[FGCODE]])))</f>
        <v>1</v>
      </c>
    </row>
    <row r="477" spans="1:14" x14ac:dyDescent="0.3">
      <c r="A477" s="2" t="s">
        <v>2172</v>
      </c>
      <c r="B477" s="2" t="s">
        <v>1027</v>
      </c>
      <c r="C477" s="2" t="s">
        <v>2177</v>
      </c>
      <c r="D477" s="3">
        <v>42480</v>
      </c>
      <c r="E477" s="3">
        <v>42480</v>
      </c>
      <c r="F477" s="2" t="s">
        <v>16</v>
      </c>
      <c r="G477" s="2" t="s">
        <v>131</v>
      </c>
      <c r="H477" s="3">
        <v>0</v>
      </c>
      <c r="I477" s="2" t="s">
        <v>18</v>
      </c>
      <c r="J477" s="2" t="s">
        <v>2178</v>
      </c>
      <c r="K477" s="2" t="s">
        <v>16</v>
      </c>
      <c r="L477" s="2" t="s">
        <v>2179</v>
      </c>
      <c r="M477" s="4">
        <v>5338.88</v>
      </c>
      <c r="N477" t="b">
        <f>OR(LEFT(B477,3)="frg",(_xlfn.XMATCH(B477,ZZZ_Part_Id_[[#All],[FGCODE]])))</f>
        <v>1</v>
      </c>
    </row>
    <row r="478" spans="1:14" x14ac:dyDescent="0.3">
      <c r="A478" s="2" t="s">
        <v>2180</v>
      </c>
      <c r="B478" s="2" t="s">
        <v>2168</v>
      </c>
      <c r="C478" s="2" t="s">
        <v>2181</v>
      </c>
      <c r="D478" s="3">
        <v>10620</v>
      </c>
      <c r="E478" s="3">
        <v>10620</v>
      </c>
      <c r="F478" s="2" t="s">
        <v>16</v>
      </c>
      <c r="G478" s="2" t="s">
        <v>2182</v>
      </c>
      <c r="H478" s="3">
        <v>0</v>
      </c>
      <c r="I478" s="2" t="s">
        <v>18</v>
      </c>
      <c r="J478" s="2" t="s">
        <v>2183</v>
      </c>
      <c r="K478" s="2" t="s">
        <v>16</v>
      </c>
      <c r="L478" s="2" t="s">
        <v>2184</v>
      </c>
      <c r="M478" s="4">
        <v>1350.65</v>
      </c>
      <c r="N478" t="b">
        <f>OR(LEFT(B478,3)="frg",(_xlfn.XMATCH(B478,ZZZ_Part_Id_[[#All],[FGCODE]])))</f>
        <v>1</v>
      </c>
    </row>
    <row r="479" spans="1:14" x14ac:dyDescent="0.3">
      <c r="A479" s="2" t="s">
        <v>2185</v>
      </c>
      <c r="B479" s="2" t="s">
        <v>740</v>
      </c>
      <c r="C479" s="2" t="s">
        <v>2186</v>
      </c>
      <c r="D479" s="3">
        <v>10620</v>
      </c>
      <c r="E479" s="3">
        <v>10620</v>
      </c>
      <c r="F479" s="2" t="s">
        <v>16</v>
      </c>
      <c r="G479" s="2" t="s">
        <v>2187</v>
      </c>
      <c r="H479" s="3">
        <v>0</v>
      </c>
      <c r="I479" s="2" t="s">
        <v>18</v>
      </c>
      <c r="J479" s="2" t="s">
        <v>2188</v>
      </c>
      <c r="K479" s="2" t="s">
        <v>16</v>
      </c>
      <c r="L479" s="2" t="s">
        <v>2189</v>
      </c>
      <c r="M479" s="4">
        <v>1307.22</v>
      </c>
      <c r="N479" t="b">
        <f>OR(LEFT(B479,3)="frg",(_xlfn.XMATCH(B479,ZZZ_Part_Id_[[#All],[FGCODE]])))</f>
        <v>1</v>
      </c>
    </row>
    <row r="480" spans="1:14" x14ac:dyDescent="0.3">
      <c r="A480" s="2" t="s">
        <v>2190</v>
      </c>
      <c r="B480" s="2" t="s">
        <v>2191</v>
      </c>
      <c r="C480" s="2" t="s">
        <v>2192</v>
      </c>
      <c r="D480" s="3">
        <v>16</v>
      </c>
      <c r="E480" s="3">
        <v>15.952</v>
      </c>
      <c r="F480" s="2" t="s">
        <v>47</v>
      </c>
      <c r="G480" s="2" t="s">
        <v>2193</v>
      </c>
      <c r="H480" s="3">
        <v>0</v>
      </c>
      <c r="I480" s="2" t="s">
        <v>18</v>
      </c>
      <c r="J480" s="2" t="s">
        <v>2194</v>
      </c>
      <c r="K480" s="2" t="s">
        <v>47</v>
      </c>
      <c r="L480" s="2" t="s">
        <v>2195</v>
      </c>
      <c r="M480" s="4">
        <v>55.21</v>
      </c>
      <c r="N480" t="e">
        <f>OR(LEFT(B480,3)="frg",(_xlfn.XMATCH(B480,ZZZ_Part_Id_[[#All],[FGCODE]])))</f>
        <v>#N/A</v>
      </c>
    </row>
    <row r="481" spans="1:14" x14ac:dyDescent="0.3">
      <c r="A481" s="2" t="s">
        <v>2190</v>
      </c>
      <c r="B481" s="2" t="s">
        <v>2196</v>
      </c>
      <c r="C481" s="2" t="s">
        <v>2197</v>
      </c>
      <c r="D481" s="3">
        <v>2.4</v>
      </c>
      <c r="E481" s="3">
        <v>2.3929999999999998</v>
      </c>
      <c r="F481" s="2" t="s">
        <v>23</v>
      </c>
      <c r="G481" s="2" t="s">
        <v>2198</v>
      </c>
      <c r="H481" s="3">
        <v>0</v>
      </c>
      <c r="I481" s="2" t="s">
        <v>18</v>
      </c>
      <c r="J481" s="2" t="s">
        <v>2199</v>
      </c>
      <c r="K481" s="2" t="s">
        <v>23</v>
      </c>
      <c r="L481" s="2" t="s">
        <v>2200</v>
      </c>
      <c r="M481" s="4">
        <v>15.55</v>
      </c>
      <c r="N481" t="e">
        <f>OR(LEFT(B481,3)="frg",(_xlfn.XMATCH(B481,ZZZ_Part_Id_[[#All],[FGCODE]])))</f>
        <v>#N/A</v>
      </c>
    </row>
    <row r="482" spans="1:14" x14ac:dyDescent="0.3">
      <c r="A482" s="2" t="s">
        <v>2190</v>
      </c>
      <c r="B482" s="2" t="s">
        <v>14</v>
      </c>
      <c r="C482" s="2" t="s">
        <v>2201</v>
      </c>
      <c r="D482" s="3">
        <v>2</v>
      </c>
      <c r="E482" s="3">
        <v>2</v>
      </c>
      <c r="F482" s="2" t="s">
        <v>16</v>
      </c>
      <c r="G482" s="2" t="s">
        <v>2202</v>
      </c>
      <c r="H482" s="3">
        <v>0</v>
      </c>
      <c r="I482" s="2" t="s">
        <v>18</v>
      </c>
      <c r="J482" s="2" t="s">
        <v>2203</v>
      </c>
      <c r="K482" s="2" t="s">
        <v>16</v>
      </c>
      <c r="L482" s="2" t="s">
        <v>2204</v>
      </c>
      <c r="M482" s="4">
        <v>0.15</v>
      </c>
      <c r="N482" t="e">
        <f>OR(LEFT(B482,3)="frg",(_xlfn.XMATCH(B482,ZZZ_Part_Id_[[#All],[FGCODE]])))</f>
        <v>#N/A</v>
      </c>
    </row>
    <row r="483" spans="1:14" x14ac:dyDescent="0.3">
      <c r="A483" s="2" t="s">
        <v>2190</v>
      </c>
      <c r="B483" s="2" t="s">
        <v>140</v>
      </c>
      <c r="C483" s="2" t="s">
        <v>2205</v>
      </c>
      <c r="D483" s="3">
        <v>0.55000000000000004</v>
      </c>
      <c r="E483" s="3">
        <v>0.54800000000000004</v>
      </c>
      <c r="F483" s="2" t="s">
        <v>16</v>
      </c>
      <c r="G483" s="2" t="s">
        <v>2206</v>
      </c>
      <c r="H483" s="3">
        <v>0</v>
      </c>
      <c r="I483" s="2" t="s">
        <v>18</v>
      </c>
      <c r="J483" s="2" t="s">
        <v>2207</v>
      </c>
      <c r="K483" s="2" t="s">
        <v>16</v>
      </c>
      <c r="L483" s="2" t="s">
        <v>2208</v>
      </c>
      <c r="M483" s="4">
        <v>0.9</v>
      </c>
      <c r="N483" t="e">
        <f>OR(LEFT(B483,3)="frg",(_xlfn.XMATCH(B483,ZZZ_Part_Id_[[#All],[FGCODE]])))</f>
        <v>#N/A</v>
      </c>
    </row>
    <row r="484" spans="1:14" x14ac:dyDescent="0.3">
      <c r="A484" s="2" t="s">
        <v>2190</v>
      </c>
      <c r="B484" s="2" t="s">
        <v>2209</v>
      </c>
      <c r="C484" s="2" t="s">
        <v>2210</v>
      </c>
      <c r="D484" s="3">
        <v>2</v>
      </c>
      <c r="E484" s="3">
        <v>1.994</v>
      </c>
      <c r="F484" s="2" t="s">
        <v>47</v>
      </c>
      <c r="G484" s="2" t="s">
        <v>2211</v>
      </c>
      <c r="H484" s="3">
        <v>0</v>
      </c>
      <c r="I484" s="2" t="s">
        <v>18</v>
      </c>
      <c r="J484" s="2" t="s">
        <v>2212</v>
      </c>
      <c r="K484" s="2" t="s">
        <v>47</v>
      </c>
      <c r="L484" s="2" t="s">
        <v>2213</v>
      </c>
      <c r="M484" s="4">
        <v>2.9</v>
      </c>
      <c r="N484" t="e">
        <f>OR(LEFT(B484,3)="frg",(_xlfn.XMATCH(B484,ZZZ_Part_Id_[[#All],[FGCODE]])))</f>
        <v>#N/A</v>
      </c>
    </row>
    <row r="485" spans="1:14" x14ac:dyDescent="0.3">
      <c r="A485" s="2" t="s">
        <v>2190</v>
      </c>
      <c r="B485" s="2" t="s">
        <v>45</v>
      </c>
      <c r="C485" s="2" t="s">
        <v>2214</v>
      </c>
      <c r="D485" s="3">
        <v>0.14799999999999999</v>
      </c>
      <c r="E485" s="3">
        <v>0.14799999999999999</v>
      </c>
      <c r="F485" s="2" t="s">
        <v>47</v>
      </c>
      <c r="G485" s="2" t="s">
        <v>2215</v>
      </c>
      <c r="H485" s="3">
        <v>0</v>
      </c>
      <c r="I485" s="2" t="s">
        <v>18</v>
      </c>
      <c r="J485" s="2" t="s">
        <v>2216</v>
      </c>
      <c r="K485" s="2" t="s">
        <v>47</v>
      </c>
      <c r="L485" s="2" t="s">
        <v>2217</v>
      </c>
      <c r="M485" s="4">
        <v>8.99</v>
      </c>
      <c r="N485" t="e">
        <f>OR(LEFT(B485,3)="frg",(_xlfn.XMATCH(B485,ZZZ_Part_Id_[[#All],[FGCODE]])))</f>
        <v>#N/A</v>
      </c>
    </row>
    <row r="486" spans="1:14" x14ac:dyDescent="0.3">
      <c r="A486" s="2" t="s">
        <v>2190</v>
      </c>
      <c r="B486" s="2" t="s">
        <v>2218</v>
      </c>
      <c r="C486" s="2" t="s">
        <v>2219</v>
      </c>
      <c r="D486" s="3">
        <v>1344</v>
      </c>
      <c r="E486" s="3">
        <v>1344</v>
      </c>
      <c r="F486" s="2" t="s">
        <v>16</v>
      </c>
      <c r="G486" s="2" t="s">
        <v>2220</v>
      </c>
      <c r="H486" s="3">
        <v>0</v>
      </c>
      <c r="I486" s="2" t="s">
        <v>18</v>
      </c>
      <c r="J486" s="2" t="s">
        <v>2221</v>
      </c>
      <c r="K486" s="2" t="s">
        <v>16</v>
      </c>
      <c r="L486" s="2" t="s">
        <v>2222</v>
      </c>
      <c r="M486" s="4">
        <v>674.31</v>
      </c>
      <c r="N486" t="b">
        <f>OR(LEFT(B486,3)="frg",(_xlfn.XMATCH(B486,ZZZ_Part_Id_[[#All],[FGCODE]])))</f>
        <v>1</v>
      </c>
    </row>
    <row r="487" spans="1:14" x14ac:dyDescent="0.3">
      <c r="A487" s="2" t="s">
        <v>2223</v>
      </c>
      <c r="B487" s="2" t="s">
        <v>2168</v>
      </c>
      <c r="C487" s="2" t="s">
        <v>2224</v>
      </c>
      <c r="D487" s="3">
        <v>10620</v>
      </c>
      <c r="E487" s="3">
        <v>10620</v>
      </c>
      <c r="F487" s="2" t="s">
        <v>16</v>
      </c>
      <c r="G487" s="2" t="s">
        <v>2225</v>
      </c>
      <c r="H487" s="3">
        <v>0</v>
      </c>
      <c r="I487" s="2" t="s">
        <v>18</v>
      </c>
      <c r="J487" s="2" t="s">
        <v>2226</v>
      </c>
      <c r="K487" s="2" t="s">
        <v>16</v>
      </c>
      <c r="L487" s="2" t="s">
        <v>2227</v>
      </c>
      <c r="M487" s="4">
        <v>1350.65</v>
      </c>
      <c r="N487" t="b">
        <f>OR(LEFT(B487,3)="frg",(_xlfn.XMATCH(B487,ZZZ_Part_Id_[[#All],[FGCODE]])))</f>
        <v>1</v>
      </c>
    </row>
    <row r="488" spans="1:14" x14ac:dyDescent="0.3">
      <c r="A488" s="2" t="s">
        <v>2228</v>
      </c>
      <c r="B488" s="2" t="s">
        <v>14</v>
      </c>
      <c r="C488" s="2" t="s">
        <v>2229</v>
      </c>
      <c r="D488" s="3">
        <v>4</v>
      </c>
      <c r="E488" s="3">
        <v>0</v>
      </c>
      <c r="F488" s="2" t="s">
        <v>16</v>
      </c>
      <c r="G488" s="2" t="s">
        <v>2230</v>
      </c>
      <c r="H488" s="3">
        <v>0</v>
      </c>
      <c r="I488" s="2" t="s">
        <v>2231</v>
      </c>
      <c r="J488" s="2" t="s">
        <v>2232</v>
      </c>
      <c r="K488" s="2" t="s">
        <v>16</v>
      </c>
      <c r="L488" s="2" t="s">
        <v>2233</v>
      </c>
      <c r="M488" s="4">
        <v>0</v>
      </c>
      <c r="N488" t="e">
        <f>OR(LEFT(B488,3)="frg",(_xlfn.XMATCH(B488,ZZZ_Part_Id_[[#All],[FGCODE]])))</f>
        <v>#N/A</v>
      </c>
    </row>
    <row r="489" spans="1:14" x14ac:dyDescent="0.3">
      <c r="A489" s="2" t="s">
        <v>2228</v>
      </c>
      <c r="B489" s="2" t="s">
        <v>37</v>
      </c>
      <c r="C489" s="2" t="s">
        <v>2234</v>
      </c>
      <c r="D489" s="3">
        <v>2</v>
      </c>
      <c r="E489" s="3">
        <v>0</v>
      </c>
      <c r="F489" s="2" t="s">
        <v>16</v>
      </c>
      <c r="G489" s="2" t="s">
        <v>2235</v>
      </c>
      <c r="H489" s="3">
        <v>0</v>
      </c>
      <c r="I489" s="2" t="s">
        <v>2231</v>
      </c>
      <c r="J489" s="2" t="s">
        <v>2236</v>
      </c>
      <c r="K489" s="2" t="s">
        <v>16</v>
      </c>
      <c r="L489" s="2" t="s">
        <v>2237</v>
      </c>
      <c r="M489" s="4">
        <v>0</v>
      </c>
      <c r="N489" t="e">
        <f>OR(LEFT(B489,3)="frg",(_xlfn.XMATCH(B489,ZZZ_Part_Id_[[#All],[FGCODE]])))</f>
        <v>#N/A</v>
      </c>
    </row>
    <row r="490" spans="1:14" x14ac:dyDescent="0.3">
      <c r="A490" s="2" t="s">
        <v>2228</v>
      </c>
      <c r="B490" s="2" t="s">
        <v>2238</v>
      </c>
      <c r="C490" s="2" t="s">
        <v>2239</v>
      </c>
      <c r="D490" s="3">
        <v>38400</v>
      </c>
      <c r="E490" s="3">
        <v>0</v>
      </c>
      <c r="F490" s="2" t="s">
        <v>16</v>
      </c>
      <c r="G490" s="2" t="s">
        <v>2240</v>
      </c>
      <c r="H490" s="3">
        <v>0</v>
      </c>
      <c r="I490" s="2" t="s">
        <v>2231</v>
      </c>
      <c r="J490" s="2" t="s">
        <v>2241</v>
      </c>
      <c r="K490" s="2" t="s">
        <v>16</v>
      </c>
      <c r="L490" s="2" t="s">
        <v>2242</v>
      </c>
      <c r="M490" s="4">
        <v>0</v>
      </c>
      <c r="N490" t="b">
        <f>OR(LEFT(B490,3)="frg",(_xlfn.XMATCH(B490,ZZZ_Part_Id_[[#All],[FGCODE]])))</f>
        <v>1</v>
      </c>
    </row>
    <row r="491" spans="1:14" x14ac:dyDescent="0.3">
      <c r="A491" s="2" t="s">
        <v>2243</v>
      </c>
      <c r="B491" s="2" t="s">
        <v>740</v>
      </c>
      <c r="C491" s="2" t="s">
        <v>2244</v>
      </c>
      <c r="D491" s="3">
        <v>414180</v>
      </c>
      <c r="E491" s="3">
        <v>414180</v>
      </c>
      <c r="F491" s="2" t="s">
        <v>16</v>
      </c>
      <c r="G491" s="2" t="s">
        <v>2245</v>
      </c>
      <c r="H491" s="3">
        <v>0</v>
      </c>
      <c r="I491" s="2" t="s">
        <v>18</v>
      </c>
      <c r="J491" s="2" t="s">
        <v>2246</v>
      </c>
      <c r="K491" s="2" t="s">
        <v>16</v>
      </c>
      <c r="L491" s="2" t="s">
        <v>2247</v>
      </c>
      <c r="M491" s="4">
        <v>50981.58</v>
      </c>
      <c r="N491" t="b">
        <f>OR(LEFT(B491,3)="frg",(_xlfn.XMATCH(B491,ZZZ_Part_Id_[[#All],[FGCODE]])))</f>
        <v>1</v>
      </c>
    </row>
    <row r="492" spans="1:14" x14ac:dyDescent="0.3">
      <c r="A492" s="2" t="s">
        <v>2248</v>
      </c>
      <c r="B492" s="2" t="s">
        <v>1027</v>
      </c>
      <c r="C492" s="2" t="s">
        <v>2249</v>
      </c>
      <c r="D492" s="3">
        <v>10620</v>
      </c>
      <c r="E492" s="3">
        <v>0</v>
      </c>
      <c r="F492" s="2" t="s">
        <v>16</v>
      </c>
      <c r="G492" s="2" t="s">
        <v>2250</v>
      </c>
      <c r="H492" s="3">
        <v>0</v>
      </c>
      <c r="I492" s="2" t="s">
        <v>18</v>
      </c>
      <c r="J492" s="2" t="s">
        <v>2251</v>
      </c>
      <c r="K492" s="2" t="s">
        <v>16</v>
      </c>
      <c r="L492" s="2" t="s">
        <v>2252</v>
      </c>
      <c r="M492" s="4">
        <v>0</v>
      </c>
      <c r="N492" t="b">
        <f>OR(LEFT(B492,3)="frg",(_xlfn.XMATCH(B492,ZZZ_Part_Id_[[#All],[FGCODE]])))</f>
        <v>1</v>
      </c>
    </row>
    <row r="493" spans="1:14" x14ac:dyDescent="0.3">
      <c r="A493" s="2" t="s">
        <v>2253</v>
      </c>
      <c r="B493" s="2" t="s">
        <v>1027</v>
      </c>
      <c r="C493" s="2" t="s">
        <v>2254</v>
      </c>
      <c r="D493" s="3">
        <v>10620</v>
      </c>
      <c r="E493" s="3">
        <v>0</v>
      </c>
      <c r="F493" s="2" t="s">
        <v>16</v>
      </c>
      <c r="G493" s="2" t="s">
        <v>2255</v>
      </c>
      <c r="H493" s="3">
        <v>0</v>
      </c>
      <c r="I493" s="2" t="s">
        <v>18</v>
      </c>
      <c r="J493" s="2" t="s">
        <v>2256</v>
      </c>
      <c r="K493" s="2" t="s">
        <v>16</v>
      </c>
      <c r="L493" s="2" t="s">
        <v>2257</v>
      </c>
      <c r="M493" s="4">
        <v>0</v>
      </c>
      <c r="N493" t="b">
        <f>OR(LEFT(B493,3)="frg",(_xlfn.XMATCH(B493,ZZZ_Part_Id_[[#All],[FGCODE]])))</f>
        <v>1</v>
      </c>
    </row>
    <row r="494" spans="1:14" x14ac:dyDescent="0.3">
      <c r="A494" s="2" t="s">
        <v>2258</v>
      </c>
      <c r="B494" s="2" t="s">
        <v>103</v>
      </c>
      <c r="C494" s="2" t="s">
        <v>2259</v>
      </c>
      <c r="D494" s="3">
        <v>10620</v>
      </c>
      <c r="E494" s="3">
        <v>10620</v>
      </c>
      <c r="F494" s="2" t="s">
        <v>16</v>
      </c>
      <c r="G494" s="2" t="s">
        <v>2260</v>
      </c>
      <c r="H494" s="3">
        <v>0</v>
      </c>
      <c r="I494" s="2" t="s">
        <v>18</v>
      </c>
      <c r="J494" s="2" t="s">
        <v>2261</v>
      </c>
      <c r="K494" s="2" t="s">
        <v>16</v>
      </c>
      <c r="L494" s="2" t="s">
        <v>2262</v>
      </c>
      <c r="M494" s="4">
        <v>1322.4</v>
      </c>
      <c r="N494" t="b">
        <f>OR(LEFT(B494,3)="frg",(_xlfn.XMATCH(B494,ZZZ_Part_Id_[[#All],[FGCODE]])))</f>
        <v>1</v>
      </c>
    </row>
    <row r="495" spans="1:14" x14ac:dyDescent="0.3">
      <c r="A495" s="2" t="s">
        <v>2263</v>
      </c>
      <c r="B495" s="2" t="s">
        <v>103</v>
      </c>
      <c r="C495" s="2" t="s">
        <v>2264</v>
      </c>
      <c r="D495" s="3">
        <v>10620</v>
      </c>
      <c r="E495" s="3">
        <v>10620</v>
      </c>
      <c r="F495" s="2" t="s">
        <v>16</v>
      </c>
      <c r="G495" s="2" t="s">
        <v>2265</v>
      </c>
      <c r="H495" s="3">
        <v>0</v>
      </c>
      <c r="I495" s="2" t="s">
        <v>18</v>
      </c>
      <c r="J495" s="2" t="s">
        <v>2266</v>
      </c>
      <c r="K495" s="2" t="s">
        <v>16</v>
      </c>
      <c r="L495" s="2" t="s">
        <v>2267</v>
      </c>
      <c r="M495" s="4">
        <v>1322.4</v>
      </c>
      <c r="N495" t="b">
        <f>OR(LEFT(B495,3)="frg",(_xlfn.XMATCH(B495,ZZZ_Part_Id_[[#All],[FGCODE]])))</f>
        <v>1</v>
      </c>
    </row>
    <row r="496" spans="1:14" x14ac:dyDescent="0.3">
      <c r="A496" s="2" t="s">
        <v>2268</v>
      </c>
      <c r="B496" s="2" t="s">
        <v>103</v>
      </c>
      <c r="C496" s="2" t="s">
        <v>2269</v>
      </c>
      <c r="D496" s="3">
        <v>10620</v>
      </c>
      <c r="E496" s="3">
        <v>10620</v>
      </c>
      <c r="F496" s="2" t="s">
        <v>16</v>
      </c>
      <c r="G496" s="2" t="s">
        <v>2270</v>
      </c>
      <c r="H496" s="3">
        <v>0</v>
      </c>
      <c r="I496" s="2" t="s">
        <v>18</v>
      </c>
      <c r="J496" s="2" t="s">
        <v>2271</v>
      </c>
      <c r="K496" s="2" t="s">
        <v>16</v>
      </c>
      <c r="L496" s="2" t="s">
        <v>2272</v>
      </c>
      <c r="M496" s="4">
        <v>1322.4</v>
      </c>
      <c r="N496" t="b">
        <f>OR(LEFT(B496,3)="frg",(_xlfn.XMATCH(B496,ZZZ_Part_Id_[[#All],[FGCODE]])))</f>
        <v>1</v>
      </c>
    </row>
    <row r="497" spans="1:14" x14ac:dyDescent="0.3">
      <c r="A497" s="2" t="s">
        <v>2273</v>
      </c>
      <c r="B497" s="2" t="s">
        <v>2168</v>
      </c>
      <c r="C497" s="2" t="s">
        <v>2274</v>
      </c>
      <c r="D497" s="3">
        <v>10620</v>
      </c>
      <c r="E497" s="3">
        <v>10620</v>
      </c>
      <c r="F497" s="2" t="s">
        <v>16</v>
      </c>
      <c r="G497" s="2" t="s">
        <v>2275</v>
      </c>
      <c r="H497" s="3">
        <v>0</v>
      </c>
      <c r="I497" s="2" t="s">
        <v>18</v>
      </c>
      <c r="J497" s="2" t="s">
        <v>2276</v>
      </c>
      <c r="K497" s="2" t="s">
        <v>16</v>
      </c>
      <c r="L497" s="2" t="s">
        <v>2277</v>
      </c>
      <c r="M497" s="4">
        <v>1350.65</v>
      </c>
      <c r="N497" t="b">
        <f>OR(LEFT(B497,3)="frg",(_xlfn.XMATCH(B497,ZZZ_Part_Id_[[#All],[FGCODE]])))</f>
        <v>1</v>
      </c>
    </row>
    <row r="498" spans="1:14" x14ac:dyDescent="0.3">
      <c r="A498" s="2" t="s">
        <v>2278</v>
      </c>
      <c r="B498" s="2" t="s">
        <v>14</v>
      </c>
      <c r="C498" s="2" t="s">
        <v>2279</v>
      </c>
      <c r="D498" s="3">
        <v>41</v>
      </c>
      <c r="E498" s="3">
        <v>41</v>
      </c>
      <c r="F498" s="2" t="s">
        <v>16</v>
      </c>
      <c r="G498" s="2" t="s">
        <v>2280</v>
      </c>
      <c r="H498" s="3">
        <v>0</v>
      </c>
      <c r="I498" s="2" t="s">
        <v>18</v>
      </c>
      <c r="J498" s="2" t="s">
        <v>2281</v>
      </c>
      <c r="K498" s="2" t="s">
        <v>16</v>
      </c>
      <c r="L498" s="2" t="s">
        <v>2282</v>
      </c>
      <c r="M498" s="4">
        <v>3.15</v>
      </c>
      <c r="N498" t="e">
        <f>OR(LEFT(B498,3)="frg",(_xlfn.XMATCH(B498,ZZZ_Part_Id_[[#All],[FGCODE]])))</f>
        <v>#N/A</v>
      </c>
    </row>
    <row r="499" spans="1:14" x14ac:dyDescent="0.3">
      <c r="A499" s="2" t="s">
        <v>2278</v>
      </c>
      <c r="B499" s="2" t="s">
        <v>426</v>
      </c>
      <c r="C499" s="2" t="s">
        <v>2283</v>
      </c>
      <c r="D499" s="3">
        <v>271584</v>
      </c>
      <c r="E499" s="3">
        <v>271584</v>
      </c>
      <c r="F499" s="2" t="s">
        <v>16</v>
      </c>
      <c r="G499" s="2" t="s">
        <v>2284</v>
      </c>
      <c r="H499" s="3">
        <v>0</v>
      </c>
      <c r="I499" s="2" t="s">
        <v>18</v>
      </c>
      <c r="J499" s="2" t="s">
        <v>2285</v>
      </c>
      <c r="K499" s="2" t="s">
        <v>16</v>
      </c>
      <c r="L499" s="2" t="s">
        <v>2286</v>
      </c>
      <c r="M499" s="4">
        <v>50579.65</v>
      </c>
      <c r="N499" t="b">
        <f>OR(LEFT(B499,3)="frg",(_xlfn.XMATCH(B499,ZZZ_Part_Id_[[#All],[FGCODE]])))</f>
        <v>1</v>
      </c>
    </row>
    <row r="500" spans="1:14" x14ac:dyDescent="0.3">
      <c r="A500" s="2" t="s">
        <v>2287</v>
      </c>
      <c r="B500" s="2" t="s">
        <v>14</v>
      </c>
      <c r="C500" s="2" t="s">
        <v>2288</v>
      </c>
      <c r="D500" s="3">
        <v>9</v>
      </c>
      <c r="E500" s="3">
        <v>9</v>
      </c>
      <c r="F500" s="2" t="s">
        <v>16</v>
      </c>
      <c r="G500" s="2" t="s">
        <v>2289</v>
      </c>
      <c r="H500" s="3">
        <v>0</v>
      </c>
      <c r="I500" s="2" t="s">
        <v>18</v>
      </c>
      <c r="J500" s="2" t="s">
        <v>2290</v>
      </c>
      <c r="K500" s="2" t="s">
        <v>16</v>
      </c>
      <c r="L500" s="2" t="s">
        <v>2291</v>
      </c>
      <c r="M500" s="4">
        <v>0.69</v>
      </c>
      <c r="N500" t="e">
        <f>OR(LEFT(B500,3)="frg",(_xlfn.XMATCH(B500,ZZZ_Part_Id_[[#All],[FGCODE]])))</f>
        <v>#N/A</v>
      </c>
    </row>
    <row r="501" spans="1:14" x14ac:dyDescent="0.3">
      <c r="A501" s="2" t="s">
        <v>2287</v>
      </c>
      <c r="B501" s="2" t="s">
        <v>86</v>
      </c>
      <c r="C501" s="2" t="s">
        <v>2292</v>
      </c>
      <c r="D501" s="5">
        <v>-222</v>
      </c>
      <c r="E501" s="5">
        <v>-222</v>
      </c>
      <c r="F501" s="2" t="s">
        <v>23</v>
      </c>
      <c r="G501" s="2" t="s">
        <v>2293</v>
      </c>
      <c r="H501" s="3">
        <v>0</v>
      </c>
      <c r="I501" s="2" t="s">
        <v>18</v>
      </c>
      <c r="J501" s="2" t="s">
        <v>2294</v>
      </c>
      <c r="K501" s="2" t="s">
        <v>23</v>
      </c>
      <c r="L501" s="2" t="s">
        <v>2295</v>
      </c>
      <c r="M501" s="6">
        <v>-581.15</v>
      </c>
      <c r="N501" t="b">
        <f>OR(LEFT(B501,3)="frg",(_xlfn.XMATCH(B501,ZZZ_Part_Id_[[#All],[FGCODE]])))</f>
        <v>1</v>
      </c>
    </row>
    <row r="502" spans="1:14" x14ac:dyDescent="0.3">
      <c r="A502" s="2" t="s">
        <v>2287</v>
      </c>
      <c r="B502" s="2" t="s">
        <v>797</v>
      </c>
      <c r="C502" s="2" t="s">
        <v>2296</v>
      </c>
      <c r="D502" s="3">
        <v>298800</v>
      </c>
      <c r="E502" s="3">
        <v>298800</v>
      </c>
      <c r="F502" s="2" t="s">
        <v>16</v>
      </c>
      <c r="G502" s="2" t="s">
        <v>2297</v>
      </c>
      <c r="H502" s="3">
        <v>0</v>
      </c>
      <c r="I502" s="2" t="s">
        <v>18</v>
      </c>
      <c r="J502" s="2" t="s">
        <v>2298</v>
      </c>
      <c r="K502" s="2" t="s">
        <v>16</v>
      </c>
      <c r="L502" s="2" t="s">
        <v>2299</v>
      </c>
      <c r="M502" s="4">
        <v>10625.3</v>
      </c>
      <c r="N502" t="b">
        <f>OR(LEFT(B502,3)="frg",(_xlfn.XMATCH(B502,ZZZ_Part_Id_[[#All],[FGCODE]])))</f>
        <v>1</v>
      </c>
    </row>
    <row r="503" spans="1:14" x14ac:dyDescent="0.3">
      <c r="A503" s="2" t="s">
        <v>2300</v>
      </c>
      <c r="B503" s="2" t="s">
        <v>14</v>
      </c>
      <c r="C503" s="2" t="s">
        <v>2301</v>
      </c>
      <c r="D503" s="3">
        <v>4</v>
      </c>
      <c r="E503" s="3">
        <v>4</v>
      </c>
      <c r="F503" s="2" t="s">
        <v>16</v>
      </c>
      <c r="G503" s="2" t="s">
        <v>2302</v>
      </c>
      <c r="H503" s="3">
        <v>0</v>
      </c>
      <c r="I503" s="2" t="s">
        <v>409</v>
      </c>
      <c r="J503" s="2" t="s">
        <v>2303</v>
      </c>
      <c r="K503" s="2" t="s">
        <v>16</v>
      </c>
      <c r="L503" s="2" t="s">
        <v>2304</v>
      </c>
      <c r="M503" s="4">
        <v>0.31</v>
      </c>
      <c r="N503" t="e">
        <f>OR(LEFT(B503,3)="frg",(_xlfn.XMATCH(B503,ZZZ_Part_Id_[[#All],[FGCODE]])))</f>
        <v>#N/A</v>
      </c>
    </row>
    <row r="504" spans="1:14" x14ac:dyDescent="0.3">
      <c r="A504" s="2" t="s">
        <v>2300</v>
      </c>
      <c r="B504" s="2" t="s">
        <v>2305</v>
      </c>
      <c r="C504" s="2" t="s">
        <v>2306</v>
      </c>
      <c r="D504" s="3">
        <v>76032</v>
      </c>
      <c r="E504" s="3">
        <v>76032</v>
      </c>
      <c r="F504" s="2" t="s">
        <v>16</v>
      </c>
      <c r="G504" s="2" t="s">
        <v>2307</v>
      </c>
      <c r="H504" s="3">
        <v>0</v>
      </c>
      <c r="I504" s="2" t="s">
        <v>409</v>
      </c>
      <c r="J504" s="2" t="s">
        <v>2308</v>
      </c>
      <c r="K504" s="2" t="s">
        <v>16</v>
      </c>
      <c r="L504" s="2" t="s">
        <v>2309</v>
      </c>
      <c r="M504" s="4">
        <v>3555.26</v>
      </c>
      <c r="N504" t="b">
        <f>OR(LEFT(B504,3)="frg",(_xlfn.XMATCH(B504,ZZZ_Part_Id_[[#All],[FGCODE]])))</f>
        <v>1</v>
      </c>
    </row>
    <row r="505" spans="1:14" x14ac:dyDescent="0.3">
      <c r="A505" s="2" t="s">
        <v>2310</v>
      </c>
      <c r="B505" s="2" t="s">
        <v>14</v>
      </c>
      <c r="C505" s="2" t="s">
        <v>2311</v>
      </c>
      <c r="D505" s="3">
        <v>6</v>
      </c>
      <c r="E505" s="3">
        <v>6</v>
      </c>
      <c r="F505" s="2" t="s">
        <v>16</v>
      </c>
      <c r="G505" s="2" t="s">
        <v>2312</v>
      </c>
      <c r="H505" s="3">
        <v>0</v>
      </c>
      <c r="I505" s="2" t="s">
        <v>409</v>
      </c>
      <c r="J505" s="2" t="s">
        <v>2313</v>
      </c>
      <c r="K505" s="2" t="s">
        <v>16</v>
      </c>
      <c r="L505" s="2" t="s">
        <v>2314</v>
      </c>
      <c r="M505" s="4">
        <v>0.46</v>
      </c>
      <c r="N505" t="e">
        <f>OR(LEFT(B505,3)="frg",(_xlfn.XMATCH(B505,ZZZ_Part_Id_[[#All],[FGCODE]])))</f>
        <v>#N/A</v>
      </c>
    </row>
    <row r="506" spans="1:14" x14ac:dyDescent="0.3">
      <c r="A506" s="2" t="s">
        <v>2310</v>
      </c>
      <c r="B506" s="2" t="s">
        <v>37</v>
      </c>
      <c r="C506" s="2" t="s">
        <v>2315</v>
      </c>
      <c r="D506" s="3">
        <v>6</v>
      </c>
      <c r="E506" s="3">
        <v>6</v>
      </c>
      <c r="F506" s="2" t="s">
        <v>16</v>
      </c>
      <c r="G506" s="2" t="s">
        <v>2316</v>
      </c>
      <c r="H506" s="3">
        <v>0</v>
      </c>
      <c r="I506" s="2" t="s">
        <v>409</v>
      </c>
      <c r="J506" s="2" t="s">
        <v>2317</v>
      </c>
      <c r="K506" s="2" t="s">
        <v>16</v>
      </c>
      <c r="L506" s="2" t="s">
        <v>2318</v>
      </c>
      <c r="M506" s="4">
        <v>96</v>
      </c>
      <c r="N506" t="e">
        <f>OR(LEFT(B506,3)="frg",(_xlfn.XMATCH(B506,ZZZ_Part_Id_[[#All],[FGCODE]])))</f>
        <v>#N/A</v>
      </c>
    </row>
    <row r="507" spans="1:14" x14ac:dyDescent="0.3">
      <c r="A507" s="2" t="s">
        <v>2310</v>
      </c>
      <c r="B507" s="2" t="s">
        <v>2319</v>
      </c>
      <c r="C507" s="2" t="s">
        <v>2320</v>
      </c>
      <c r="D507" s="3">
        <v>126720</v>
      </c>
      <c r="E507" s="3">
        <v>126720</v>
      </c>
      <c r="F507" s="2" t="s">
        <v>16</v>
      </c>
      <c r="G507" s="2" t="s">
        <v>2321</v>
      </c>
      <c r="H507" s="3">
        <v>0</v>
      </c>
      <c r="I507" s="2" t="s">
        <v>409</v>
      </c>
      <c r="J507" s="2" t="s">
        <v>2322</v>
      </c>
      <c r="K507" s="2" t="s">
        <v>16</v>
      </c>
      <c r="L507" s="2" t="s">
        <v>2323</v>
      </c>
      <c r="M507" s="4">
        <v>7845.24</v>
      </c>
      <c r="N507" t="b">
        <f>OR(LEFT(B507,3)="frg",(_xlfn.XMATCH(B507,ZZZ_Part_Id_[[#All],[FGCODE]])))</f>
        <v>1</v>
      </c>
    </row>
    <row r="508" spans="1:14" x14ac:dyDescent="0.3">
      <c r="A508" s="2" t="s">
        <v>2324</v>
      </c>
      <c r="B508" s="2" t="s">
        <v>14</v>
      </c>
      <c r="C508" s="2" t="s">
        <v>2325</v>
      </c>
      <c r="D508" s="3">
        <v>8</v>
      </c>
      <c r="E508" s="3">
        <v>8</v>
      </c>
      <c r="F508" s="2" t="s">
        <v>16</v>
      </c>
      <c r="G508" s="2" t="s">
        <v>2326</v>
      </c>
      <c r="H508" s="3">
        <v>0</v>
      </c>
      <c r="I508" s="2" t="s">
        <v>18</v>
      </c>
      <c r="J508" s="2" t="s">
        <v>2327</v>
      </c>
      <c r="K508" s="2" t="s">
        <v>16</v>
      </c>
      <c r="L508" s="2" t="s">
        <v>2328</v>
      </c>
      <c r="M508" s="4">
        <v>0.62</v>
      </c>
      <c r="N508" t="e">
        <f>OR(LEFT(B508,3)="frg",(_xlfn.XMATCH(B508,ZZZ_Part_Id_[[#All],[FGCODE]])))</f>
        <v>#N/A</v>
      </c>
    </row>
    <row r="509" spans="1:14" x14ac:dyDescent="0.3">
      <c r="A509" s="2" t="s">
        <v>2324</v>
      </c>
      <c r="B509" s="2" t="s">
        <v>264</v>
      </c>
      <c r="C509" s="2" t="s">
        <v>2329</v>
      </c>
      <c r="D509" s="3">
        <v>4.0000000000000001E-3</v>
      </c>
      <c r="E509" s="3">
        <v>4.0000000000000001E-3</v>
      </c>
      <c r="F509" s="2" t="s">
        <v>16</v>
      </c>
      <c r="G509" s="2" t="s">
        <v>2330</v>
      </c>
      <c r="H509" s="3">
        <v>0</v>
      </c>
      <c r="I509" s="2" t="s">
        <v>18</v>
      </c>
      <c r="J509" s="2" t="s">
        <v>2331</v>
      </c>
      <c r="K509" s="2" t="s">
        <v>16</v>
      </c>
      <c r="L509" s="2" t="s">
        <v>2332</v>
      </c>
      <c r="M509" s="4">
        <v>0.1</v>
      </c>
      <c r="N509" t="e">
        <f>OR(LEFT(B509,3)="frg",(_xlfn.XMATCH(B509,ZZZ_Part_Id_[[#All],[FGCODE]])))</f>
        <v>#N/A</v>
      </c>
    </row>
    <row r="510" spans="1:14" x14ac:dyDescent="0.3">
      <c r="A510" s="2" t="s">
        <v>2324</v>
      </c>
      <c r="B510" s="2" t="s">
        <v>1512</v>
      </c>
      <c r="C510" s="2" t="s">
        <v>2333</v>
      </c>
      <c r="D510" s="3">
        <v>42480</v>
      </c>
      <c r="E510" s="3">
        <v>42480</v>
      </c>
      <c r="F510" s="2" t="s">
        <v>16</v>
      </c>
      <c r="G510" s="2" t="s">
        <v>2334</v>
      </c>
      <c r="H510" s="3">
        <v>0</v>
      </c>
      <c r="I510" s="2" t="s">
        <v>18</v>
      </c>
      <c r="J510" s="2" t="s">
        <v>2335</v>
      </c>
      <c r="K510" s="2" t="s">
        <v>16</v>
      </c>
      <c r="L510" s="2" t="s">
        <v>2336</v>
      </c>
      <c r="M510" s="4">
        <v>5338.88</v>
      </c>
      <c r="N510" t="b">
        <f>OR(LEFT(B510,3)="frg",(_xlfn.XMATCH(B510,ZZZ_Part_Id_[[#All],[FGCODE]])))</f>
        <v>1</v>
      </c>
    </row>
    <row r="511" spans="1:14" x14ac:dyDescent="0.3">
      <c r="A511" s="2" t="s">
        <v>2337</v>
      </c>
      <c r="B511" s="2" t="s">
        <v>14</v>
      </c>
      <c r="C511" s="2" t="s">
        <v>2338</v>
      </c>
      <c r="D511" s="3">
        <v>64</v>
      </c>
      <c r="E511" s="3">
        <v>64</v>
      </c>
      <c r="F511" s="2" t="s">
        <v>16</v>
      </c>
      <c r="G511" s="2" t="s">
        <v>2339</v>
      </c>
      <c r="H511" s="3">
        <v>0</v>
      </c>
      <c r="I511" s="2" t="s">
        <v>409</v>
      </c>
      <c r="J511" s="2" t="s">
        <v>2340</v>
      </c>
      <c r="K511" s="2" t="s">
        <v>16</v>
      </c>
      <c r="L511" s="2" t="s">
        <v>2341</v>
      </c>
      <c r="M511" s="4">
        <v>4.92</v>
      </c>
      <c r="N511" t="e">
        <f>OR(LEFT(B511,3)="frg",(_xlfn.XMATCH(B511,ZZZ_Part_Id_[[#All],[FGCODE]])))</f>
        <v>#N/A</v>
      </c>
    </row>
    <row r="512" spans="1:14" x14ac:dyDescent="0.3">
      <c r="A512" s="2" t="s">
        <v>2337</v>
      </c>
      <c r="B512" s="2" t="s">
        <v>27</v>
      </c>
      <c r="C512" s="2" t="s">
        <v>2342</v>
      </c>
      <c r="D512" s="3">
        <v>317952</v>
      </c>
      <c r="E512" s="3">
        <v>317952</v>
      </c>
      <c r="F512" s="2" t="s">
        <v>16</v>
      </c>
      <c r="G512" s="2" t="s">
        <v>2343</v>
      </c>
      <c r="H512" s="3">
        <v>0</v>
      </c>
      <c r="I512" s="2" t="s">
        <v>409</v>
      </c>
      <c r="J512" s="2" t="s">
        <v>2344</v>
      </c>
      <c r="K512" s="2" t="s">
        <v>16</v>
      </c>
      <c r="L512" s="2" t="s">
        <v>2345</v>
      </c>
      <c r="M512" s="4">
        <v>59053.42</v>
      </c>
      <c r="N512" t="b">
        <f>OR(LEFT(B512,3)="frg",(_xlfn.XMATCH(B512,ZZZ_Part_Id_[[#All],[FGCODE]])))</f>
        <v>1</v>
      </c>
    </row>
    <row r="513" spans="1:14" x14ac:dyDescent="0.3">
      <c r="A513" s="2" t="s">
        <v>2346</v>
      </c>
      <c r="B513" s="2" t="s">
        <v>14</v>
      </c>
      <c r="C513" s="2" t="s">
        <v>2347</v>
      </c>
      <c r="D513" s="3">
        <v>40</v>
      </c>
      <c r="E513" s="3">
        <v>40</v>
      </c>
      <c r="F513" s="2" t="s">
        <v>16</v>
      </c>
      <c r="G513" s="2" t="s">
        <v>2348</v>
      </c>
      <c r="H513" s="3">
        <v>0</v>
      </c>
      <c r="I513" s="2" t="s">
        <v>18</v>
      </c>
      <c r="J513" s="2" t="s">
        <v>2349</v>
      </c>
      <c r="K513" s="2" t="s">
        <v>16</v>
      </c>
      <c r="L513" s="2" t="s">
        <v>2350</v>
      </c>
      <c r="M513" s="4">
        <v>3.08</v>
      </c>
      <c r="N513" t="e">
        <f>OR(LEFT(B513,3)="frg",(_xlfn.XMATCH(B513,ZZZ_Part_Id_[[#All],[FGCODE]])))</f>
        <v>#N/A</v>
      </c>
    </row>
    <row r="514" spans="1:14" x14ac:dyDescent="0.3">
      <c r="A514" s="2" t="s">
        <v>2346</v>
      </c>
      <c r="B514" s="2" t="s">
        <v>27</v>
      </c>
      <c r="C514" s="2" t="s">
        <v>2351</v>
      </c>
      <c r="D514" s="3">
        <v>145728</v>
      </c>
      <c r="E514" s="3">
        <v>145728</v>
      </c>
      <c r="F514" s="2" t="s">
        <v>16</v>
      </c>
      <c r="G514" s="2" t="s">
        <v>2352</v>
      </c>
      <c r="H514" s="3">
        <v>0</v>
      </c>
      <c r="I514" s="2" t="s">
        <v>18</v>
      </c>
      <c r="J514" s="2" t="s">
        <v>2353</v>
      </c>
      <c r="K514" s="2" t="s">
        <v>16</v>
      </c>
      <c r="L514" s="2" t="s">
        <v>2354</v>
      </c>
      <c r="M514" s="4">
        <v>27066.15</v>
      </c>
      <c r="N514" t="b">
        <f>OR(LEFT(B514,3)="frg",(_xlfn.XMATCH(B514,ZZZ_Part_Id_[[#All],[FGCODE]])))</f>
        <v>1</v>
      </c>
    </row>
    <row r="515" spans="1:14" x14ac:dyDescent="0.3">
      <c r="A515" s="2" t="s">
        <v>2355</v>
      </c>
      <c r="B515" s="2" t="s">
        <v>14</v>
      </c>
      <c r="C515" s="2" t="s">
        <v>2356</v>
      </c>
      <c r="D515" s="3">
        <v>4</v>
      </c>
      <c r="E515" s="3">
        <v>4</v>
      </c>
      <c r="F515" s="2" t="s">
        <v>16</v>
      </c>
      <c r="G515" s="2" t="s">
        <v>2357</v>
      </c>
      <c r="H515" s="3">
        <v>0</v>
      </c>
      <c r="I515" s="2" t="s">
        <v>409</v>
      </c>
      <c r="J515" s="2" t="s">
        <v>2358</v>
      </c>
      <c r="K515" s="2" t="s">
        <v>16</v>
      </c>
      <c r="L515" s="2" t="s">
        <v>2359</v>
      </c>
      <c r="M515" s="4">
        <v>0.31</v>
      </c>
      <c r="N515" t="e">
        <f>OR(LEFT(B515,3)="frg",(_xlfn.XMATCH(B515,ZZZ_Part_Id_[[#All],[FGCODE]])))</f>
        <v>#N/A</v>
      </c>
    </row>
    <row r="516" spans="1:14" x14ac:dyDescent="0.3">
      <c r="A516" s="2" t="s">
        <v>2355</v>
      </c>
      <c r="B516" s="2" t="s">
        <v>65</v>
      </c>
      <c r="C516" s="2" t="s">
        <v>2360</v>
      </c>
      <c r="D516" s="5">
        <v>-324</v>
      </c>
      <c r="E516" s="5">
        <v>-324</v>
      </c>
      <c r="F516" s="2" t="s">
        <v>23</v>
      </c>
      <c r="G516" s="2" t="s">
        <v>2361</v>
      </c>
      <c r="H516" s="3">
        <v>0</v>
      </c>
      <c r="I516" s="2" t="s">
        <v>409</v>
      </c>
      <c r="J516" s="2" t="s">
        <v>2362</v>
      </c>
      <c r="K516" s="2" t="s">
        <v>23</v>
      </c>
      <c r="L516" s="2" t="s">
        <v>2363</v>
      </c>
      <c r="M516" s="6">
        <v>-833.2</v>
      </c>
      <c r="N516" t="b">
        <f>OR(LEFT(B516,3)="frg",(_xlfn.XMATCH(B516,ZZZ_Part_Id_[[#All],[FGCODE]])))</f>
        <v>1</v>
      </c>
    </row>
    <row r="517" spans="1:14" x14ac:dyDescent="0.3">
      <c r="A517" s="2" t="s">
        <v>2355</v>
      </c>
      <c r="B517" s="2" t="s">
        <v>59</v>
      </c>
      <c r="C517" s="2" t="s">
        <v>2364</v>
      </c>
      <c r="D517" s="3">
        <v>134935</v>
      </c>
      <c r="E517" s="3">
        <v>134935</v>
      </c>
      <c r="F517" s="2" t="s">
        <v>16</v>
      </c>
      <c r="G517" s="2" t="s">
        <v>2365</v>
      </c>
      <c r="H517" s="3">
        <v>0</v>
      </c>
      <c r="I517" s="2" t="s">
        <v>409</v>
      </c>
      <c r="J517" s="2" t="s">
        <v>2366</v>
      </c>
      <c r="K517" s="2" t="s">
        <v>16</v>
      </c>
      <c r="L517" s="2" t="s">
        <v>2367</v>
      </c>
      <c r="M517" s="4">
        <v>5768.49</v>
      </c>
      <c r="N517" t="b">
        <f>OR(LEFT(B517,3)="frg",(_xlfn.XMATCH(B517,ZZZ_Part_Id_[[#All],[FGCODE]])))</f>
        <v>1</v>
      </c>
    </row>
    <row r="518" spans="1:14" x14ac:dyDescent="0.3">
      <c r="A518" s="2" t="s">
        <v>2368</v>
      </c>
      <c r="B518" s="2" t="s">
        <v>289</v>
      </c>
      <c r="C518" s="2" t="s">
        <v>2369</v>
      </c>
      <c r="D518" s="3">
        <v>18000</v>
      </c>
      <c r="E518" s="3">
        <v>18000</v>
      </c>
      <c r="F518" s="2" t="s">
        <v>16</v>
      </c>
      <c r="G518" s="2" t="s">
        <v>2370</v>
      </c>
      <c r="H518" s="3">
        <v>0</v>
      </c>
      <c r="I518" s="2" t="s">
        <v>409</v>
      </c>
      <c r="J518" s="2" t="s">
        <v>2371</v>
      </c>
      <c r="K518" s="2" t="s">
        <v>16</v>
      </c>
      <c r="L518" s="2" t="s">
        <v>2372</v>
      </c>
      <c r="M518" s="4">
        <v>1362.42</v>
      </c>
      <c r="N518" t="b">
        <f>OR(LEFT(B518,3)="frg",(_xlfn.XMATCH(B518,ZZZ_Part_Id_[[#All],[FGCODE]])))</f>
        <v>1</v>
      </c>
    </row>
    <row r="519" spans="1:14" x14ac:dyDescent="0.3">
      <c r="A519" s="2" t="s">
        <v>2373</v>
      </c>
      <c r="B519" s="2" t="s">
        <v>65</v>
      </c>
      <c r="C519" s="2" t="s">
        <v>2374</v>
      </c>
      <c r="D519" s="5">
        <v>-102</v>
      </c>
      <c r="E519" s="5">
        <v>-102</v>
      </c>
      <c r="F519" s="2" t="s">
        <v>23</v>
      </c>
      <c r="G519" s="2" t="s">
        <v>2375</v>
      </c>
      <c r="H519" s="3">
        <v>0</v>
      </c>
      <c r="I519" s="2" t="s">
        <v>409</v>
      </c>
      <c r="J519" s="2" t="s">
        <v>2376</v>
      </c>
      <c r="K519" s="2" t="s">
        <v>23</v>
      </c>
      <c r="L519" s="2" t="s">
        <v>2377</v>
      </c>
      <c r="M519" s="6">
        <v>-262.3</v>
      </c>
      <c r="N519" t="b">
        <f>OR(LEFT(B519,3)="frg",(_xlfn.XMATCH(B519,ZZZ_Part_Id_[[#All],[FGCODE]])))</f>
        <v>1</v>
      </c>
    </row>
    <row r="520" spans="1:14" x14ac:dyDescent="0.3">
      <c r="A520" s="2" t="s">
        <v>2373</v>
      </c>
      <c r="B520" s="2" t="s">
        <v>2378</v>
      </c>
      <c r="C520" s="2" t="s">
        <v>2379</v>
      </c>
      <c r="D520" s="3">
        <v>51552</v>
      </c>
      <c r="E520" s="3">
        <v>51552</v>
      </c>
      <c r="F520" s="2" t="s">
        <v>16</v>
      </c>
      <c r="G520" s="2" t="s">
        <v>2380</v>
      </c>
      <c r="H520" s="3">
        <v>0</v>
      </c>
      <c r="I520" s="2" t="s">
        <v>409</v>
      </c>
      <c r="J520" s="2" t="s">
        <v>2381</v>
      </c>
      <c r="K520" s="2" t="s">
        <v>16</v>
      </c>
      <c r="L520" s="2" t="s">
        <v>2382</v>
      </c>
      <c r="M520" s="4">
        <v>3957.64</v>
      </c>
      <c r="N520" t="b">
        <f>OR(LEFT(B520,3)="frg",(_xlfn.XMATCH(B520,ZZZ_Part_Id_[[#All],[FGCODE]])))</f>
        <v>1</v>
      </c>
    </row>
    <row r="521" spans="1:14" x14ac:dyDescent="0.3">
      <c r="A521" s="2" t="s">
        <v>2383</v>
      </c>
      <c r="B521" s="2" t="s">
        <v>14</v>
      </c>
      <c r="C521" s="2" t="s">
        <v>2384</v>
      </c>
      <c r="D521" s="3">
        <v>10</v>
      </c>
      <c r="E521" s="3">
        <v>10</v>
      </c>
      <c r="F521" s="2" t="s">
        <v>16</v>
      </c>
      <c r="G521" s="2" t="s">
        <v>2385</v>
      </c>
      <c r="H521" s="3">
        <v>0</v>
      </c>
      <c r="I521" s="2" t="s">
        <v>409</v>
      </c>
      <c r="J521" s="2" t="s">
        <v>2386</v>
      </c>
      <c r="K521" s="2" t="s">
        <v>16</v>
      </c>
      <c r="L521" s="2" t="s">
        <v>2387</v>
      </c>
      <c r="M521" s="4">
        <v>0.77</v>
      </c>
      <c r="N521" t="e">
        <f>OR(LEFT(B521,3)="frg",(_xlfn.XMATCH(B521,ZZZ_Part_Id_[[#All],[FGCODE]])))</f>
        <v>#N/A</v>
      </c>
    </row>
    <row r="522" spans="1:14" x14ac:dyDescent="0.3">
      <c r="A522" s="2" t="s">
        <v>2383</v>
      </c>
      <c r="B522" s="2" t="s">
        <v>1093</v>
      </c>
      <c r="C522" s="2" t="s">
        <v>2388</v>
      </c>
      <c r="D522" s="3">
        <v>208800</v>
      </c>
      <c r="E522" s="3">
        <v>208800</v>
      </c>
      <c r="F522" s="2" t="s">
        <v>16</v>
      </c>
      <c r="G522" s="2" t="s">
        <v>2389</v>
      </c>
      <c r="H522" s="3">
        <v>0</v>
      </c>
      <c r="I522" s="2" t="s">
        <v>409</v>
      </c>
      <c r="J522" s="2" t="s">
        <v>2390</v>
      </c>
      <c r="K522" s="2" t="s">
        <v>16</v>
      </c>
      <c r="L522" s="2" t="s">
        <v>2391</v>
      </c>
      <c r="M522" s="4">
        <v>11387.99</v>
      </c>
      <c r="N522" t="b">
        <f>OR(LEFT(B522,3)="frg",(_xlfn.XMATCH(B522,ZZZ_Part_Id_[[#All],[FGCODE]])))</f>
        <v>1</v>
      </c>
    </row>
    <row r="523" spans="1:14" x14ac:dyDescent="0.3">
      <c r="A523" s="2" t="s">
        <v>2392</v>
      </c>
      <c r="B523" s="2" t="s">
        <v>97</v>
      </c>
      <c r="C523" s="2" t="s">
        <v>2393</v>
      </c>
      <c r="D523" s="3">
        <v>201600</v>
      </c>
      <c r="E523" s="3">
        <v>201600</v>
      </c>
      <c r="F523" s="2" t="s">
        <v>16</v>
      </c>
      <c r="G523" s="2" t="s">
        <v>2394</v>
      </c>
      <c r="H523" s="3">
        <v>0</v>
      </c>
      <c r="I523" s="2" t="s">
        <v>409</v>
      </c>
      <c r="J523" s="2" t="s">
        <v>2395</v>
      </c>
      <c r="K523" s="2" t="s">
        <v>16</v>
      </c>
      <c r="L523" s="2" t="s">
        <v>2396</v>
      </c>
      <c r="M523" s="4">
        <v>43077.72</v>
      </c>
      <c r="N523" t="b">
        <f>OR(LEFT(B523,3)="frg",(_xlfn.XMATCH(B523,ZZZ_Part_Id_[[#All],[FGCODE]])))</f>
        <v>1</v>
      </c>
    </row>
    <row r="524" spans="1:14" x14ac:dyDescent="0.3">
      <c r="A524" s="2" t="s">
        <v>2397</v>
      </c>
      <c r="B524" s="2" t="s">
        <v>14</v>
      </c>
      <c r="C524" s="2" t="s">
        <v>2398</v>
      </c>
      <c r="D524" s="3">
        <v>10</v>
      </c>
      <c r="E524" s="3">
        <v>10</v>
      </c>
      <c r="F524" s="2" t="s">
        <v>16</v>
      </c>
      <c r="G524" s="2" t="s">
        <v>2399</v>
      </c>
      <c r="H524" s="3">
        <v>0</v>
      </c>
      <c r="I524" s="2" t="s">
        <v>409</v>
      </c>
      <c r="J524" s="2" t="s">
        <v>2400</v>
      </c>
      <c r="K524" s="2" t="s">
        <v>16</v>
      </c>
      <c r="L524" s="2" t="s">
        <v>2401</v>
      </c>
      <c r="M524" s="4">
        <v>0.77</v>
      </c>
      <c r="N524" t="e">
        <f>OR(LEFT(B524,3)="frg",(_xlfn.XMATCH(B524,ZZZ_Part_Id_[[#All],[FGCODE]])))</f>
        <v>#N/A</v>
      </c>
    </row>
    <row r="525" spans="1:14" x14ac:dyDescent="0.3">
      <c r="A525" s="2" t="s">
        <v>2397</v>
      </c>
      <c r="B525" s="2" t="s">
        <v>86</v>
      </c>
      <c r="C525" s="2" t="s">
        <v>2402</v>
      </c>
      <c r="D525" s="5">
        <v>-233</v>
      </c>
      <c r="E525" s="5">
        <v>-233</v>
      </c>
      <c r="F525" s="2" t="s">
        <v>23</v>
      </c>
      <c r="G525" s="2" t="s">
        <v>2403</v>
      </c>
      <c r="H525" s="3">
        <v>0</v>
      </c>
      <c r="I525" s="2" t="s">
        <v>409</v>
      </c>
      <c r="J525" s="2" t="s">
        <v>2404</v>
      </c>
      <c r="K525" s="2" t="s">
        <v>23</v>
      </c>
      <c r="L525" s="2" t="s">
        <v>2405</v>
      </c>
      <c r="M525" s="6">
        <v>-609.95000000000005</v>
      </c>
      <c r="N525" t="b">
        <f>OR(LEFT(B525,3)="frg",(_xlfn.XMATCH(B525,ZZZ_Part_Id_[[#All],[FGCODE]])))</f>
        <v>1</v>
      </c>
    </row>
    <row r="526" spans="1:14" x14ac:dyDescent="0.3">
      <c r="A526" s="2" t="s">
        <v>2397</v>
      </c>
      <c r="B526" s="2" t="s">
        <v>1445</v>
      </c>
      <c r="C526" s="2" t="s">
        <v>2406</v>
      </c>
      <c r="D526" s="3">
        <v>298800</v>
      </c>
      <c r="E526" s="3">
        <v>298800</v>
      </c>
      <c r="F526" s="2" t="s">
        <v>16</v>
      </c>
      <c r="G526" s="2" t="s">
        <v>2407</v>
      </c>
      <c r="H526" s="3">
        <v>0</v>
      </c>
      <c r="I526" s="2" t="s">
        <v>409</v>
      </c>
      <c r="J526" s="2" t="s">
        <v>2408</v>
      </c>
      <c r="K526" s="2" t="s">
        <v>16</v>
      </c>
      <c r="L526" s="2" t="s">
        <v>2409</v>
      </c>
      <c r="M526" s="4">
        <v>11399.2</v>
      </c>
      <c r="N526" t="b">
        <f>OR(LEFT(B526,3)="frg",(_xlfn.XMATCH(B526,ZZZ_Part_Id_[[#All],[FGCODE]])))</f>
        <v>1</v>
      </c>
    </row>
    <row r="527" spans="1:14" x14ac:dyDescent="0.3">
      <c r="A527" s="2" t="s">
        <v>2410</v>
      </c>
      <c r="B527" s="2" t="s">
        <v>14</v>
      </c>
      <c r="C527" s="2" t="s">
        <v>2411</v>
      </c>
      <c r="D527" s="3">
        <v>95</v>
      </c>
      <c r="E527" s="3">
        <v>95</v>
      </c>
      <c r="F527" s="2" t="s">
        <v>16</v>
      </c>
      <c r="G527" s="2" t="s">
        <v>2412</v>
      </c>
      <c r="H527" s="3">
        <v>0</v>
      </c>
      <c r="I527" s="2" t="s">
        <v>18</v>
      </c>
      <c r="J527" s="2" t="s">
        <v>2413</v>
      </c>
      <c r="K527" s="2" t="s">
        <v>16</v>
      </c>
      <c r="L527" s="2" t="s">
        <v>2414</v>
      </c>
      <c r="M527" s="4">
        <v>7.31</v>
      </c>
      <c r="N527" t="e">
        <f>OR(LEFT(B527,3)="frg",(_xlfn.XMATCH(B527,ZZZ_Part_Id_[[#All],[FGCODE]])))</f>
        <v>#N/A</v>
      </c>
    </row>
    <row r="528" spans="1:14" x14ac:dyDescent="0.3">
      <c r="A528" s="2" t="s">
        <v>2410</v>
      </c>
      <c r="B528" s="2" t="s">
        <v>740</v>
      </c>
      <c r="C528" s="2" t="s">
        <v>2415</v>
      </c>
      <c r="D528" s="3">
        <v>435420</v>
      </c>
      <c r="E528" s="3">
        <v>435420</v>
      </c>
      <c r="F528" s="2" t="s">
        <v>16</v>
      </c>
      <c r="G528" s="2" t="s">
        <v>2416</v>
      </c>
      <c r="H528" s="3">
        <v>0</v>
      </c>
      <c r="I528" s="2" t="s">
        <v>18</v>
      </c>
      <c r="J528" s="2" t="s">
        <v>2417</v>
      </c>
      <c r="K528" s="2" t="s">
        <v>16</v>
      </c>
      <c r="L528" s="2" t="s">
        <v>2418</v>
      </c>
      <c r="M528" s="4">
        <v>53596.02</v>
      </c>
      <c r="N528" t="b">
        <f>OR(LEFT(B528,3)="frg",(_xlfn.XMATCH(B528,ZZZ_Part_Id_[[#All],[FGCODE]])))</f>
        <v>1</v>
      </c>
    </row>
    <row r="529" spans="1:14" x14ac:dyDescent="0.3">
      <c r="A529" s="2" t="s">
        <v>2419</v>
      </c>
      <c r="B529" s="2" t="s">
        <v>14</v>
      </c>
      <c r="C529" s="2" t="s">
        <v>2420</v>
      </c>
      <c r="D529" s="3">
        <v>64</v>
      </c>
      <c r="E529" s="3">
        <v>64</v>
      </c>
      <c r="F529" s="2" t="s">
        <v>16</v>
      </c>
      <c r="G529" s="2" t="s">
        <v>2421</v>
      </c>
      <c r="H529" s="3">
        <v>0</v>
      </c>
      <c r="I529" s="2" t="s">
        <v>409</v>
      </c>
      <c r="J529" s="2" t="s">
        <v>2422</v>
      </c>
      <c r="K529" s="2" t="s">
        <v>16</v>
      </c>
      <c r="L529" s="2" t="s">
        <v>2423</v>
      </c>
      <c r="M529" s="4">
        <v>4.92</v>
      </c>
      <c r="N529" t="e">
        <f>OR(LEFT(B529,3)="frg",(_xlfn.XMATCH(B529,ZZZ_Part_Id_[[#All],[FGCODE]])))</f>
        <v>#N/A</v>
      </c>
    </row>
    <row r="530" spans="1:14" x14ac:dyDescent="0.3">
      <c r="A530" s="2" t="s">
        <v>2419</v>
      </c>
      <c r="B530" s="2" t="s">
        <v>97</v>
      </c>
      <c r="C530" s="2" t="s">
        <v>2424</v>
      </c>
      <c r="D530" s="3">
        <v>297600</v>
      </c>
      <c r="E530" s="3">
        <v>297600</v>
      </c>
      <c r="F530" s="2" t="s">
        <v>16</v>
      </c>
      <c r="G530" s="2" t="s">
        <v>2425</v>
      </c>
      <c r="H530" s="3">
        <v>0</v>
      </c>
      <c r="I530" s="2" t="s">
        <v>409</v>
      </c>
      <c r="J530" s="2" t="s">
        <v>2426</v>
      </c>
      <c r="K530" s="2" t="s">
        <v>16</v>
      </c>
      <c r="L530" s="2" t="s">
        <v>2427</v>
      </c>
      <c r="M530" s="4">
        <v>63590.92</v>
      </c>
      <c r="N530" t="b">
        <f>OR(LEFT(B530,3)="frg",(_xlfn.XMATCH(B530,ZZZ_Part_Id_[[#All],[FGCODE]])))</f>
        <v>1</v>
      </c>
    </row>
    <row r="531" spans="1:14" x14ac:dyDescent="0.3">
      <c r="A531" s="2" t="s">
        <v>2428</v>
      </c>
      <c r="B531" s="2" t="s">
        <v>14</v>
      </c>
      <c r="C531" s="2" t="s">
        <v>2429</v>
      </c>
      <c r="D531" s="3">
        <v>64</v>
      </c>
      <c r="E531" s="3">
        <v>64</v>
      </c>
      <c r="F531" s="2" t="s">
        <v>16</v>
      </c>
      <c r="G531" s="2" t="s">
        <v>2430</v>
      </c>
      <c r="H531" s="3">
        <v>0</v>
      </c>
      <c r="I531" s="2" t="s">
        <v>18</v>
      </c>
      <c r="J531" s="2" t="s">
        <v>2431</v>
      </c>
      <c r="K531" s="2" t="s">
        <v>16</v>
      </c>
      <c r="L531" s="2" t="s">
        <v>2432</v>
      </c>
      <c r="M531" s="4">
        <v>4.92</v>
      </c>
      <c r="N531" t="e">
        <f>OR(LEFT(B531,3)="frg",(_xlfn.XMATCH(B531,ZZZ_Part_Id_[[#All],[FGCODE]])))</f>
        <v>#N/A</v>
      </c>
    </row>
    <row r="532" spans="1:14" x14ac:dyDescent="0.3">
      <c r="A532" s="2" t="s">
        <v>2428</v>
      </c>
      <c r="B532" s="2" t="s">
        <v>27</v>
      </c>
      <c r="C532" s="2" t="s">
        <v>2433</v>
      </c>
      <c r="D532" s="3">
        <v>417312</v>
      </c>
      <c r="E532" s="3">
        <v>417312</v>
      </c>
      <c r="F532" s="2" t="s">
        <v>16</v>
      </c>
      <c r="G532" s="2" t="s">
        <v>2434</v>
      </c>
      <c r="H532" s="3">
        <v>0</v>
      </c>
      <c r="I532" s="2" t="s">
        <v>18</v>
      </c>
      <c r="J532" s="2" t="s">
        <v>2435</v>
      </c>
      <c r="K532" s="2" t="s">
        <v>16</v>
      </c>
      <c r="L532" s="2" t="s">
        <v>2436</v>
      </c>
      <c r="M532" s="4">
        <v>77507.61</v>
      </c>
      <c r="N532" t="b">
        <f>OR(LEFT(B532,3)="frg",(_xlfn.XMATCH(B532,ZZZ_Part_Id_[[#All],[FGCODE]])))</f>
        <v>1</v>
      </c>
    </row>
    <row r="533" spans="1:14" x14ac:dyDescent="0.3">
      <c r="A533" s="2" t="s">
        <v>2437</v>
      </c>
      <c r="B533" s="2" t="s">
        <v>14</v>
      </c>
      <c r="C533" s="2" t="s">
        <v>2438</v>
      </c>
      <c r="D533" s="3">
        <v>14</v>
      </c>
      <c r="E533" s="3">
        <v>14</v>
      </c>
      <c r="F533" s="2" t="s">
        <v>16</v>
      </c>
      <c r="G533" s="2" t="s">
        <v>2439</v>
      </c>
      <c r="H533" s="3">
        <v>0</v>
      </c>
      <c r="I533" s="2" t="s">
        <v>18</v>
      </c>
      <c r="J533" s="2" t="s">
        <v>2440</v>
      </c>
      <c r="K533" s="2" t="s">
        <v>16</v>
      </c>
      <c r="L533" s="2" t="s">
        <v>2441</v>
      </c>
      <c r="M533" s="4">
        <v>1.08</v>
      </c>
      <c r="N533" t="e">
        <f>OR(LEFT(B533,3)="frg",(_xlfn.XMATCH(B533,ZZZ_Part_Id_[[#All],[FGCODE]])))</f>
        <v>#N/A</v>
      </c>
    </row>
    <row r="534" spans="1:14" x14ac:dyDescent="0.3">
      <c r="A534" s="2" t="s">
        <v>2437</v>
      </c>
      <c r="B534" s="2" t="s">
        <v>1027</v>
      </c>
      <c r="C534" s="2" t="s">
        <v>2442</v>
      </c>
      <c r="D534" s="3">
        <v>63720</v>
      </c>
      <c r="E534" s="3">
        <v>63720</v>
      </c>
      <c r="F534" s="2" t="s">
        <v>16</v>
      </c>
      <c r="G534" s="2" t="s">
        <v>2443</v>
      </c>
      <c r="H534" s="3">
        <v>0</v>
      </c>
      <c r="I534" s="2" t="s">
        <v>18</v>
      </c>
      <c r="J534" s="2" t="s">
        <v>2444</v>
      </c>
      <c r="K534" s="2" t="s">
        <v>16</v>
      </c>
      <c r="L534" s="2" t="s">
        <v>2445</v>
      </c>
      <c r="M534" s="4">
        <v>8008.32</v>
      </c>
      <c r="N534" t="b">
        <f>OR(LEFT(B534,3)="frg",(_xlfn.XMATCH(B534,ZZZ_Part_Id_[[#All],[FGCODE]])))</f>
        <v>1</v>
      </c>
    </row>
    <row r="535" spans="1:14" x14ac:dyDescent="0.3">
      <c r="A535" s="2" t="s">
        <v>2446</v>
      </c>
      <c r="B535" s="2" t="s">
        <v>14</v>
      </c>
      <c r="C535" s="2" t="s">
        <v>2447</v>
      </c>
      <c r="D535" s="3">
        <v>4</v>
      </c>
      <c r="E535" s="3">
        <v>4</v>
      </c>
      <c r="F535" s="2" t="s">
        <v>16</v>
      </c>
      <c r="G535" s="2" t="s">
        <v>2448</v>
      </c>
      <c r="H535" s="3">
        <v>0</v>
      </c>
      <c r="I535" s="2" t="s">
        <v>409</v>
      </c>
      <c r="J535" s="2" t="s">
        <v>2449</v>
      </c>
      <c r="K535" s="2" t="s">
        <v>16</v>
      </c>
      <c r="L535" s="2" t="s">
        <v>2450</v>
      </c>
      <c r="M535" s="4">
        <v>0.31</v>
      </c>
      <c r="N535" t="e">
        <f>OR(LEFT(B535,3)="frg",(_xlfn.XMATCH(B535,ZZZ_Part_Id_[[#All],[FGCODE]])))</f>
        <v>#N/A</v>
      </c>
    </row>
    <row r="536" spans="1:14" x14ac:dyDescent="0.3">
      <c r="A536" s="2" t="s">
        <v>2446</v>
      </c>
      <c r="B536" s="2" t="s">
        <v>2238</v>
      </c>
      <c r="C536" s="2" t="s">
        <v>2451</v>
      </c>
      <c r="D536" s="3">
        <v>38400</v>
      </c>
      <c r="E536" s="3">
        <v>38400</v>
      </c>
      <c r="F536" s="2" t="s">
        <v>16</v>
      </c>
      <c r="G536" s="2" t="s">
        <v>2452</v>
      </c>
      <c r="H536" s="3">
        <v>0</v>
      </c>
      <c r="I536" s="2" t="s">
        <v>409</v>
      </c>
      <c r="J536" s="2" t="s">
        <v>2453</v>
      </c>
      <c r="K536" s="2" t="s">
        <v>16</v>
      </c>
      <c r="L536" s="2" t="s">
        <v>2454</v>
      </c>
      <c r="M536" s="4">
        <v>609.41</v>
      </c>
      <c r="N536" t="b">
        <f>OR(LEFT(B536,3)="frg",(_xlfn.XMATCH(B536,ZZZ_Part_Id_[[#All],[FGCODE]])))</f>
        <v>1</v>
      </c>
    </row>
    <row r="537" spans="1:14" x14ac:dyDescent="0.3">
      <c r="A537" s="2" t="s">
        <v>2455</v>
      </c>
      <c r="B537" s="2" t="s">
        <v>740</v>
      </c>
      <c r="C537" s="2" t="s">
        <v>2456</v>
      </c>
      <c r="D537" s="3">
        <v>1072620</v>
      </c>
      <c r="E537" s="3">
        <v>1072620</v>
      </c>
      <c r="F537" s="2" t="s">
        <v>16</v>
      </c>
      <c r="G537" s="2" t="s">
        <v>2457</v>
      </c>
      <c r="H537" s="3">
        <v>0</v>
      </c>
      <c r="I537" s="2" t="s">
        <v>18</v>
      </c>
      <c r="J537" s="2" t="s">
        <v>2458</v>
      </c>
      <c r="K537" s="2" t="s">
        <v>16</v>
      </c>
      <c r="L537" s="2" t="s">
        <v>2459</v>
      </c>
      <c r="M537" s="4">
        <v>132029.22</v>
      </c>
      <c r="N537" t="b">
        <f>OR(LEFT(B537,3)="frg",(_xlfn.XMATCH(B537,ZZZ_Part_Id_[[#All],[FGCODE]])))</f>
        <v>1</v>
      </c>
    </row>
    <row r="538" spans="1:14" x14ac:dyDescent="0.3">
      <c r="A538" s="2" t="s">
        <v>2460</v>
      </c>
      <c r="B538" s="2" t="s">
        <v>1093</v>
      </c>
      <c r="C538" s="2" t="s">
        <v>2461</v>
      </c>
      <c r="D538" s="3">
        <v>30064</v>
      </c>
      <c r="E538" s="3">
        <v>30064</v>
      </c>
      <c r="F538" s="2" t="s">
        <v>16</v>
      </c>
      <c r="G538" s="2" t="s">
        <v>2462</v>
      </c>
      <c r="H538" s="3">
        <v>0</v>
      </c>
      <c r="I538" s="2" t="s">
        <v>18</v>
      </c>
      <c r="J538" s="2" t="s">
        <v>35</v>
      </c>
      <c r="K538" s="2" t="s">
        <v>16</v>
      </c>
      <c r="L538" s="2" t="s">
        <v>2463</v>
      </c>
      <c r="M538" s="4">
        <v>1639.71</v>
      </c>
      <c r="N538" t="b">
        <f>OR(LEFT(B538,3)="frg",(_xlfn.XMATCH(B538,ZZZ_Part_Id_[[#All],[FGCODE]])))</f>
        <v>1</v>
      </c>
    </row>
    <row r="539" spans="1:14" x14ac:dyDescent="0.3">
      <c r="A539" s="2" t="s">
        <v>2460</v>
      </c>
      <c r="B539" s="2" t="s">
        <v>1924</v>
      </c>
      <c r="C539" s="2" t="s">
        <v>2464</v>
      </c>
      <c r="D539" s="3">
        <v>6624</v>
      </c>
      <c r="E539" s="3">
        <v>6624</v>
      </c>
      <c r="F539" s="2" t="s">
        <v>16</v>
      </c>
      <c r="G539" s="2" t="s">
        <v>2465</v>
      </c>
      <c r="H539" s="3">
        <v>0</v>
      </c>
      <c r="I539" s="2" t="s">
        <v>18</v>
      </c>
      <c r="J539" s="2" t="s">
        <v>35</v>
      </c>
      <c r="K539" s="2" t="s">
        <v>16</v>
      </c>
      <c r="L539" s="2" t="s">
        <v>2466</v>
      </c>
      <c r="M539" s="4">
        <v>1858.56</v>
      </c>
      <c r="N539" t="b">
        <f>OR(LEFT(B539,3)="frg",(_xlfn.XMATCH(B539,ZZZ_Part_Id_[[#All],[FGCODE]])))</f>
        <v>1</v>
      </c>
    </row>
    <row r="540" spans="1:14" x14ac:dyDescent="0.3">
      <c r="A540" s="2" t="s">
        <v>2467</v>
      </c>
      <c r="B540" s="2" t="s">
        <v>2468</v>
      </c>
      <c r="C540" s="2" t="s">
        <v>2469</v>
      </c>
      <c r="D540" s="3">
        <v>6624</v>
      </c>
      <c r="E540" s="3">
        <v>6624</v>
      </c>
      <c r="F540" s="2" t="s">
        <v>16</v>
      </c>
      <c r="G540" s="2" t="s">
        <v>2470</v>
      </c>
      <c r="H540" s="3">
        <v>0</v>
      </c>
      <c r="I540" s="2" t="s">
        <v>18</v>
      </c>
      <c r="J540" s="2" t="s">
        <v>35</v>
      </c>
      <c r="K540" s="2" t="s">
        <v>16</v>
      </c>
      <c r="L540" s="2" t="s">
        <v>2471</v>
      </c>
      <c r="M540" s="4">
        <v>1294.5899999999999</v>
      </c>
      <c r="N540" t="b">
        <f>OR(LEFT(B540,3)="frg",(_xlfn.XMATCH(B540,ZZZ_Part_Id_[[#All],[FGCODE]])))</f>
        <v>1</v>
      </c>
    </row>
    <row r="541" spans="1:14" x14ac:dyDescent="0.3">
      <c r="A541" s="2" t="s">
        <v>2467</v>
      </c>
      <c r="B541" s="2" t="s">
        <v>1027</v>
      </c>
      <c r="C541" s="2" t="s">
        <v>2472</v>
      </c>
      <c r="D541" s="3">
        <v>10620</v>
      </c>
      <c r="E541" s="3">
        <v>10620</v>
      </c>
      <c r="F541" s="2" t="s">
        <v>16</v>
      </c>
      <c r="G541" s="2" t="s">
        <v>2473</v>
      </c>
      <c r="H541" s="3">
        <v>0</v>
      </c>
      <c r="I541" s="2" t="s">
        <v>18</v>
      </c>
      <c r="J541" s="2" t="s">
        <v>35</v>
      </c>
      <c r="K541" s="2" t="s">
        <v>16</v>
      </c>
      <c r="L541" s="2" t="s">
        <v>2474</v>
      </c>
      <c r="M541" s="4">
        <v>1334.72</v>
      </c>
      <c r="N541" t="b">
        <f>OR(LEFT(B541,3)="frg",(_xlfn.XMATCH(B541,ZZZ_Part_Id_[[#All],[FGCODE]])))</f>
        <v>1</v>
      </c>
    </row>
    <row r="542" spans="1:14" x14ac:dyDescent="0.3">
      <c r="A542" s="2" t="s">
        <v>2467</v>
      </c>
      <c r="B542" s="2" t="s">
        <v>2475</v>
      </c>
      <c r="C542" s="2" t="s">
        <v>2476</v>
      </c>
      <c r="D542" s="3">
        <v>6624</v>
      </c>
      <c r="E542" s="3">
        <v>6624</v>
      </c>
      <c r="F542" s="2" t="s">
        <v>16</v>
      </c>
      <c r="G542" s="2" t="s">
        <v>2477</v>
      </c>
      <c r="H542" s="3">
        <v>0</v>
      </c>
      <c r="I542" s="2" t="s">
        <v>18</v>
      </c>
      <c r="J542" s="2" t="s">
        <v>35</v>
      </c>
      <c r="K542" s="2" t="s">
        <v>16</v>
      </c>
      <c r="L542" s="2" t="s">
        <v>2478</v>
      </c>
      <c r="M542" s="4">
        <v>1882.87</v>
      </c>
      <c r="N542" t="b">
        <f>OR(LEFT(B542,3)="frg",(_xlfn.XMATCH(B542,ZZZ_Part_Id_[[#All],[FGCODE]])))</f>
        <v>1</v>
      </c>
    </row>
    <row r="543" spans="1:14" x14ac:dyDescent="0.3">
      <c r="A543" s="2" t="s">
        <v>2479</v>
      </c>
      <c r="B543" s="2" t="s">
        <v>14</v>
      </c>
      <c r="C543" s="2" t="s">
        <v>2480</v>
      </c>
      <c r="D543" s="3">
        <v>226</v>
      </c>
      <c r="E543" s="3">
        <v>226</v>
      </c>
      <c r="F543" s="2" t="s">
        <v>16</v>
      </c>
      <c r="G543" s="2" t="s">
        <v>2481</v>
      </c>
      <c r="H543" s="3">
        <v>0</v>
      </c>
      <c r="I543" s="2" t="s">
        <v>18</v>
      </c>
      <c r="J543" s="2" t="s">
        <v>2482</v>
      </c>
      <c r="K543" s="2" t="s">
        <v>16</v>
      </c>
      <c r="L543" s="2" t="s">
        <v>2483</v>
      </c>
      <c r="M543" s="4">
        <v>17.39</v>
      </c>
      <c r="N543" t="e">
        <f>OR(LEFT(B543,3)="frg",(_xlfn.XMATCH(B543,ZZZ_Part_Id_[[#All],[FGCODE]])))</f>
        <v>#N/A</v>
      </c>
    </row>
    <row r="544" spans="1:14" x14ac:dyDescent="0.3">
      <c r="A544" s="2" t="s">
        <v>2479</v>
      </c>
      <c r="B544" s="2" t="s">
        <v>264</v>
      </c>
      <c r="C544" s="2" t="s">
        <v>2484</v>
      </c>
      <c r="D544" s="3">
        <v>0.113</v>
      </c>
      <c r="E544" s="3">
        <v>0.113</v>
      </c>
      <c r="F544" s="2" t="s">
        <v>16</v>
      </c>
      <c r="G544" s="2" t="s">
        <v>2485</v>
      </c>
      <c r="H544" s="3">
        <v>0</v>
      </c>
      <c r="I544" s="2" t="s">
        <v>18</v>
      </c>
      <c r="J544" s="2" t="s">
        <v>2486</v>
      </c>
      <c r="K544" s="2" t="s">
        <v>16</v>
      </c>
      <c r="L544" s="2" t="s">
        <v>2487</v>
      </c>
      <c r="M544" s="4">
        <v>2.9</v>
      </c>
      <c r="N544" t="e">
        <f>OR(LEFT(B544,3)="frg",(_xlfn.XMATCH(B544,ZZZ_Part_Id_[[#All],[FGCODE]])))</f>
        <v>#N/A</v>
      </c>
    </row>
    <row r="545" spans="1:14" x14ac:dyDescent="0.3">
      <c r="A545" s="2" t="s">
        <v>2479</v>
      </c>
      <c r="B545" s="2" t="s">
        <v>426</v>
      </c>
      <c r="C545" s="2" t="s">
        <v>2488</v>
      </c>
      <c r="D545" s="3">
        <v>748512</v>
      </c>
      <c r="E545" s="3">
        <v>748512</v>
      </c>
      <c r="F545" s="2" t="s">
        <v>16</v>
      </c>
      <c r="G545" s="2" t="s">
        <v>2489</v>
      </c>
      <c r="H545" s="3">
        <v>0</v>
      </c>
      <c r="I545" s="2" t="s">
        <v>18</v>
      </c>
      <c r="J545" s="2" t="s">
        <v>2490</v>
      </c>
      <c r="K545" s="2" t="s">
        <v>16</v>
      </c>
      <c r="L545" s="2" t="s">
        <v>2491</v>
      </c>
      <c r="M545" s="4">
        <v>139402.45000000001</v>
      </c>
      <c r="N545" t="b">
        <f>OR(LEFT(B545,3)="frg",(_xlfn.XMATCH(B545,ZZZ_Part_Id_[[#All],[FGCODE]])))</f>
        <v>1</v>
      </c>
    </row>
    <row r="546" spans="1:14" x14ac:dyDescent="0.3">
      <c r="A546" s="2" t="s">
        <v>2492</v>
      </c>
      <c r="B546" s="2" t="s">
        <v>14</v>
      </c>
      <c r="C546" s="2" t="s">
        <v>2493</v>
      </c>
      <c r="D546" s="3">
        <v>200</v>
      </c>
      <c r="E546" s="3">
        <v>200</v>
      </c>
      <c r="F546" s="2" t="s">
        <v>16</v>
      </c>
      <c r="G546" s="2" t="s">
        <v>2494</v>
      </c>
      <c r="H546" s="3">
        <v>0</v>
      </c>
      <c r="I546" s="2" t="s">
        <v>18</v>
      </c>
      <c r="J546" s="2" t="s">
        <v>2495</v>
      </c>
      <c r="K546" s="2" t="s">
        <v>16</v>
      </c>
      <c r="L546" s="2" t="s">
        <v>2496</v>
      </c>
      <c r="M546" s="4">
        <v>15.39</v>
      </c>
      <c r="N546" t="e">
        <f>OR(LEFT(B546,3)="frg",(_xlfn.XMATCH(B546,ZZZ_Part_Id_[[#All],[FGCODE]])))</f>
        <v>#N/A</v>
      </c>
    </row>
    <row r="547" spans="1:14" x14ac:dyDescent="0.3">
      <c r="A547" s="2" t="s">
        <v>2492</v>
      </c>
      <c r="B547" s="2" t="s">
        <v>264</v>
      </c>
      <c r="C547" s="2" t="s">
        <v>2497</v>
      </c>
      <c r="D547" s="3">
        <v>0.1</v>
      </c>
      <c r="E547" s="3">
        <v>0.1</v>
      </c>
      <c r="F547" s="2" t="s">
        <v>16</v>
      </c>
      <c r="G547" s="2" t="s">
        <v>2498</v>
      </c>
      <c r="H547" s="3">
        <v>0</v>
      </c>
      <c r="I547" s="2" t="s">
        <v>18</v>
      </c>
      <c r="J547" s="2" t="s">
        <v>2499</v>
      </c>
      <c r="K547" s="2" t="s">
        <v>16</v>
      </c>
      <c r="L547" s="2" t="s">
        <v>2500</v>
      </c>
      <c r="M547" s="4">
        <v>2.56</v>
      </c>
      <c r="N547" t="e">
        <f>OR(LEFT(B547,3)="frg",(_xlfn.XMATCH(B547,ZZZ_Part_Id_[[#All],[FGCODE]])))</f>
        <v>#N/A</v>
      </c>
    </row>
    <row r="548" spans="1:14" x14ac:dyDescent="0.3">
      <c r="A548" s="2" t="s">
        <v>2492</v>
      </c>
      <c r="B548" s="2" t="s">
        <v>27</v>
      </c>
      <c r="C548" s="2" t="s">
        <v>2501</v>
      </c>
      <c r="D548" s="3">
        <v>662400</v>
      </c>
      <c r="E548" s="3">
        <v>662400</v>
      </c>
      <c r="F548" s="2" t="s">
        <v>16</v>
      </c>
      <c r="G548" s="2" t="s">
        <v>2502</v>
      </c>
      <c r="H548" s="3">
        <v>0</v>
      </c>
      <c r="I548" s="2" t="s">
        <v>18</v>
      </c>
      <c r="J548" s="2" t="s">
        <v>2503</v>
      </c>
      <c r="K548" s="2" t="s">
        <v>16</v>
      </c>
      <c r="L548" s="2" t="s">
        <v>2504</v>
      </c>
      <c r="M548" s="4">
        <v>123027.94</v>
      </c>
      <c r="N548" t="b">
        <f>OR(LEFT(B548,3)="frg",(_xlfn.XMATCH(B548,ZZZ_Part_Id_[[#All],[FGCODE]])))</f>
        <v>1</v>
      </c>
    </row>
    <row r="549" spans="1:14" x14ac:dyDescent="0.3">
      <c r="A549" s="2" t="s">
        <v>2505</v>
      </c>
      <c r="B549" s="2" t="s">
        <v>27</v>
      </c>
      <c r="C549" s="2" t="s">
        <v>2506</v>
      </c>
      <c r="D549" s="3">
        <v>99360</v>
      </c>
      <c r="E549" s="3">
        <v>99360</v>
      </c>
      <c r="F549" s="2" t="s">
        <v>16</v>
      </c>
      <c r="G549" s="2" t="s">
        <v>2507</v>
      </c>
      <c r="H549" s="3">
        <v>0</v>
      </c>
      <c r="I549" s="2" t="s">
        <v>18</v>
      </c>
      <c r="J549" s="2" t="s">
        <v>2508</v>
      </c>
      <c r="K549" s="2" t="s">
        <v>16</v>
      </c>
      <c r="L549" s="2" t="s">
        <v>2509</v>
      </c>
      <c r="M549" s="4">
        <v>18454.189999999999</v>
      </c>
      <c r="N549" t="b">
        <f>OR(LEFT(B549,3)="frg",(_xlfn.XMATCH(B549,ZZZ_Part_Id_[[#All],[FGCODE]])))</f>
        <v>1</v>
      </c>
    </row>
    <row r="550" spans="1:14" x14ac:dyDescent="0.3">
      <c r="A550" s="2" t="s">
        <v>2510</v>
      </c>
      <c r="B550" s="2" t="s">
        <v>1027</v>
      </c>
      <c r="C550" s="2" t="s">
        <v>2511</v>
      </c>
      <c r="D550" s="3">
        <v>1030140</v>
      </c>
      <c r="E550" s="3">
        <v>1030140</v>
      </c>
      <c r="F550" s="2" t="s">
        <v>16</v>
      </c>
      <c r="G550" s="2" t="s">
        <v>2512</v>
      </c>
      <c r="H550" s="3">
        <v>0</v>
      </c>
      <c r="I550" s="2" t="s">
        <v>18</v>
      </c>
      <c r="J550" s="2" t="s">
        <v>2513</v>
      </c>
      <c r="K550" s="2" t="s">
        <v>16</v>
      </c>
      <c r="L550" s="2" t="s">
        <v>2514</v>
      </c>
      <c r="M550" s="4">
        <v>129467.84</v>
      </c>
      <c r="N550" t="b">
        <f>OR(LEFT(B550,3)="frg",(_xlfn.XMATCH(B550,ZZZ_Part_Id_[[#All],[FGCODE]])))</f>
        <v>1</v>
      </c>
    </row>
    <row r="551" spans="1:14" x14ac:dyDescent="0.3">
      <c r="A551" s="2" t="s">
        <v>2515</v>
      </c>
      <c r="B551" s="2" t="s">
        <v>426</v>
      </c>
      <c r="C551" s="2" t="s">
        <v>2516</v>
      </c>
      <c r="D551" s="3">
        <v>251712</v>
      </c>
      <c r="E551" s="3">
        <v>251712</v>
      </c>
      <c r="F551" s="2" t="s">
        <v>16</v>
      </c>
      <c r="G551" s="2" t="s">
        <v>2517</v>
      </c>
      <c r="H551" s="3">
        <v>0</v>
      </c>
      <c r="I551" s="2" t="s">
        <v>18</v>
      </c>
      <c r="J551" s="2" t="s">
        <v>2518</v>
      </c>
      <c r="K551" s="2" t="s">
        <v>16</v>
      </c>
      <c r="L551" s="2" t="s">
        <v>2519</v>
      </c>
      <c r="M551" s="4">
        <v>46878.71</v>
      </c>
      <c r="N551" t="b">
        <f>OR(LEFT(B551,3)="frg",(_xlfn.XMATCH(B551,ZZZ_Part_Id_[[#All],[FGCODE]])))</f>
        <v>1</v>
      </c>
    </row>
    <row r="552" spans="1:14" x14ac:dyDescent="0.3">
      <c r="A552" s="2" t="s">
        <v>2520</v>
      </c>
      <c r="B552" s="2" t="s">
        <v>97</v>
      </c>
      <c r="C552" s="2" t="s">
        <v>2521</v>
      </c>
      <c r="D552" s="3">
        <v>403200</v>
      </c>
      <c r="E552" s="3">
        <v>403200</v>
      </c>
      <c r="F552" s="2" t="s">
        <v>16</v>
      </c>
      <c r="G552" s="2" t="s">
        <v>2522</v>
      </c>
      <c r="H552" s="3">
        <v>0</v>
      </c>
      <c r="I552" s="2" t="s">
        <v>409</v>
      </c>
      <c r="J552" s="2" t="s">
        <v>2523</v>
      </c>
      <c r="K552" s="2" t="s">
        <v>16</v>
      </c>
      <c r="L552" s="2" t="s">
        <v>2524</v>
      </c>
      <c r="M552" s="4">
        <v>86155.45</v>
      </c>
      <c r="N552" t="b">
        <f>OR(LEFT(B552,3)="frg",(_xlfn.XMATCH(B552,ZZZ_Part_Id_[[#All],[FGCODE]])))</f>
        <v>1</v>
      </c>
    </row>
    <row r="553" spans="1:14" x14ac:dyDescent="0.3">
      <c r="A553" s="2" t="s">
        <v>2525</v>
      </c>
      <c r="B553" s="2" t="s">
        <v>37</v>
      </c>
      <c r="C553" s="2" t="s">
        <v>2526</v>
      </c>
      <c r="D553" s="3">
        <v>20</v>
      </c>
      <c r="E553" s="3">
        <v>20</v>
      </c>
      <c r="F553" s="2" t="s">
        <v>16</v>
      </c>
      <c r="G553" s="2" t="s">
        <v>2527</v>
      </c>
      <c r="H553" s="3">
        <v>0</v>
      </c>
      <c r="I553" s="2" t="s">
        <v>409</v>
      </c>
      <c r="J553" s="2" t="s">
        <v>2528</v>
      </c>
      <c r="K553" s="2" t="s">
        <v>16</v>
      </c>
      <c r="L553" s="2" t="s">
        <v>2529</v>
      </c>
      <c r="M553" s="4">
        <v>320.01</v>
      </c>
      <c r="N553" t="e">
        <f>OR(LEFT(B553,3)="frg",(_xlfn.XMATCH(B553,ZZZ_Part_Id_[[#All],[FGCODE]])))</f>
        <v>#N/A</v>
      </c>
    </row>
    <row r="554" spans="1:14" x14ac:dyDescent="0.3">
      <c r="A554" s="2" t="s">
        <v>2525</v>
      </c>
      <c r="B554" s="2" t="s">
        <v>65</v>
      </c>
      <c r="C554" s="2" t="s">
        <v>2530</v>
      </c>
      <c r="D554" s="5">
        <v>-249</v>
      </c>
      <c r="E554" s="5">
        <v>-249</v>
      </c>
      <c r="F554" s="2" t="s">
        <v>23</v>
      </c>
      <c r="G554" s="2" t="s">
        <v>2531</v>
      </c>
      <c r="H554" s="3">
        <v>0</v>
      </c>
      <c r="I554" s="2" t="s">
        <v>409</v>
      </c>
      <c r="J554" s="2" t="s">
        <v>2532</v>
      </c>
      <c r="K554" s="2" t="s">
        <v>23</v>
      </c>
      <c r="L554" s="2" t="s">
        <v>2533</v>
      </c>
      <c r="M554" s="6">
        <v>-640.33000000000004</v>
      </c>
      <c r="N554" t="b">
        <f>OR(LEFT(B554,3)="frg",(_xlfn.XMATCH(B554,ZZZ_Part_Id_[[#All],[FGCODE]])))</f>
        <v>1</v>
      </c>
    </row>
    <row r="555" spans="1:14" x14ac:dyDescent="0.3">
      <c r="A555" s="2" t="s">
        <v>2525</v>
      </c>
      <c r="B555" s="2" t="s">
        <v>97</v>
      </c>
      <c r="C555" s="2" t="s">
        <v>2534</v>
      </c>
      <c r="D555" s="3">
        <v>100800</v>
      </c>
      <c r="E555" s="3">
        <v>100800</v>
      </c>
      <c r="F555" s="2" t="s">
        <v>16</v>
      </c>
      <c r="G555" s="2" t="s">
        <v>2535</v>
      </c>
      <c r="H555" s="3">
        <v>0</v>
      </c>
      <c r="I555" s="2" t="s">
        <v>409</v>
      </c>
      <c r="J555" s="2" t="s">
        <v>2536</v>
      </c>
      <c r="K555" s="2" t="s">
        <v>16</v>
      </c>
      <c r="L555" s="2" t="s">
        <v>2537</v>
      </c>
      <c r="M555" s="4">
        <v>21538.86</v>
      </c>
      <c r="N555" t="b">
        <f>OR(LEFT(B555,3)="frg",(_xlfn.XMATCH(B555,ZZZ_Part_Id_[[#All],[FGCODE]])))</f>
        <v>1</v>
      </c>
    </row>
    <row r="556" spans="1:14" x14ac:dyDescent="0.3">
      <c r="A556" s="2" t="s">
        <v>2538</v>
      </c>
      <c r="B556" s="2" t="s">
        <v>2539</v>
      </c>
      <c r="C556" s="2" t="s">
        <v>2540</v>
      </c>
      <c r="D556" s="3">
        <v>62640</v>
      </c>
      <c r="E556" s="3">
        <v>62640</v>
      </c>
      <c r="F556" s="2" t="s">
        <v>16</v>
      </c>
      <c r="G556" s="2" t="s">
        <v>2541</v>
      </c>
      <c r="H556" s="3">
        <v>0</v>
      </c>
      <c r="I556" s="2" t="s">
        <v>18</v>
      </c>
      <c r="J556" s="2" t="s">
        <v>2542</v>
      </c>
      <c r="K556" s="2" t="s">
        <v>16</v>
      </c>
      <c r="L556" s="2" t="s">
        <v>2543</v>
      </c>
      <c r="M556" s="4">
        <v>3527.25</v>
      </c>
      <c r="N556" t="b">
        <f>OR(LEFT(B556,3)="frg",(_xlfn.XMATCH(B556,ZZZ_Part_Id_[[#All],[FGCODE]])))</f>
        <v>1</v>
      </c>
    </row>
    <row r="557" spans="1:14" x14ac:dyDescent="0.3">
      <c r="A557" s="2" t="s">
        <v>2544</v>
      </c>
      <c r="B557" s="2" t="s">
        <v>86</v>
      </c>
      <c r="C557" s="2" t="s">
        <v>2545</v>
      </c>
      <c r="D557" s="5">
        <v>-198</v>
      </c>
      <c r="E557" s="5">
        <v>-198</v>
      </c>
      <c r="F557" s="2" t="s">
        <v>23</v>
      </c>
      <c r="G557" s="2" t="s">
        <v>2546</v>
      </c>
      <c r="H557" s="3">
        <v>0</v>
      </c>
      <c r="I557" s="2" t="s">
        <v>18</v>
      </c>
      <c r="J557" s="2" t="s">
        <v>2547</v>
      </c>
      <c r="K557" s="2" t="s">
        <v>23</v>
      </c>
      <c r="L557" s="2" t="s">
        <v>2548</v>
      </c>
      <c r="M557" s="6">
        <v>-518.32000000000005</v>
      </c>
      <c r="N557" t="b">
        <f>OR(LEFT(B557,3)="frg",(_xlfn.XMATCH(B557,ZZZ_Part_Id_[[#All],[FGCODE]])))</f>
        <v>1</v>
      </c>
    </row>
    <row r="558" spans="1:14" x14ac:dyDescent="0.3">
      <c r="A558" s="2" t="s">
        <v>2544</v>
      </c>
      <c r="B558" s="2" t="s">
        <v>1327</v>
      </c>
      <c r="C558" s="2" t="s">
        <v>2549</v>
      </c>
      <c r="D558" s="3">
        <v>57640</v>
      </c>
      <c r="E558" s="3">
        <v>57640</v>
      </c>
      <c r="F558" s="2" t="s">
        <v>16</v>
      </c>
      <c r="G558" s="2" t="s">
        <v>2550</v>
      </c>
      <c r="H558" s="3">
        <v>0</v>
      </c>
      <c r="I558" s="2" t="s">
        <v>18</v>
      </c>
      <c r="J558" s="2" t="s">
        <v>2551</v>
      </c>
      <c r="K558" s="2" t="s">
        <v>16</v>
      </c>
      <c r="L558" s="2" t="s">
        <v>2552</v>
      </c>
      <c r="M558" s="4">
        <v>3335.05</v>
      </c>
      <c r="N558" t="b">
        <f>OR(LEFT(B558,3)="frg",(_xlfn.XMATCH(B558,ZZZ_Part_Id_[[#All],[FGCODE]])))</f>
        <v>1</v>
      </c>
    </row>
    <row r="559" spans="1:14" x14ac:dyDescent="0.3">
      <c r="A559" s="2" t="s">
        <v>2553</v>
      </c>
      <c r="B559" s="2" t="s">
        <v>14</v>
      </c>
      <c r="C559" s="2" t="s">
        <v>2554</v>
      </c>
      <c r="D559" s="3">
        <v>10</v>
      </c>
      <c r="E559" s="3">
        <v>10</v>
      </c>
      <c r="F559" s="2" t="s">
        <v>16</v>
      </c>
      <c r="G559" s="2" t="s">
        <v>2555</v>
      </c>
      <c r="H559" s="3">
        <v>0</v>
      </c>
      <c r="I559" s="2" t="s">
        <v>409</v>
      </c>
      <c r="J559" s="2" t="s">
        <v>2556</v>
      </c>
      <c r="K559" s="2" t="s">
        <v>16</v>
      </c>
      <c r="L559" s="2" t="s">
        <v>2557</v>
      </c>
      <c r="M559" s="4">
        <v>0.77</v>
      </c>
      <c r="N559" t="e">
        <f>OR(LEFT(B559,3)="frg",(_xlfn.XMATCH(B559,ZZZ_Part_Id_[[#All],[FGCODE]])))</f>
        <v>#N/A</v>
      </c>
    </row>
    <row r="560" spans="1:14" x14ac:dyDescent="0.3">
      <c r="A560" s="2" t="s">
        <v>2553</v>
      </c>
      <c r="B560" s="2" t="s">
        <v>426</v>
      </c>
      <c r="C560" s="2" t="s">
        <v>2558</v>
      </c>
      <c r="D560" s="3">
        <v>66240</v>
      </c>
      <c r="E560" s="3">
        <v>66240</v>
      </c>
      <c r="F560" s="2" t="s">
        <v>16</v>
      </c>
      <c r="G560" s="2" t="s">
        <v>2559</v>
      </c>
      <c r="H560" s="3">
        <v>0</v>
      </c>
      <c r="I560" s="2" t="s">
        <v>409</v>
      </c>
      <c r="J560" s="2" t="s">
        <v>2560</v>
      </c>
      <c r="K560" s="2" t="s">
        <v>16</v>
      </c>
      <c r="L560" s="2" t="s">
        <v>2561</v>
      </c>
      <c r="M560" s="4">
        <v>12336.5</v>
      </c>
      <c r="N560" t="b">
        <f>OR(LEFT(B560,3)="frg",(_xlfn.XMATCH(B560,ZZZ_Part_Id_[[#All],[FGCODE]])))</f>
        <v>1</v>
      </c>
    </row>
    <row r="561" spans="1:14" x14ac:dyDescent="0.3">
      <c r="A561" s="2" t="s">
        <v>2562</v>
      </c>
      <c r="B561" s="2" t="s">
        <v>14</v>
      </c>
      <c r="C561" s="2" t="s">
        <v>2563</v>
      </c>
      <c r="D561" s="3">
        <v>140</v>
      </c>
      <c r="E561" s="3">
        <v>140</v>
      </c>
      <c r="F561" s="2" t="s">
        <v>16</v>
      </c>
      <c r="G561" s="2" t="s">
        <v>2564</v>
      </c>
      <c r="H561" s="3">
        <v>0</v>
      </c>
      <c r="I561" s="2" t="s">
        <v>18</v>
      </c>
      <c r="J561" s="2" t="s">
        <v>2565</v>
      </c>
      <c r="K561" s="2" t="s">
        <v>16</v>
      </c>
      <c r="L561" s="2" t="s">
        <v>2566</v>
      </c>
      <c r="M561" s="4">
        <v>10.77</v>
      </c>
      <c r="N561" t="e">
        <f>OR(LEFT(B561,3)="frg",(_xlfn.XMATCH(B561,ZZZ_Part_Id_[[#All],[FGCODE]])))</f>
        <v>#N/A</v>
      </c>
    </row>
    <row r="562" spans="1:14" x14ac:dyDescent="0.3">
      <c r="A562" s="2" t="s">
        <v>2562</v>
      </c>
      <c r="B562" s="2" t="s">
        <v>1027</v>
      </c>
      <c r="C562" s="2" t="s">
        <v>2567</v>
      </c>
      <c r="D562" s="3">
        <v>838980</v>
      </c>
      <c r="E562" s="3">
        <v>838980</v>
      </c>
      <c r="F562" s="2" t="s">
        <v>16</v>
      </c>
      <c r="G562" s="2" t="s">
        <v>2568</v>
      </c>
      <c r="H562" s="3">
        <v>0</v>
      </c>
      <c r="I562" s="2" t="s">
        <v>18</v>
      </c>
      <c r="J562" s="2" t="s">
        <v>2569</v>
      </c>
      <c r="K562" s="2" t="s">
        <v>16</v>
      </c>
      <c r="L562" s="2" t="s">
        <v>2570</v>
      </c>
      <c r="M562" s="4">
        <v>105442.88</v>
      </c>
      <c r="N562" t="b">
        <f>OR(LEFT(B562,3)="frg",(_xlfn.XMATCH(B562,ZZZ_Part_Id_[[#All],[FGCODE]])))</f>
        <v>1</v>
      </c>
    </row>
    <row r="563" spans="1:14" x14ac:dyDescent="0.3">
      <c r="A563" s="2" t="s">
        <v>2571</v>
      </c>
      <c r="B563" s="2" t="s">
        <v>14</v>
      </c>
      <c r="C563" s="2" t="s">
        <v>2572</v>
      </c>
      <c r="D563" s="3">
        <v>140</v>
      </c>
      <c r="E563" s="3">
        <v>140</v>
      </c>
      <c r="F563" s="2" t="s">
        <v>16</v>
      </c>
      <c r="G563" s="2" t="s">
        <v>2573</v>
      </c>
      <c r="H563" s="3">
        <v>0</v>
      </c>
      <c r="I563" s="2" t="s">
        <v>409</v>
      </c>
      <c r="J563" s="2" t="s">
        <v>2574</v>
      </c>
      <c r="K563" s="2" t="s">
        <v>16</v>
      </c>
      <c r="L563" s="2" t="s">
        <v>2575</v>
      </c>
      <c r="M563" s="4">
        <v>10.77</v>
      </c>
      <c r="N563" t="e">
        <f>OR(LEFT(B563,3)="frg",(_xlfn.XMATCH(B563,ZZZ_Part_Id_[[#All],[FGCODE]])))</f>
        <v>#N/A</v>
      </c>
    </row>
    <row r="564" spans="1:14" x14ac:dyDescent="0.3">
      <c r="A564" s="2" t="s">
        <v>2571</v>
      </c>
      <c r="B564" s="2" t="s">
        <v>97</v>
      </c>
      <c r="C564" s="2" t="s">
        <v>2576</v>
      </c>
      <c r="D564" s="3">
        <v>465600</v>
      </c>
      <c r="E564" s="3">
        <v>465600</v>
      </c>
      <c r="F564" s="2" t="s">
        <v>16</v>
      </c>
      <c r="G564" s="2" t="s">
        <v>2577</v>
      </c>
      <c r="H564" s="3">
        <v>0</v>
      </c>
      <c r="I564" s="2" t="s">
        <v>409</v>
      </c>
      <c r="J564" s="2" t="s">
        <v>2578</v>
      </c>
      <c r="K564" s="2" t="s">
        <v>16</v>
      </c>
      <c r="L564" s="2" t="s">
        <v>2579</v>
      </c>
      <c r="M564" s="4">
        <v>99489.03</v>
      </c>
      <c r="N564" t="b">
        <f>OR(LEFT(B564,3)="frg",(_xlfn.XMATCH(B564,ZZZ_Part_Id_[[#All],[FGCODE]])))</f>
        <v>1</v>
      </c>
    </row>
    <row r="565" spans="1:14" x14ac:dyDescent="0.3">
      <c r="A565" s="2" t="s">
        <v>2580</v>
      </c>
      <c r="B565" s="2" t="s">
        <v>14</v>
      </c>
      <c r="C565" s="2" t="s">
        <v>2581</v>
      </c>
      <c r="D565" s="3">
        <v>20</v>
      </c>
      <c r="E565" s="3">
        <v>20</v>
      </c>
      <c r="F565" s="2" t="s">
        <v>16</v>
      </c>
      <c r="G565" s="2" t="s">
        <v>2582</v>
      </c>
      <c r="H565" s="3">
        <v>0</v>
      </c>
      <c r="I565" s="2" t="s">
        <v>409</v>
      </c>
      <c r="J565" s="2" t="s">
        <v>2583</v>
      </c>
      <c r="K565" s="2" t="s">
        <v>16</v>
      </c>
      <c r="L565" s="2" t="s">
        <v>2584</v>
      </c>
      <c r="M565" s="4">
        <v>1.54</v>
      </c>
      <c r="N565" t="e">
        <f>OR(LEFT(B565,3)="frg",(_xlfn.XMATCH(B565,ZZZ_Part_Id_[[#All],[FGCODE]])))</f>
        <v>#N/A</v>
      </c>
    </row>
    <row r="566" spans="1:14" x14ac:dyDescent="0.3">
      <c r="A566" s="2" t="s">
        <v>2580</v>
      </c>
      <c r="B566" s="2" t="s">
        <v>27</v>
      </c>
      <c r="C566" s="2" t="s">
        <v>2585</v>
      </c>
      <c r="D566" s="3">
        <v>132480</v>
      </c>
      <c r="E566" s="3">
        <v>132480</v>
      </c>
      <c r="F566" s="2" t="s">
        <v>16</v>
      </c>
      <c r="G566" s="2" t="s">
        <v>2586</v>
      </c>
      <c r="H566" s="3">
        <v>0</v>
      </c>
      <c r="I566" s="2" t="s">
        <v>409</v>
      </c>
      <c r="J566" s="2" t="s">
        <v>2587</v>
      </c>
      <c r="K566" s="2" t="s">
        <v>16</v>
      </c>
      <c r="L566" s="2" t="s">
        <v>2588</v>
      </c>
      <c r="M566" s="4">
        <v>24605.599999999999</v>
      </c>
      <c r="N566" t="b">
        <f>OR(LEFT(B566,3)="frg",(_xlfn.XMATCH(B566,ZZZ_Part_Id_[[#All],[FGCODE]])))</f>
        <v>1</v>
      </c>
    </row>
    <row r="567" spans="1:14" x14ac:dyDescent="0.3">
      <c r="A567" s="2" t="s">
        <v>2589</v>
      </c>
      <c r="B567" s="2" t="s">
        <v>37</v>
      </c>
      <c r="C567" s="2" t="s">
        <v>2590</v>
      </c>
      <c r="D567" s="3">
        <v>7</v>
      </c>
      <c r="E567" s="3">
        <v>7</v>
      </c>
      <c r="F567" s="2" t="s">
        <v>16</v>
      </c>
      <c r="G567" s="2" t="s">
        <v>2591</v>
      </c>
      <c r="H567" s="3">
        <v>0</v>
      </c>
      <c r="I567" s="2" t="s">
        <v>409</v>
      </c>
      <c r="J567" s="2" t="s">
        <v>2592</v>
      </c>
      <c r="K567" s="2" t="s">
        <v>16</v>
      </c>
      <c r="L567" s="2" t="s">
        <v>2593</v>
      </c>
      <c r="M567" s="4">
        <v>112</v>
      </c>
      <c r="N567" t="e">
        <f>OR(LEFT(B567,3)="frg",(_xlfn.XMATCH(B567,ZZZ_Part_Id_[[#All],[FGCODE]])))</f>
        <v>#N/A</v>
      </c>
    </row>
    <row r="568" spans="1:14" x14ac:dyDescent="0.3">
      <c r="A568" s="2" t="s">
        <v>2589</v>
      </c>
      <c r="B568" s="2" t="s">
        <v>65</v>
      </c>
      <c r="C568" s="2" t="s">
        <v>2594</v>
      </c>
      <c r="D568" s="5">
        <v>-249</v>
      </c>
      <c r="E568" s="5">
        <v>-249</v>
      </c>
      <c r="F568" s="2" t="s">
        <v>23</v>
      </c>
      <c r="G568" s="2" t="s">
        <v>2595</v>
      </c>
      <c r="H568" s="3">
        <v>0</v>
      </c>
      <c r="I568" s="2" t="s">
        <v>409</v>
      </c>
      <c r="J568" s="2" t="s">
        <v>2596</v>
      </c>
      <c r="K568" s="2" t="s">
        <v>23</v>
      </c>
      <c r="L568" s="2" t="s">
        <v>2597</v>
      </c>
      <c r="M568" s="6">
        <v>-640.33000000000004</v>
      </c>
      <c r="N568" t="b">
        <f>OR(LEFT(B568,3)="frg",(_xlfn.XMATCH(B568,ZZZ_Part_Id_[[#All],[FGCODE]])))</f>
        <v>1</v>
      </c>
    </row>
    <row r="569" spans="1:14" x14ac:dyDescent="0.3">
      <c r="A569" s="2" t="s">
        <v>2589</v>
      </c>
      <c r="B569" s="2" t="s">
        <v>97</v>
      </c>
      <c r="C569" s="2" t="s">
        <v>2598</v>
      </c>
      <c r="D569" s="3">
        <v>38400</v>
      </c>
      <c r="E569" s="3">
        <v>38400</v>
      </c>
      <c r="F569" s="2" t="s">
        <v>16</v>
      </c>
      <c r="G569" s="2" t="s">
        <v>2599</v>
      </c>
      <c r="H569" s="3">
        <v>0</v>
      </c>
      <c r="I569" s="2" t="s">
        <v>409</v>
      </c>
      <c r="J569" s="2" t="s">
        <v>2600</v>
      </c>
      <c r="K569" s="2" t="s">
        <v>16</v>
      </c>
      <c r="L569" s="2" t="s">
        <v>2601</v>
      </c>
      <c r="M569" s="4">
        <v>8205.2800000000007</v>
      </c>
      <c r="N569" t="b">
        <f>OR(LEFT(B569,3)="frg",(_xlfn.XMATCH(B569,ZZZ_Part_Id_[[#All],[FGCODE]])))</f>
        <v>1</v>
      </c>
    </row>
    <row r="570" spans="1:14" x14ac:dyDescent="0.3">
      <c r="A570" s="2" t="s">
        <v>2602</v>
      </c>
      <c r="B570" s="2" t="s">
        <v>14</v>
      </c>
      <c r="C570" s="2" t="s">
        <v>2603</v>
      </c>
      <c r="D570" s="3">
        <v>30</v>
      </c>
      <c r="E570" s="3">
        <v>30</v>
      </c>
      <c r="F570" s="2" t="s">
        <v>16</v>
      </c>
      <c r="G570" s="2" t="s">
        <v>2604</v>
      </c>
      <c r="H570" s="3">
        <v>0</v>
      </c>
      <c r="I570" s="2" t="s">
        <v>18</v>
      </c>
      <c r="J570" s="2" t="s">
        <v>2605</v>
      </c>
      <c r="K570" s="2" t="s">
        <v>16</v>
      </c>
      <c r="L570" s="2" t="s">
        <v>2606</v>
      </c>
      <c r="M570" s="4">
        <v>2.31</v>
      </c>
      <c r="N570" t="e">
        <f>OR(LEFT(B570,3)="frg",(_xlfn.XMATCH(B570,ZZZ_Part_Id_[[#All],[FGCODE]])))</f>
        <v>#N/A</v>
      </c>
    </row>
    <row r="571" spans="1:14" x14ac:dyDescent="0.3">
      <c r="A571" s="2" t="s">
        <v>2602</v>
      </c>
      <c r="B571" s="2" t="s">
        <v>65</v>
      </c>
      <c r="C571" s="2" t="s">
        <v>2607</v>
      </c>
      <c r="D571" s="5">
        <v>-542</v>
      </c>
      <c r="E571" s="5">
        <v>-542</v>
      </c>
      <c r="F571" s="2" t="s">
        <v>23</v>
      </c>
      <c r="G571" s="2" t="s">
        <v>2608</v>
      </c>
      <c r="H571" s="3">
        <v>0</v>
      </c>
      <c r="I571" s="2" t="s">
        <v>18</v>
      </c>
      <c r="J571" s="2" t="s">
        <v>2609</v>
      </c>
      <c r="K571" s="2" t="s">
        <v>23</v>
      </c>
      <c r="L571" s="2" t="s">
        <v>2610</v>
      </c>
      <c r="M571" s="6">
        <v>-1393.81</v>
      </c>
      <c r="N571" t="b">
        <f>OR(LEFT(B571,3)="frg",(_xlfn.XMATCH(B571,ZZZ_Part_Id_[[#All],[FGCODE]])))</f>
        <v>1</v>
      </c>
    </row>
    <row r="572" spans="1:14" x14ac:dyDescent="0.3">
      <c r="A572" s="2" t="s">
        <v>2602</v>
      </c>
      <c r="B572" s="2" t="s">
        <v>2611</v>
      </c>
      <c r="C572" s="2" t="s">
        <v>2612</v>
      </c>
      <c r="D572" s="3">
        <v>362304</v>
      </c>
      <c r="E572" s="3">
        <v>362304</v>
      </c>
      <c r="F572" s="2" t="s">
        <v>16</v>
      </c>
      <c r="G572" s="2" t="s">
        <v>2613</v>
      </c>
      <c r="H572" s="3">
        <v>0</v>
      </c>
      <c r="I572" s="2" t="s">
        <v>18</v>
      </c>
      <c r="J572" s="2" t="s">
        <v>2614</v>
      </c>
      <c r="K572" s="2" t="s">
        <v>16</v>
      </c>
      <c r="L572" s="2" t="s">
        <v>2615</v>
      </c>
      <c r="M572" s="4">
        <v>21549.88</v>
      </c>
      <c r="N572" t="b">
        <f>OR(LEFT(B572,3)="frg",(_xlfn.XMATCH(B572,ZZZ_Part_Id_[[#All],[FGCODE]])))</f>
        <v>1</v>
      </c>
    </row>
    <row r="573" spans="1:14" x14ac:dyDescent="0.3">
      <c r="A573" s="2" t="s">
        <v>2616</v>
      </c>
      <c r="B573" s="2" t="s">
        <v>2191</v>
      </c>
      <c r="C573" s="2" t="s">
        <v>2617</v>
      </c>
      <c r="D573" s="3">
        <v>40</v>
      </c>
      <c r="E573" s="3">
        <v>0</v>
      </c>
      <c r="F573" s="2" t="s">
        <v>47</v>
      </c>
      <c r="G573" s="2" t="s">
        <v>2618</v>
      </c>
      <c r="H573" s="3">
        <v>0</v>
      </c>
      <c r="I573" s="2" t="s">
        <v>2619</v>
      </c>
      <c r="J573" s="2" t="s">
        <v>2620</v>
      </c>
      <c r="K573" s="2" t="s">
        <v>47</v>
      </c>
      <c r="L573" s="2" t="s">
        <v>2621</v>
      </c>
      <c r="M573" s="4">
        <v>0</v>
      </c>
      <c r="N573" t="e">
        <f>OR(LEFT(B573,3)="frg",(_xlfn.XMATCH(B573,ZZZ_Part_Id_[[#All],[FGCODE]])))</f>
        <v>#N/A</v>
      </c>
    </row>
    <row r="574" spans="1:14" x14ac:dyDescent="0.3">
      <c r="A574" s="2" t="s">
        <v>2616</v>
      </c>
      <c r="B574" s="2" t="s">
        <v>2209</v>
      </c>
      <c r="C574" s="2" t="s">
        <v>2622</v>
      </c>
      <c r="D574" s="3">
        <v>10</v>
      </c>
      <c r="E574" s="3">
        <v>0</v>
      </c>
      <c r="F574" s="2" t="s">
        <v>47</v>
      </c>
      <c r="G574" s="2" t="s">
        <v>2623</v>
      </c>
      <c r="H574" s="3">
        <v>0</v>
      </c>
      <c r="I574" s="2" t="s">
        <v>2619</v>
      </c>
      <c r="J574" s="2" t="s">
        <v>2624</v>
      </c>
      <c r="K574" s="2" t="s">
        <v>47</v>
      </c>
      <c r="L574" s="2" t="s">
        <v>2625</v>
      </c>
      <c r="M574" s="4">
        <v>0</v>
      </c>
      <c r="N574" t="e">
        <f>OR(LEFT(B574,3)="frg",(_xlfn.XMATCH(B574,ZZZ_Part_Id_[[#All],[FGCODE]])))</f>
        <v>#N/A</v>
      </c>
    </row>
    <row r="575" spans="1:14" x14ac:dyDescent="0.3">
      <c r="A575" s="2" t="s">
        <v>2616</v>
      </c>
      <c r="B575" s="2" t="s">
        <v>140</v>
      </c>
      <c r="C575" s="2" t="s">
        <v>2626</v>
      </c>
      <c r="D575" s="3">
        <v>2</v>
      </c>
      <c r="E575" s="3">
        <v>0</v>
      </c>
      <c r="F575" s="2" t="s">
        <v>16</v>
      </c>
      <c r="G575" s="2" t="s">
        <v>2627</v>
      </c>
      <c r="H575" s="3">
        <v>0</v>
      </c>
      <c r="I575" s="2" t="s">
        <v>2619</v>
      </c>
      <c r="J575" s="2" t="s">
        <v>2628</v>
      </c>
      <c r="K575" s="2" t="s">
        <v>16</v>
      </c>
      <c r="L575" s="2" t="s">
        <v>2629</v>
      </c>
      <c r="M575" s="4">
        <v>0</v>
      </c>
      <c r="N575" t="e">
        <f>OR(LEFT(B575,3)="frg",(_xlfn.XMATCH(B575,ZZZ_Part_Id_[[#All],[FGCODE]])))</f>
        <v>#N/A</v>
      </c>
    </row>
    <row r="576" spans="1:14" x14ac:dyDescent="0.3">
      <c r="A576" s="2" t="s">
        <v>2616</v>
      </c>
      <c r="B576" s="2" t="s">
        <v>14</v>
      </c>
      <c r="C576" s="2" t="s">
        <v>2630</v>
      </c>
      <c r="D576" s="3">
        <v>5</v>
      </c>
      <c r="E576" s="3">
        <v>0</v>
      </c>
      <c r="F576" s="2" t="s">
        <v>16</v>
      </c>
      <c r="G576" s="2" t="s">
        <v>2631</v>
      </c>
      <c r="H576" s="3">
        <v>0</v>
      </c>
      <c r="I576" s="2" t="s">
        <v>2619</v>
      </c>
      <c r="J576" s="2" t="s">
        <v>2632</v>
      </c>
      <c r="K576" s="2" t="s">
        <v>16</v>
      </c>
      <c r="L576" s="2" t="s">
        <v>2633</v>
      </c>
      <c r="M576" s="4">
        <v>0</v>
      </c>
      <c r="N576" t="e">
        <f>OR(LEFT(B576,3)="frg",(_xlfn.XMATCH(B576,ZZZ_Part_Id_[[#All],[FGCODE]])))</f>
        <v>#N/A</v>
      </c>
    </row>
    <row r="577" spans="1:14" x14ac:dyDescent="0.3">
      <c r="A577" s="2" t="s">
        <v>2616</v>
      </c>
      <c r="B577" s="2" t="s">
        <v>45</v>
      </c>
      <c r="C577" s="2" t="s">
        <v>2634</v>
      </c>
      <c r="D577" s="3">
        <v>0.4</v>
      </c>
      <c r="E577" s="3">
        <v>0</v>
      </c>
      <c r="F577" s="2" t="s">
        <v>47</v>
      </c>
      <c r="G577" s="2" t="s">
        <v>2635</v>
      </c>
      <c r="H577" s="3">
        <v>0</v>
      </c>
      <c r="I577" s="2" t="s">
        <v>2619</v>
      </c>
      <c r="J577" s="2" t="s">
        <v>2636</v>
      </c>
      <c r="K577" s="2" t="s">
        <v>47</v>
      </c>
      <c r="L577" s="2" t="s">
        <v>2637</v>
      </c>
      <c r="M577" s="4">
        <v>0</v>
      </c>
      <c r="N577" t="e">
        <f>OR(LEFT(B577,3)="frg",(_xlfn.XMATCH(B577,ZZZ_Part_Id_[[#All],[FGCODE]])))</f>
        <v>#N/A</v>
      </c>
    </row>
    <row r="578" spans="1:14" x14ac:dyDescent="0.3">
      <c r="A578" s="2" t="s">
        <v>2616</v>
      </c>
      <c r="B578" s="2" t="s">
        <v>2218</v>
      </c>
      <c r="C578" s="2" t="s">
        <v>2638</v>
      </c>
      <c r="D578" s="3">
        <v>6048</v>
      </c>
      <c r="E578" s="3">
        <v>0</v>
      </c>
      <c r="F578" s="2" t="s">
        <v>23</v>
      </c>
      <c r="G578" s="2" t="s">
        <v>2639</v>
      </c>
      <c r="H578" s="3">
        <v>0</v>
      </c>
      <c r="I578" s="2" t="s">
        <v>2619</v>
      </c>
      <c r="J578" s="2" t="s">
        <v>2640</v>
      </c>
      <c r="K578" s="2" t="s">
        <v>23</v>
      </c>
      <c r="L578" s="2" t="s">
        <v>2641</v>
      </c>
      <c r="M578" s="4">
        <v>0</v>
      </c>
      <c r="N578" t="b">
        <f>OR(LEFT(B578,3)="frg",(_xlfn.XMATCH(B578,ZZZ_Part_Id_[[#All],[FGCODE]])))</f>
        <v>1</v>
      </c>
    </row>
    <row r="579" spans="1:14" x14ac:dyDescent="0.3">
      <c r="A579" s="2" t="s">
        <v>2642</v>
      </c>
      <c r="B579" s="2" t="s">
        <v>2191</v>
      </c>
      <c r="C579" s="2" t="s">
        <v>2643</v>
      </c>
      <c r="D579" s="3">
        <v>40</v>
      </c>
      <c r="E579" s="3">
        <v>0</v>
      </c>
      <c r="F579" s="2" t="s">
        <v>47</v>
      </c>
      <c r="G579" s="2" t="s">
        <v>2644</v>
      </c>
      <c r="H579" s="3">
        <v>0</v>
      </c>
      <c r="I579" s="2" t="s">
        <v>2619</v>
      </c>
      <c r="J579" s="2" t="s">
        <v>2645</v>
      </c>
      <c r="K579" s="2" t="s">
        <v>47</v>
      </c>
      <c r="L579" s="2" t="s">
        <v>2646</v>
      </c>
      <c r="M579" s="4">
        <v>0</v>
      </c>
      <c r="N579" t="e">
        <f>OR(LEFT(B579,3)="frg",(_xlfn.XMATCH(B579,ZZZ_Part_Id_[[#All],[FGCODE]])))</f>
        <v>#N/A</v>
      </c>
    </row>
    <row r="580" spans="1:14" x14ac:dyDescent="0.3">
      <c r="A580" s="2" t="s">
        <v>2642</v>
      </c>
      <c r="B580" s="2" t="s">
        <v>2209</v>
      </c>
      <c r="C580" s="2" t="s">
        <v>2647</v>
      </c>
      <c r="D580" s="3">
        <v>10</v>
      </c>
      <c r="E580" s="3">
        <v>0</v>
      </c>
      <c r="F580" s="2" t="s">
        <v>47</v>
      </c>
      <c r="G580" s="2" t="s">
        <v>2648</v>
      </c>
      <c r="H580" s="3">
        <v>0</v>
      </c>
      <c r="I580" s="2" t="s">
        <v>2619</v>
      </c>
      <c r="J580" s="2" t="s">
        <v>2649</v>
      </c>
      <c r="K580" s="2" t="s">
        <v>47</v>
      </c>
      <c r="L580" s="2" t="s">
        <v>2650</v>
      </c>
      <c r="M580" s="4">
        <v>0</v>
      </c>
      <c r="N580" t="e">
        <f>OR(LEFT(B580,3)="frg",(_xlfn.XMATCH(B580,ZZZ_Part_Id_[[#All],[FGCODE]])))</f>
        <v>#N/A</v>
      </c>
    </row>
    <row r="581" spans="1:14" x14ac:dyDescent="0.3">
      <c r="A581" s="2" t="s">
        <v>2642</v>
      </c>
      <c r="B581" s="2" t="s">
        <v>140</v>
      </c>
      <c r="C581" s="2" t="s">
        <v>2651</v>
      </c>
      <c r="D581" s="3">
        <v>1</v>
      </c>
      <c r="E581" s="3">
        <v>0</v>
      </c>
      <c r="F581" s="2" t="s">
        <v>16</v>
      </c>
      <c r="G581" s="2" t="s">
        <v>2652</v>
      </c>
      <c r="H581" s="3">
        <v>0</v>
      </c>
      <c r="I581" s="2" t="s">
        <v>2619</v>
      </c>
      <c r="J581" s="2" t="s">
        <v>2653</v>
      </c>
      <c r="K581" s="2" t="s">
        <v>16</v>
      </c>
      <c r="L581" s="2" t="s">
        <v>2654</v>
      </c>
      <c r="M581" s="4">
        <v>0</v>
      </c>
      <c r="N581" t="e">
        <f>OR(LEFT(B581,3)="frg",(_xlfn.XMATCH(B581,ZZZ_Part_Id_[[#All],[FGCODE]])))</f>
        <v>#N/A</v>
      </c>
    </row>
    <row r="582" spans="1:14" x14ac:dyDescent="0.3">
      <c r="A582" s="2" t="s">
        <v>2642</v>
      </c>
      <c r="B582" s="2" t="s">
        <v>14</v>
      </c>
      <c r="C582" s="2" t="s">
        <v>2655</v>
      </c>
      <c r="D582" s="3">
        <v>5</v>
      </c>
      <c r="E582" s="3">
        <v>0</v>
      </c>
      <c r="F582" s="2" t="s">
        <v>16</v>
      </c>
      <c r="G582" s="2" t="s">
        <v>2656</v>
      </c>
      <c r="H582" s="3">
        <v>0</v>
      </c>
      <c r="I582" s="2" t="s">
        <v>2619</v>
      </c>
      <c r="J582" s="2" t="s">
        <v>2657</v>
      </c>
      <c r="K582" s="2" t="s">
        <v>16</v>
      </c>
      <c r="L582" s="2" t="s">
        <v>2658</v>
      </c>
      <c r="M582" s="4">
        <v>0</v>
      </c>
      <c r="N582" t="e">
        <f>OR(LEFT(B582,3)="frg",(_xlfn.XMATCH(B582,ZZZ_Part_Id_[[#All],[FGCODE]])))</f>
        <v>#N/A</v>
      </c>
    </row>
    <row r="583" spans="1:14" x14ac:dyDescent="0.3">
      <c r="A583" s="2" t="s">
        <v>2642</v>
      </c>
      <c r="B583" s="2" t="s">
        <v>45</v>
      </c>
      <c r="C583" s="2" t="s">
        <v>2659</v>
      </c>
      <c r="D583" s="3">
        <v>0.4</v>
      </c>
      <c r="E583" s="3">
        <v>0</v>
      </c>
      <c r="F583" s="2" t="s">
        <v>47</v>
      </c>
      <c r="G583" s="2" t="s">
        <v>2660</v>
      </c>
      <c r="H583" s="3">
        <v>0</v>
      </c>
      <c r="I583" s="2" t="s">
        <v>2619</v>
      </c>
      <c r="J583" s="2" t="s">
        <v>2661</v>
      </c>
      <c r="K583" s="2" t="s">
        <v>47</v>
      </c>
      <c r="L583" s="2" t="s">
        <v>2662</v>
      </c>
      <c r="M583" s="4">
        <v>0</v>
      </c>
      <c r="N583" t="e">
        <f>OR(LEFT(B583,3)="frg",(_xlfn.XMATCH(B583,ZZZ_Part_Id_[[#All],[FGCODE]])))</f>
        <v>#N/A</v>
      </c>
    </row>
    <row r="584" spans="1:14" x14ac:dyDescent="0.3">
      <c r="A584" s="2" t="s">
        <v>2642</v>
      </c>
      <c r="B584" s="2" t="s">
        <v>2663</v>
      </c>
      <c r="C584" s="2" t="s">
        <v>2664</v>
      </c>
      <c r="D584" s="3">
        <v>2016</v>
      </c>
      <c r="E584" s="3">
        <v>0</v>
      </c>
      <c r="F584" s="2" t="s">
        <v>16</v>
      </c>
      <c r="G584" s="2" t="s">
        <v>2665</v>
      </c>
      <c r="H584" s="3">
        <v>0</v>
      </c>
      <c r="I584" s="2" t="s">
        <v>2619</v>
      </c>
      <c r="J584" s="2" t="s">
        <v>2666</v>
      </c>
      <c r="K584" s="2" t="s">
        <v>16</v>
      </c>
      <c r="L584" s="2" t="s">
        <v>2667</v>
      </c>
      <c r="M584" s="4">
        <v>0</v>
      </c>
      <c r="N584" t="b">
        <f>OR(LEFT(B584,3)="frg",(_xlfn.XMATCH(B584,ZZZ_Part_Id_[[#All],[FGCODE]])))</f>
        <v>1</v>
      </c>
    </row>
    <row r="585" spans="1:14" x14ac:dyDescent="0.3">
      <c r="A585" s="2" t="s">
        <v>2668</v>
      </c>
      <c r="B585" s="2" t="s">
        <v>2191</v>
      </c>
      <c r="C585" s="2" t="s">
        <v>2669</v>
      </c>
      <c r="D585" s="3">
        <v>40</v>
      </c>
      <c r="E585" s="3">
        <v>0</v>
      </c>
      <c r="F585" s="2" t="s">
        <v>47</v>
      </c>
      <c r="G585" s="2" t="s">
        <v>2670</v>
      </c>
      <c r="H585" s="3">
        <v>0</v>
      </c>
      <c r="I585" s="2" t="s">
        <v>2619</v>
      </c>
      <c r="J585" s="2" t="s">
        <v>2671</v>
      </c>
      <c r="K585" s="2" t="s">
        <v>47</v>
      </c>
      <c r="L585" s="2" t="s">
        <v>2672</v>
      </c>
      <c r="M585" s="4">
        <v>0</v>
      </c>
      <c r="N585" t="e">
        <f>OR(LEFT(B585,3)="frg",(_xlfn.XMATCH(B585,ZZZ_Part_Id_[[#All],[FGCODE]])))</f>
        <v>#N/A</v>
      </c>
    </row>
    <row r="586" spans="1:14" x14ac:dyDescent="0.3">
      <c r="A586" s="2" t="s">
        <v>2668</v>
      </c>
      <c r="B586" s="2" t="s">
        <v>2673</v>
      </c>
      <c r="C586" s="2" t="s">
        <v>2674</v>
      </c>
      <c r="D586" s="3">
        <v>2016</v>
      </c>
      <c r="E586" s="3">
        <v>0</v>
      </c>
      <c r="F586" s="2" t="s">
        <v>16</v>
      </c>
      <c r="G586" s="2" t="s">
        <v>2675</v>
      </c>
      <c r="H586" s="3">
        <v>0</v>
      </c>
      <c r="I586" s="2" t="s">
        <v>2619</v>
      </c>
      <c r="J586" s="2" t="s">
        <v>2676</v>
      </c>
      <c r="K586" s="2" t="s">
        <v>16</v>
      </c>
      <c r="L586" s="2" t="s">
        <v>2677</v>
      </c>
      <c r="M586" s="4">
        <v>0</v>
      </c>
      <c r="N586" t="b">
        <f>OR(LEFT(B586,3)="frg",(_xlfn.XMATCH(B586,ZZZ_Part_Id_[[#All],[FGCODE]])))</f>
        <v>1</v>
      </c>
    </row>
    <row r="587" spans="1:14" x14ac:dyDescent="0.3">
      <c r="A587" s="2" t="s">
        <v>2678</v>
      </c>
      <c r="B587" s="2" t="s">
        <v>2191</v>
      </c>
      <c r="C587" s="2" t="s">
        <v>2679</v>
      </c>
      <c r="D587" s="3">
        <v>40</v>
      </c>
      <c r="E587" s="3">
        <v>0</v>
      </c>
      <c r="F587" s="2" t="s">
        <v>47</v>
      </c>
      <c r="G587" s="2" t="s">
        <v>2680</v>
      </c>
      <c r="H587" s="3">
        <v>0</v>
      </c>
      <c r="I587" s="2" t="s">
        <v>2619</v>
      </c>
      <c r="J587" s="2" t="s">
        <v>2681</v>
      </c>
      <c r="K587" s="2" t="s">
        <v>47</v>
      </c>
      <c r="L587" s="2" t="s">
        <v>2682</v>
      </c>
      <c r="M587" s="4">
        <v>0</v>
      </c>
      <c r="N587" t="e">
        <f>OR(LEFT(B587,3)="frg",(_xlfn.XMATCH(B587,ZZZ_Part_Id_[[#All],[FGCODE]])))</f>
        <v>#N/A</v>
      </c>
    </row>
    <row r="588" spans="1:14" x14ac:dyDescent="0.3">
      <c r="A588" s="2" t="s">
        <v>2678</v>
      </c>
      <c r="B588" s="2" t="s">
        <v>2683</v>
      </c>
      <c r="C588" s="2" t="s">
        <v>2684</v>
      </c>
      <c r="D588" s="3">
        <v>2016</v>
      </c>
      <c r="E588" s="3">
        <v>0</v>
      </c>
      <c r="F588" s="2" t="s">
        <v>16</v>
      </c>
      <c r="G588" s="2" t="s">
        <v>2685</v>
      </c>
      <c r="H588" s="3">
        <v>0</v>
      </c>
      <c r="I588" s="2" t="s">
        <v>2619</v>
      </c>
      <c r="J588" s="2" t="s">
        <v>2686</v>
      </c>
      <c r="K588" s="2" t="s">
        <v>16</v>
      </c>
      <c r="L588" s="2" t="s">
        <v>2687</v>
      </c>
      <c r="M588" s="4">
        <v>0</v>
      </c>
      <c r="N588" t="b">
        <f>OR(LEFT(B588,3)="frg",(_xlfn.XMATCH(B588,ZZZ_Part_Id_[[#All],[FGCODE]])))</f>
        <v>1</v>
      </c>
    </row>
    <row r="589" spans="1:14" x14ac:dyDescent="0.3">
      <c r="A589" s="2" t="s">
        <v>2688</v>
      </c>
      <c r="B589" s="2" t="s">
        <v>2689</v>
      </c>
      <c r="C589" s="2" t="s">
        <v>2690</v>
      </c>
      <c r="D589" s="3">
        <v>1344</v>
      </c>
      <c r="E589" s="3">
        <v>0</v>
      </c>
      <c r="F589" s="2" t="s">
        <v>16</v>
      </c>
      <c r="G589" s="2" t="s">
        <v>2691</v>
      </c>
      <c r="H589" s="3">
        <v>0</v>
      </c>
      <c r="I589" s="2" t="s">
        <v>2619</v>
      </c>
      <c r="J589" s="2" t="s">
        <v>2692</v>
      </c>
      <c r="K589" s="2" t="s">
        <v>16</v>
      </c>
      <c r="L589" s="2" t="s">
        <v>2693</v>
      </c>
      <c r="M589" s="4">
        <v>0</v>
      </c>
      <c r="N589" t="b">
        <f>OR(LEFT(B589,3)="frg",(_xlfn.XMATCH(B589,ZZZ_Part_Id_[[#All],[FGCODE]])))</f>
        <v>1</v>
      </c>
    </row>
    <row r="590" spans="1:14" x14ac:dyDescent="0.3">
      <c r="A590" s="2" t="s">
        <v>2694</v>
      </c>
      <c r="B590" s="2" t="s">
        <v>1119</v>
      </c>
      <c r="C590" s="2" t="s">
        <v>2695</v>
      </c>
      <c r="D590" s="3">
        <v>1218240</v>
      </c>
      <c r="E590" s="3">
        <v>1218240</v>
      </c>
      <c r="F590" s="2" t="s">
        <v>16</v>
      </c>
      <c r="G590" s="2" t="s">
        <v>2696</v>
      </c>
      <c r="H590" s="3">
        <v>0</v>
      </c>
      <c r="I590" s="2" t="s">
        <v>18</v>
      </c>
      <c r="J590" s="2" t="s">
        <v>2697</v>
      </c>
      <c r="K590" s="2" t="s">
        <v>16</v>
      </c>
      <c r="L590" s="2" t="s">
        <v>2698</v>
      </c>
      <c r="M590" s="4">
        <v>49570.13</v>
      </c>
      <c r="N590" t="b">
        <f>OR(LEFT(B590,3)="frg",(_xlfn.XMATCH(B590,ZZZ_Part_Id_[[#All],[FGCODE]])))</f>
        <v>1</v>
      </c>
    </row>
    <row r="591" spans="1:14" x14ac:dyDescent="0.3">
      <c r="A591" s="2" t="s">
        <v>2694</v>
      </c>
      <c r="B591" s="2" t="s">
        <v>14</v>
      </c>
      <c r="C591" s="2" t="s">
        <v>2699</v>
      </c>
      <c r="D591" s="3">
        <v>48</v>
      </c>
      <c r="E591" s="3">
        <v>48</v>
      </c>
      <c r="F591" s="2" t="s">
        <v>16</v>
      </c>
      <c r="G591" s="2" t="s">
        <v>2700</v>
      </c>
      <c r="H591" s="3">
        <v>0</v>
      </c>
      <c r="I591" s="2" t="s">
        <v>18</v>
      </c>
      <c r="J591" s="2" t="s">
        <v>2701</v>
      </c>
      <c r="K591" s="2" t="s">
        <v>16</v>
      </c>
      <c r="L591" s="2" t="s">
        <v>2702</v>
      </c>
      <c r="M591" s="4">
        <v>3.69</v>
      </c>
      <c r="N591" t="e">
        <f>OR(LEFT(B591,3)="frg",(_xlfn.XMATCH(B591,ZZZ_Part_Id_[[#All],[FGCODE]])))</f>
        <v>#N/A</v>
      </c>
    </row>
    <row r="592" spans="1:14" x14ac:dyDescent="0.3">
      <c r="A592" s="2" t="s">
        <v>2703</v>
      </c>
      <c r="B592" s="2" t="s">
        <v>1445</v>
      </c>
      <c r="C592" s="2" t="s">
        <v>2704</v>
      </c>
      <c r="D592" s="3">
        <v>2330640</v>
      </c>
      <c r="E592" s="3">
        <v>2330640</v>
      </c>
      <c r="F592" s="2" t="s">
        <v>16</v>
      </c>
      <c r="G592" s="2" t="s">
        <v>2705</v>
      </c>
      <c r="H592" s="3">
        <v>0</v>
      </c>
      <c r="I592" s="2" t="s">
        <v>409</v>
      </c>
      <c r="J592" s="2" t="s">
        <v>2706</v>
      </c>
      <c r="K592" s="2" t="s">
        <v>16</v>
      </c>
      <c r="L592" s="2" t="s">
        <v>2707</v>
      </c>
      <c r="M592" s="4">
        <v>88913.82</v>
      </c>
      <c r="N592" t="b">
        <f>OR(LEFT(B592,3)="frg",(_xlfn.XMATCH(B592,ZZZ_Part_Id_[[#All],[FGCODE]])))</f>
        <v>1</v>
      </c>
    </row>
    <row r="593" spans="1:14" x14ac:dyDescent="0.3">
      <c r="A593" s="2" t="s">
        <v>2703</v>
      </c>
      <c r="B593" s="2" t="s">
        <v>14</v>
      </c>
      <c r="C593" s="2" t="s">
        <v>2708</v>
      </c>
      <c r="D593" s="3">
        <v>78</v>
      </c>
      <c r="E593" s="3">
        <v>78</v>
      </c>
      <c r="F593" s="2" t="s">
        <v>16</v>
      </c>
      <c r="G593" s="2" t="s">
        <v>2709</v>
      </c>
      <c r="H593" s="3">
        <v>0</v>
      </c>
      <c r="I593" s="2" t="s">
        <v>409</v>
      </c>
      <c r="J593" s="2" t="s">
        <v>2710</v>
      </c>
      <c r="K593" s="2" t="s">
        <v>16</v>
      </c>
      <c r="L593" s="2" t="s">
        <v>2711</v>
      </c>
      <c r="M593" s="4">
        <v>6</v>
      </c>
      <c r="N593" t="e">
        <f>OR(LEFT(B593,3)="frg",(_xlfn.XMATCH(B593,ZZZ_Part_Id_[[#All],[FGCODE]])))</f>
        <v>#N/A</v>
      </c>
    </row>
    <row r="594" spans="1:14" x14ac:dyDescent="0.3">
      <c r="A594" s="2" t="s">
        <v>2703</v>
      </c>
      <c r="B594" s="2" t="s">
        <v>172</v>
      </c>
      <c r="C594" s="2" t="s">
        <v>2712</v>
      </c>
      <c r="D594" s="3">
        <v>21.995999999999999</v>
      </c>
      <c r="E594" s="3">
        <v>21.995999999999999</v>
      </c>
      <c r="F594" s="2" t="s">
        <v>23</v>
      </c>
      <c r="G594" s="2" t="s">
        <v>131</v>
      </c>
      <c r="H594" s="3">
        <v>0</v>
      </c>
      <c r="I594" s="2" t="s">
        <v>409</v>
      </c>
      <c r="J594" s="2" t="s">
        <v>2713</v>
      </c>
      <c r="K594" s="2" t="s">
        <v>23</v>
      </c>
      <c r="L594" s="2" t="s">
        <v>2714</v>
      </c>
      <c r="M594" s="4">
        <v>142.97</v>
      </c>
      <c r="N594" t="e">
        <f>OR(LEFT(B594,3)="frg",(_xlfn.XMATCH(B594,ZZZ_Part_Id_[[#All],[FGCODE]])))</f>
        <v>#N/A</v>
      </c>
    </row>
    <row r="595" spans="1:14" x14ac:dyDescent="0.3">
      <c r="A595" s="2" t="s">
        <v>2703</v>
      </c>
      <c r="B595" s="2" t="s">
        <v>37</v>
      </c>
      <c r="C595" s="2" t="s">
        <v>2715</v>
      </c>
      <c r="D595" s="3">
        <v>78</v>
      </c>
      <c r="E595" s="3">
        <v>78</v>
      </c>
      <c r="F595" s="2" t="s">
        <v>16</v>
      </c>
      <c r="G595" s="2" t="s">
        <v>131</v>
      </c>
      <c r="H595" s="3">
        <v>0</v>
      </c>
      <c r="I595" s="2" t="s">
        <v>409</v>
      </c>
      <c r="J595" s="2" t="s">
        <v>2716</v>
      </c>
      <c r="K595" s="2" t="s">
        <v>16</v>
      </c>
      <c r="L595" s="2" t="s">
        <v>2717</v>
      </c>
      <c r="M595" s="4">
        <v>1248.02</v>
      </c>
      <c r="N595" t="e">
        <f>OR(LEFT(B595,3)="frg",(_xlfn.XMATCH(B595,ZZZ_Part_Id_[[#All],[FGCODE]])))</f>
        <v>#N/A</v>
      </c>
    </row>
    <row r="596" spans="1:14" x14ac:dyDescent="0.3">
      <c r="A596" s="2" t="s">
        <v>2718</v>
      </c>
      <c r="B596" s="2" t="s">
        <v>14</v>
      </c>
      <c r="C596" s="2" t="s">
        <v>2719</v>
      </c>
      <c r="D596" s="3">
        <v>145</v>
      </c>
      <c r="E596" s="3">
        <v>0</v>
      </c>
      <c r="F596" s="2" t="s">
        <v>16</v>
      </c>
      <c r="G596" s="2" t="s">
        <v>2720</v>
      </c>
      <c r="H596" s="3">
        <v>0</v>
      </c>
      <c r="I596" s="2" t="s">
        <v>18</v>
      </c>
      <c r="J596" s="2" t="s">
        <v>2721</v>
      </c>
      <c r="K596" s="2" t="s">
        <v>16</v>
      </c>
      <c r="L596" s="2" t="s">
        <v>2722</v>
      </c>
      <c r="M596" s="4">
        <v>0</v>
      </c>
      <c r="N596" t="e">
        <f>OR(LEFT(B596,3)="frg",(_xlfn.XMATCH(B596,ZZZ_Part_Id_[[#All],[FGCODE]])))</f>
        <v>#N/A</v>
      </c>
    </row>
    <row r="597" spans="1:14" x14ac:dyDescent="0.3">
      <c r="A597" s="2" t="s">
        <v>2718</v>
      </c>
      <c r="B597" s="2" t="s">
        <v>264</v>
      </c>
      <c r="C597" s="2" t="s">
        <v>2723</v>
      </c>
      <c r="D597" s="3">
        <v>0.14499999999999999</v>
      </c>
      <c r="E597" s="3">
        <v>0</v>
      </c>
      <c r="F597" s="2" t="s">
        <v>16</v>
      </c>
      <c r="G597" s="2" t="s">
        <v>2724</v>
      </c>
      <c r="H597" s="3">
        <v>0</v>
      </c>
      <c r="I597" s="2" t="s">
        <v>18</v>
      </c>
      <c r="J597" s="2" t="s">
        <v>2725</v>
      </c>
      <c r="K597" s="2" t="s">
        <v>16</v>
      </c>
      <c r="L597" s="2" t="s">
        <v>2726</v>
      </c>
      <c r="M597" s="4">
        <v>0</v>
      </c>
      <c r="N597" t="e">
        <f>OR(LEFT(B597,3)="frg",(_xlfn.XMATCH(B597,ZZZ_Part_Id_[[#All],[FGCODE]])))</f>
        <v>#N/A</v>
      </c>
    </row>
    <row r="598" spans="1:14" x14ac:dyDescent="0.3">
      <c r="A598" s="2" t="s">
        <v>2718</v>
      </c>
      <c r="B598" s="2" t="s">
        <v>2727</v>
      </c>
      <c r="C598" s="2" t="s">
        <v>2728</v>
      </c>
      <c r="D598" s="3">
        <v>3680100</v>
      </c>
      <c r="E598" s="3">
        <v>0</v>
      </c>
      <c r="F598" s="2" t="s">
        <v>16</v>
      </c>
      <c r="G598" s="2" t="s">
        <v>2729</v>
      </c>
      <c r="H598" s="3">
        <v>0</v>
      </c>
      <c r="I598" s="2" t="s">
        <v>18</v>
      </c>
      <c r="J598" s="2" t="s">
        <v>2730</v>
      </c>
      <c r="K598" s="2" t="s">
        <v>16</v>
      </c>
      <c r="L598" s="2" t="s">
        <v>2731</v>
      </c>
      <c r="M598" s="4">
        <v>0</v>
      </c>
      <c r="N598" t="b">
        <f>OR(LEFT(B598,3)="frg",(_xlfn.XMATCH(B598,ZZZ_Part_Id_[[#All],[FGCODE]])))</f>
        <v>1</v>
      </c>
    </row>
    <row r="599" spans="1:14" x14ac:dyDescent="0.3">
      <c r="A599" s="2" t="s">
        <v>2732</v>
      </c>
      <c r="B599" s="2" t="s">
        <v>37</v>
      </c>
      <c r="C599" s="2" t="s">
        <v>2733</v>
      </c>
      <c r="D599" s="3">
        <v>4</v>
      </c>
      <c r="E599" s="3">
        <v>4</v>
      </c>
      <c r="F599" s="2" t="s">
        <v>16</v>
      </c>
      <c r="G599" s="2" t="s">
        <v>2734</v>
      </c>
      <c r="H599" s="3">
        <v>0</v>
      </c>
      <c r="I599" s="2" t="s">
        <v>409</v>
      </c>
      <c r="J599" s="2" t="s">
        <v>2735</v>
      </c>
      <c r="K599" s="2" t="s">
        <v>16</v>
      </c>
      <c r="L599" s="2" t="s">
        <v>2736</v>
      </c>
      <c r="M599" s="4">
        <v>64</v>
      </c>
      <c r="N599" t="e">
        <f>OR(LEFT(B599,3)="frg",(_xlfn.XMATCH(B599,ZZZ_Part_Id_[[#All],[FGCODE]])))</f>
        <v>#N/A</v>
      </c>
    </row>
    <row r="600" spans="1:14" x14ac:dyDescent="0.3">
      <c r="A600" s="2" t="s">
        <v>2732</v>
      </c>
      <c r="B600" s="2" t="s">
        <v>1445</v>
      </c>
      <c r="C600" s="2" t="s">
        <v>2737</v>
      </c>
      <c r="D600" s="3">
        <v>119520</v>
      </c>
      <c r="E600" s="3">
        <v>119520</v>
      </c>
      <c r="F600" s="2" t="s">
        <v>16</v>
      </c>
      <c r="G600" s="2" t="s">
        <v>2738</v>
      </c>
      <c r="H600" s="3">
        <v>0</v>
      </c>
      <c r="I600" s="2" t="s">
        <v>409</v>
      </c>
      <c r="J600" s="2" t="s">
        <v>2739</v>
      </c>
      <c r="K600" s="2" t="s">
        <v>16</v>
      </c>
      <c r="L600" s="2" t="s">
        <v>2740</v>
      </c>
      <c r="M600" s="4">
        <v>4559.68</v>
      </c>
      <c r="N600" t="b">
        <f>OR(LEFT(B600,3)="frg",(_xlfn.XMATCH(B600,ZZZ_Part_Id_[[#All],[FGCODE]])))</f>
        <v>1</v>
      </c>
    </row>
    <row r="601" spans="1:14" x14ac:dyDescent="0.3">
      <c r="A601" s="2" t="s">
        <v>2741</v>
      </c>
      <c r="B601" s="2" t="s">
        <v>14</v>
      </c>
      <c r="C601" s="2" t="s">
        <v>2742</v>
      </c>
      <c r="D601" s="3">
        <v>22</v>
      </c>
      <c r="E601" s="3">
        <v>0</v>
      </c>
      <c r="F601" s="2" t="s">
        <v>16</v>
      </c>
      <c r="G601" s="2" t="s">
        <v>2743</v>
      </c>
      <c r="H601" s="3">
        <v>0</v>
      </c>
      <c r="I601" s="2" t="s">
        <v>18</v>
      </c>
      <c r="J601" s="2" t="s">
        <v>2744</v>
      </c>
      <c r="K601" s="2" t="s">
        <v>16</v>
      </c>
      <c r="L601" s="2" t="s">
        <v>2745</v>
      </c>
      <c r="M601" s="4">
        <v>0</v>
      </c>
      <c r="N601" t="e">
        <f>OR(LEFT(B601,3)="frg",(_xlfn.XMATCH(B601,ZZZ_Part_Id_[[#All],[FGCODE]])))</f>
        <v>#N/A</v>
      </c>
    </row>
    <row r="602" spans="1:14" x14ac:dyDescent="0.3">
      <c r="A602" s="2" t="s">
        <v>2741</v>
      </c>
      <c r="B602" s="2" t="s">
        <v>264</v>
      </c>
      <c r="C602" s="2" t="s">
        <v>2746</v>
      </c>
      <c r="D602" s="3">
        <v>2.1999999999999999E-2</v>
      </c>
      <c r="E602" s="3">
        <v>0</v>
      </c>
      <c r="F602" s="2" t="s">
        <v>16</v>
      </c>
      <c r="G602" s="2" t="s">
        <v>2747</v>
      </c>
      <c r="H602" s="3">
        <v>0</v>
      </c>
      <c r="I602" s="2" t="s">
        <v>18</v>
      </c>
      <c r="J602" s="2" t="s">
        <v>2748</v>
      </c>
      <c r="K602" s="2" t="s">
        <v>16</v>
      </c>
      <c r="L602" s="2" t="s">
        <v>2749</v>
      </c>
      <c r="M602" s="4">
        <v>0</v>
      </c>
      <c r="N602" t="e">
        <f>OR(LEFT(B602,3)="frg",(_xlfn.XMATCH(B602,ZZZ_Part_Id_[[#All],[FGCODE]])))</f>
        <v>#N/A</v>
      </c>
    </row>
    <row r="603" spans="1:14" x14ac:dyDescent="0.3">
      <c r="A603" s="2" t="s">
        <v>2741</v>
      </c>
      <c r="B603" s="2" t="s">
        <v>1590</v>
      </c>
      <c r="C603" s="2" t="s">
        <v>2750</v>
      </c>
      <c r="D603" s="3">
        <v>657360</v>
      </c>
      <c r="E603" s="3">
        <v>0</v>
      </c>
      <c r="F603" s="2" t="s">
        <v>16</v>
      </c>
      <c r="G603" s="2" t="s">
        <v>2751</v>
      </c>
      <c r="H603" s="3">
        <v>0</v>
      </c>
      <c r="I603" s="2" t="s">
        <v>18</v>
      </c>
      <c r="J603" s="2" t="s">
        <v>2752</v>
      </c>
      <c r="K603" s="2" t="s">
        <v>16</v>
      </c>
      <c r="L603" s="2" t="s">
        <v>2753</v>
      </c>
      <c r="M603" s="4">
        <v>0</v>
      </c>
      <c r="N603" t="b">
        <f>OR(LEFT(B603,3)="frg",(_xlfn.XMATCH(B603,ZZZ_Part_Id_[[#All],[FGCODE]])))</f>
        <v>1</v>
      </c>
    </row>
    <row r="604" spans="1:14" x14ac:dyDescent="0.3">
      <c r="A604" s="2" t="s">
        <v>2754</v>
      </c>
      <c r="B604" s="2" t="s">
        <v>14</v>
      </c>
      <c r="C604" s="2" t="s">
        <v>2755</v>
      </c>
      <c r="D604" s="3">
        <v>6</v>
      </c>
      <c r="E604" s="3">
        <v>6</v>
      </c>
      <c r="F604" s="2" t="s">
        <v>16</v>
      </c>
      <c r="G604" s="2" t="s">
        <v>2756</v>
      </c>
      <c r="H604" s="3">
        <v>0</v>
      </c>
      <c r="I604" s="2" t="s">
        <v>409</v>
      </c>
      <c r="J604" s="2" t="s">
        <v>2757</v>
      </c>
      <c r="K604" s="2" t="s">
        <v>16</v>
      </c>
      <c r="L604" s="2" t="s">
        <v>2758</v>
      </c>
      <c r="M604" s="4">
        <v>0.46</v>
      </c>
      <c r="N604" t="e">
        <f>OR(LEFT(B604,3)="frg",(_xlfn.XMATCH(B604,ZZZ_Part_Id_[[#All],[FGCODE]])))</f>
        <v>#N/A</v>
      </c>
    </row>
    <row r="605" spans="1:14" x14ac:dyDescent="0.3">
      <c r="A605" s="2" t="s">
        <v>2754</v>
      </c>
      <c r="B605" s="2" t="s">
        <v>65</v>
      </c>
      <c r="C605" s="2" t="s">
        <v>2759</v>
      </c>
      <c r="D605" s="5">
        <v>-540</v>
      </c>
      <c r="E605" s="5">
        <v>-540</v>
      </c>
      <c r="F605" s="2" t="s">
        <v>23</v>
      </c>
      <c r="G605" s="2" t="s">
        <v>2760</v>
      </c>
      <c r="H605" s="3">
        <v>0</v>
      </c>
      <c r="I605" s="2" t="s">
        <v>409</v>
      </c>
      <c r="J605" s="2" t="s">
        <v>2761</v>
      </c>
      <c r="K605" s="2" t="s">
        <v>23</v>
      </c>
      <c r="L605" s="2" t="s">
        <v>2762</v>
      </c>
      <c r="M605" s="6">
        <v>-1388.66</v>
      </c>
      <c r="N605" t="b">
        <f>OR(LEFT(B605,3)="frg",(_xlfn.XMATCH(B605,ZZZ_Part_Id_[[#All],[FGCODE]])))</f>
        <v>1</v>
      </c>
    </row>
    <row r="606" spans="1:14" x14ac:dyDescent="0.3">
      <c r="A606" s="2" t="s">
        <v>2754</v>
      </c>
      <c r="B606" s="2" t="s">
        <v>426</v>
      </c>
      <c r="C606" s="2" t="s">
        <v>2763</v>
      </c>
      <c r="D606" s="3">
        <v>52992</v>
      </c>
      <c r="E606" s="3">
        <v>52992</v>
      </c>
      <c r="F606" s="2" t="s">
        <v>16</v>
      </c>
      <c r="G606" s="2" t="s">
        <v>2764</v>
      </c>
      <c r="H606" s="3">
        <v>0</v>
      </c>
      <c r="I606" s="2" t="s">
        <v>409</v>
      </c>
      <c r="J606" s="2" t="s">
        <v>2765</v>
      </c>
      <c r="K606" s="2" t="s">
        <v>16</v>
      </c>
      <c r="L606" s="2" t="s">
        <v>2766</v>
      </c>
      <c r="M606" s="4">
        <v>9868.7099999999991</v>
      </c>
      <c r="N606" t="b">
        <f>OR(LEFT(B606,3)="frg",(_xlfn.XMATCH(B606,ZZZ_Part_Id_[[#All],[FGCODE]])))</f>
        <v>1</v>
      </c>
    </row>
    <row r="607" spans="1:14" x14ac:dyDescent="0.3">
      <c r="A607" s="2" t="s">
        <v>2767</v>
      </c>
      <c r="B607" s="2" t="s">
        <v>14</v>
      </c>
      <c r="C607" s="2" t="s">
        <v>2768</v>
      </c>
      <c r="D607" s="3">
        <v>140</v>
      </c>
      <c r="E607" s="3">
        <v>140</v>
      </c>
      <c r="F607" s="2" t="s">
        <v>16</v>
      </c>
      <c r="G607" s="2" t="s">
        <v>2769</v>
      </c>
      <c r="H607" s="3">
        <v>0</v>
      </c>
      <c r="I607" s="2" t="s">
        <v>18</v>
      </c>
      <c r="J607" s="2" t="s">
        <v>2770</v>
      </c>
      <c r="K607" s="2" t="s">
        <v>16</v>
      </c>
      <c r="L607" s="2" t="s">
        <v>2771</v>
      </c>
      <c r="M607" s="4">
        <v>10.77</v>
      </c>
      <c r="N607" t="e">
        <f>OR(LEFT(B607,3)="frg",(_xlfn.XMATCH(B607,ZZZ_Part_Id_[[#All],[FGCODE]])))</f>
        <v>#N/A</v>
      </c>
    </row>
    <row r="608" spans="1:14" x14ac:dyDescent="0.3">
      <c r="A608" s="2" t="s">
        <v>2767</v>
      </c>
      <c r="B608" s="2" t="s">
        <v>1027</v>
      </c>
      <c r="C608" s="2" t="s">
        <v>2772</v>
      </c>
      <c r="D608" s="3">
        <v>1030140</v>
      </c>
      <c r="E608" s="3">
        <v>1030140</v>
      </c>
      <c r="F608" s="2" t="s">
        <v>16</v>
      </c>
      <c r="G608" s="2" t="s">
        <v>2773</v>
      </c>
      <c r="H608" s="3">
        <v>0</v>
      </c>
      <c r="I608" s="2" t="s">
        <v>18</v>
      </c>
      <c r="J608" s="2" t="s">
        <v>2774</v>
      </c>
      <c r="K608" s="2" t="s">
        <v>16</v>
      </c>
      <c r="L608" s="2" t="s">
        <v>2775</v>
      </c>
      <c r="M608" s="4">
        <v>129467.89</v>
      </c>
      <c r="N608" t="b">
        <f>OR(LEFT(B608,3)="frg",(_xlfn.XMATCH(B608,ZZZ_Part_Id_[[#All],[FGCODE]])))</f>
        <v>1</v>
      </c>
    </row>
    <row r="609" spans="1:14" x14ac:dyDescent="0.3">
      <c r="A609" s="2" t="s">
        <v>2776</v>
      </c>
      <c r="B609" s="2" t="s">
        <v>14</v>
      </c>
      <c r="C609" s="2" t="s">
        <v>2777</v>
      </c>
      <c r="D609" s="3">
        <v>40</v>
      </c>
      <c r="E609" s="3">
        <v>40</v>
      </c>
      <c r="F609" s="2" t="s">
        <v>16</v>
      </c>
      <c r="G609" s="2" t="s">
        <v>2778</v>
      </c>
      <c r="H609" s="3">
        <v>0</v>
      </c>
      <c r="I609" s="2" t="s">
        <v>409</v>
      </c>
      <c r="J609" s="2" t="s">
        <v>2779</v>
      </c>
      <c r="K609" s="2" t="s">
        <v>16</v>
      </c>
      <c r="L609" s="2" t="s">
        <v>2780</v>
      </c>
      <c r="M609" s="4">
        <v>3.08</v>
      </c>
      <c r="N609" t="e">
        <f>OR(LEFT(B609,3)="frg",(_xlfn.XMATCH(B609,ZZZ_Part_Id_[[#All],[FGCODE]])))</f>
        <v>#N/A</v>
      </c>
    </row>
    <row r="610" spans="1:14" x14ac:dyDescent="0.3">
      <c r="A610" s="2" t="s">
        <v>2776</v>
      </c>
      <c r="B610" s="2" t="s">
        <v>27</v>
      </c>
      <c r="C610" s="2" t="s">
        <v>2781</v>
      </c>
      <c r="D610" s="3">
        <v>271584</v>
      </c>
      <c r="E610" s="3">
        <v>271584</v>
      </c>
      <c r="F610" s="2" t="s">
        <v>16</v>
      </c>
      <c r="G610" s="2" t="s">
        <v>2782</v>
      </c>
      <c r="H610" s="3">
        <v>0</v>
      </c>
      <c r="I610" s="2" t="s">
        <v>409</v>
      </c>
      <c r="J610" s="2" t="s">
        <v>2783</v>
      </c>
      <c r="K610" s="2" t="s">
        <v>16</v>
      </c>
      <c r="L610" s="2" t="s">
        <v>2784</v>
      </c>
      <c r="M610" s="4">
        <v>50438.6</v>
      </c>
      <c r="N610" t="b">
        <f>OR(LEFT(B610,3)="frg",(_xlfn.XMATCH(B610,ZZZ_Part_Id_[[#All],[FGCODE]])))</f>
        <v>1</v>
      </c>
    </row>
    <row r="611" spans="1:14" x14ac:dyDescent="0.3">
      <c r="A611" s="2" t="s">
        <v>2785</v>
      </c>
      <c r="B611" s="2" t="s">
        <v>86</v>
      </c>
      <c r="C611" s="2" t="s">
        <v>2786</v>
      </c>
      <c r="D611" s="5">
        <v>-1770</v>
      </c>
      <c r="E611" s="5">
        <v>-1770</v>
      </c>
      <c r="F611" s="2" t="s">
        <v>23</v>
      </c>
      <c r="G611" s="2" t="s">
        <v>2787</v>
      </c>
      <c r="H611" s="3">
        <v>0</v>
      </c>
      <c r="I611" s="2" t="s">
        <v>18</v>
      </c>
      <c r="J611" s="2" t="s">
        <v>2788</v>
      </c>
      <c r="K611" s="2" t="s">
        <v>23</v>
      </c>
      <c r="L611" s="2" t="s">
        <v>2789</v>
      </c>
      <c r="M611" s="6">
        <v>-4633.51</v>
      </c>
      <c r="N611" t="b">
        <f>OR(LEFT(B611,3)="frg",(_xlfn.XMATCH(B611,ZZZ_Part_Id_[[#All],[FGCODE]])))</f>
        <v>1</v>
      </c>
    </row>
    <row r="612" spans="1:14" x14ac:dyDescent="0.3">
      <c r="A612" s="2" t="s">
        <v>2785</v>
      </c>
      <c r="B612" s="2" t="s">
        <v>341</v>
      </c>
      <c r="C612" s="2" t="s">
        <v>2790</v>
      </c>
      <c r="D612" s="3">
        <v>443520</v>
      </c>
      <c r="E612" s="3">
        <v>443520</v>
      </c>
      <c r="F612" s="2" t="s">
        <v>16</v>
      </c>
      <c r="G612" s="2" t="s">
        <v>2791</v>
      </c>
      <c r="H612" s="3">
        <v>0</v>
      </c>
      <c r="I612" s="2" t="s">
        <v>18</v>
      </c>
      <c r="J612" s="2" t="s">
        <v>2792</v>
      </c>
      <c r="K612" s="2" t="s">
        <v>16</v>
      </c>
      <c r="L612" s="2" t="s">
        <v>2793</v>
      </c>
      <c r="M612" s="4">
        <v>58824.05</v>
      </c>
      <c r="N612" t="b">
        <f>OR(LEFT(B612,3)="frg",(_xlfn.XMATCH(B612,ZZZ_Part_Id_[[#All],[FGCODE]])))</f>
        <v>1</v>
      </c>
    </row>
    <row r="613" spans="1:14" x14ac:dyDescent="0.3">
      <c r="A613" s="2" t="s">
        <v>2794</v>
      </c>
      <c r="B613" s="2" t="s">
        <v>14</v>
      </c>
      <c r="C613" s="2" t="s">
        <v>2795</v>
      </c>
      <c r="D613" s="3">
        <v>4</v>
      </c>
      <c r="E613" s="3">
        <v>4</v>
      </c>
      <c r="F613" s="2" t="s">
        <v>16</v>
      </c>
      <c r="G613" s="2" t="s">
        <v>2796</v>
      </c>
      <c r="H613" s="3">
        <v>0</v>
      </c>
      <c r="I613" s="2" t="s">
        <v>18</v>
      </c>
      <c r="J613" s="2" t="s">
        <v>2797</v>
      </c>
      <c r="K613" s="2" t="s">
        <v>16</v>
      </c>
      <c r="L613" s="2" t="s">
        <v>2798</v>
      </c>
      <c r="M613" s="4">
        <v>0.31</v>
      </c>
      <c r="N613" t="e">
        <f>OR(LEFT(B613,3)="frg",(_xlfn.XMATCH(B613,ZZZ_Part_Id_[[#All],[FGCODE]])))</f>
        <v>#N/A</v>
      </c>
    </row>
    <row r="614" spans="1:14" x14ac:dyDescent="0.3">
      <c r="A614" s="2" t="s">
        <v>2794</v>
      </c>
      <c r="B614" s="2" t="s">
        <v>86</v>
      </c>
      <c r="C614" s="2" t="s">
        <v>2799</v>
      </c>
      <c r="D614" s="5">
        <v>-140</v>
      </c>
      <c r="E614" s="3">
        <v>0</v>
      </c>
      <c r="F614" s="2" t="s">
        <v>23</v>
      </c>
      <c r="G614" s="2" t="s">
        <v>2800</v>
      </c>
      <c r="H614" s="3">
        <v>0</v>
      </c>
      <c r="I614" s="2" t="s">
        <v>18</v>
      </c>
      <c r="J614" s="2" t="s">
        <v>2801</v>
      </c>
      <c r="K614" s="2" t="s">
        <v>23</v>
      </c>
      <c r="L614" s="2" t="s">
        <v>2802</v>
      </c>
      <c r="M614" s="4">
        <v>0</v>
      </c>
      <c r="N614" t="b">
        <f>OR(LEFT(B614,3)="frg",(_xlfn.XMATCH(B614,ZZZ_Part_Id_[[#All],[FGCODE]])))</f>
        <v>1</v>
      </c>
    </row>
    <row r="615" spans="1:14" x14ac:dyDescent="0.3">
      <c r="A615" s="2" t="s">
        <v>2794</v>
      </c>
      <c r="B615" s="2" t="s">
        <v>2803</v>
      </c>
      <c r="C615" s="2" t="s">
        <v>2804</v>
      </c>
      <c r="D615" s="3">
        <v>30240</v>
      </c>
      <c r="E615" s="3">
        <v>30240</v>
      </c>
      <c r="F615" s="2" t="s">
        <v>16</v>
      </c>
      <c r="G615" s="2" t="s">
        <v>2805</v>
      </c>
      <c r="H615" s="3">
        <v>0</v>
      </c>
      <c r="I615" s="2" t="s">
        <v>18</v>
      </c>
      <c r="J615" s="2" t="s">
        <v>2806</v>
      </c>
      <c r="K615" s="2" t="s">
        <v>16</v>
      </c>
      <c r="L615" s="2" t="s">
        <v>2807</v>
      </c>
      <c r="M615" s="4">
        <v>3648.47</v>
      </c>
      <c r="N615" t="b">
        <f>OR(LEFT(B615,3)="frg",(_xlfn.XMATCH(B615,ZZZ_Part_Id_[[#All],[FGCODE]])))</f>
        <v>1</v>
      </c>
    </row>
    <row r="616" spans="1:14" x14ac:dyDescent="0.3">
      <c r="A616" s="2" t="s">
        <v>2808</v>
      </c>
      <c r="B616" s="2" t="s">
        <v>14</v>
      </c>
      <c r="C616" s="2" t="s">
        <v>2809</v>
      </c>
      <c r="D616" s="3">
        <v>35</v>
      </c>
      <c r="E616" s="3">
        <v>35</v>
      </c>
      <c r="F616" s="2" t="s">
        <v>16</v>
      </c>
      <c r="G616" s="2" t="s">
        <v>2810</v>
      </c>
      <c r="H616" s="3">
        <v>0</v>
      </c>
      <c r="I616" s="2" t="s">
        <v>18</v>
      </c>
      <c r="J616" s="2" t="s">
        <v>2811</v>
      </c>
      <c r="K616" s="2" t="s">
        <v>16</v>
      </c>
      <c r="L616" s="2" t="s">
        <v>2812</v>
      </c>
      <c r="M616" s="4">
        <v>2.69</v>
      </c>
      <c r="N616" t="e">
        <f>OR(LEFT(B616,3)="frg",(_xlfn.XMATCH(B616,ZZZ_Part_Id_[[#All],[FGCODE]])))</f>
        <v>#N/A</v>
      </c>
    </row>
    <row r="617" spans="1:14" x14ac:dyDescent="0.3">
      <c r="A617" s="2" t="s">
        <v>2808</v>
      </c>
      <c r="B617" s="2" t="s">
        <v>86</v>
      </c>
      <c r="C617" s="2" t="s">
        <v>2813</v>
      </c>
      <c r="D617" s="5">
        <v>-1180</v>
      </c>
      <c r="E617" s="5">
        <v>-1180</v>
      </c>
      <c r="F617" s="2" t="s">
        <v>23</v>
      </c>
      <c r="G617" s="2" t="s">
        <v>2814</v>
      </c>
      <c r="H617" s="3">
        <v>0</v>
      </c>
      <c r="I617" s="2" t="s">
        <v>18</v>
      </c>
      <c r="J617" s="2" t="s">
        <v>2815</v>
      </c>
      <c r="K617" s="2" t="s">
        <v>23</v>
      </c>
      <c r="L617" s="2" t="s">
        <v>2816</v>
      </c>
      <c r="M617" s="6">
        <v>-3089</v>
      </c>
      <c r="N617" t="b">
        <f>OR(LEFT(B617,3)="frg",(_xlfn.XMATCH(B617,ZZZ_Part_Id_[[#All],[FGCODE]])))</f>
        <v>1</v>
      </c>
    </row>
    <row r="618" spans="1:14" x14ac:dyDescent="0.3">
      <c r="A618" s="2" t="s">
        <v>2808</v>
      </c>
      <c r="B618" s="2" t="s">
        <v>341</v>
      </c>
      <c r="C618" s="2" t="s">
        <v>2817</v>
      </c>
      <c r="D618" s="3">
        <v>352800</v>
      </c>
      <c r="E618" s="3">
        <v>352800</v>
      </c>
      <c r="F618" s="2" t="s">
        <v>16</v>
      </c>
      <c r="G618" s="2" t="s">
        <v>2818</v>
      </c>
      <c r="H618" s="3">
        <v>0</v>
      </c>
      <c r="I618" s="2" t="s">
        <v>18</v>
      </c>
      <c r="J618" s="2" t="s">
        <v>2819</v>
      </c>
      <c r="K618" s="2" t="s">
        <v>16</v>
      </c>
      <c r="L618" s="2" t="s">
        <v>2820</v>
      </c>
      <c r="M618" s="4">
        <v>46791.85</v>
      </c>
      <c r="N618" t="b">
        <f>OR(LEFT(B618,3)="frg",(_xlfn.XMATCH(B618,ZZZ_Part_Id_[[#All],[FGCODE]])))</f>
        <v>1</v>
      </c>
    </row>
    <row r="619" spans="1:14" x14ac:dyDescent="0.3">
      <c r="A619" s="2" t="s">
        <v>2821</v>
      </c>
      <c r="B619" s="2" t="s">
        <v>14</v>
      </c>
      <c r="C619" s="2" t="s">
        <v>2822</v>
      </c>
      <c r="D619" s="3">
        <v>14</v>
      </c>
      <c r="E619" s="3">
        <v>14</v>
      </c>
      <c r="F619" s="2" t="s">
        <v>16</v>
      </c>
      <c r="G619" s="2" t="s">
        <v>2823</v>
      </c>
      <c r="H619" s="3">
        <v>0</v>
      </c>
      <c r="I619" s="2" t="s">
        <v>409</v>
      </c>
      <c r="J619" s="2" t="s">
        <v>2824</v>
      </c>
      <c r="K619" s="2" t="s">
        <v>16</v>
      </c>
      <c r="L619" s="2" t="s">
        <v>2825</v>
      </c>
      <c r="M619" s="4">
        <v>1.08</v>
      </c>
      <c r="N619" t="e">
        <f>OR(LEFT(B619,3)="frg",(_xlfn.XMATCH(B619,ZZZ_Part_Id_[[#All],[FGCODE]])))</f>
        <v>#N/A</v>
      </c>
    </row>
    <row r="620" spans="1:14" x14ac:dyDescent="0.3">
      <c r="A620" s="2" t="s">
        <v>2821</v>
      </c>
      <c r="B620" s="2" t="s">
        <v>21</v>
      </c>
      <c r="C620" s="2" t="s">
        <v>2826</v>
      </c>
      <c r="D620" s="5">
        <v>-454</v>
      </c>
      <c r="E620" s="5">
        <v>-454</v>
      </c>
      <c r="F620" s="2" t="s">
        <v>23</v>
      </c>
      <c r="G620" s="2" t="s">
        <v>2827</v>
      </c>
      <c r="H620" s="3">
        <v>0</v>
      </c>
      <c r="I620" s="2" t="s">
        <v>409</v>
      </c>
      <c r="J620" s="2" t="s">
        <v>2828</v>
      </c>
      <c r="K620" s="2" t="s">
        <v>23</v>
      </c>
      <c r="L620" s="2" t="s">
        <v>2829</v>
      </c>
      <c r="M620" s="6">
        <v>-859.65</v>
      </c>
      <c r="N620" t="b">
        <f>OR(LEFT(B620,3)="frg",(_xlfn.XMATCH(B620,ZZZ_Part_Id_[[#All],[FGCODE]])))</f>
        <v>1</v>
      </c>
    </row>
    <row r="621" spans="1:14" x14ac:dyDescent="0.3">
      <c r="A621" s="2" t="s">
        <v>2821</v>
      </c>
      <c r="B621" s="2" t="s">
        <v>27</v>
      </c>
      <c r="C621" s="2" t="s">
        <v>2830</v>
      </c>
      <c r="D621" s="3">
        <v>96192</v>
      </c>
      <c r="E621" s="3">
        <v>96192</v>
      </c>
      <c r="F621" s="2" t="s">
        <v>16</v>
      </c>
      <c r="G621" s="2" t="s">
        <v>2831</v>
      </c>
      <c r="H621" s="3">
        <v>0</v>
      </c>
      <c r="I621" s="2" t="s">
        <v>409</v>
      </c>
      <c r="J621" s="2" t="s">
        <v>2832</v>
      </c>
      <c r="K621" s="2" t="s">
        <v>16</v>
      </c>
      <c r="L621" s="2" t="s">
        <v>2833</v>
      </c>
      <c r="M621" s="4">
        <v>17864.79</v>
      </c>
      <c r="N621" t="b">
        <f>OR(LEFT(B621,3)="frg",(_xlfn.XMATCH(B621,ZZZ_Part_Id_[[#All],[FGCODE]])))</f>
        <v>1</v>
      </c>
    </row>
    <row r="622" spans="1:14" x14ac:dyDescent="0.3">
      <c r="A622" s="2" t="s">
        <v>2834</v>
      </c>
      <c r="B622" s="2" t="s">
        <v>121</v>
      </c>
      <c r="C622" s="2" t="s">
        <v>2835</v>
      </c>
      <c r="D622" s="3">
        <v>13248</v>
      </c>
      <c r="E622" s="3">
        <v>13248</v>
      </c>
      <c r="F622" s="2" t="s">
        <v>16</v>
      </c>
      <c r="G622" s="2" t="s">
        <v>2836</v>
      </c>
      <c r="H622" s="3">
        <v>0</v>
      </c>
      <c r="I622" s="2" t="s">
        <v>409</v>
      </c>
      <c r="J622" s="2" t="s">
        <v>2837</v>
      </c>
      <c r="K622" s="2" t="s">
        <v>16</v>
      </c>
      <c r="L622" s="2" t="s">
        <v>2838</v>
      </c>
      <c r="M622" s="4">
        <v>2461.89</v>
      </c>
      <c r="N622" t="b">
        <f>OR(LEFT(B622,3)="frg",(_xlfn.XMATCH(B622,ZZZ_Part_Id_[[#All],[FGCODE]])))</f>
        <v>1</v>
      </c>
    </row>
    <row r="623" spans="1:14" x14ac:dyDescent="0.3">
      <c r="A623" s="2" t="s">
        <v>2839</v>
      </c>
      <c r="B623" s="2" t="s">
        <v>2840</v>
      </c>
      <c r="C623" s="2" t="s">
        <v>2841</v>
      </c>
      <c r="D623" s="3">
        <v>20160</v>
      </c>
      <c r="E623" s="3">
        <v>20160</v>
      </c>
      <c r="F623" s="2" t="s">
        <v>16</v>
      </c>
      <c r="G623" s="2" t="s">
        <v>2842</v>
      </c>
      <c r="H623" s="3">
        <v>0</v>
      </c>
      <c r="I623" s="2" t="s">
        <v>18</v>
      </c>
      <c r="J623" s="2" t="s">
        <v>2843</v>
      </c>
      <c r="K623" s="2" t="s">
        <v>16</v>
      </c>
      <c r="L623" s="2" t="s">
        <v>2844</v>
      </c>
      <c r="M623" s="4">
        <v>2442.58</v>
      </c>
      <c r="N623" t="b">
        <f>OR(LEFT(B623,3)="frg",(_xlfn.XMATCH(B623,ZZZ_Part_Id_[[#All],[FGCODE]])))</f>
        <v>1</v>
      </c>
    </row>
    <row r="624" spans="1:14" x14ac:dyDescent="0.3">
      <c r="A624" s="2" t="s">
        <v>2845</v>
      </c>
      <c r="B624" s="2" t="s">
        <v>14</v>
      </c>
      <c r="C624" s="2" t="s">
        <v>2846</v>
      </c>
      <c r="D624" s="3">
        <v>40</v>
      </c>
      <c r="E624" s="3">
        <v>40</v>
      </c>
      <c r="F624" s="2" t="s">
        <v>16</v>
      </c>
      <c r="G624" s="2" t="s">
        <v>2847</v>
      </c>
      <c r="H624" s="3">
        <v>0</v>
      </c>
      <c r="I624" s="2" t="s">
        <v>18</v>
      </c>
      <c r="J624" s="2" t="s">
        <v>2848</v>
      </c>
      <c r="K624" s="2" t="s">
        <v>16</v>
      </c>
      <c r="L624" s="2" t="s">
        <v>2849</v>
      </c>
      <c r="M624" s="4">
        <v>3.08</v>
      </c>
      <c r="N624" t="e">
        <f>OR(LEFT(B624,3)="frg",(_xlfn.XMATCH(B624,ZZZ_Part_Id_[[#All],[FGCODE]])))</f>
        <v>#N/A</v>
      </c>
    </row>
    <row r="625" spans="1:14" x14ac:dyDescent="0.3">
      <c r="A625" s="2" t="s">
        <v>2845</v>
      </c>
      <c r="B625" s="2" t="s">
        <v>21</v>
      </c>
      <c r="C625" s="2" t="s">
        <v>2850</v>
      </c>
      <c r="D625" s="5">
        <v>-323</v>
      </c>
      <c r="E625" s="5">
        <v>-323</v>
      </c>
      <c r="F625" s="2" t="s">
        <v>23</v>
      </c>
      <c r="G625" s="2" t="s">
        <v>2851</v>
      </c>
      <c r="H625" s="3">
        <v>0</v>
      </c>
      <c r="I625" s="2" t="s">
        <v>18</v>
      </c>
      <c r="J625" s="2" t="s">
        <v>2852</v>
      </c>
      <c r="K625" s="2" t="s">
        <v>23</v>
      </c>
      <c r="L625" s="2" t="s">
        <v>2853</v>
      </c>
      <c r="M625" s="6">
        <v>-611.6</v>
      </c>
      <c r="N625" t="b">
        <f>OR(LEFT(B625,3)="frg",(_xlfn.XMATCH(B625,ZZZ_Part_Id_[[#All],[FGCODE]])))</f>
        <v>1</v>
      </c>
    </row>
    <row r="626" spans="1:14" x14ac:dyDescent="0.3">
      <c r="A626" s="2" t="s">
        <v>2845</v>
      </c>
      <c r="B626" s="2" t="s">
        <v>1027</v>
      </c>
      <c r="C626" s="2" t="s">
        <v>2854</v>
      </c>
      <c r="D626" s="3">
        <v>223020</v>
      </c>
      <c r="E626" s="3">
        <v>223020</v>
      </c>
      <c r="F626" s="2" t="s">
        <v>16</v>
      </c>
      <c r="G626" s="2" t="s">
        <v>2855</v>
      </c>
      <c r="H626" s="3">
        <v>0</v>
      </c>
      <c r="I626" s="2" t="s">
        <v>18</v>
      </c>
      <c r="J626" s="2" t="s">
        <v>2856</v>
      </c>
      <c r="K626" s="2" t="s">
        <v>16</v>
      </c>
      <c r="L626" s="2" t="s">
        <v>2857</v>
      </c>
      <c r="M626" s="4">
        <v>28029.14</v>
      </c>
      <c r="N626" t="b">
        <f>OR(LEFT(B626,3)="frg",(_xlfn.XMATCH(B626,ZZZ_Part_Id_[[#All],[FGCODE]])))</f>
        <v>1</v>
      </c>
    </row>
    <row r="627" spans="1:14" x14ac:dyDescent="0.3">
      <c r="A627" s="2" t="s">
        <v>2858</v>
      </c>
      <c r="B627" s="2" t="s">
        <v>14</v>
      </c>
      <c r="C627" s="2" t="s">
        <v>2859</v>
      </c>
      <c r="D627" s="3">
        <v>10</v>
      </c>
      <c r="E627" s="3">
        <v>10</v>
      </c>
      <c r="F627" s="2" t="s">
        <v>16</v>
      </c>
      <c r="G627" s="2" t="s">
        <v>2860</v>
      </c>
      <c r="H627" s="3">
        <v>0</v>
      </c>
      <c r="I627" s="2" t="s">
        <v>18</v>
      </c>
      <c r="J627" s="2" t="s">
        <v>2861</v>
      </c>
      <c r="K627" s="2" t="s">
        <v>16</v>
      </c>
      <c r="L627" s="2" t="s">
        <v>2862</v>
      </c>
      <c r="M627" s="4">
        <v>0.77</v>
      </c>
      <c r="N627" t="e">
        <f>OR(LEFT(B627,3)="frg",(_xlfn.XMATCH(B627,ZZZ_Part_Id_[[#All],[FGCODE]])))</f>
        <v>#N/A</v>
      </c>
    </row>
    <row r="628" spans="1:14" x14ac:dyDescent="0.3">
      <c r="A628" s="2" t="s">
        <v>2858</v>
      </c>
      <c r="B628" s="2" t="s">
        <v>1512</v>
      </c>
      <c r="C628" s="2" t="s">
        <v>2863</v>
      </c>
      <c r="D628" s="3">
        <v>31860</v>
      </c>
      <c r="E628" s="3">
        <v>31860</v>
      </c>
      <c r="F628" s="2" t="s">
        <v>16</v>
      </c>
      <c r="G628" s="2" t="s">
        <v>2864</v>
      </c>
      <c r="H628" s="3">
        <v>0</v>
      </c>
      <c r="I628" s="2" t="s">
        <v>18</v>
      </c>
      <c r="J628" s="2" t="s">
        <v>2865</v>
      </c>
      <c r="K628" s="2" t="s">
        <v>16</v>
      </c>
      <c r="L628" s="2" t="s">
        <v>2866</v>
      </c>
      <c r="M628" s="4">
        <v>4004.16</v>
      </c>
      <c r="N628" t="b">
        <f>OR(LEFT(B628,3)="frg",(_xlfn.XMATCH(B628,ZZZ_Part_Id_[[#All],[FGCODE]])))</f>
        <v>1</v>
      </c>
    </row>
    <row r="629" spans="1:14" x14ac:dyDescent="0.3">
      <c r="A629" s="2" t="s">
        <v>2867</v>
      </c>
      <c r="B629" s="2" t="s">
        <v>2168</v>
      </c>
      <c r="C629" s="2" t="s">
        <v>2868</v>
      </c>
      <c r="D629" s="3">
        <v>10620</v>
      </c>
      <c r="E629" s="3">
        <v>10620</v>
      </c>
      <c r="F629" s="2" t="s">
        <v>16</v>
      </c>
      <c r="G629" s="2" t="s">
        <v>2869</v>
      </c>
      <c r="H629" s="3">
        <v>0</v>
      </c>
      <c r="I629" s="2" t="s">
        <v>18</v>
      </c>
      <c r="J629" s="2" t="s">
        <v>2870</v>
      </c>
      <c r="K629" s="2" t="s">
        <v>16</v>
      </c>
      <c r="L629" s="2" t="s">
        <v>2871</v>
      </c>
      <c r="M629" s="4">
        <v>1350.65</v>
      </c>
      <c r="N629" t="b">
        <f>OR(LEFT(B629,3)="frg",(_xlfn.XMATCH(B629,ZZZ_Part_Id_[[#All],[FGCODE]])))</f>
        <v>1</v>
      </c>
    </row>
    <row r="630" spans="1:14" x14ac:dyDescent="0.3">
      <c r="A630" s="2" t="s">
        <v>2872</v>
      </c>
      <c r="B630" s="2" t="s">
        <v>37</v>
      </c>
      <c r="C630" s="2" t="s">
        <v>2873</v>
      </c>
      <c r="D630" s="3">
        <v>10</v>
      </c>
      <c r="E630" s="3">
        <v>10</v>
      </c>
      <c r="F630" s="2" t="s">
        <v>16</v>
      </c>
      <c r="G630" s="2" t="s">
        <v>2874</v>
      </c>
      <c r="H630" s="3">
        <v>0</v>
      </c>
      <c r="I630" s="2" t="s">
        <v>18</v>
      </c>
      <c r="J630" s="2" t="s">
        <v>2875</v>
      </c>
      <c r="K630" s="2" t="s">
        <v>16</v>
      </c>
      <c r="L630" s="2" t="s">
        <v>2876</v>
      </c>
      <c r="M630" s="4">
        <v>160</v>
      </c>
      <c r="N630" t="e">
        <f>OR(LEFT(B630,3)="frg",(_xlfn.XMATCH(B630,ZZZ_Part_Id_[[#All],[FGCODE]])))</f>
        <v>#N/A</v>
      </c>
    </row>
    <row r="631" spans="1:14" x14ac:dyDescent="0.3">
      <c r="A631" s="2" t="s">
        <v>2872</v>
      </c>
      <c r="B631" s="2" t="s">
        <v>65</v>
      </c>
      <c r="C631" s="2" t="s">
        <v>2877</v>
      </c>
      <c r="D631" s="5">
        <v>-249</v>
      </c>
      <c r="E631" s="5">
        <v>-249</v>
      </c>
      <c r="F631" s="2" t="s">
        <v>23</v>
      </c>
      <c r="G631" s="2" t="s">
        <v>2878</v>
      </c>
      <c r="H631" s="3">
        <v>0</v>
      </c>
      <c r="I631" s="2" t="s">
        <v>18</v>
      </c>
      <c r="J631" s="2" t="s">
        <v>2879</v>
      </c>
      <c r="K631" s="2" t="s">
        <v>23</v>
      </c>
      <c r="L631" s="2" t="s">
        <v>2880</v>
      </c>
      <c r="M631" s="6">
        <v>-640.33000000000004</v>
      </c>
      <c r="N631" t="b">
        <f>OR(LEFT(B631,3)="frg",(_xlfn.XMATCH(B631,ZZZ_Part_Id_[[#All],[FGCODE]])))</f>
        <v>1</v>
      </c>
    </row>
    <row r="632" spans="1:14" x14ac:dyDescent="0.3">
      <c r="A632" s="2" t="s">
        <v>2872</v>
      </c>
      <c r="B632" s="2" t="s">
        <v>97</v>
      </c>
      <c r="C632" s="2" t="s">
        <v>2881</v>
      </c>
      <c r="D632" s="3">
        <v>38400</v>
      </c>
      <c r="E632" s="3">
        <v>38400</v>
      </c>
      <c r="F632" s="2" t="s">
        <v>16</v>
      </c>
      <c r="G632" s="2" t="s">
        <v>2882</v>
      </c>
      <c r="H632" s="3">
        <v>0</v>
      </c>
      <c r="I632" s="2" t="s">
        <v>18</v>
      </c>
      <c r="J632" s="2" t="s">
        <v>2883</v>
      </c>
      <c r="K632" s="2" t="s">
        <v>16</v>
      </c>
      <c r="L632" s="2" t="s">
        <v>2884</v>
      </c>
      <c r="M632" s="4">
        <v>8204.92</v>
      </c>
      <c r="N632" t="b">
        <f>OR(LEFT(B632,3)="frg",(_xlfn.XMATCH(B632,ZZZ_Part_Id_[[#All],[FGCODE]])))</f>
        <v>1</v>
      </c>
    </row>
    <row r="633" spans="1:14" x14ac:dyDescent="0.3">
      <c r="A633" s="2" t="s">
        <v>2885</v>
      </c>
      <c r="B633" s="2" t="s">
        <v>2727</v>
      </c>
      <c r="C633" s="2" t="s">
        <v>2886</v>
      </c>
      <c r="D633" s="3">
        <v>1218240</v>
      </c>
      <c r="E633" s="3">
        <v>1218240</v>
      </c>
      <c r="F633" s="2" t="s">
        <v>16</v>
      </c>
      <c r="G633" s="2" t="s">
        <v>2887</v>
      </c>
      <c r="H633" s="3">
        <v>0</v>
      </c>
      <c r="I633" s="2" t="s">
        <v>18</v>
      </c>
      <c r="J633" s="2" t="s">
        <v>2888</v>
      </c>
      <c r="K633" s="2" t="s">
        <v>16</v>
      </c>
      <c r="L633" s="2" t="s">
        <v>2889</v>
      </c>
      <c r="M633" s="4">
        <v>49935.66</v>
      </c>
      <c r="N633" t="b">
        <f>OR(LEFT(B633,3)="frg",(_xlfn.XMATCH(B633,ZZZ_Part_Id_[[#All],[FGCODE]])))</f>
        <v>1</v>
      </c>
    </row>
    <row r="634" spans="1:14" x14ac:dyDescent="0.3">
      <c r="A634" s="2" t="s">
        <v>2885</v>
      </c>
      <c r="B634" s="2" t="s">
        <v>14</v>
      </c>
      <c r="C634" s="2" t="s">
        <v>2890</v>
      </c>
      <c r="D634" s="3">
        <v>48</v>
      </c>
      <c r="E634" s="3">
        <v>48</v>
      </c>
      <c r="F634" s="2" t="s">
        <v>16</v>
      </c>
      <c r="G634" s="2" t="s">
        <v>2891</v>
      </c>
      <c r="H634" s="3">
        <v>0</v>
      </c>
      <c r="I634" s="2" t="s">
        <v>18</v>
      </c>
      <c r="J634" s="2" t="s">
        <v>2892</v>
      </c>
      <c r="K634" s="2" t="s">
        <v>16</v>
      </c>
      <c r="L634" s="2" t="s">
        <v>2893</v>
      </c>
      <c r="M634" s="4">
        <v>3.69</v>
      </c>
      <c r="N634" t="e">
        <f>OR(LEFT(B634,3)="frg",(_xlfn.XMATCH(B634,ZZZ_Part_Id_[[#All],[FGCODE]])))</f>
        <v>#N/A</v>
      </c>
    </row>
    <row r="635" spans="1:14" x14ac:dyDescent="0.3">
      <c r="A635" s="2" t="s">
        <v>2894</v>
      </c>
      <c r="B635" s="2" t="s">
        <v>14</v>
      </c>
      <c r="C635" s="2" t="s">
        <v>2895</v>
      </c>
      <c r="D635" s="3">
        <v>48</v>
      </c>
      <c r="E635" s="3">
        <v>48</v>
      </c>
      <c r="F635" s="2" t="s">
        <v>16</v>
      </c>
      <c r="G635" s="2" t="s">
        <v>2896</v>
      </c>
      <c r="H635" s="3">
        <v>0</v>
      </c>
      <c r="I635" s="2" t="s">
        <v>18</v>
      </c>
      <c r="J635" s="2" t="s">
        <v>2897</v>
      </c>
      <c r="K635" s="2" t="s">
        <v>16</v>
      </c>
      <c r="L635" s="2" t="s">
        <v>2898</v>
      </c>
      <c r="M635" s="4">
        <v>3.69</v>
      </c>
      <c r="N635" t="e">
        <f>OR(LEFT(B635,3)="frg",(_xlfn.XMATCH(B635,ZZZ_Part_Id_[[#All],[FGCODE]])))</f>
        <v>#N/A</v>
      </c>
    </row>
    <row r="636" spans="1:14" x14ac:dyDescent="0.3">
      <c r="A636" s="2" t="s">
        <v>2894</v>
      </c>
      <c r="B636" s="2" t="s">
        <v>264</v>
      </c>
      <c r="C636" s="2" t="s">
        <v>2899</v>
      </c>
      <c r="D636" s="3">
        <v>4.8000000000000001E-2</v>
      </c>
      <c r="E636" s="3">
        <v>4.8000000000000001E-2</v>
      </c>
      <c r="F636" s="2" t="s">
        <v>16</v>
      </c>
      <c r="G636" s="2" t="s">
        <v>2900</v>
      </c>
      <c r="H636" s="3">
        <v>0</v>
      </c>
      <c r="I636" s="2" t="s">
        <v>18</v>
      </c>
      <c r="J636" s="2" t="s">
        <v>2901</v>
      </c>
      <c r="K636" s="2" t="s">
        <v>16</v>
      </c>
      <c r="L636" s="2" t="s">
        <v>2902</v>
      </c>
      <c r="M636" s="4">
        <v>1.23</v>
      </c>
      <c r="N636" t="e">
        <f>OR(LEFT(B636,3)="frg",(_xlfn.XMATCH(B636,ZZZ_Part_Id_[[#All],[FGCODE]])))</f>
        <v>#N/A</v>
      </c>
    </row>
    <row r="637" spans="1:14" x14ac:dyDescent="0.3">
      <c r="A637" s="2" t="s">
        <v>2894</v>
      </c>
      <c r="B637" s="2" t="s">
        <v>2727</v>
      </c>
      <c r="C637" s="2" t="s">
        <v>2903</v>
      </c>
      <c r="D637" s="3">
        <v>1218240</v>
      </c>
      <c r="E637" s="3">
        <v>1218240</v>
      </c>
      <c r="F637" s="2" t="s">
        <v>16</v>
      </c>
      <c r="G637" s="2" t="s">
        <v>2904</v>
      </c>
      <c r="H637" s="3">
        <v>0</v>
      </c>
      <c r="I637" s="2" t="s">
        <v>18</v>
      </c>
      <c r="J637" s="2" t="s">
        <v>2905</v>
      </c>
      <c r="K637" s="2" t="s">
        <v>16</v>
      </c>
      <c r="L637" s="2" t="s">
        <v>2906</v>
      </c>
      <c r="M637" s="4">
        <v>49935.66</v>
      </c>
      <c r="N637" t="b">
        <f>OR(LEFT(B637,3)="frg",(_xlfn.XMATCH(B637,ZZZ_Part_Id_[[#All],[FGCODE]])))</f>
        <v>1</v>
      </c>
    </row>
    <row r="638" spans="1:14" x14ac:dyDescent="0.3">
      <c r="A638" s="2" t="s">
        <v>2907</v>
      </c>
      <c r="B638" s="2" t="s">
        <v>14</v>
      </c>
      <c r="C638" s="2" t="s">
        <v>2908</v>
      </c>
      <c r="D638" s="3">
        <v>140</v>
      </c>
      <c r="E638" s="3">
        <v>140</v>
      </c>
      <c r="F638" s="2" t="s">
        <v>16</v>
      </c>
      <c r="G638" s="2" t="s">
        <v>2909</v>
      </c>
      <c r="H638" s="3">
        <v>0</v>
      </c>
      <c r="I638" s="2" t="s">
        <v>18</v>
      </c>
      <c r="J638" s="2" t="s">
        <v>2910</v>
      </c>
      <c r="K638" s="2" t="s">
        <v>16</v>
      </c>
      <c r="L638" s="2" t="s">
        <v>2911</v>
      </c>
      <c r="M638" s="4">
        <v>10.77</v>
      </c>
      <c r="N638" t="e">
        <f>OR(LEFT(B638,3)="frg",(_xlfn.XMATCH(B638,ZZZ_Part_Id_[[#All],[FGCODE]])))</f>
        <v>#N/A</v>
      </c>
    </row>
    <row r="639" spans="1:14" x14ac:dyDescent="0.3">
      <c r="A639" s="2" t="s">
        <v>2907</v>
      </c>
      <c r="B639" s="2" t="s">
        <v>740</v>
      </c>
      <c r="C639" s="2" t="s">
        <v>2912</v>
      </c>
      <c r="D639" s="3">
        <v>838980</v>
      </c>
      <c r="E639" s="3">
        <v>838980</v>
      </c>
      <c r="F639" s="2" t="s">
        <v>16</v>
      </c>
      <c r="G639" s="2" t="s">
        <v>2913</v>
      </c>
      <c r="H639" s="3">
        <v>0</v>
      </c>
      <c r="I639" s="2" t="s">
        <v>18</v>
      </c>
      <c r="J639" s="2" t="s">
        <v>2914</v>
      </c>
      <c r="K639" s="2" t="s">
        <v>16</v>
      </c>
      <c r="L639" s="2" t="s">
        <v>2915</v>
      </c>
      <c r="M639" s="4">
        <v>103270.37</v>
      </c>
      <c r="N639" t="b">
        <f>OR(LEFT(B639,3)="frg",(_xlfn.XMATCH(B639,ZZZ_Part_Id_[[#All],[FGCODE]])))</f>
        <v>1</v>
      </c>
    </row>
    <row r="640" spans="1:14" x14ac:dyDescent="0.3">
      <c r="A640" s="2" t="s">
        <v>2916</v>
      </c>
      <c r="B640" s="2" t="s">
        <v>14</v>
      </c>
      <c r="C640" s="2" t="s">
        <v>2917</v>
      </c>
      <c r="D640" s="3">
        <v>14</v>
      </c>
      <c r="E640" s="3">
        <v>14</v>
      </c>
      <c r="F640" s="2" t="s">
        <v>16</v>
      </c>
      <c r="G640" s="2" t="s">
        <v>2918</v>
      </c>
      <c r="H640" s="3">
        <v>0</v>
      </c>
      <c r="I640" s="2" t="s">
        <v>18</v>
      </c>
      <c r="J640" s="2" t="s">
        <v>2919</v>
      </c>
      <c r="K640" s="2" t="s">
        <v>16</v>
      </c>
      <c r="L640" s="2" t="s">
        <v>2920</v>
      </c>
      <c r="M640" s="4">
        <v>1.08</v>
      </c>
      <c r="N640" t="e">
        <f>OR(LEFT(B640,3)="frg",(_xlfn.XMATCH(B640,ZZZ_Part_Id_[[#All],[FGCODE]])))</f>
        <v>#N/A</v>
      </c>
    </row>
    <row r="641" spans="1:14" x14ac:dyDescent="0.3">
      <c r="A641" s="2" t="s">
        <v>2916</v>
      </c>
      <c r="B641" s="2" t="s">
        <v>426</v>
      </c>
      <c r="C641" s="2" t="s">
        <v>2921</v>
      </c>
      <c r="D641" s="3">
        <v>92736</v>
      </c>
      <c r="E641" s="3">
        <v>92736</v>
      </c>
      <c r="F641" s="2" t="s">
        <v>16</v>
      </c>
      <c r="G641" s="2" t="s">
        <v>2922</v>
      </c>
      <c r="H641" s="3">
        <v>0</v>
      </c>
      <c r="I641" s="2" t="s">
        <v>18</v>
      </c>
      <c r="J641" s="2" t="s">
        <v>2923</v>
      </c>
      <c r="K641" s="2" t="s">
        <v>16</v>
      </c>
      <c r="L641" s="2" t="s">
        <v>2924</v>
      </c>
      <c r="M641" s="4">
        <v>17270.259999999998</v>
      </c>
      <c r="N641" t="b">
        <f>OR(LEFT(B641,3)="frg",(_xlfn.XMATCH(B641,ZZZ_Part_Id_[[#All],[FGCODE]])))</f>
        <v>1</v>
      </c>
    </row>
    <row r="642" spans="1:14" x14ac:dyDescent="0.3">
      <c r="A642" s="2" t="s">
        <v>2925</v>
      </c>
      <c r="B642" s="2" t="s">
        <v>14</v>
      </c>
      <c r="C642" s="2" t="s">
        <v>2926</v>
      </c>
      <c r="D642" s="3">
        <v>10</v>
      </c>
      <c r="E642" s="3">
        <v>10</v>
      </c>
      <c r="F642" s="2" t="s">
        <v>16</v>
      </c>
      <c r="G642" s="2" t="s">
        <v>2927</v>
      </c>
      <c r="H642" s="3">
        <v>0</v>
      </c>
      <c r="I642" s="2" t="s">
        <v>409</v>
      </c>
      <c r="J642" s="2" t="s">
        <v>2928</v>
      </c>
      <c r="K642" s="2" t="s">
        <v>16</v>
      </c>
      <c r="L642" s="2" t="s">
        <v>2929</v>
      </c>
      <c r="M642" s="4">
        <v>0.77</v>
      </c>
      <c r="N642" t="e">
        <f>OR(LEFT(B642,3)="frg",(_xlfn.XMATCH(B642,ZZZ_Part_Id_[[#All],[FGCODE]])))</f>
        <v>#N/A</v>
      </c>
    </row>
    <row r="643" spans="1:14" x14ac:dyDescent="0.3">
      <c r="A643" s="2" t="s">
        <v>2925</v>
      </c>
      <c r="B643" s="2" t="s">
        <v>65</v>
      </c>
      <c r="C643" s="2" t="s">
        <v>2930</v>
      </c>
      <c r="D643" s="5">
        <v>-296</v>
      </c>
      <c r="E643" s="5">
        <v>-296</v>
      </c>
      <c r="F643" s="2" t="s">
        <v>23</v>
      </c>
      <c r="G643" s="2" t="s">
        <v>2931</v>
      </c>
      <c r="H643" s="3">
        <v>0</v>
      </c>
      <c r="I643" s="2" t="s">
        <v>409</v>
      </c>
      <c r="J643" s="2" t="s">
        <v>2932</v>
      </c>
      <c r="K643" s="2" t="s">
        <v>23</v>
      </c>
      <c r="L643" s="2" t="s">
        <v>2933</v>
      </c>
      <c r="M643" s="6">
        <v>-761.19</v>
      </c>
      <c r="N643" t="b">
        <f>OR(LEFT(B643,3)="frg",(_xlfn.XMATCH(B643,ZZZ_Part_Id_[[#All],[FGCODE]])))</f>
        <v>1</v>
      </c>
    </row>
    <row r="644" spans="1:14" x14ac:dyDescent="0.3">
      <c r="A644" s="2" t="s">
        <v>2925</v>
      </c>
      <c r="B644" s="2" t="s">
        <v>2934</v>
      </c>
      <c r="C644" s="2" t="s">
        <v>2935</v>
      </c>
      <c r="D644" s="3">
        <v>98496</v>
      </c>
      <c r="E644" s="3">
        <v>98496</v>
      </c>
      <c r="F644" s="2" t="s">
        <v>16</v>
      </c>
      <c r="G644" s="2" t="s">
        <v>2936</v>
      </c>
      <c r="H644" s="3">
        <v>0</v>
      </c>
      <c r="I644" s="2" t="s">
        <v>409</v>
      </c>
      <c r="J644" s="2" t="s">
        <v>2937</v>
      </c>
      <c r="K644" s="2" t="s">
        <v>16</v>
      </c>
      <c r="L644" s="2" t="s">
        <v>2938</v>
      </c>
      <c r="M644" s="4">
        <v>7841.28</v>
      </c>
      <c r="N644" t="b">
        <f>OR(LEFT(B644,3)="frg",(_xlfn.XMATCH(B644,ZZZ_Part_Id_[[#All],[FGCODE]])))</f>
        <v>1</v>
      </c>
    </row>
    <row r="645" spans="1:14" x14ac:dyDescent="0.3">
      <c r="A645" s="2" t="s">
        <v>2939</v>
      </c>
      <c r="B645" s="2" t="s">
        <v>14</v>
      </c>
      <c r="C645" s="2" t="s">
        <v>2940</v>
      </c>
      <c r="D645" s="3">
        <v>10</v>
      </c>
      <c r="E645" s="3">
        <v>10</v>
      </c>
      <c r="F645" s="2" t="s">
        <v>16</v>
      </c>
      <c r="G645" s="2" t="s">
        <v>2941</v>
      </c>
      <c r="H645" s="3">
        <v>0</v>
      </c>
      <c r="I645" s="2" t="s">
        <v>18</v>
      </c>
      <c r="J645" s="2" t="s">
        <v>2942</v>
      </c>
      <c r="K645" s="2" t="s">
        <v>16</v>
      </c>
      <c r="L645" s="2" t="s">
        <v>2943</v>
      </c>
      <c r="M645" s="4">
        <v>0.77</v>
      </c>
      <c r="N645" t="e">
        <f>OR(LEFT(B645,3)="frg",(_xlfn.XMATCH(B645,ZZZ_Part_Id_[[#All],[FGCODE]])))</f>
        <v>#N/A</v>
      </c>
    </row>
    <row r="646" spans="1:14" x14ac:dyDescent="0.3">
      <c r="A646" s="2" t="s">
        <v>2939</v>
      </c>
      <c r="B646" s="2" t="s">
        <v>86</v>
      </c>
      <c r="C646" s="2" t="s">
        <v>2944</v>
      </c>
      <c r="D646" s="5">
        <v>-295</v>
      </c>
      <c r="E646" s="5">
        <v>-295</v>
      </c>
      <c r="F646" s="2" t="s">
        <v>23</v>
      </c>
      <c r="G646" s="2" t="s">
        <v>2945</v>
      </c>
      <c r="H646" s="3">
        <v>0</v>
      </c>
      <c r="I646" s="2" t="s">
        <v>18</v>
      </c>
      <c r="J646" s="2" t="s">
        <v>2946</v>
      </c>
      <c r="K646" s="2" t="s">
        <v>23</v>
      </c>
      <c r="L646" s="2" t="s">
        <v>2947</v>
      </c>
      <c r="M646" s="6">
        <v>-772.25</v>
      </c>
      <c r="N646" t="b">
        <f>OR(LEFT(B646,3)="frg",(_xlfn.XMATCH(B646,ZZZ_Part_Id_[[#All],[FGCODE]])))</f>
        <v>1</v>
      </c>
    </row>
    <row r="647" spans="1:14" x14ac:dyDescent="0.3">
      <c r="A647" s="2" t="s">
        <v>2939</v>
      </c>
      <c r="B647" s="2" t="s">
        <v>341</v>
      </c>
      <c r="C647" s="2" t="s">
        <v>2948</v>
      </c>
      <c r="D647" s="3">
        <v>100800</v>
      </c>
      <c r="E647" s="3">
        <v>100800</v>
      </c>
      <c r="F647" s="2" t="s">
        <v>16</v>
      </c>
      <c r="G647" s="2" t="s">
        <v>2949</v>
      </c>
      <c r="H647" s="3">
        <v>0</v>
      </c>
      <c r="I647" s="2" t="s">
        <v>18</v>
      </c>
      <c r="J647" s="2" t="s">
        <v>2950</v>
      </c>
      <c r="K647" s="2" t="s">
        <v>16</v>
      </c>
      <c r="L647" s="2" t="s">
        <v>2951</v>
      </c>
      <c r="M647" s="4">
        <v>13369.1</v>
      </c>
      <c r="N647" t="b">
        <f>OR(LEFT(B647,3)="frg",(_xlfn.XMATCH(B647,ZZZ_Part_Id_[[#All],[FGCODE]])))</f>
        <v>1</v>
      </c>
    </row>
    <row r="648" spans="1:14" x14ac:dyDescent="0.3">
      <c r="A648" s="2" t="s">
        <v>2952</v>
      </c>
      <c r="B648" s="2" t="s">
        <v>14</v>
      </c>
      <c r="C648" s="2" t="s">
        <v>2953</v>
      </c>
      <c r="D648" s="3">
        <v>35</v>
      </c>
      <c r="E648" s="3">
        <v>35</v>
      </c>
      <c r="F648" s="2" t="s">
        <v>16</v>
      </c>
      <c r="G648" s="2" t="s">
        <v>2954</v>
      </c>
      <c r="H648" s="3">
        <v>0</v>
      </c>
      <c r="I648" s="2" t="s">
        <v>409</v>
      </c>
      <c r="J648" s="2" t="s">
        <v>2955</v>
      </c>
      <c r="K648" s="2" t="s">
        <v>16</v>
      </c>
      <c r="L648" s="2" t="s">
        <v>2956</v>
      </c>
      <c r="M648" s="4">
        <v>2.69</v>
      </c>
      <c r="N648" t="e">
        <f>OR(LEFT(B648,3)="frg",(_xlfn.XMATCH(B648,ZZZ_Part_Id_[[#All],[FGCODE]])))</f>
        <v>#N/A</v>
      </c>
    </row>
    <row r="649" spans="1:14" x14ac:dyDescent="0.3">
      <c r="A649" s="2" t="s">
        <v>2952</v>
      </c>
      <c r="B649" s="2" t="s">
        <v>86</v>
      </c>
      <c r="C649" s="2" t="s">
        <v>2957</v>
      </c>
      <c r="D649" s="5">
        <v>-259</v>
      </c>
      <c r="E649" s="5">
        <v>-259</v>
      </c>
      <c r="F649" s="2" t="s">
        <v>23</v>
      </c>
      <c r="G649" s="2" t="s">
        <v>2958</v>
      </c>
      <c r="H649" s="3">
        <v>0</v>
      </c>
      <c r="I649" s="2" t="s">
        <v>409</v>
      </c>
      <c r="J649" s="2" t="s">
        <v>2959</v>
      </c>
      <c r="K649" s="2" t="s">
        <v>23</v>
      </c>
      <c r="L649" s="2" t="s">
        <v>2960</v>
      </c>
      <c r="M649" s="6">
        <v>-678.01</v>
      </c>
      <c r="N649" t="b">
        <f>OR(LEFT(B649,3)="frg",(_xlfn.XMATCH(B649,ZZZ_Part_Id_[[#All],[FGCODE]])))</f>
        <v>1</v>
      </c>
    </row>
    <row r="650" spans="1:14" x14ac:dyDescent="0.3">
      <c r="A650" s="2" t="s">
        <v>2952</v>
      </c>
      <c r="B650" s="2" t="s">
        <v>2238</v>
      </c>
      <c r="C650" s="2" t="s">
        <v>2961</v>
      </c>
      <c r="D650" s="3">
        <v>345600</v>
      </c>
      <c r="E650" s="3">
        <v>345600</v>
      </c>
      <c r="F650" s="2" t="s">
        <v>16</v>
      </c>
      <c r="G650" s="2" t="s">
        <v>2962</v>
      </c>
      <c r="H650" s="3">
        <v>0</v>
      </c>
      <c r="I650" s="2" t="s">
        <v>409</v>
      </c>
      <c r="J650" s="2" t="s">
        <v>2963</v>
      </c>
      <c r="K650" s="2" t="s">
        <v>16</v>
      </c>
      <c r="L650" s="2" t="s">
        <v>2964</v>
      </c>
      <c r="M650" s="4">
        <v>5481.19</v>
      </c>
      <c r="N650" t="b">
        <f>OR(LEFT(B650,3)="frg",(_xlfn.XMATCH(B650,ZZZ_Part_Id_[[#All],[FGCODE]])))</f>
        <v>1</v>
      </c>
    </row>
    <row r="651" spans="1:14" x14ac:dyDescent="0.3">
      <c r="A651" s="2" t="s">
        <v>2965</v>
      </c>
      <c r="B651" s="2" t="s">
        <v>14</v>
      </c>
      <c r="C651" s="2" t="s">
        <v>2966</v>
      </c>
      <c r="D651" s="3">
        <v>10</v>
      </c>
      <c r="E651" s="3">
        <v>10</v>
      </c>
      <c r="F651" s="2" t="s">
        <v>16</v>
      </c>
      <c r="G651" s="2" t="s">
        <v>2967</v>
      </c>
      <c r="H651" s="3">
        <v>0</v>
      </c>
      <c r="I651" s="2" t="s">
        <v>18</v>
      </c>
      <c r="J651" s="2" t="s">
        <v>2968</v>
      </c>
      <c r="K651" s="2" t="s">
        <v>16</v>
      </c>
      <c r="L651" s="2" t="s">
        <v>2969</v>
      </c>
      <c r="M651" s="4">
        <v>0.77</v>
      </c>
      <c r="N651" t="e">
        <f>OR(LEFT(B651,3)="frg",(_xlfn.XMATCH(B651,ZZZ_Part_Id_[[#All],[FGCODE]])))</f>
        <v>#N/A</v>
      </c>
    </row>
    <row r="652" spans="1:14" x14ac:dyDescent="0.3">
      <c r="A652" s="2" t="s">
        <v>2965</v>
      </c>
      <c r="B652" s="2" t="s">
        <v>86</v>
      </c>
      <c r="C652" s="2" t="s">
        <v>2970</v>
      </c>
      <c r="D652" s="5">
        <v>-476</v>
      </c>
      <c r="E652" s="5">
        <v>-476</v>
      </c>
      <c r="F652" s="2" t="s">
        <v>23</v>
      </c>
      <c r="G652" s="2" t="s">
        <v>2971</v>
      </c>
      <c r="H652" s="3">
        <v>0</v>
      </c>
      <c r="I652" s="2" t="s">
        <v>18</v>
      </c>
      <c r="J652" s="2" t="s">
        <v>2972</v>
      </c>
      <c r="K652" s="2" t="s">
        <v>23</v>
      </c>
      <c r="L652" s="2" t="s">
        <v>2973</v>
      </c>
      <c r="M652" s="6">
        <v>-1246.07</v>
      </c>
      <c r="N652" t="b">
        <f>OR(LEFT(B652,3)="frg",(_xlfn.XMATCH(B652,ZZZ_Part_Id_[[#All],[FGCODE]])))</f>
        <v>1</v>
      </c>
    </row>
    <row r="653" spans="1:14" x14ac:dyDescent="0.3">
      <c r="A653" s="2" t="s">
        <v>2965</v>
      </c>
      <c r="B653" s="2" t="s">
        <v>76</v>
      </c>
      <c r="C653" s="2" t="s">
        <v>2974</v>
      </c>
      <c r="D653" s="3">
        <v>304560</v>
      </c>
      <c r="E653" s="3">
        <v>304560</v>
      </c>
      <c r="F653" s="2" t="s">
        <v>16</v>
      </c>
      <c r="G653" s="2" t="s">
        <v>2975</v>
      </c>
      <c r="H653" s="3">
        <v>0</v>
      </c>
      <c r="I653" s="2" t="s">
        <v>18</v>
      </c>
      <c r="J653" s="2" t="s">
        <v>2976</v>
      </c>
      <c r="K653" s="2" t="s">
        <v>16</v>
      </c>
      <c r="L653" s="2" t="s">
        <v>2977</v>
      </c>
      <c r="M653" s="4">
        <v>2500.44</v>
      </c>
      <c r="N653" t="b">
        <f>OR(LEFT(B653,3)="frg",(_xlfn.XMATCH(B653,ZZZ_Part_Id_[[#All],[FGCODE]])))</f>
        <v>1</v>
      </c>
    </row>
    <row r="654" spans="1:14" x14ac:dyDescent="0.3">
      <c r="A654" s="2" t="s">
        <v>2978</v>
      </c>
      <c r="B654" s="2" t="s">
        <v>14</v>
      </c>
      <c r="C654" s="2" t="s">
        <v>2979</v>
      </c>
      <c r="D654" s="3">
        <v>10</v>
      </c>
      <c r="E654" s="3">
        <v>10</v>
      </c>
      <c r="F654" s="2" t="s">
        <v>16</v>
      </c>
      <c r="G654" s="2" t="s">
        <v>2980</v>
      </c>
      <c r="H654" s="3">
        <v>0</v>
      </c>
      <c r="I654" s="2" t="s">
        <v>18</v>
      </c>
      <c r="J654" s="2" t="s">
        <v>2981</v>
      </c>
      <c r="K654" s="2" t="s">
        <v>16</v>
      </c>
      <c r="L654" s="2" t="s">
        <v>2982</v>
      </c>
      <c r="M654" s="4">
        <v>0.77</v>
      </c>
      <c r="N654" t="e">
        <f>OR(LEFT(B654,3)="frg",(_xlfn.XMATCH(B654,ZZZ_Part_Id_[[#All],[FGCODE]])))</f>
        <v>#N/A</v>
      </c>
    </row>
    <row r="655" spans="1:14" x14ac:dyDescent="0.3">
      <c r="A655" s="2" t="s">
        <v>2978</v>
      </c>
      <c r="B655" s="2" t="s">
        <v>1119</v>
      </c>
      <c r="C655" s="2" t="s">
        <v>2983</v>
      </c>
      <c r="D655" s="3">
        <v>126900</v>
      </c>
      <c r="E655" s="3">
        <v>126900</v>
      </c>
      <c r="F655" s="2" t="s">
        <v>16</v>
      </c>
      <c r="G655" s="2" t="s">
        <v>2984</v>
      </c>
      <c r="H655" s="3">
        <v>0</v>
      </c>
      <c r="I655" s="2" t="s">
        <v>18</v>
      </c>
      <c r="J655" s="2" t="s">
        <v>2985</v>
      </c>
      <c r="K655" s="2" t="s">
        <v>16</v>
      </c>
      <c r="L655" s="2" t="s">
        <v>2986</v>
      </c>
      <c r="M655" s="4">
        <v>5847.55</v>
      </c>
      <c r="N655" t="b">
        <f>OR(LEFT(B655,3)="frg",(_xlfn.XMATCH(B655,ZZZ_Part_Id_[[#All],[FGCODE]])))</f>
        <v>1</v>
      </c>
    </row>
    <row r="656" spans="1:14" x14ac:dyDescent="0.3">
      <c r="A656" s="2" t="s">
        <v>2987</v>
      </c>
      <c r="B656" s="2" t="s">
        <v>740</v>
      </c>
      <c r="C656" s="2" t="s">
        <v>2988</v>
      </c>
      <c r="D656" s="3">
        <v>1200060</v>
      </c>
      <c r="E656" s="3">
        <v>1200060</v>
      </c>
      <c r="F656" s="2" t="s">
        <v>16</v>
      </c>
      <c r="G656" s="2" t="s">
        <v>2989</v>
      </c>
      <c r="H656" s="3">
        <v>0</v>
      </c>
      <c r="I656" s="2" t="s">
        <v>18</v>
      </c>
      <c r="J656" s="2" t="s">
        <v>2990</v>
      </c>
      <c r="K656" s="2" t="s">
        <v>16</v>
      </c>
      <c r="L656" s="2" t="s">
        <v>2991</v>
      </c>
      <c r="M656" s="4">
        <v>147715.85</v>
      </c>
      <c r="N656" t="b">
        <f>OR(LEFT(B656,3)="frg",(_xlfn.XMATCH(B656,ZZZ_Part_Id_[[#All],[FGCODE]])))</f>
        <v>1</v>
      </c>
    </row>
    <row r="657" spans="1:14" x14ac:dyDescent="0.3">
      <c r="A657" s="2" t="s">
        <v>2992</v>
      </c>
      <c r="B657" s="2" t="s">
        <v>14</v>
      </c>
      <c r="C657" s="2" t="s">
        <v>2993</v>
      </c>
      <c r="D657" s="3">
        <v>64</v>
      </c>
      <c r="E657" s="3">
        <v>64</v>
      </c>
      <c r="F657" s="2" t="s">
        <v>16</v>
      </c>
      <c r="G657" s="2" t="s">
        <v>2994</v>
      </c>
      <c r="H657" s="3">
        <v>0</v>
      </c>
      <c r="I657" s="2" t="s">
        <v>18</v>
      </c>
      <c r="J657" s="2" t="s">
        <v>2995</v>
      </c>
      <c r="K657" s="2" t="s">
        <v>16</v>
      </c>
      <c r="L657" s="2" t="s">
        <v>2996</v>
      </c>
      <c r="M657" s="4">
        <v>4.92</v>
      </c>
      <c r="N657" t="e">
        <f>OR(LEFT(B657,3)="frg",(_xlfn.XMATCH(B657,ZZZ_Part_Id_[[#All],[FGCODE]])))</f>
        <v>#N/A</v>
      </c>
    </row>
    <row r="658" spans="1:14" x14ac:dyDescent="0.3">
      <c r="A658" s="2" t="s">
        <v>2992</v>
      </c>
      <c r="B658" s="2" t="s">
        <v>426</v>
      </c>
      <c r="C658" s="2" t="s">
        <v>2997</v>
      </c>
      <c r="D658" s="3">
        <v>430560</v>
      </c>
      <c r="E658" s="3">
        <v>430560</v>
      </c>
      <c r="F658" s="2" t="s">
        <v>16</v>
      </c>
      <c r="G658" s="2" t="s">
        <v>2998</v>
      </c>
      <c r="H658" s="3">
        <v>0</v>
      </c>
      <c r="I658" s="2" t="s">
        <v>18</v>
      </c>
      <c r="J658" s="2" t="s">
        <v>2999</v>
      </c>
      <c r="K658" s="2" t="s">
        <v>16</v>
      </c>
      <c r="L658" s="2" t="s">
        <v>3000</v>
      </c>
      <c r="M658" s="4">
        <v>80183.34</v>
      </c>
      <c r="N658" t="b">
        <f>OR(LEFT(B658,3)="frg",(_xlfn.XMATCH(B658,ZZZ_Part_Id_[[#All],[FGCODE]])))</f>
        <v>1</v>
      </c>
    </row>
    <row r="659" spans="1:14" x14ac:dyDescent="0.3">
      <c r="A659" s="2" t="s">
        <v>3001</v>
      </c>
      <c r="B659" s="2" t="s">
        <v>86</v>
      </c>
      <c r="C659" s="2" t="s">
        <v>3002</v>
      </c>
      <c r="D659" s="5">
        <v>-777</v>
      </c>
      <c r="E659" s="5">
        <v>-777</v>
      </c>
      <c r="F659" s="2" t="s">
        <v>23</v>
      </c>
      <c r="G659" s="2" t="s">
        <v>3003</v>
      </c>
      <c r="H659" s="3">
        <v>0</v>
      </c>
      <c r="I659" s="2" t="s">
        <v>409</v>
      </c>
      <c r="J659" s="2" t="s">
        <v>3004</v>
      </c>
      <c r="K659" s="2" t="s">
        <v>23</v>
      </c>
      <c r="L659" s="2" t="s">
        <v>3005</v>
      </c>
      <c r="M659" s="6">
        <v>-2034.03</v>
      </c>
      <c r="N659" t="b">
        <f>OR(LEFT(B659,3)="frg",(_xlfn.XMATCH(B659,ZZZ_Part_Id_[[#All],[FGCODE]])))</f>
        <v>1</v>
      </c>
    </row>
    <row r="660" spans="1:14" x14ac:dyDescent="0.3">
      <c r="A660" s="2" t="s">
        <v>3001</v>
      </c>
      <c r="B660" s="2" t="s">
        <v>2238</v>
      </c>
      <c r="C660" s="2" t="s">
        <v>3006</v>
      </c>
      <c r="D660" s="3">
        <v>288000</v>
      </c>
      <c r="E660" s="3">
        <v>288000</v>
      </c>
      <c r="F660" s="2" t="s">
        <v>16</v>
      </c>
      <c r="G660" s="2" t="s">
        <v>3007</v>
      </c>
      <c r="H660" s="3">
        <v>0</v>
      </c>
      <c r="I660" s="2" t="s">
        <v>409</v>
      </c>
      <c r="J660" s="2" t="s">
        <v>3008</v>
      </c>
      <c r="K660" s="2" t="s">
        <v>16</v>
      </c>
      <c r="L660" s="2" t="s">
        <v>3009</v>
      </c>
      <c r="M660" s="4">
        <v>4567.6499999999996</v>
      </c>
      <c r="N660" t="b">
        <f>OR(LEFT(B660,3)="frg",(_xlfn.XMATCH(B660,ZZZ_Part_Id_[[#All],[FGCODE]])))</f>
        <v>1</v>
      </c>
    </row>
    <row r="661" spans="1:14" x14ac:dyDescent="0.3">
      <c r="A661" s="2" t="s">
        <v>3010</v>
      </c>
      <c r="B661" s="2" t="s">
        <v>14</v>
      </c>
      <c r="C661" s="2" t="s">
        <v>3011</v>
      </c>
      <c r="D661" s="3">
        <v>20</v>
      </c>
      <c r="E661" s="3">
        <v>20</v>
      </c>
      <c r="F661" s="2" t="s">
        <v>16</v>
      </c>
      <c r="G661" s="2" t="s">
        <v>3012</v>
      </c>
      <c r="H661" s="3">
        <v>0</v>
      </c>
      <c r="I661" s="2" t="s">
        <v>18</v>
      </c>
      <c r="J661" s="2" t="s">
        <v>3013</v>
      </c>
      <c r="K661" s="2" t="s">
        <v>16</v>
      </c>
      <c r="L661" s="2" t="s">
        <v>3014</v>
      </c>
      <c r="M661" s="4">
        <v>1.54</v>
      </c>
      <c r="N661" t="e">
        <f>OR(LEFT(B661,3)="frg",(_xlfn.XMATCH(B661,ZZZ_Part_Id_[[#All],[FGCODE]])))</f>
        <v>#N/A</v>
      </c>
    </row>
    <row r="662" spans="1:14" x14ac:dyDescent="0.3">
      <c r="A662" s="2" t="s">
        <v>3010</v>
      </c>
      <c r="B662" s="2" t="s">
        <v>37</v>
      </c>
      <c r="C662" s="2" t="s">
        <v>3015</v>
      </c>
      <c r="D662" s="3">
        <v>20</v>
      </c>
      <c r="E662" s="3">
        <v>20</v>
      </c>
      <c r="F662" s="2" t="s">
        <v>16</v>
      </c>
      <c r="G662" s="2" t="s">
        <v>3016</v>
      </c>
      <c r="H662" s="3">
        <v>0</v>
      </c>
      <c r="I662" s="2" t="s">
        <v>18</v>
      </c>
      <c r="J662" s="2" t="s">
        <v>3017</v>
      </c>
      <c r="K662" s="2" t="s">
        <v>16</v>
      </c>
      <c r="L662" s="2" t="s">
        <v>3018</v>
      </c>
      <c r="M662" s="4">
        <v>320.01</v>
      </c>
      <c r="N662" t="e">
        <f>OR(LEFT(B662,3)="frg",(_xlfn.XMATCH(B662,ZZZ_Part_Id_[[#All],[FGCODE]])))</f>
        <v>#N/A</v>
      </c>
    </row>
    <row r="663" spans="1:14" x14ac:dyDescent="0.3">
      <c r="A663" s="2" t="s">
        <v>3010</v>
      </c>
      <c r="B663" s="2" t="s">
        <v>86</v>
      </c>
      <c r="C663" s="2" t="s">
        <v>3019</v>
      </c>
      <c r="D663" s="5">
        <v>-476</v>
      </c>
      <c r="E663" s="5">
        <v>-476</v>
      </c>
      <c r="F663" s="2" t="s">
        <v>23</v>
      </c>
      <c r="G663" s="2" t="s">
        <v>3020</v>
      </c>
      <c r="H663" s="3">
        <v>0</v>
      </c>
      <c r="I663" s="2" t="s">
        <v>18</v>
      </c>
      <c r="J663" s="2" t="s">
        <v>3021</v>
      </c>
      <c r="K663" s="2" t="s">
        <v>23</v>
      </c>
      <c r="L663" s="2" t="s">
        <v>3022</v>
      </c>
      <c r="M663" s="6">
        <v>-1246.07</v>
      </c>
      <c r="N663" t="b">
        <f>OR(LEFT(B663,3)="frg",(_xlfn.XMATCH(B663,ZZZ_Part_Id_[[#All],[FGCODE]])))</f>
        <v>1</v>
      </c>
    </row>
    <row r="664" spans="1:14" x14ac:dyDescent="0.3">
      <c r="A664" s="2" t="s">
        <v>3010</v>
      </c>
      <c r="B664" s="2" t="s">
        <v>76</v>
      </c>
      <c r="C664" s="2" t="s">
        <v>3023</v>
      </c>
      <c r="D664" s="3">
        <v>507600</v>
      </c>
      <c r="E664" s="3">
        <v>507600</v>
      </c>
      <c r="F664" s="2" t="s">
        <v>16</v>
      </c>
      <c r="G664" s="2" t="s">
        <v>3024</v>
      </c>
      <c r="H664" s="3">
        <v>0</v>
      </c>
      <c r="I664" s="2" t="s">
        <v>18</v>
      </c>
      <c r="J664" s="2" t="s">
        <v>3025</v>
      </c>
      <c r="K664" s="2" t="s">
        <v>16</v>
      </c>
      <c r="L664" s="2" t="s">
        <v>3026</v>
      </c>
      <c r="M664" s="4">
        <v>4167.3999999999996</v>
      </c>
      <c r="N664" t="b">
        <f>OR(LEFT(B664,3)="frg",(_xlfn.XMATCH(B664,ZZZ_Part_Id_[[#All],[FGCODE]])))</f>
        <v>1</v>
      </c>
    </row>
    <row r="665" spans="1:14" x14ac:dyDescent="0.3">
      <c r="A665" s="2" t="s">
        <v>3027</v>
      </c>
      <c r="B665" s="2" t="s">
        <v>3028</v>
      </c>
      <c r="C665" s="2" t="s">
        <v>3029</v>
      </c>
      <c r="D665" s="3">
        <v>25380</v>
      </c>
      <c r="E665" s="3">
        <v>25380</v>
      </c>
      <c r="F665" s="2" t="s">
        <v>16</v>
      </c>
      <c r="G665" s="2" t="s">
        <v>3030</v>
      </c>
      <c r="H665" s="3">
        <v>0</v>
      </c>
      <c r="I665" s="2" t="s">
        <v>18</v>
      </c>
      <c r="J665" s="2" t="s">
        <v>3031</v>
      </c>
      <c r="K665" s="2" t="s">
        <v>16</v>
      </c>
      <c r="L665" s="2" t="s">
        <v>3032</v>
      </c>
      <c r="M665" s="4">
        <v>1072.56</v>
      </c>
      <c r="N665" t="b">
        <f>OR(LEFT(B665,3)="frg",(_xlfn.XMATCH(B665,ZZZ_Part_Id_[[#All],[FGCODE]])))</f>
        <v>1</v>
      </c>
    </row>
    <row r="666" spans="1:14" x14ac:dyDescent="0.3">
      <c r="A666" s="2" t="s">
        <v>3033</v>
      </c>
      <c r="B666" s="2" t="s">
        <v>14</v>
      </c>
      <c r="C666" s="2" t="s">
        <v>3034</v>
      </c>
      <c r="D666" s="3">
        <v>10</v>
      </c>
      <c r="E666" s="3">
        <v>10</v>
      </c>
      <c r="F666" s="2" t="s">
        <v>16</v>
      </c>
      <c r="G666" s="2" t="s">
        <v>3035</v>
      </c>
      <c r="H666" s="3">
        <v>0</v>
      </c>
      <c r="I666" s="2" t="s">
        <v>18</v>
      </c>
      <c r="J666" s="2" t="s">
        <v>3036</v>
      </c>
      <c r="K666" s="2" t="s">
        <v>16</v>
      </c>
      <c r="L666" s="2" t="s">
        <v>3037</v>
      </c>
      <c r="M666" s="4">
        <v>0.77</v>
      </c>
      <c r="N666" t="e">
        <f>OR(LEFT(B666,3)="frg",(_xlfn.XMATCH(B666,ZZZ_Part_Id_[[#All],[FGCODE]])))</f>
        <v>#N/A</v>
      </c>
    </row>
    <row r="667" spans="1:14" x14ac:dyDescent="0.3">
      <c r="A667" s="2" t="s">
        <v>3033</v>
      </c>
      <c r="B667" s="2" t="s">
        <v>1119</v>
      </c>
      <c r="C667" s="2" t="s">
        <v>3038</v>
      </c>
      <c r="D667" s="3">
        <v>253800</v>
      </c>
      <c r="E667" s="3">
        <v>253800</v>
      </c>
      <c r="F667" s="2" t="s">
        <v>16</v>
      </c>
      <c r="G667" s="2" t="s">
        <v>3039</v>
      </c>
      <c r="H667" s="3">
        <v>0</v>
      </c>
      <c r="I667" s="2" t="s">
        <v>18</v>
      </c>
      <c r="J667" s="2" t="s">
        <v>3040</v>
      </c>
      <c r="K667" s="2" t="s">
        <v>16</v>
      </c>
      <c r="L667" s="2" t="s">
        <v>3041</v>
      </c>
      <c r="M667" s="4">
        <v>11695.1</v>
      </c>
      <c r="N667" t="b">
        <f>OR(LEFT(B667,3)="frg",(_xlfn.XMATCH(B667,ZZZ_Part_Id_[[#All],[FGCODE]])))</f>
        <v>1</v>
      </c>
    </row>
    <row r="668" spans="1:14" x14ac:dyDescent="0.3">
      <c r="A668" s="2" t="s">
        <v>3042</v>
      </c>
      <c r="B668" s="2" t="s">
        <v>14</v>
      </c>
      <c r="C668" s="2" t="s">
        <v>3043</v>
      </c>
      <c r="D668" s="3">
        <v>4</v>
      </c>
      <c r="E668" s="3">
        <v>4</v>
      </c>
      <c r="F668" s="2" t="s">
        <v>16</v>
      </c>
      <c r="G668" s="2" t="s">
        <v>3044</v>
      </c>
      <c r="H668" s="3">
        <v>0</v>
      </c>
      <c r="I668" s="2" t="s">
        <v>409</v>
      </c>
      <c r="J668" s="2" t="s">
        <v>3045</v>
      </c>
      <c r="K668" s="2" t="s">
        <v>16</v>
      </c>
      <c r="L668" s="2" t="s">
        <v>3046</v>
      </c>
      <c r="M668" s="4">
        <v>0.31</v>
      </c>
      <c r="N668" t="e">
        <f>OR(LEFT(B668,3)="frg",(_xlfn.XMATCH(B668,ZZZ_Part_Id_[[#All],[FGCODE]])))</f>
        <v>#N/A</v>
      </c>
    </row>
    <row r="669" spans="1:14" x14ac:dyDescent="0.3">
      <c r="A669" s="2" t="s">
        <v>3042</v>
      </c>
      <c r="B669" s="2" t="s">
        <v>426</v>
      </c>
      <c r="C669" s="2" t="s">
        <v>3047</v>
      </c>
      <c r="D669" s="3">
        <v>6624</v>
      </c>
      <c r="E669" s="3">
        <v>6624</v>
      </c>
      <c r="F669" s="2" t="s">
        <v>16</v>
      </c>
      <c r="G669" s="2" t="s">
        <v>3048</v>
      </c>
      <c r="H669" s="3">
        <v>0</v>
      </c>
      <c r="I669" s="2" t="s">
        <v>409</v>
      </c>
      <c r="J669" s="2" t="s">
        <v>3049</v>
      </c>
      <c r="K669" s="2" t="s">
        <v>16</v>
      </c>
      <c r="L669" s="2" t="s">
        <v>3050</v>
      </c>
      <c r="M669" s="4">
        <v>1233.5899999999999</v>
      </c>
      <c r="N669" t="b">
        <f>OR(LEFT(B669,3)="frg",(_xlfn.XMATCH(B669,ZZZ_Part_Id_[[#All],[FGCODE]])))</f>
        <v>1</v>
      </c>
    </row>
    <row r="670" spans="1:14" x14ac:dyDescent="0.3">
      <c r="A670" s="2" t="s">
        <v>3051</v>
      </c>
      <c r="B670" s="2" t="s">
        <v>2727</v>
      </c>
      <c r="C670" s="2" t="s">
        <v>3052</v>
      </c>
      <c r="D670" s="3">
        <v>1218240</v>
      </c>
      <c r="E670" s="3">
        <v>1218240</v>
      </c>
      <c r="F670" s="2" t="s">
        <v>16</v>
      </c>
      <c r="G670" s="2" t="s">
        <v>3053</v>
      </c>
      <c r="H670" s="3">
        <v>0</v>
      </c>
      <c r="I670" s="2" t="s">
        <v>18</v>
      </c>
      <c r="J670" s="2" t="s">
        <v>3054</v>
      </c>
      <c r="K670" s="2" t="s">
        <v>16</v>
      </c>
      <c r="L670" s="2" t="s">
        <v>3055</v>
      </c>
      <c r="M670" s="4">
        <v>49935.65</v>
      </c>
      <c r="N670" t="b">
        <f>OR(LEFT(B670,3)="frg",(_xlfn.XMATCH(B670,ZZZ_Part_Id_[[#All],[FGCODE]])))</f>
        <v>1</v>
      </c>
    </row>
    <row r="671" spans="1:14" x14ac:dyDescent="0.3">
      <c r="A671" s="2" t="s">
        <v>3051</v>
      </c>
      <c r="B671" s="2" t="s">
        <v>14</v>
      </c>
      <c r="C671" s="2" t="s">
        <v>3056</v>
      </c>
      <c r="D671" s="3">
        <v>96</v>
      </c>
      <c r="E671" s="3">
        <v>0</v>
      </c>
      <c r="F671" s="2" t="s">
        <v>16</v>
      </c>
      <c r="G671" s="2" t="s">
        <v>3057</v>
      </c>
      <c r="H671" s="3">
        <v>0</v>
      </c>
      <c r="I671" s="2" t="s">
        <v>18</v>
      </c>
      <c r="J671" s="2" t="s">
        <v>3058</v>
      </c>
      <c r="K671" s="2" t="s">
        <v>16</v>
      </c>
      <c r="L671" s="2" t="s">
        <v>3059</v>
      </c>
      <c r="M671" s="4">
        <v>0</v>
      </c>
      <c r="N671" t="e">
        <f>OR(LEFT(B671,3)="frg",(_xlfn.XMATCH(B671,ZZZ_Part_Id_[[#All],[FGCODE]])))</f>
        <v>#N/A</v>
      </c>
    </row>
    <row r="672" spans="1:14" x14ac:dyDescent="0.3">
      <c r="A672" s="2" t="s">
        <v>3060</v>
      </c>
      <c r="B672" s="2" t="s">
        <v>86</v>
      </c>
      <c r="C672" s="2" t="s">
        <v>3061</v>
      </c>
      <c r="D672" s="5">
        <v>-1640</v>
      </c>
      <c r="E672" s="5">
        <v>-1640</v>
      </c>
      <c r="F672" s="2" t="s">
        <v>23</v>
      </c>
      <c r="G672" s="2" t="s">
        <v>3062</v>
      </c>
      <c r="H672" s="3">
        <v>0</v>
      </c>
      <c r="I672" s="2" t="s">
        <v>18</v>
      </c>
      <c r="J672" s="2" t="s">
        <v>3063</v>
      </c>
      <c r="K672" s="2" t="s">
        <v>23</v>
      </c>
      <c r="L672" s="2" t="s">
        <v>3064</v>
      </c>
      <c r="M672" s="6">
        <v>-4293.1899999999996</v>
      </c>
      <c r="N672" t="b">
        <f>OR(LEFT(B672,3)="frg",(_xlfn.XMATCH(B672,ZZZ_Part_Id_[[#All],[FGCODE]])))</f>
        <v>1</v>
      </c>
    </row>
    <row r="673" spans="1:14" x14ac:dyDescent="0.3">
      <c r="A673" s="2" t="s">
        <v>3060</v>
      </c>
      <c r="B673" s="2" t="s">
        <v>341</v>
      </c>
      <c r="C673" s="2" t="s">
        <v>3065</v>
      </c>
      <c r="D673" s="3">
        <v>191520</v>
      </c>
      <c r="E673" s="3">
        <v>191520</v>
      </c>
      <c r="F673" s="2" t="s">
        <v>16</v>
      </c>
      <c r="G673" s="2" t="s">
        <v>3066</v>
      </c>
      <c r="H673" s="3">
        <v>0</v>
      </c>
      <c r="I673" s="2" t="s">
        <v>18</v>
      </c>
      <c r="J673" s="2" t="s">
        <v>3067</v>
      </c>
      <c r="K673" s="2" t="s">
        <v>16</v>
      </c>
      <c r="L673" s="2" t="s">
        <v>3068</v>
      </c>
      <c r="M673" s="4">
        <v>25401.29</v>
      </c>
      <c r="N673" t="b">
        <f>OR(LEFT(B673,3)="frg",(_xlfn.XMATCH(B673,ZZZ_Part_Id_[[#All],[FGCODE]])))</f>
        <v>1</v>
      </c>
    </row>
    <row r="674" spans="1:14" x14ac:dyDescent="0.3">
      <c r="A674" s="2" t="s">
        <v>3069</v>
      </c>
      <c r="B674" s="2" t="s">
        <v>14</v>
      </c>
      <c r="C674" s="2" t="s">
        <v>3070</v>
      </c>
      <c r="D674" s="3">
        <v>18</v>
      </c>
      <c r="E674" s="3">
        <v>18</v>
      </c>
      <c r="F674" s="2" t="s">
        <v>16</v>
      </c>
      <c r="G674" s="2" t="s">
        <v>3071</v>
      </c>
      <c r="H674" s="3">
        <v>0</v>
      </c>
      <c r="I674" s="2" t="s">
        <v>18</v>
      </c>
      <c r="J674" s="2" t="s">
        <v>3072</v>
      </c>
      <c r="K674" s="2" t="s">
        <v>16</v>
      </c>
      <c r="L674" s="2" t="s">
        <v>3073</v>
      </c>
      <c r="M674" s="4">
        <v>1.38</v>
      </c>
      <c r="N674" t="e">
        <f>OR(LEFT(B674,3)="frg",(_xlfn.XMATCH(B674,ZZZ_Part_Id_[[#All],[FGCODE]])))</f>
        <v>#N/A</v>
      </c>
    </row>
    <row r="675" spans="1:14" x14ac:dyDescent="0.3">
      <c r="A675" s="2" t="s">
        <v>3069</v>
      </c>
      <c r="B675" s="2" t="s">
        <v>426</v>
      </c>
      <c r="C675" s="2" t="s">
        <v>3074</v>
      </c>
      <c r="D675" s="3">
        <v>119232</v>
      </c>
      <c r="E675" s="3">
        <v>119232</v>
      </c>
      <c r="F675" s="2" t="s">
        <v>16</v>
      </c>
      <c r="G675" s="2" t="s">
        <v>3075</v>
      </c>
      <c r="H675" s="3">
        <v>0</v>
      </c>
      <c r="I675" s="2" t="s">
        <v>18</v>
      </c>
      <c r="J675" s="2" t="s">
        <v>3076</v>
      </c>
      <c r="K675" s="2" t="s">
        <v>16</v>
      </c>
      <c r="L675" s="2" t="s">
        <v>3077</v>
      </c>
      <c r="M675" s="4">
        <v>22204.62</v>
      </c>
      <c r="N675" t="b">
        <f>OR(LEFT(B675,3)="frg",(_xlfn.XMATCH(B675,ZZZ_Part_Id_[[#All],[FGCODE]])))</f>
        <v>1</v>
      </c>
    </row>
    <row r="676" spans="1:14" x14ac:dyDescent="0.3">
      <c r="A676" s="2" t="s">
        <v>3078</v>
      </c>
      <c r="B676" s="2" t="s">
        <v>14</v>
      </c>
      <c r="C676" s="2" t="s">
        <v>3079</v>
      </c>
      <c r="D676" s="3">
        <v>27</v>
      </c>
      <c r="E676" s="3">
        <v>27</v>
      </c>
      <c r="F676" s="2" t="s">
        <v>16</v>
      </c>
      <c r="G676" s="2" t="s">
        <v>3080</v>
      </c>
      <c r="H676" s="3">
        <v>0</v>
      </c>
      <c r="I676" s="2" t="s">
        <v>18</v>
      </c>
      <c r="J676" s="2" t="s">
        <v>3081</v>
      </c>
      <c r="K676" s="2" t="s">
        <v>16</v>
      </c>
      <c r="L676" s="2" t="s">
        <v>3082</v>
      </c>
      <c r="M676" s="4">
        <v>2.08</v>
      </c>
      <c r="N676" t="e">
        <f>OR(LEFT(B676,3)="frg",(_xlfn.XMATCH(B676,ZZZ_Part_Id_[[#All],[FGCODE]])))</f>
        <v>#N/A</v>
      </c>
    </row>
    <row r="677" spans="1:14" x14ac:dyDescent="0.3">
      <c r="A677" s="2" t="s">
        <v>3078</v>
      </c>
      <c r="B677" s="2" t="s">
        <v>1119</v>
      </c>
      <c r="C677" s="2" t="s">
        <v>3083</v>
      </c>
      <c r="D677" s="3">
        <v>685260</v>
      </c>
      <c r="E677" s="3">
        <v>685260</v>
      </c>
      <c r="F677" s="2" t="s">
        <v>16</v>
      </c>
      <c r="G677" s="2" t="s">
        <v>3084</v>
      </c>
      <c r="H677" s="3">
        <v>0</v>
      </c>
      <c r="I677" s="2" t="s">
        <v>18</v>
      </c>
      <c r="J677" s="2" t="s">
        <v>3085</v>
      </c>
      <c r="K677" s="2" t="s">
        <v>16</v>
      </c>
      <c r="L677" s="2" t="s">
        <v>3086</v>
      </c>
      <c r="M677" s="4">
        <v>31576.77</v>
      </c>
      <c r="N677" t="b">
        <f>OR(LEFT(B677,3)="frg",(_xlfn.XMATCH(B677,ZZZ_Part_Id_[[#All],[FGCODE]])))</f>
        <v>1</v>
      </c>
    </row>
    <row r="678" spans="1:14" x14ac:dyDescent="0.3">
      <c r="A678" s="2" t="s">
        <v>3087</v>
      </c>
      <c r="B678" s="2" t="s">
        <v>14</v>
      </c>
      <c r="C678" s="2" t="s">
        <v>3088</v>
      </c>
      <c r="D678" s="3">
        <v>4</v>
      </c>
      <c r="E678" s="3">
        <v>4</v>
      </c>
      <c r="F678" s="2" t="s">
        <v>16</v>
      </c>
      <c r="G678" s="2" t="s">
        <v>3089</v>
      </c>
      <c r="H678" s="3">
        <v>0</v>
      </c>
      <c r="I678" s="2" t="s">
        <v>18</v>
      </c>
      <c r="J678" s="2" t="s">
        <v>3090</v>
      </c>
      <c r="K678" s="2" t="s">
        <v>16</v>
      </c>
      <c r="L678" s="2" t="s">
        <v>3091</v>
      </c>
      <c r="M678" s="4">
        <v>0.31</v>
      </c>
      <c r="N678" t="e">
        <f>OR(LEFT(B678,3)="frg",(_xlfn.XMATCH(B678,ZZZ_Part_Id_[[#All],[FGCODE]])))</f>
        <v>#N/A</v>
      </c>
    </row>
    <row r="679" spans="1:14" x14ac:dyDescent="0.3">
      <c r="A679" s="2" t="s">
        <v>3087</v>
      </c>
      <c r="B679" s="2" t="s">
        <v>65</v>
      </c>
      <c r="C679" s="2" t="s">
        <v>3092</v>
      </c>
      <c r="D679" s="5">
        <v>-337</v>
      </c>
      <c r="E679" s="5">
        <v>-337</v>
      </c>
      <c r="F679" s="2" t="s">
        <v>23</v>
      </c>
      <c r="G679" s="2" t="s">
        <v>3093</v>
      </c>
      <c r="H679" s="3">
        <v>0</v>
      </c>
      <c r="I679" s="2" t="s">
        <v>18</v>
      </c>
      <c r="J679" s="2" t="s">
        <v>3094</v>
      </c>
      <c r="K679" s="2" t="s">
        <v>23</v>
      </c>
      <c r="L679" s="2" t="s">
        <v>3095</v>
      </c>
      <c r="M679" s="6">
        <v>-866.63</v>
      </c>
      <c r="N679" t="b">
        <f>OR(LEFT(B679,3)="frg",(_xlfn.XMATCH(B679,ZZZ_Part_Id_[[#All],[FGCODE]])))</f>
        <v>1</v>
      </c>
    </row>
    <row r="680" spans="1:14" x14ac:dyDescent="0.3">
      <c r="A680" s="2" t="s">
        <v>3087</v>
      </c>
      <c r="B680" s="2" t="s">
        <v>2127</v>
      </c>
      <c r="C680" s="2" t="s">
        <v>3096</v>
      </c>
      <c r="D680" s="3">
        <v>29808</v>
      </c>
      <c r="E680" s="3">
        <v>29808</v>
      </c>
      <c r="F680" s="2" t="s">
        <v>16</v>
      </c>
      <c r="G680" s="2" t="s">
        <v>3097</v>
      </c>
      <c r="H680" s="3">
        <v>0</v>
      </c>
      <c r="I680" s="2" t="s">
        <v>18</v>
      </c>
      <c r="J680" s="2" t="s">
        <v>3098</v>
      </c>
      <c r="K680" s="2" t="s">
        <v>16</v>
      </c>
      <c r="L680" s="2" t="s">
        <v>3099</v>
      </c>
      <c r="M680" s="4">
        <v>4074.17</v>
      </c>
      <c r="N680" t="b">
        <f>OR(LEFT(B680,3)="frg",(_xlfn.XMATCH(B680,ZZZ_Part_Id_[[#All],[FGCODE]])))</f>
        <v>1</v>
      </c>
    </row>
    <row r="681" spans="1:14" x14ac:dyDescent="0.3">
      <c r="A681" s="2" t="s">
        <v>3100</v>
      </c>
      <c r="B681" s="2" t="s">
        <v>14</v>
      </c>
      <c r="C681" s="2" t="s">
        <v>3101</v>
      </c>
      <c r="D681" s="3">
        <v>7</v>
      </c>
      <c r="E681" s="3">
        <v>7</v>
      </c>
      <c r="F681" s="2" t="s">
        <v>16</v>
      </c>
      <c r="G681" s="2" t="s">
        <v>3102</v>
      </c>
      <c r="H681" s="3">
        <v>0</v>
      </c>
      <c r="I681" s="2" t="s">
        <v>409</v>
      </c>
      <c r="J681" s="2" t="s">
        <v>3103</v>
      </c>
      <c r="K681" s="2" t="s">
        <v>16</v>
      </c>
      <c r="L681" s="2" t="s">
        <v>3104</v>
      </c>
      <c r="M681" s="4">
        <v>0.54</v>
      </c>
      <c r="N681" t="e">
        <f>OR(LEFT(B681,3)="frg",(_xlfn.XMATCH(B681,ZZZ_Part_Id_[[#All],[FGCODE]])))</f>
        <v>#N/A</v>
      </c>
    </row>
    <row r="682" spans="1:14" x14ac:dyDescent="0.3">
      <c r="A682" s="2" t="s">
        <v>3100</v>
      </c>
      <c r="B682" s="2" t="s">
        <v>65</v>
      </c>
      <c r="C682" s="2" t="s">
        <v>3105</v>
      </c>
      <c r="D682" s="5">
        <v>-160</v>
      </c>
      <c r="E682" s="5">
        <v>-160</v>
      </c>
      <c r="F682" s="2" t="s">
        <v>23</v>
      </c>
      <c r="G682" s="2" t="s">
        <v>3106</v>
      </c>
      <c r="H682" s="3">
        <v>0</v>
      </c>
      <c r="I682" s="2" t="s">
        <v>409</v>
      </c>
      <c r="J682" s="2" t="s">
        <v>3107</v>
      </c>
      <c r="K682" s="2" t="s">
        <v>23</v>
      </c>
      <c r="L682" s="2" t="s">
        <v>3108</v>
      </c>
      <c r="M682" s="6">
        <v>-411.46</v>
      </c>
      <c r="N682" t="b">
        <f>OR(LEFT(B682,3)="frg",(_xlfn.XMATCH(B682,ZZZ_Part_Id_[[#All],[FGCODE]])))</f>
        <v>1</v>
      </c>
    </row>
    <row r="683" spans="1:14" x14ac:dyDescent="0.3">
      <c r="A683" s="2" t="s">
        <v>3100</v>
      </c>
      <c r="B683" s="2" t="s">
        <v>1535</v>
      </c>
      <c r="C683" s="2" t="s">
        <v>3109</v>
      </c>
      <c r="D683" s="3">
        <v>13880</v>
      </c>
      <c r="E683" s="3">
        <v>13880</v>
      </c>
      <c r="F683" s="2" t="s">
        <v>16</v>
      </c>
      <c r="G683" s="2" t="s">
        <v>3110</v>
      </c>
      <c r="H683" s="3">
        <v>0</v>
      </c>
      <c r="I683" s="2" t="s">
        <v>409</v>
      </c>
      <c r="J683" s="2" t="s">
        <v>3111</v>
      </c>
      <c r="K683" s="2" t="s">
        <v>16</v>
      </c>
      <c r="L683" s="2" t="s">
        <v>3112</v>
      </c>
      <c r="M683" s="4">
        <v>698.86</v>
      </c>
      <c r="N683" t="b">
        <f>OR(LEFT(B683,3)="frg",(_xlfn.XMATCH(B683,ZZZ_Part_Id_[[#All],[FGCODE]])))</f>
        <v>1</v>
      </c>
    </row>
    <row r="684" spans="1:14" x14ac:dyDescent="0.3">
      <c r="A684" s="2" t="s">
        <v>3100</v>
      </c>
      <c r="B684" s="2" t="s">
        <v>3113</v>
      </c>
      <c r="C684" s="2" t="s">
        <v>3114</v>
      </c>
      <c r="D684" s="3">
        <v>146160</v>
      </c>
      <c r="E684" s="3">
        <v>146160</v>
      </c>
      <c r="F684" s="2" t="s">
        <v>16</v>
      </c>
      <c r="G684" s="2" t="s">
        <v>3115</v>
      </c>
      <c r="H684" s="3">
        <v>0</v>
      </c>
      <c r="I684" s="2" t="s">
        <v>409</v>
      </c>
      <c r="J684" s="2" t="s">
        <v>3116</v>
      </c>
      <c r="K684" s="2" t="s">
        <v>16</v>
      </c>
      <c r="L684" s="2" t="s">
        <v>3117</v>
      </c>
      <c r="M684" s="4">
        <v>7246.61</v>
      </c>
      <c r="N684" t="b">
        <f>OR(LEFT(B684,3)="frg",(_xlfn.XMATCH(B684,ZZZ_Part_Id_[[#All],[FGCODE]])))</f>
        <v>1</v>
      </c>
    </row>
    <row r="685" spans="1:14" x14ac:dyDescent="0.3">
      <c r="A685" s="2" t="s">
        <v>3118</v>
      </c>
      <c r="B685" s="2" t="s">
        <v>1119</v>
      </c>
      <c r="C685" s="2" t="s">
        <v>3119</v>
      </c>
      <c r="D685" s="3">
        <v>126900</v>
      </c>
      <c r="E685" s="3">
        <v>126900</v>
      </c>
      <c r="F685" s="2" t="s">
        <v>16</v>
      </c>
      <c r="G685" s="2" t="s">
        <v>3120</v>
      </c>
      <c r="H685" s="3">
        <v>0</v>
      </c>
      <c r="I685" s="2" t="s">
        <v>18</v>
      </c>
      <c r="J685" s="2" t="s">
        <v>3121</v>
      </c>
      <c r="K685" s="2" t="s">
        <v>16</v>
      </c>
      <c r="L685" s="2" t="s">
        <v>3122</v>
      </c>
      <c r="M685" s="4">
        <v>5847.55</v>
      </c>
      <c r="N685" t="b">
        <f>OR(LEFT(B685,3)="frg",(_xlfn.XMATCH(B685,ZZZ_Part_Id_[[#All],[FGCODE]])))</f>
        <v>1</v>
      </c>
    </row>
    <row r="686" spans="1:14" x14ac:dyDescent="0.3">
      <c r="A686" s="2" t="s">
        <v>3123</v>
      </c>
      <c r="B686" s="2" t="s">
        <v>14</v>
      </c>
      <c r="C686" s="2" t="s">
        <v>3124</v>
      </c>
      <c r="D686" s="3">
        <v>12</v>
      </c>
      <c r="E686" s="3">
        <v>12</v>
      </c>
      <c r="F686" s="2" t="s">
        <v>16</v>
      </c>
      <c r="G686" s="2" t="s">
        <v>3125</v>
      </c>
      <c r="H686" s="3">
        <v>0</v>
      </c>
      <c r="I686" s="2" t="s">
        <v>409</v>
      </c>
      <c r="J686" s="2" t="s">
        <v>3126</v>
      </c>
      <c r="K686" s="2" t="s">
        <v>16</v>
      </c>
      <c r="L686" s="2" t="s">
        <v>3127</v>
      </c>
      <c r="M686" s="4">
        <v>0.92</v>
      </c>
      <c r="N686" t="e">
        <f>OR(LEFT(B686,3)="frg",(_xlfn.XMATCH(B686,ZZZ_Part_Id_[[#All],[FGCODE]])))</f>
        <v>#N/A</v>
      </c>
    </row>
    <row r="687" spans="1:14" x14ac:dyDescent="0.3">
      <c r="A687" s="2" t="s">
        <v>3123</v>
      </c>
      <c r="B687" s="2" t="s">
        <v>1590</v>
      </c>
      <c r="C687" s="2" t="s">
        <v>3128</v>
      </c>
      <c r="D687" s="3">
        <v>358560</v>
      </c>
      <c r="E687" s="3">
        <v>358560</v>
      </c>
      <c r="F687" s="2" t="s">
        <v>16</v>
      </c>
      <c r="G687" s="2" t="s">
        <v>3129</v>
      </c>
      <c r="H687" s="3">
        <v>0</v>
      </c>
      <c r="I687" s="2" t="s">
        <v>409</v>
      </c>
      <c r="J687" s="2" t="s">
        <v>3130</v>
      </c>
      <c r="K687" s="2" t="s">
        <v>16</v>
      </c>
      <c r="L687" s="2" t="s">
        <v>3131</v>
      </c>
      <c r="M687" s="4">
        <v>13729.27</v>
      </c>
      <c r="N687" t="b">
        <f>OR(LEFT(B687,3)="frg",(_xlfn.XMATCH(B687,ZZZ_Part_Id_[[#All],[FGCODE]])))</f>
        <v>1</v>
      </c>
    </row>
    <row r="688" spans="1:14" x14ac:dyDescent="0.3">
      <c r="A688" s="2" t="s">
        <v>3132</v>
      </c>
      <c r="B688" s="2" t="s">
        <v>14</v>
      </c>
      <c r="C688" s="2" t="s">
        <v>3133</v>
      </c>
      <c r="D688" s="3">
        <v>2</v>
      </c>
      <c r="E688" s="3">
        <v>2</v>
      </c>
      <c r="F688" s="2" t="s">
        <v>16</v>
      </c>
      <c r="G688" s="2" t="s">
        <v>3134</v>
      </c>
      <c r="H688" s="3">
        <v>0</v>
      </c>
      <c r="I688" s="2" t="s">
        <v>409</v>
      </c>
      <c r="J688" s="2" t="s">
        <v>3135</v>
      </c>
      <c r="K688" s="2" t="s">
        <v>16</v>
      </c>
      <c r="L688" s="2" t="s">
        <v>3136</v>
      </c>
      <c r="M688" s="4">
        <v>0.15</v>
      </c>
      <c r="N688" t="e">
        <f>OR(LEFT(B688,3)="frg",(_xlfn.XMATCH(B688,ZZZ_Part_Id_[[#All],[FGCODE]])))</f>
        <v>#N/A</v>
      </c>
    </row>
    <row r="689" spans="1:14" x14ac:dyDescent="0.3">
      <c r="A689" s="2" t="s">
        <v>3132</v>
      </c>
      <c r="B689" s="2" t="s">
        <v>1445</v>
      </c>
      <c r="C689" s="2" t="s">
        <v>3137</v>
      </c>
      <c r="D689" s="3">
        <v>59760</v>
      </c>
      <c r="E689" s="3">
        <v>59760</v>
      </c>
      <c r="F689" s="2" t="s">
        <v>16</v>
      </c>
      <c r="G689" s="2" t="s">
        <v>3138</v>
      </c>
      <c r="H689" s="3">
        <v>0</v>
      </c>
      <c r="I689" s="2" t="s">
        <v>409</v>
      </c>
      <c r="J689" s="2" t="s">
        <v>3139</v>
      </c>
      <c r="K689" s="2" t="s">
        <v>16</v>
      </c>
      <c r="L689" s="2" t="s">
        <v>3140</v>
      </c>
      <c r="M689" s="4">
        <v>2279.84</v>
      </c>
      <c r="N689" t="b">
        <f>OR(LEFT(B689,3)="frg",(_xlfn.XMATCH(B689,ZZZ_Part_Id_[[#All],[FGCODE]])))</f>
        <v>1</v>
      </c>
    </row>
    <row r="690" spans="1:14" x14ac:dyDescent="0.3">
      <c r="A690" s="2" t="s">
        <v>3141</v>
      </c>
      <c r="B690" s="2" t="s">
        <v>3142</v>
      </c>
      <c r="C690" s="2" t="s">
        <v>3143</v>
      </c>
      <c r="D690" s="3">
        <v>100</v>
      </c>
      <c r="E690" s="3">
        <v>0</v>
      </c>
      <c r="F690" s="2" t="s">
        <v>16</v>
      </c>
      <c r="G690" s="2" t="s">
        <v>3144</v>
      </c>
      <c r="H690" s="3">
        <v>0</v>
      </c>
      <c r="I690" s="2" t="s">
        <v>409</v>
      </c>
      <c r="J690" s="2" t="s">
        <v>3145</v>
      </c>
      <c r="K690" s="2" t="s">
        <v>16</v>
      </c>
      <c r="L690" s="2" t="s">
        <v>3146</v>
      </c>
      <c r="M690" s="4">
        <v>0</v>
      </c>
      <c r="N690" t="b">
        <f>OR(LEFT(B690,3)="frg",(_xlfn.XMATCH(B690,ZZZ_Part_Id_[[#All],[FGCODE]])))</f>
        <v>1</v>
      </c>
    </row>
    <row r="691" spans="1:14" x14ac:dyDescent="0.3">
      <c r="A691" s="2" t="s">
        <v>3147</v>
      </c>
      <c r="B691" s="2" t="s">
        <v>14</v>
      </c>
      <c r="C691" s="2" t="s">
        <v>3148</v>
      </c>
      <c r="D691" s="3">
        <v>25</v>
      </c>
      <c r="E691" s="3">
        <v>25</v>
      </c>
      <c r="F691" s="2" t="s">
        <v>16</v>
      </c>
      <c r="G691" s="2" t="s">
        <v>3149</v>
      </c>
      <c r="H691" s="3">
        <v>0</v>
      </c>
      <c r="I691" s="2" t="s">
        <v>18</v>
      </c>
      <c r="J691" s="2" t="s">
        <v>3150</v>
      </c>
      <c r="K691" s="2" t="s">
        <v>16</v>
      </c>
      <c r="L691" s="2" t="s">
        <v>3151</v>
      </c>
      <c r="M691" s="4">
        <v>1.92</v>
      </c>
      <c r="N691" t="e">
        <f>OR(LEFT(B691,3)="frg",(_xlfn.XMATCH(B691,ZZZ_Part_Id_[[#All],[FGCODE]])))</f>
        <v>#N/A</v>
      </c>
    </row>
    <row r="692" spans="1:14" x14ac:dyDescent="0.3">
      <c r="A692" s="2" t="s">
        <v>3147</v>
      </c>
      <c r="B692" s="2" t="s">
        <v>264</v>
      </c>
      <c r="C692" s="2" t="s">
        <v>3152</v>
      </c>
      <c r="D692" s="3">
        <v>2.5000000000000001E-2</v>
      </c>
      <c r="E692" s="3">
        <v>2.5000000000000001E-2</v>
      </c>
      <c r="F692" s="2" t="s">
        <v>16</v>
      </c>
      <c r="G692" s="2" t="s">
        <v>3153</v>
      </c>
      <c r="H692" s="3">
        <v>0</v>
      </c>
      <c r="I692" s="2" t="s">
        <v>18</v>
      </c>
      <c r="J692" s="2" t="s">
        <v>3154</v>
      </c>
      <c r="K692" s="2" t="s">
        <v>16</v>
      </c>
      <c r="L692" s="2" t="s">
        <v>3155</v>
      </c>
      <c r="M692" s="4">
        <v>0.64</v>
      </c>
      <c r="N692" t="e">
        <f>OR(LEFT(B692,3)="frg",(_xlfn.XMATCH(B692,ZZZ_Part_Id_[[#All],[FGCODE]])))</f>
        <v>#N/A</v>
      </c>
    </row>
    <row r="693" spans="1:14" x14ac:dyDescent="0.3">
      <c r="A693" s="2" t="s">
        <v>3147</v>
      </c>
      <c r="B693" s="2" t="s">
        <v>3156</v>
      </c>
      <c r="C693" s="2" t="s">
        <v>3157</v>
      </c>
      <c r="D693" s="3">
        <v>252000</v>
      </c>
      <c r="E693" s="3">
        <v>252000</v>
      </c>
      <c r="F693" s="2" t="s">
        <v>16</v>
      </c>
      <c r="G693" s="2" t="s">
        <v>3158</v>
      </c>
      <c r="H693" s="3">
        <v>0</v>
      </c>
      <c r="I693" s="2" t="s">
        <v>18</v>
      </c>
      <c r="J693" s="2" t="s">
        <v>3159</v>
      </c>
      <c r="K693" s="2" t="s">
        <v>16</v>
      </c>
      <c r="L693" s="2" t="s">
        <v>3160</v>
      </c>
      <c r="M693" s="4">
        <v>29103.5</v>
      </c>
      <c r="N693" t="b">
        <f>OR(LEFT(B693,3)="frg",(_xlfn.XMATCH(B693,ZZZ_Part_Id_[[#All],[FGCODE]])))</f>
        <v>1</v>
      </c>
    </row>
    <row r="694" spans="1:14" x14ac:dyDescent="0.3">
      <c r="A694" s="2" t="s">
        <v>3161</v>
      </c>
      <c r="B694" s="2" t="s">
        <v>172</v>
      </c>
      <c r="C694" s="2" t="s">
        <v>3162</v>
      </c>
      <c r="D694" s="3">
        <v>40</v>
      </c>
      <c r="E694" s="3">
        <v>40</v>
      </c>
      <c r="F694" s="2" t="s">
        <v>23</v>
      </c>
      <c r="G694" s="2" t="s">
        <v>3163</v>
      </c>
      <c r="H694" s="3">
        <v>0</v>
      </c>
      <c r="I694" s="2" t="s">
        <v>18</v>
      </c>
      <c r="J694" s="2" t="s">
        <v>3164</v>
      </c>
      <c r="K694" s="2" t="s">
        <v>23</v>
      </c>
      <c r="L694" s="2" t="s">
        <v>3165</v>
      </c>
      <c r="M694" s="4">
        <v>260</v>
      </c>
      <c r="N694" t="e">
        <f>OR(LEFT(B694,3)="frg",(_xlfn.XMATCH(B694,ZZZ_Part_Id_[[#All],[FGCODE]])))</f>
        <v>#N/A</v>
      </c>
    </row>
    <row r="695" spans="1:14" x14ac:dyDescent="0.3">
      <c r="A695" s="2" t="s">
        <v>3161</v>
      </c>
      <c r="B695" s="2" t="s">
        <v>1027</v>
      </c>
      <c r="C695" s="2" t="s">
        <v>3166</v>
      </c>
      <c r="D695" s="3">
        <v>892080</v>
      </c>
      <c r="E695" s="3">
        <v>892080</v>
      </c>
      <c r="F695" s="2" t="s">
        <v>16</v>
      </c>
      <c r="G695" s="2" t="s">
        <v>3167</v>
      </c>
      <c r="H695" s="3">
        <v>0</v>
      </c>
      <c r="I695" s="2" t="s">
        <v>18</v>
      </c>
      <c r="J695" s="2" t="s">
        <v>3168</v>
      </c>
      <c r="K695" s="2" t="s">
        <v>16</v>
      </c>
      <c r="L695" s="2" t="s">
        <v>3169</v>
      </c>
      <c r="M695" s="4">
        <v>112116.51</v>
      </c>
      <c r="N695" t="b">
        <f>OR(LEFT(B695,3)="frg",(_xlfn.XMATCH(B695,ZZZ_Part_Id_[[#All],[FGCODE]])))</f>
        <v>1</v>
      </c>
    </row>
    <row r="696" spans="1:14" x14ac:dyDescent="0.3">
      <c r="A696" s="2" t="s">
        <v>3170</v>
      </c>
      <c r="B696" s="2" t="s">
        <v>14</v>
      </c>
      <c r="C696" s="2" t="s">
        <v>3171</v>
      </c>
      <c r="D696" s="3">
        <v>22</v>
      </c>
      <c r="E696" s="3">
        <v>22</v>
      </c>
      <c r="F696" s="2" t="s">
        <v>16</v>
      </c>
      <c r="G696" s="2" t="s">
        <v>3172</v>
      </c>
      <c r="H696" s="3">
        <v>0</v>
      </c>
      <c r="I696" s="2" t="s">
        <v>18</v>
      </c>
      <c r="J696" s="2" t="s">
        <v>3173</v>
      </c>
      <c r="K696" s="2" t="s">
        <v>16</v>
      </c>
      <c r="L696" s="2" t="s">
        <v>3174</v>
      </c>
      <c r="M696" s="4">
        <v>1.69</v>
      </c>
      <c r="N696" t="e">
        <f>OR(LEFT(B696,3)="frg",(_xlfn.XMATCH(B696,ZZZ_Part_Id_[[#All],[FGCODE]])))</f>
        <v>#N/A</v>
      </c>
    </row>
    <row r="697" spans="1:14" x14ac:dyDescent="0.3">
      <c r="A697" s="2" t="s">
        <v>3170</v>
      </c>
      <c r="B697" s="2" t="s">
        <v>172</v>
      </c>
      <c r="C697" s="2" t="s">
        <v>3175</v>
      </c>
      <c r="D697" s="3">
        <v>6.2039999999999997</v>
      </c>
      <c r="E697" s="3">
        <v>6.2039999999999997</v>
      </c>
      <c r="F697" s="2" t="s">
        <v>23</v>
      </c>
      <c r="G697" s="2" t="s">
        <v>3176</v>
      </c>
      <c r="H697" s="3">
        <v>0</v>
      </c>
      <c r="I697" s="2" t="s">
        <v>18</v>
      </c>
      <c r="J697" s="2" t="s">
        <v>3177</v>
      </c>
      <c r="K697" s="2" t="s">
        <v>23</v>
      </c>
      <c r="L697" s="2" t="s">
        <v>3178</v>
      </c>
      <c r="M697" s="4">
        <v>40.33</v>
      </c>
      <c r="N697" t="e">
        <f>OR(LEFT(B697,3)="frg",(_xlfn.XMATCH(B697,ZZZ_Part_Id_[[#All],[FGCODE]])))</f>
        <v>#N/A</v>
      </c>
    </row>
    <row r="698" spans="1:14" x14ac:dyDescent="0.3">
      <c r="A698" s="2" t="s">
        <v>3170</v>
      </c>
      <c r="B698" s="2" t="s">
        <v>27</v>
      </c>
      <c r="C698" s="2" t="s">
        <v>3179</v>
      </c>
      <c r="D698" s="3">
        <v>145728</v>
      </c>
      <c r="E698" s="3">
        <v>145728</v>
      </c>
      <c r="F698" s="2" t="s">
        <v>16</v>
      </c>
      <c r="G698" s="2" t="s">
        <v>3180</v>
      </c>
      <c r="H698" s="3">
        <v>0</v>
      </c>
      <c r="I698" s="2" t="s">
        <v>18</v>
      </c>
      <c r="J698" s="2" t="s">
        <v>3181</v>
      </c>
      <c r="K698" s="2" t="s">
        <v>16</v>
      </c>
      <c r="L698" s="2" t="s">
        <v>3182</v>
      </c>
      <c r="M698" s="4">
        <v>27064.61</v>
      </c>
      <c r="N698" t="b">
        <f>OR(LEFT(B698,3)="frg",(_xlfn.XMATCH(B698,ZZZ_Part_Id_[[#All],[FGCODE]])))</f>
        <v>1</v>
      </c>
    </row>
    <row r="699" spans="1:14" x14ac:dyDescent="0.3">
      <c r="A699" s="2" t="s">
        <v>3183</v>
      </c>
      <c r="B699" s="2" t="s">
        <v>14</v>
      </c>
      <c r="C699" s="2" t="s">
        <v>3184</v>
      </c>
      <c r="D699" s="3">
        <v>18</v>
      </c>
      <c r="E699" s="3">
        <v>18</v>
      </c>
      <c r="F699" s="2" t="s">
        <v>16</v>
      </c>
      <c r="G699" s="2" t="s">
        <v>3185</v>
      </c>
      <c r="H699" s="3">
        <v>0</v>
      </c>
      <c r="I699" s="2" t="s">
        <v>18</v>
      </c>
      <c r="J699" s="2" t="s">
        <v>3186</v>
      </c>
      <c r="K699" s="2" t="s">
        <v>16</v>
      </c>
      <c r="L699" s="2" t="s">
        <v>3187</v>
      </c>
      <c r="M699" s="4">
        <v>1.38</v>
      </c>
      <c r="N699" t="e">
        <f>OR(LEFT(B699,3)="frg",(_xlfn.XMATCH(B699,ZZZ_Part_Id_[[#All],[FGCODE]])))</f>
        <v>#N/A</v>
      </c>
    </row>
    <row r="700" spans="1:14" x14ac:dyDescent="0.3">
      <c r="A700" s="2" t="s">
        <v>3183</v>
      </c>
      <c r="B700" s="2" t="s">
        <v>1119</v>
      </c>
      <c r="C700" s="2" t="s">
        <v>3188</v>
      </c>
      <c r="D700" s="3">
        <v>456840</v>
      </c>
      <c r="E700" s="3">
        <v>456840</v>
      </c>
      <c r="F700" s="2" t="s">
        <v>16</v>
      </c>
      <c r="G700" s="2" t="s">
        <v>3189</v>
      </c>
      <c r="H700" s="3">
        <v>0</v>
      </c>
      <c r="I700" s="2" t="s">
        <v>18</v>
      </c>
      <c r="J700" s="2" t="s">
        <v>3190</v>
      </c>
      <c r="K700" s="2" t="s">
        <v>16</v>
      </c>
      <c r="L700" s="2" t="s">
        <v>3191</v>
      </c>
      <c r="M700" s="4">
        <v>21051.18</v>
      </c>
      <c r="N700" t="b">
        <f>OR(LEFT(B700,3)="frg",(_xlfn.XMATCH(B700,ZZZ_Part_Id_[[#All],[FGCODE]])))</f>
        <v>1</v>
      </c>
    </row>
    <row r="701" spans="1:14" x14ac:dyDescent="0.3">
      <c r="A701" s="2" t="s">
        <v>3192</v>
      </c>
      <c r="B701" s="2" t="s">
        <v>14</v>
      </c>
      <c r="C701" s="2" t="s">
        <v>3193</v>
      </c>
      <c r="D701" s="3">
        <v>14</v>
      </c>
      <c r="E701" s="3">
        <v>14</v>
      </c>
      <c r="F701" s="2" t="s">
        <v>16</v>
      </c>
      <c r="G701" s="2" t="s">
        <v>3194</v>
      </c>
      <c r="H701" s="3">
        <v>0</v>
      </c>
      <c r="I701" s="2" t="s">
        <v>18</v>
      </c>
      <c r="J701" s="2" t="s">
        <v>3195</v>
      </c>
      <c r="K701" s="2" t="s">
        <v>16</v>
      </c>
      <c r="L701" s="2" t="s">
        <v>3196</v>
      </c>
      <c r="M701" s="4">
        <v>1.08</v>
      </c>
      <c r="N701" t="e">
        <f>OR(LEFT(B701,3)="frg",(_xlfn.XMATCH(B701,ZZZ_Part_Id_[[#All],[FGCODE]])))</f>
        <v>#N/A</v>
      </c>
    </row>
    <row r="702" spans="1:14" x14ac:dyDescent="0.3">
      <c r="A702" s="2" t="s">
        <v>3192</v>
      </c>
      <c r="B702" s="2" t="s">
        <v>86</v>
      </c>
      <c r="C702" s="2" t="s">
        <v>3197</v>
      </c>
      <c r="D702" s="5">
        <v>-714</v>
      </c>
      <c r="E702" s="5">
        <v>-714</v>
      </c>
      <c r="F702" s="2" t="s">
        <v>23</v>
      </c>
      <c r="G702" s="2" t="s">
        <v>3198</v>
      </c>
      <c r="H702" s="3">
        <v>0</v>
      </c>
      <c r="I702" s="2" t="s">
        <v>18</v>
      </c>
      <c r="J702" s="2" t="s">
        <v>3199</v>
      </c>
      <c r="K702" s="2" t="s">
        <v>23</v>
      </c>
      <c r="L702" s="2" t="s">
        <v>3200</v>
      </c>
      <c r="M702" s="6">
        <v>-1869.11</v>
      </c>
      <c r="N702" t="b">
        <f>OR(LEFT(B702,3)="frg",(_xlfn.XMATCH(B702,ZZZ_Part_Id_[[#All],[FGCODE]])))</f>
        <v>1</v>
      </c>
    </row>
    <row r="703" spans="1:14" x14ac:dyDescent="0.3">
      <c r="A703" s="2" t="s">
        <v>3192</v>
      </c>
      <c r="B703" s="2" t="s">
        <v>1119</v>
      </c>
      <c r="C703" s="2" t="s">
        <v>3201</v>
      </c>
      <c r="D703" s="3">
        <v>355320</v>
      </c>
      <c r="E703" s="3">
        <v>355320</v>
      </c>
      <c r="F703" s="2" t="s">
        <v>16</v>
      </c>
      <c r="G703" s="2" t="s">
        <v>3202</v>
      </c>
      <c r="H703" s="3">
        <v>0</v>
      </c>
      <c r="I703" s="2" t="s">
        <v>18</v>
      </c>
      <c r="J703" s="2" t="s">
        <v>3203</v>
      </c>
      <c r="K703" s="2" t="s">
        <v>16</v>
      </c>
      <c r="L703" s="2" t="s">
        <v>3204</v>
      </c>
      <c r="M703" s="4">
        <v>16373.14</v>
      </c>
      <c r="N703" t="b">
        <f>OR(LEFT(B703,3)="frg",(_xlfn.XMATCH(B703,ZZZ_Part_Id_[[#All],[FGCODE]])))</f>
        <v>1</v>
      </c>
    </row>
    <row r="704" spans="1:14" x14ac:dyDescent="0.3">
      <c r="A704" s="2" t="s">
        <v>3205</v>
      </c>
      <c r="B704" s="2" t="s">
        <v>14</v>
      </c>
      <c r="C704" s="2" t="s">
        <v>3206</v>
      </c>
      <c r="D704" s="3">
        <v>8</v>
      </c>
      <c r="E704" s="3">
        <v>8</v>
      </c>
      <c r="F704" s="2" t="s">
        <v>16</v>
      </c>
      <c r="G704" s="2" t="s">
        <v>3207</v>
      </c>
      <c r="H704" s="3">
        <v>0</v>
      </c>
      <c r="I704" s="2" t="s">
        <v>18</v>
      </c>
      <c r="J704" s="2" t="s">
        <v>3208</v>
      </c>
      <c r="K704" s="2" t="s">
        <v>16</v>
      </c>
      <c r="L704" s="2" t="s">
        <v>3209</v>
      </c>
      <c r="M704" s="4">
        <v>0.62</v>
      </c>
      <c r="N704" t="e">
        <f>OR(LEFT(B704,3)="frg",(_xlfn.XMATCH(B704,ZZZ_Part_Id_[[#All],[FGCODE]])))</f>
        <v>#N/A</v>
      </c>
    </row>
    <row r="705" spans="1:14" x14ac:dyDescent="0.3">
      <c r="A705" s="2" t="s">
        <v>3205</v>
      </c>
      <c r="B705" s="2" t="s">
        <v>172</v>
      </c>
      <c r="C705" s="2" t="s">
        <v>3210</v>
      </c>
      <c r="D705" s="3">
        <v>2.2559999999999998</v>
      </c>
      <c r="E705" s="3">
        <v>2.2559999999999998</v>
      </c>
      <c r="F705" s="2" t="s">
        <v>23</v>
      </c>
      <c r="G705" s="2" t="s">
        <v>3211</v>
      </c>
      <c r="H705" s="3">
        <v>0</v>
      </c>
      <c r="I705" s="2" t="s">
        <v>18</v>
      </c>
      <c r="J705" s="2" t="s">
        <v>3212</v>
      </c>
      <c r="K705" s="2" t="s">
        <v>23</v>
      </c>
      <c r="L705" s="2" t="s">
        <v>3213</v>
      </c>
      <c r="M705" s="4">
        <v>14.66</v>
      </c>
      <c r="N705" t="e">
        <f>OR(LEFT(B705,3)="frg",(_xlfn.XMATCH(B705,ZZZ_Part_Id_[[#All],[FGCODE]])))</f>
        <v>#N/A</v>
      </c>
    </row>
    <row r="706" spans="1:14" x14ac:dyDescent="0.3">
      <c r="A706" s="2" t="s">
        <v>3205</v>
      </c>
      <c r="B706" s="2" t="s">
        <v>426</v>
      </c>
      <c r="C706" s="2" t="s">
        <v>3214</v>
      </c>
      <c r="D706" s="3">
        <v>72864</v>
      </c>
      <c r="E706" s="3">
        <v>72864</v>
      </c>
      <c r="F706" s="2" t="s">
        <v>16</v>
      </c>
      <c r="G706" s="2" t="s">
        <v>3215</v>
      </c>
      <c r="H706" s="3">
        <v>0</v>
      </c>
      <c r="I706" s="2" t="s">
        <v>18</v>
      </c>
      <c r="J706" s="2" t="s">
        <v>3216</v>
      </c>
      <c r="K706" s="2" t="s">
        <v>16</v>
      </c>
      <c r="L706" s="2" t="s">
        <v>3217</v>
      </c>
      <c r="M706" s="4">
        <v>13569.49</v>
      </c>
      <c r="N706" t="b">
        <f>OR(LEFT(B706,3)="frg",(_xlfn.XMATCH(B706,ZZZ_Part_Id_[[#All],[FGCODE]])))</f>
        <v>1</v>
      </c>
    </row>
    <row r="707" spans="1:14" x14ac:dyDescent="0.3">
      <c r="A707" s="2" t="s">
        <v>3218</v>
      </c>
      <c r="B707" s="2" t="s">
        <v>14</v>
      </c>
      <c r="C707" s="2" t="s">
        <v>3219</v>
      </c>
      <c r="D707" s="3">
        <v>1</v>
      </c>
      <c r="E707" s="3">
        <v>1</v>
      </c>
      <c r="F707" s="2" t="s">
        <v>16</v>
      </c>
      <c r="G707" s="2" t="s">
        <v>3220</v>
      </c>
      <c r="H707" s="3">
        <v>0</v>
      </c>
      <c r="I707" s="2" t="s">
        <v>18</v>
      </c>
      <c r="J707" s="2" t="s">
        <v>3221</v>
      </c>
      <c r="K707" s="2" t="s">
        <v>16</v>
      </c>
      <c r="L707" s="2" t="s">
        <v>3222</v>
      </c>
      <c r="M707" s="4">
        <v>0.08</v>
      </c>
      <c r="N707" t="e">
        <f>OR(LEFT(B707,3)="frg",(_xlfn.XMATCH(B707,ZZZ_Part_Id_[[#All],[FGCODE]])))</f>
        <v>#N/A</v>
      </c>
    </row>
    <row r="708" spans="1:14" x14ac:dyDescent="0.3">
      <c r="A708" s="2" t="s">
        <v>3218</v>
      </c>
      <c r="B708" s="2" t="s">
        <v>172</v>
      </c>
      <c r="C708" s="2" t="s">
        <v>3223</v>
      </c>
      <c r="D708" s="3">
        <v>0.28199999999999997</v>
      </c>
      <c r="E708" s="3">
        <v>0.28199999999999997</v>
      </c>
      <c r="F708" s="2" t="s">
        <v>23</v>
      </c>
      <c r="G708" s="2" t="s">
        <v>3224</v>
      </c>
      <c r="H708" s="3">
        <v>0</v>
      </c>
      <c r="I708" s="2" t="s">
        <v>18</v>
      </c>
      <c r="J708" s="2" t="s">
        <v>3225</v>
      </c>
      <c r="K708" s="2" t="s">
        <v>23</v>
      </c>
      <c r="L708" s="2" t="s">
        <v>3226</v>
      </c>
      <c r="M708" s="4">
        <v>1.83</v>
      </c>
      <c r="N708" t="e">
        <f>OR(LEFT(B708,3)="frg",(_xlfn.XMATCH(B708,ZZZ_Part_Id_[[#All],[FGCODE]])))</f>
        <v>#N/A</v>
      </c>
    </row>
    <row r="709" spans="1:14" x14ac:dyDescent="0.3">
      <c r="A709" s="2" t="s">
        <v>3218</v>
      </c>
      <c r="B709" s="2" t="s">
        <v>699</v>
      </c>
      <c r="C709" s="2" t="s">
        <v>3227</v>
      </c>
      <c r="D709" s="3">
        <v>6624</v>
      </c>
      <c r="E709" s="3">
        <v>6624</v>
      </c>
      <c r="F709" s="2" t="s">
        <v>16</v>
      </c>
      <c r="G709" s="2" t="s">
        <v>3228</v>
      </c>
      <c r="H709" s="3">
        <v>0</v>
      </c>
      <c r="I709" s="2" t="s">
        <v>18</v>
      </c>
      <c r="J709" s="2" t="s">
        <v>3229</v>
      </c>
      <c r="K709" s="2" t="s">
        <v>16</v>
      </c>
      <c r="L709" s="2" t="s">
        <v>3230</v>
      </c>
      <c r="M709" s="4">
        <v>1207.55</v>
      </c>
      <c r="N709" t="b">
        <f>OR(LEFT(B709,3)="frg",(_xlfn.XMATCH(B709,ZZZ_Part_Id_[[#All],[FGCODE]])))</f>
        <v>1</v>
      </c>
    </row>
    <row r="710" spans="1:14" x14ac:dyDescent="0.3">
      <c r="A710" s="2" t="s">
        <v>3231</v>
      </c>
      <c r="B710" s="2" t="s">
        <v>14</v>
      </c>
      <c r="C710" s="2" t="s">
        <v>3232</v>
      </c>
      <c r="D710" s="3">
        <v>6</v>
      </c>
      <c r="E710" s="3">
        <v>6</v>
      </c>
      <c r="F710" s="2" t="s">
        <v>16</v>
      </c>
      <c r="G710" s="2" t="s">
        <v>3233</v>
      </c>
      <c r="H710" s="3">
        <v>0</v>
      </c>
      <c r="I710" s="2" t="s">
        <v>18</v>
      </c>
      <c r="J710" s="2" t="s">
        <v>3234</v>
      </c>
      <c r="K710" s="2" t="s">
        <v>16</v>
      </c>
      <c r="L710" s="2" t="s">
        <v>3235</v>
      </c>
      <c r="M710" s="4">
        <v>0.46</v>
      </c>
      <c r="N710" t="e">
        <f>OR(LEFT(B710,3)="frg",(_xlfn.XMATCH(B710,ZZZ_Part_Id_[[#All],[FGCODE]])))</f>
        <v>#N/A</v>
      </c>
    </row>
    <row r="711" spans="1:14" x14ac:dyDescent="0.3">
      <c r="A711" s="2" t="s">
        <v>3231</v>
      </c>
      <c r="B711" s="2" t="s">
        <v>37</v>
      </c>
      <c r="C711" s="2" t="s">
        <v>3236</v>
      </c>
      <c r="D711" s="3">
        <v>6</v>
      </c>
      <c r="E711" s="3">
        <v>6</v>
      </c>
      <c r="F711" s="2" t="s">
        <v>16</v>
      </c>
      <c r="G711" s="2" t="s">
        <v>3237</v>
      </c>
      <c r="H711" s="3">
        <v>0</v>
      </c>
      <c r="I711" s="2" t="s">
        <v>18</v>
      </c>
      <c r="J711" s="2" t="s">
        <v>3238</v>
      </c>
      <c r="K711" s="2" t="s">
        <v>16</v>
      </c>
      <c r="L711" s="2" t="s">
        <v>3239</v>
      </c>
      <c r="M711" s="4">
        <v>96</v>
      </c>
      <c r="N711" t="e">
        <f>OR(LEFT(B711,3)="frg",(_xlfn.XMATCH(B711,ZZZ_Part_Id_[[#All],[FGCODE]])))</f>
        <v>#N/A</v>
      </c>
    </row>
    <row r="712" spans="1:14" x14ac:dyDescent="0.3">
      <c r="A712" s="2" t="s">
        <v>3231</v>
      </c>
      <c r="B712" s="2" t="s">
        <v>65</v>
      </c>
      <c r="C712" s="2" t="s">
        <v>3240</v>
      </c>
      <c r="D712" s="5">
        <v>-323</v>
      </c>
      <c r="E712" s="5">
        <v>-323</v>
      </c>
      <c r="F712" s="2" t="s">
        <v>23</v>
      </c>
      <c r="G712" s="2" t="s">
        <v>3241</v>
      </c>
      <c r="H712" s="3">
        <v>0</v>
      </c>
      <c r="I712" s="2" t="s">
        <v>18</v>
      </c>
      <c r="J712" s="2" t="s">
        <v>3242</v>
      </c>
      <c r="K712" s="2" t="s">
        <v>23</v>
      </c>
      <c r="L712" s="2" t="s">
        <v>3243</v>
      </c>
      <c r="M712" s="6">
        <v>-830.63</v>
      </c>
      <c r="N712" t="b">
        <f>OR(LEFT(B712,3)="frg",(_xlfn.XMATCH(B712,ZZZ_Part_Id_[[#All],[FGCODE]])))</f>
        <v>1</v>
      </c>
    </row>
    <row r="713" spans="1:14" x14ac:dyDescent="0.3">
      <c r="A713" s="2" t="s">
        <v>3231</v>
      </c>
      <c r="B713" s="2" t="s">
        <v>740</v>
      </c>
      <c r="C713" s="2" t="s">
        <v>3244</v>
      </c>
      <c r="D713" s="3">
        <v>63720</v>
      </c>
      <c r="E713" s="3">
        <v>63720</v>
      </c>
      <c r="F713" s="2" t="s">
        <v>16</v>
      </c>
      <c r="G713" s="2" t="s">
        <v>3245</v>
      </c>
      <c r="H713" s="3">
        <v>0</v>
      </c>
      <c r="I713" s="2" t="s">
        <v>18</v>
      </c>
      <c r="J713" s="2" t="s">
        <v>3246</v>
      </c>
      <c r="K713" s="2" t="s">
        <v>16</v>
      </c>
      <c r="L713" s="2" t="s">
        <v>3247</v>
      </c>
      <c r="M713" s="4">
        <v>7843.32</v>
      </c>
      <c r="N713" t="b">
        <f>OR(LEFT(B713,3)="frg",(_xlfn.XMATCH(B713,ZZZ_Part_Id_[[#All],[FGCODE]])))</f>
        <v>1</v>
      </c>
    </row>
    <row r="714" spans="1:14" x14ac:dyDescent="0.3">
      <c r="A714" s="2" t="s">
        <v>3248</v>
      </c>
      <c r="B714" s="2" t="s">
        <v>14</v>
      </c>
      <c r="C714" s="2" t="s">
        <v>3249</v>
      </c>
      <c r="D714" s="3">
        <v>4</v>
      </c>
      <c r="E714" s="3">
        <v>4</v>
      </c>
      <c r="F714" s="2" t="s">
        <v>16</v>
      </c>
      <c r="G714" s="2" t="s">
        <v>3250</v>
      </c>
      <c r="H714" s="3">
        <v>0</v>
      </c>
      <c r="I714" s="2" t="s">
        <v>18</v>
      </c>
      <c r="J714" s="2" t="s">
        <v>3251</v>
      </c>
      <c r="K714" s="2" t="s">
        <v>16</v>
      </c>
      <c r="L714" s="2" t="s">
        <v>3252</v>
      </c>
      <c r="M714" s="4">
        <v>0.31</v>
      </c>
      <c r="N714" t="e">
        <f>OR(LEFT(B714,3)="frg",(_xlfn.XMATCH(B714,ZZZ_Part_Id_[[#All],[FGCODE]])))</f>
        <v>#N/A</v>
      </c>
    </row>
    <row r="715" spans="1:14" x14ac:dyDescent="0.3">
      <c r="A715" s="2" t="s">
        <v>3248</v>
      </c>
      <c r="B715" s="2" t="s">
        <v>3253</v>
      </c>
      <c r="C715" s="2" t="s">
        <v>3254</v>
      </c>
      <c r="D715" s="3">
        <v>10</v>
      </c>
      <c r="E715" s="3">
        <v>10</v>
      </c>
      <c r="F715" s="2" t="s">
        <v>23</v>
      </c>
      <c r="G715" s="2" t="s">
        <v>3255</v>
      </c>
      <c r="H715" s="3">
        <v>0</v>
      </c>
      <c r="I715" s="2" t="s">
        <v>18</v>
      </c>
      <c r="J715" s="2" t="s">
        <v>3256</v>
      </c>
      <c r="K715" s="2" t="s">
        <v>23</v>
      </c>
      <c r="L715" s="2" t="s">
        <v>3257</v>
      </c>
      <c r="M715" s="4">
        <v>65</v>
      </c>
      <c r="N715" t="e">
        <f>OR(LEFT(B715,3)="frg",(_xlfn.XMATCH(B715,ZZZ_Part_Id_[[#All],[FGCODE]])))</f>
        <v>#N/A</v>
      </c>
    </row>
    <row r="716" spans="1:14" x14ac:dyDescent="0.3">
      <c r="A716" s="2" t="s">
        <v>3248</v>
      </c>
      <c r="B716" s="2" t="s">
        <v>2121</v>
      </c>
      <c r="C716" s="2" t="s">
        <v>3258</v>
      </c>
      <c r="D716" s="3">
        <v>9936</v>
      </c>
      <c r="E716" s="3">
        <v>9936</v>
      </c>
      <c r="F716" s="2" t="s">
        <v>16</v>
      </c>
      <c r="G716" s="2" t="s">
        <v>3259</v>
      </c>
      <c r="H716" s="3">
        <v>0</v>
      </c>
      <c r="I716" s="2" t="s">
        <v>18</v>
      </c>
      <c r="J716" s="2" t="s">
        <v>3260</v>
      </c>
      <c r="K716" s="2" t="s">
        <v>16</v>
      </c>
      <c r="L716" s="2" t="s">
        <v>3261</v>
      </c>
      <c r="M716" s="4">
        <v>1472.72</v>
      </c>
      <c r="N716" t="b">
        <f>OR(LEFT(B716,3)="frg",(_xlfn.XMATCH(B716,ZZZ_Part_Id_[[#All],[FGCODE]])))</f>
        <v>1</v>
      </c>
    </row>
    <row r="717" spans="1:14" x14ac:dyDescent="0.3">
      <c r="A717" s="2" t="s">
        <v>3262</v>
      </c>
      <c r="B717" s="2" t="s">
        <v>2727</v>
      </c>
      <c r="C717" s="2" t="s">
        <v>3263</v>
      </c>
      <c r="D717" s="3">
        <v>1218240</v>
      </c>
      <c r="E717" s="3">
        <v>0</v>
      </c>
      <c r="F717" s="2" t="s">
        <v>16</v>
      </c>
      <c r="G717" s="2" t="s">
        <v>3264</v>
      </c>
      <c r="H717" s="3">
        <v>0</v>
      </c>
      <c r="I717" s="2" t="s">
        <v>409</v>
      </c>
      <c r="J717" s="2" t="s">
        <v>3265</v>
      </c>
      <c r="K717" s="2" t="s">
        <v>16</v>
      </c>
      <c r="L717" s="2" t="s">
        <v>3266</v>
      </c>
      <c r="M717" s="4">
        <v>0</v>
      </c>
      <c r="N717" t="b">
        <f>OR(LEFT(B717,3)="frg",(_xlfn.XMATCH(B717,ZZZ_Part_Id_[[#All],[FGCODE]])))</f>
        <v>1</v>
      </c>
    </row>
    <row r="718" spans="1:14" x14ac:dyDescent="0.3">
      <c r="A718" s="2" t="s">
        <v>3262</v>
      </c>
      <c r="B718" s="2" t="s">
        <v>14</v>
      </c>
      <c r="C718" s="2" t="s">
        <v>3267</v>
      </c>
      <c r="D718" s="3">
        <v>96</v>
      </c>
      <c r="E718" s="3">
        <v>0</v>
      </c>
      <c r="F718" s="2" t="s">
        <v>16</v>
      </c>
      <c r="G718" s="2" t="s">
        <v>3268</v>
      </c>
      <c r="H718" s="3">
        <v>0</v>
      </c>
      <c r="I718" s="2" t="s">
        <v>409</v>
      </c>
      <c r="J718" s="2" t="s">
        <v>3269</v>
      </c>
      <c r="K718" s="2" t="s">
        <v>16</v>
      </c>
      <c r="L718" s="2" t="s">
        <v>3270</v>
      </c>
      <c r="M718" s="4">
        <v>0</v>
      </c>
      <c r="N718" t="e">
        <f>OR(LEFT(B718,3)="frg",(_xlfn.XMATCH(B718,ZZZ_Part_Id_[[#All],[FGCODE]])))</f>
        <v>#N/A</v>
      </c>
    </row>
    <row r="719" spans="1:14" x14ac:dyDescent="0.3">
      <c r="A719" s="2" t="s">
        <v>3271</v>
      </c>
      <c r="B719" s="2" t="s">
        <v>3142</v>
      </c>
      <c r="C719" s="2" t="s">
        <v>3272</v>
      </c>
      <c r="D719" s="3">
        <v>72864</v>
      </c>
      <c r="E719" s="3">
        <v>72864</v>
      </c>
      <c r="F719" s="2" t="s">
        <v>16</v>
      </c>
      <c r="G719" s="2" t="s">
        <v>3273</v>
      </c>
      <c r="H719" s="3">
        <v>0</v>
      </c>
      <c r="I719" s="2" t="s">
        <v>18</v>
      </c>
      <c r="J719" s="2" t="s">
        <v>3274</v>
      </c>
      <c r="K719" s="2" t="s">
        <v>16</v>
      </c>
      <c r="L719" s="2" t="s">
        <v>3275</v>
      </c>
      <c r="M719" s="4">
        <v>14671.91</v>
      </c>
      <c r="N719" t="b">
        <f>OR(LEFT(B719,3)="frg",(_xlfn.XMATCH(B719,ZZZ_Part_Id_[[#All],[FGCODE]])))</f>
        <v>1</v>
      </c>
    </row>
    <row r="720" spans="1:14" x14ac:dyDescent="0.3">
      <c r="A720" s="2" t="s">
        <v>3271</v>
      </c>
      <c r="B720" s="2" t="s">
        <v>65</v>
      </c>
      <c r="C720" s="2" t="s">
        <v>3276</v>
      </c>
      <c r="D720" s="5">
        <v>-331</v>
      </c>
      <c r="E720" s="5">
        <v>-331</v>
      </c>
      <c r="F720" s="2" t="s">
        <v>23</v>
      </c>
      <c r="G720" s="2" t="s">
        <v>3277</v>
      </c>
      <c r="H720" s="3">
        <v>0</v>
      </c>
      <c r="I720" s="2" t="s">
        <v>18</v>
      </c>
      <c r="J720" s="2" t="s">
        <v>3278</v>
      </c>
      <c r="K720" s="2" t="s">
        <v>23</v>
      </c>
      <c r="L720" s="2" t="s">
        <v>3279</v>
      </c>
      <c r="M720" s="6">
        <v>-851.2</v>
      </c>
      <c r="N720" t="b">
        <f>OR(LEFT(B720,3)="frg",(_xlfn.XMATCH(B720,ZZZ_Part_Id_[[#All],[FGCODE]])))</f>
        <v>1</v>
      </c>
    </row>
    <row r="721" spans="1:14" x14ac:dyDescent="0.3">
      <c r="A721" s="2" t="s">
        <v>3271</v>
      </c>
      <c r="B721" s="2" t="s">
        <v>14</v>
      </c>
      <c r="C721" s="2" t="s">
        <v>3280</v>
      </c>
      <c r="D721" s="3">
        <v>10</v>
      </c>
      <c r="E721" s="3">
        <v>10</v>
      </c>
      <c r="F721" s="2" t="s">
        <v>16</v>
      </c>
      <c r="G721" s="2" t="s">
        <v>3281</v>
      </c>
      <c r="H721" s="3">
        <v>0</v>
      </c>
      <c r="I721" s="2" t="s">
        <v>18</v>
      </c>
      <c r="J721" s="2" t="s">
        <v>3282</v>
      </c>
      <c r="K721" s="2" t="s">
        <v>16</v>
      </c>
      <c r="L721" s="2" t="s">
        <v>3283</v>
      </c>
      <c r="M721" s="4">
        <v>0.77</v>
      </c>
      <c r="N721" t="e">
        <f>OR(LEFT(B721,3)="frg",(_xlfn.XMATCH(B721,ZZZ_Part_Id_[[#All],[FGCODE]])))</f>
        <v>#N/A</v>
      </c>
    </row>
    <row r="722" spans="1:14" x14ac:dyDescent="0.3">
      <c r="A722" s="2" t="s">
        <v>3271</v>
      </c>
      <c r="B722" s="2" t="s">
        <v>140</v>
      </c>
      <c r="C722" s="2" t="s">
        <v>3284</v>
      </c>
      <c r="D722" s="3">
        <v>0.4</v>
      </c>
      <c r="E722" s="3">
        <v>0.4</v>
      </c>
      <c r="F722" s="2" t="s">
        <v>16</v>
      </c>
      <c r="G722" s="2" t="s">
        <v>3285</v>
      </c>
      <c r="H722" s="3">
        <v>0</v>
      </c>
      <c r="I722" s="2" t="s">
        <v>18</v>
      </c>
      <c r="J722" s="2" t="s">
        <v>3286</v>
      </c>
      <c r="K722" s="2" t="s">
        <v>16</v>
      </c>
      <c r="L722" s="2" t="s">
        <v>3287</v>
      </c>
      <c r="M722" s="4">
        <v>0.66</v>
      </c>
      <c r="N722" t="e">
        <f>OR(LEFT(B722,3)="frg",(_xlfn.XMATCH(B722,ZZZ_Part_Id_[[#All],[FGCODE]])))</f>
        <v>#N/A</v>
      </c>
    </row>
    <row r="723" spans="1:14" x14ac:dyDescent="0.3">
      <c r="A723" s="2" t="s">
        <v>3271</v>
      </c>
      <c r="B723" s="2" t="s">
        <v>192</v>
      </c>
      <c r="C723" s="2" t="s">
        <v>3288</v>
      </c>
      <c r="D723" s="3">
        <v>0.1</v>
      </c>
      <c r="E723" s="3">
        <v>0.1</v>
      </c>
      <c r="F723" s="2" t="s">
        <v>194</v>
      </c>
      <c r="G723" s="2" t="s">
        <v>3289</v>
      </c>
      <c r="H723" s="3">
        <v>0</v>
      </c>
      <c r="I723" s="2" t="s">
        <v>18</v>
      </c>
      <c r="J723" s="2" t="s">
        <v>3290</v>
      </c>
      <c r="K723" s="2" t="s">
        <v>194</v>
      </c>
      <c r="L723" s="2" t="s">
        <v>3291</v>
      </c>
      <c r="M723" s="4">
        <v>0.5</v>
      </c>
      <c r="N723" t="e">
        <f>OR(LEFT(B723,3)="frg",(_xlfn.XMATCH(B723,ZZZ_Part_Id_[[#All],[FGCODE]])))</f>
        <v>#N/A</v>
      </c>
    </row>
    <row r="724" spans="1:14" x14ac:dyDescent="0.3">
      <c r="A724" s="2" t="s">
        <v>3271</v>
      </c>
      <c r="B724" s="2" t="s">
        <v>145</v>
      </c>
      <c r="C724" s="2" t="s">
        <v>3292</v>
      </c>
      <c r="D724" s="3">
        <v>0.04</v>
      </c>
      <c r="E724" s="3">
        <v>0.04</v>
      </c>
      <c r="F724" s="2" t="s">
        <v>147</v>
      </c>
      <c r="G724" s="2" t="s">
        <v>3293</v>
      </c>
      <c r="H724" s="3">
        <v>0</v>
      </c>
      <c r="I724" s="2" t="s">
        <v>18</v>
      </c>
      <c r="J724" s="2" t="s">
        <v>3294</v>
      </c>
      <c r="K724" s="2" t="s">
        <v>147</v>
      </c>
      <c r="L724" s="2" t="s">
        <v>3295</v>
      </c>
      <c r="M724" s="4">
        <v>6.26</v>
      </c>
      <c r="N724" t="e">
        <f>OR(LEFT(B724,3)="frg",(_xlfn.XMATCH(B724,ZZZ_Part_Id_[[#All],[FGCODE]])))</f>
        <v>#N/A</v>
      </c>
    </row>
    <row r="725" spans="1:14" x14ac:dyDescent="0.3">
      <c r="A725" s="2" t="s">
        <v>3296</v>
      </c>
      <c r="B725" s="2" t="s">
        <v>14</v>
      </c>
      <c r="C725" s="2" t="s">
        <v>3297</v>
      </c>
      <c r="D725" s="3">
        <v>16</v>
      </c>
      <c r="E725" s="3">
        <v>16</v>
      </c>
      <c r="F725" s="2" t="s">
        <v>16</v>
      </c>
      <c r="G725" s="2" t="s">
        <v>3298</v>
      </c>
      <c r="H725" s="3">
        <v>0</v>
      </c>
      <c r="I725" s="2" t="s">
        <v>409</v>
      </c>
      <c r="J725" s="2" t="s">
        <v>3299</v>
      </c>
      <c r="K725" s="2" t="s">
        <v>16</v>
      </c>
      <c r="L725" s="2" t="s">
        <v>3300</v>
      </c>
      <c r="M725" s="4">
        <v>1.23</v>
      </c>
      <c r="N725" t="e">
        <f>OR(LEFT(B725,3)="frg",(_xlfn.XMATCH(B725,ZZZ_Part_Id_[[#All],[FGCODE]])))</f>
        <v>#N/A</v>
      </c>
    </row>
    <row r="726" spans="1:14" x14ac:dyDescent="0.3">
      <c r="A726" s="2" t="s">
        <v>3296</v>
      </c>
      <c r="B726" s="2" t="s">
        <v>172</v>
      </c>
      <c r="C726" s="2" t="s">
        <v>3301</v>
      </c>
      <c r="D726" s="3">
        <v>2.2559999999999998</v>
      </c>
      <c r="E726" s="3">
        <v>2.2559999999999998</v>
      </c>
      <c r="F726" s="2" t="s">
        <v>23</v>
      </c>
      <c r="G726" s="2" t="s">
        <v>3302</v>
      </c>
      <c r="H726" s="3">
        <v>0</v>
      </c>
      <c r="I726" s="2" t="s">
        <v>409</v>
      </c>
      <c r="J726" s="2" t="s">
        <v>3303</v>
      </c>
      <c r="K726" s="2" t="s">
        <v>23</v>
      </c>
      <c r="L726" s="2" t="s">
        <v>3304</v>
      </c>
      <c r="M726" s="4">
        <v>14.66</v>
      </c>
      <c r="N726" t="e">
        <f>OR(LEFT(B726,3)="frg",(_xlfn.XMATCH(B726,ZZZ_Part_Id_[[#All],[FGCODE]])))</f>
        <v>#N/A</v>
      </c>
    </row>
    <row r="727" spans="1:14" x14ac:dyDescent="0.3">
      <c r="A727" s="2" t="s">
        <v>3296</v>
      </c>
      <c r="B727" s="2" t="s">
        <v>3142</v>
      </c>
      <c r="C727" s="2" t="s">
        <v>3305</v>
      </c>
      <c r="D727" s="3">
        <v>52992</v>
      </c>
      <c r="E727" s="3">
        <v>52992</v>
      </c>
      <c r="F727" s="2" t="s">
        <v>16</v>
      </c>
      <c r="G727" s="2" t="s">
        <v>3306</v>
      </c>
      <c r="H727" s="3">
        <v>0</v>
      </c>
      <c r="I727" s="2" t="s">
        <v>409</v>
      </c>
      <c r="J727" s="2" t="s">
        <v>3307</v>
      </c>
      <c r="K727" s="2" t="s">
        <v>16</v>
      </c>
      <c r="L727" s="2" t="s">
        <v>3308</v>
      </c>
      <c r="M727" s="4">
        <v>10670.48</v>
      </c>
      <c r="N727" t="b">
        <f>OR(LEFT(B727,3)="frg",(_xlfn.XMATCH(B727,ZZZ_Part_Id_[[#All],[FGCODE]])))</f>
        <v>1</v>
      </c>
    </row>
    <row r="728" spans="1:14" x14ac:dyDescent="0.3">
      <c r="A728" s="2" t="s">
        <v>3309</v>
      </c>
      <c r="B728" s="2" t="s">
        <v>14</v>
      </c>
      <c r="C728" s="2" t="s">
        <v>3310</v>
      </c>
      <c r="D728" s="3">
        <v>124</v>
      </c>
      <c r="E728" s="3">
        <v>124</v>
      </c>
      <c r="F728" s="2" t="s">
        <v>16</v>
      </c>
      <c r="G728" s="2" t="s">
        <v>3311</v>
      </c>
      <c r="H728" s="3">
        <v>0</v>
      </c>
      <c r="I728" s="2" t="s">
        <v>18</v>
      </c>
      <c r="J728" s="2" t="s">
        <v>3312</v>
      </c>
      <c r="K728" s="2" t="s">
        <v>16</v>
      </c>
      <c r="L728" s="2" t="s">
        <v>3313</v>
      </c>
      <c r="M728" s="4">
        <v>9.5399999999999991</v>
      </c>
      <c r="N728" t="e">
        <f>OR(LEFT(B728,3)="frg",(_xlfn.XMATCH(B728,ZZZ_Part_Id_[[#All],[FGCODE]])))</f>
        <v>#N/A</v>
      </c>
    </row>
    <row r="729" spans="1:14" x14ac:dyDescent="0.3">
      <c r="A729" s="2" t="s">
        <v>3309</v>
      </c>
      <c r="B729" s="2" t="s">
        <v>1027</v>
      </c>
      <c r="C729" s="2" t="s">
        <v>3314</v>
      </c>
      <c r="D729" s="3">
        <v>658440</v>
      </c>
      <c r="E729" s="3">
        <v>658440</v>
      </c>
      <c r="F729" s="2" t="s">
        <v>16</v>
      </c>
      <c r="G729" s="2" t="s">
        <v>3315</v>
      </c>
      <c r="H729" s="3">
        <v>0</v>
      </c>
      <c r="I729" s="2" t="s">
        <v>18</v>
      </c>
      <c r="J729" s="2" t="s">
        <v>3316</v>
      </c>
      <c r="K729" s="2" t="s">
        <v>16</v>
      </c>
      <c r="L729" s="2" t="s">
        <v>3317</v>
      </c>
      <c r="M729" s="4">
        <v>82752.66</v>
      </c>
      <c r="N729" t="b">
        <f>OR(LEFT(B729,3)="frg",(_xlfn.XMATCH(B729,ZZZ_Part_Id_[[#All],[FGCODE]])))</f>
        <v>1</v>
      </c>
    </row>
    <row r="730" spans="1:14" x14ac:dyDescent="0.3">
      <c r="A730" s="2" t="s">
        <v>3318</v>
      </c>
      <c r="B730" s="2" t="s">
        <v>14</v>
      </c>
      <c r="C730" s="2" t="s">
        <v>3319</v>
      </c>
      <c r="D730" s="3">
        <v>51</v>
      </c>
      <c r="E730" s="3">
        <v>51</v>
      </c>
      <c r="F730" s="2" t="s">
        <v>16</v>
      </c>
      <c r="G730" s="2" t="s">
        <v>3320</v>
      </c>
      <c r="H730" s="3">
        <v>0</v>
      </c>
      <c r="I730" s="2" t="s">
        <v>18</v>
      </c>
      <c r="J730" s="2" t="s">
        <v>3321</v>
      </c>
      <c r="K730" s="2" t="s">
        <v>16</v>
      </c>
      <c r="L730" s="2" t="s">
        <v>3322</v>
      </c>
      <c r="M730" s="4">
        <v>3.92</v>
      </c>
      <c r="N730" t="e">
        <f>OR(LEFT(B730,3)="frg",(_xlfn.XMATCH(B730,ZZZ_Part_Id_[[#All],[FGCODE]])))</f>
        <v>#N/A</v>
      </c>
    </row>
    <row r="731" spans="1:14" x14ac:dyDescent="0.3">
      <c r="A731" s="2" t="s">
        <v>3318</v>
      </c>
      <c r="B731" s="2" t="s">
        <v>172</v>
      </c>
      <c r="C731" s="2" t="s">
        <v>3323</v>
      </c>
      <c r="D731" s="3">
        <v>14.382</v>
      </c>
      <c r="E731" s="3">
        <v>14.382</v>
      </c>
      <c r="F731" s="2" t="s">
        <v>23</v>
      </c>
      <c r="G731" s="2" t="s">
        <v>3324</v>
      </c>
      <c r="H731" s="3">
        <v>0</v>
      </c>
      <c r="I731" s="2" t="s">
        <v>18</v>
      </c>
      <c r="J731" s="2" t="s">
        <v>3325</v>
      </c>
      <c r="K731" s="2" t="s">
        <v>23</v>
      </c>
      <c r="L731" s="2" t="s">
        <v>3326</v>
      </c>
      <c r="M731" s="4">
        <v>93.48</v>
      </c>
      <c r="N731" t="e">
        <f>OR(LEFT(B731,3)="frg",(_xlfn.XMATCH(B731,ZZZ_Part_Id_[[#All],[FGCODE]])))</f>
        <v>#N/A</v>
      </c>
    </row>
    <row r="732" spans="1:14" x14ac:dyDescent="0.3">
      <c r="A732" s="2" t="s">
        <v>3318</v>
      </c>
      <c r="B732" s="2" t="s">
        <v>27</v>
      </c>
      <c r="C732" s="2" t="s">
        <v>3327</v>
      </c>
      <c r="D732" s="3">
        <v>337824</v>
      </c>
      <c r="E732" s="3">
        <v>337824</v>
      </c>
      <c r="F732" s="2" t="s">
        <v>16</v>
      </c>
      <c r="G732" s="2" t="s">
        <v>3328</v>
      </c>
      <c r="H732" s="3">
        <v>0</v>
      </c>
      <c r="I732" s="2" t="s">
        <v>18</v>
      </c>
      <c r="J732" s="2" t="s">
        <v>3329</v>
      </c>
      <c r="K732" s="2" t="s">
        <v>16</v>
      </c>
      <c r="L732" s="2" t="s">
        <v>3330</v>
      </c>
      <c r="M732" s="4">
        <v>62740.7</v>
      </c>
      <c r="N732" t="b">
        <f>OR(LEFT(B732,3)="frg",(_xlfn.XMATCH(B732,ZZZ_Part_Id_[[#All],[FGCODE]])))</f>
        <v>1</v>
      </c>
    </row>
    <row r="733" spans="1:14" x14ac:dyDescent="0.3">
      <c r="A733" s="2" t="s">
        <v>3331</v>
      </c>
      <c r="B733" s="2" t="s">
        <v>14</v>
      </c>
      <c r="C733" s="2" t="s">
        <v>3332</v>
      </c>
      <c r="D733" s="3">
        <v>33</v>
      </c>
      <c r="E733" s="3">
        <v>33</v>
      </c>
      <c r="F733" s="2" t="s">
        <v>16</v>
      </c>
      <c r="G733" s="2" t="s">
        <v>3333</v>
      </c>
      <c r="H733" s="3">
        <v>0</v>
      </c>
      <c r="I733" s="2" t="s">
        <v>18</v>
      </c>
      <c r="J733" s="2" t="s">
        <v>3334</v>
      </c>
      <c r="K733" s="2" t="s">
        <v>16</v>
      </c>
      <c r="L733" s="2" t="s">
        <v>3335</v>
      </c>
      <c r="M733" s="4">
        <v>2.54</v>
      </c>
      <c r="N733" t="e">
        <f>OR(LEFT(B733,3)="frg",(_xlfn.XMATCH(B733,ZZZ_Part_Id_[[#All],[FGCODE]])))</f>
        <v>#N/A</v>
      </c>
    </row>
    <row r="734" spans="1:14" x14ac:dyDescent="0.3">
      <c r="A734" s="2" t="s">
        <v>3331</v>
      </c>
      <c r="B734" s="2" t="s">
        <v>517</v>
      </c>
      <c r="C734" s="2" t="s">
        <v>3336</v>
      </c>
      <c r="D734" s="3">
        <v>332640</v>
      </c>
      <c r="E734" s="3">
        <v>332640</v>
      </c>
      <c r="F734" s="2" t="s">
        <v>16</v>
      </c>
      <c r="G734" s="2" t="s">
        <v>3337</v>
      </c>
      <c r="H734" s="3">
        <v>0</v>
      </c>
      <c r="I734" s="2" t="s">
        <v>18</v>
      </c>
      <c r="J734" s="2" t="s">
        <v>3338</v>
      </c>
      <c r="K734" s="2" t="s">
        <v>16</v>
      </c>
      <c r="L734" s="2" t="s">
        <v>3339</v>
      </c>
      <c r="M734" s="4">
        <v>38606.06</v>
      </c>
      <c r="N734" t="b">
        <f>OR(LEFT(B734,3)="frg",(_xlfn.XMATCH(B734,ZZZ_Part_Id_[[#All],[FGCODE]])))</f>
        <v>1</v>
      </c>
    </row>
    <row r="735" spans="1:14" x14ac:dyDescent="0.3">
      <c r="A735" s="2" t="s">
        <v>3340</v>
      </c>
      <c r="B735" s="2" t="s">
        <v>14</v>
      </c>
      <c r="C735" s="2" t="s">
        <v>3341</v>
      </c>
      <c r="D735" s="3">
        <v>12</v>
      </c>
      <c r="E735" s="3">
        <v>12</v>
      </c>
      <c r="F735" s="2" t="s">
        <v>16</v>
      </c>
      <c r="G735" s="2" t="s">
        <v>3342</v>
      </c>
      <c r="H735" s="3">
        <v>0</v>
      </c>
      <c r="I735" s="2" t="s">
        <v>409</v>
      </c>
      <c r="J735" s="2" t="s">
        <v>3343</v>
      </c>
      <c r="K735" s="2" t="s">
        <v>16</v>
      </c>
      <c r="L735" s="2" t="s">
        <v>3344</v>
      </c>
      <c r="M735" s="4">
        <v>0.92</v>
      </c>
      <c r="N735" t="e">
        <f>OR(LEFT(B735,3)="frg",(_xlfn.XMATCH(B735,ZZZ_Part_Id_[[#All],[FGCODE]])))</f>
        <v>#N/A</v>
      </c>
    </row>
    <row r="736" spans="1:14" x14ac:dyDescent="0.3">
      <c r="A736" s="2" t="s">
        <v>3340</v>
      </c>
      <c r="B736" s="2" t="s">
        <v>65</v>
      </c>
      <c r="C736" s="2" t="s">
        <v>3345</v>
      </c>
      <c r="D736" s="5">
        <v>-263</v>
      </c>
      <c r="E736" s="5">
        <v>-263</v>
      </c>
      <c r="F736" s="2" t="s">
        <v>23</v>
      </c>
      <c r="G736" s="2" t="s">
        <v>3346</v>
      </c>
      <c r="H736" s="3">
        <v>0</v>
      </c>
      <c r="I736" s="2" t="s">
        <v>409</v>
      </c>
      <c r="J736" s="2" t="s">
        <v>3347</v>
      </c>
      <c r="K736" s="2" t="s">
        <v>23</v>
      </c>
      <c r="L736" s="2" t="s">
        <v>3348</v>
      </c>
      <c r="M736" s="6">
        <v>-676.33</v>
      </c>
      <c r="N736" t="b">
        <f>OR(LEFT(B736,3)="frg",(_xlfn.XMATCH(B736,ZZZ_Part_Id_[[#All],[FGCODE]])))</f>
        <v>1</v>
      </c>
    </row>
    <row r="737" spans="1:14" x14ac:dyDescent="0.3">
      <c r="A737" s="2" t="s">
        <v>3340</v>
      </c>
      <c r="B737" s="2" t="s">
        <v>3349</v>
      </c>
      <c r="C737" s="2" t="s">
        <v>3350</v>
      </c>
      <c r="D737" s="3">
        <v>329940</v>
      </c>
      <c r="E737" s="3">
        <v>329940</v>
      </c>
      <c r="F737" s="2" t="s">
        <v>16</v>
      </c>
      <c r="G737" s="2" t="s">
        <v>3351</v>
      </c>
      <c r="H737" s="3">
        <v>0</v>
      </c>
      <c r="I737" s="2" t="s">
        <v>409</v>
      </c>
      <c r="J737" s="2" t="s">
        <v>3352</v>
      </c>
      <c r="K737" s="2" t="s">
        <v>16</v>
      </c>
      <c r="L737" s="2" t="s">
        <v>3353</v>
      </c>
      <c r="M737" s="4">
        <v>14741.74</v>
      </c>
      <c r="N737" t="b">
        <f>OR(LEFT(B737,3)="frg",(_xlfn.XMATCH(B737,ZZZ_Part_Id_[[#All],[FGCODE]])))</f>
        <v>1</v>
      </c>
    </row>
    <row r="738" spans="1:14" x14ac:dyDescent="0.3">
      <c r="A738" s="2" t="s">
        <v>3354</v>
      </c>
      <c r="B738" s="2" t="s">
        <v>14</v>
      </c>
      <c r="C738" s="2" t="s">
        <v>3355</v>
      </c>
      <c r="D738" s="3">
        <v>27</v>
      </c>
      <c r="E738" s="3">
        <v>27</v>
      </c>
      <c r="F738" s="2" t="s">
        <v>16</v>
      </c>
      <c r="G738" s="2" t="s">
        <v>3356</v>
      </c>
      <c r="H738" s="3">
        <v>0</v>
      </c>
      <c r="I738" s="2" t="s">
        <v>18</v>
      </c>
      <c r="J738" s="2" t="s">
        <v>3357</v>
      </c>
      <c r="K738" s="2" t="s">
        <v>16</v>
      </c>
      <c r="L738" s="2" t="s">
        <v>3358</v>
      </c>
      <c r="M738" s="4">
        <v>2.08</v>
      </c>
      <c r="N738" t="e">
        <f>OR(LEFT(B738,3)="frg",(_xlfn.XMATCH(B738,ZZZ_Part_Id_[[#All],[FGCODE]])))</f>
        <v>#N/A</v>
      </c>
    </row>
    <row r="739" spans="1:14" x14ac:dyDescent="0.3">
      <c r="A739" s="2" t="s">
        <v>3354</v>
      </c>
      <c r="B739" s="2" t="s">
        <v>65</v>
      </c>
      <c r="C739" s="2" t="s">
        <v>3359</v>
      </c>
      <c r="D739" s="5">
        <v>-804</v>
      </c>
      <c r="E739" s="5">
        <v>-804</v>
      </c>
      <c r="F739" s="2" t="s">
        <v>23</v>
      </c>
      <c r="G739" s="2" t="s">
        <v>3360</v>
      </c>
      <c r="H739" s="3">
        <v>0</v>
      </c>
      <c r="I739" s="2" t="s">
        <v>18</v>
      </c>
      <c r="J739" s="2" t="s">
        <v>3361</v>
      </c>
      <c r="K739" s="2" t="s">
        <v>23</v>
      </c>
      <c r="L739" s="2" t="s">
        <v>3362</v>
      </c>
      <c r="M739" s="6">
        <v>-2067.5700000000002</v>
      </c>
      <c r="N739" t="b">
        <f>OR(LEFT(B739,3)="frg",(_xlfn.XMATCH(B739,ZZZ_Part_Id_[[#All],[FGCODE]])))</f>
        <v>1</v>
      </c>
    </row>
    <row r="740" spans="1:14" x14ac:dyDescent="0.3">
      <c r="A740" s="2" t="s">
        <v>3354</v>
      </c>
      <c r="B740" s="2" t="s">
        <v>3156</v>
      </c>
      <c r="C740" s="2" t="s">
        <v>3363</v>
      </c>
      <c r="D740" s="3">
        <v>302400</v>
      </c>
      <c r="E740" s="3">
        <v>302400</v>
      </c>
      <c r="F740" s="2" t="s">
        <v>16</v>
      </c>
      <c r="G740" s="2" t="s">
        <v>3364</v>
      </c>
      <c r="H740" s="3">
        <v>0</v>
      </c>
      <c r="I740" s="2" t="s">
        <v>18</v>
      </c>
      <c r="J740" s="2" t="s">
        <v>3365</v>
      </c>
      <c r="K740" s="2" t="s">
        <v>16</v>
      </c>
      <c r="L740" s="2" t="s">
        <v>3366</v>
      </c>
      <c r="M740" s="4">
        <v>34924.199999999997</v>
      </c>
      <c r="N740" t="b">
        <f>OR(LEFT(B740,3)="frg",(_xlfn.XMATCH(B740,ZZZ_Part_Id_[[#All],[FGCODE]])))</f>
        <v>1</v>
      </c>
    </row>
    <row r="741" spans="1:14" x14ac:dyDescent="0.3">
      <c r="A741" s="2" t="s">
        <v>3367</v>
      </c>
      <c r="B741" s="2" t="s">
        <v>14</v>
      </c>
      <c r="C741" s="2" t="s">
        <v>3368</v>
      </c>
      <c r="D741" s="3">
        <v>14</v>
      </c>
      <c r="E741" s="3">
        <v>14</v>
      </c>
      <c r="F741" s="2" t="s">
        <v>16</v>
      </c>
      <c r="G741" s="2" t="s">
        <v>3369</v>
      </c>
      <c r="H741" s="3">
        <v>0</v>
      </c>
      <c r="I741" s="2" t="s">
        <v>18</v>
      </c>
      <c r="J741" s="2" t="s">
        <v>3370</v>
      </c>
      <c r="K741" s="2" t="s">
        <v>16</v>
      </c>
      <c r="L741" s="2" t="s">
        <v>3371</v>
      </c>
      <c r="M741" s="4">
        <v>1.08</v>
      </c>
      <c r="N741" t="e">
        <f>OR(LEFT(B741,3)="frg",(_xlfn.XMATCH(B741,ZZZ_Part_Id_[[#All],[FGCODE]])))</f>
        <v>#N/A</v>
      </c>
    </row>
    <row r="742" spans="1:14" x14ac:dyDescent="0.3">
      <c r="A742" s="2" t="s">
        <v>3367</v>
      </c>
      <c r="B742" s="2" t="s">
        <v>86</v>
      </c>
      <c r="C742" s="2" t="s">
        <v>3372</v>
      </c>
      <c r="D742" s="5">
        <v>-15.68</v>
      </c>
      <c r="E742" s="5">
        <v>-15.68</v>
      </c>
      <c r="F742" s="2" t="s">
        <v>23</v>
      </c>
      <c r="G742" s="2" t="s">
        <v>3373</v>
      </c>
      <c r="H742" s="3">
        <v>0</v>
      </c>
      <c r="I742" s="2" t="s">
        <v>18</v>
      </c>
      <c r="J742" s="2" t="s">
        <v>3374</v>
      </c>
      <c r="K742" s="2" t="s">
        <v>23</v>
      </c>
      <c r="L742" s="2" t="s">
        <v>3375</v>
      </c>
      <c r="M742" s="6">
        <v>-41.05</v>
      </c>
      <c r="N742" t="b">
        <f>OR(LEFT(B742,3)="frg",(_xlfn.XMATCH(B742,ZZZ_Part_Id_[[#All],[FGCODE]])))</f>
        <v>1</v>
      </c>
    </row>
    <row r="743" spans="1:14" x14ac:dyDescent="0.3">
      <c r="A743" s="2" t="s">
        <v>3367</v>
      </c>
      <c r="B743" s="2" t="s">
        <v>91</v>
      </c>
      <c r="C743" s="2" t="s">
        <v>3376</v>
      </c>
      <c r="D743" s="3">
        <v>432000</v>
      </c>
      <c r="E743" s="3">
        <v>432000</v>
      </c>
      <c r="F743" s="2" t="s">
        <v>16</v>
      </c>
      <c r="G743" s="2" t="s">
        <v>3377</v>
      </c>
      <c r="H743" s="3">
        <v>0</v>
      </c>
      <c r="I743" s="2" t="s">
        <v>18</v>
      </c>
      <c r="J743" s="2" t="s">
        <v>3378</v>
      </c>
      <c r="K743" s="2" t="s">
        <v>16</v>
      </c>
      <c r="L743" s="2" t="s">
        <v>3379</v>
      </c>
      <c r="M743" s="4">
        <v>16195.68</v>
      </c>
      <c r="N743" t="b">
        <f>OR(LEFT(B743,3)="frg",(_xlfn.XMATCH(B743,ZZZ_Part_Id_[[#All],[FGCODE]])))</f>
        <v>1</v>
      </c>
    </row>
    <row r="744" spans="1:14" x14ac:dyDescent="0.3">
      <c r="A744" s="2" t="s">
        <v>3380</v>
      </c>
      <c r="B744" s="2" t="s">
        <v>172</v>
      </c>
      <c r="C744" s="2" t="s">
        <v>3381</v>
      </c>
      <c r="D744" s="3">
        <v>14</v>
      </c>
      <c r="E744" s="3">
        <v>14</v>
      </c>
      <c r="F744" s="2" t="s">
        <v>23</v>
      </c>
      <c r="G744" s="2" t="s">
        <v>3382</v>
      </c>
      <c r="H744" s="3">
        <v>0</v>
      </c>
      <c r="I744" s="2" t="s">
        <v>18</v>
      </c>
      <c r="J744" s="2" t="s">
        <v>3383</v>
      </c>
      <c r="K744" s="2" t="s">
        <v>23</v>
      </c>
      <c r="L744" s="2" t="s">
        <v>3384</v>
      </c>
      <c r="M744" s="4">
        <v>91</v>
      </c>
      <c r="N744" t="e">
        <f>OR(LEFT(B744,3)="frg",(_xlfn.XMATCH(B744,ZZZ_Part_Id_[[#All],[FGCODE]])))</f>
        <v>#N/A</v>
      </c>
    </row>
    <row r="745" spans="1:14" x14ac:dyDescent="0.3">
      <c r="A745" s="2" t="s">
        <v>3380</v>
      </c>
      <c r="B745" s="2" t="s">
        <v>740</v>
      </c>
      <c r="C745" s="2" t="s">
        <v>3385</v>
      </c>
      <c r="D745" s="3">
        <v>297360</v>
      </c>
      <c r="E745" s="3">
        <v>297360</v>
      </c>
      <c r="F745" s="2" t="s">
        <v>16</v>
      </c>
      <c r="G745" s="2" t="s">
        <v>3386</v>
      </c>
      <c r="H745" s="3">
        <v>0</v>
      </c>
      <c r="I745" s="2" t="s">
        <v>18</v>
      </c>
      <c r="J745" s="2" t="s">
        <v>3387</v>
      </c>
      <c r="K745" s="2" t="s">
        <v>16</v>
      </c>
      <c r="L745" s="2" t="s">
        <v>3388</v>
      </c>
      <c r="M745" s="4">
        <v>36602.160000000003</v>
      </c>
      <c r="N745" t="b">
        <f>OR(LEFT(B745,3)="frg",(_xlfn.XMATCH(B745,ZZZ_Part_Id_[[#All],[FGCODE]])))</f>
        <v>1</v>
      </c>
    </row>
    <row r="746" spans="1:14" x14ac:dyDescent="0.3">
      <c r="A746" s="2" t="s">
        <v>3389</v>
      </c>
      <c r="B746" s="2" t="s">
        <v>14</v>
      </c>
      <c r="C746" s="2" t="s">
        <v>3390</v>
      </c>
      <c r="D746" s="3">
        <v>2</v>
      </c>
      <c r="E746" s="3">
        <v>2</v>
      </c>
      <c r="F746" s="2" t="s">
        <v>16</v>
      </c>
      <c r="G746" s="2" t="s">
        <v>3391</v>
      </c>
      <c r="H746" s="3">
        <v>0</v>
      </c>
      <c r="I746" s="2" t="s">
        <v>409</v>
      </c>
      <c r="J746" s="2" t="s">
        <v>3392</v>
      </c>
      <c r="K746" s="2" t="s">
        <v>16</v>
      </c>
      <c r="L746" s="2" t="s">
        <v>3393</v>
      </c>
      <c r="M746" s="4">
        <v>0.15</v>
      </c>
      <c r="N746" t="e">
        <f>OR(LEFT(B746,3)="frg",(_xlfn.XMATCH(B746,ZZZ_Part_Id_[[#All],[FGCODE]])))</f>
        <v>#N/A</v>
      </c>
    </row>
    <row r="747" spans="1:14" x14ac:dyDescent="0.3">
      <c r="A747" s="2" t="s">
        <v>3389</v>
      </c>
      <c r="B747" s="2" t="s">
        <v>86</v>
      </c>
      <c r="C747" s="2" t="s">
        <v>3394</v>
      </c>
      <c r="D747" s="5">
        <v>-440</v>
      </c>
      <c r="E747" s="5">
        <v>-440</v>
      </c>
      <c r="F747" s="2" t="s">
        <v>23</v>
      </c>
      <c r="G747" s="2" t="s">
        <v>3395</v>
      </c>
      <c r="H747" s="3">
        <v>0</v>
      </c>
      <c r="I747" s="2" t="s">
        <v>409</v>
      </c>
      <c r="J747" s="2" t="s">
        <v>3396</v>
      </c>
      <c r="K747" s="2" t="s">
        <v>23</v>
      </c>
      <c r="L747" s="2" t="s">
        <v>3397</v>
      </c>
      <c r="M747" s="6">
        <v>-1151.83</v>
      </c>
      <c r="N747" t="b">
        <f>OR(LEFT(B747,3)="frg",(_xlfn.XMATCH(B747,ZZZ_Part_Id_[[#All],[FGCODE]])))</f>
        <v>1</v>
      </c>
    </row>
    <row r="748" spans="1:14" x14ac:dyDescent="0.3">
      <c r="A748" s="2" t="s">
        <v>3389</v>
      </c>
      <c r="B748" s="2" t="s">
        <v>1590</v>
      </c>
      <c r="C748" s="2" t="s">
        <v>3398</v>
      </c>
      <c r="D748" s="3">
        <v>119520</v>
      </c>
      <c r="E748" s="3">
        <v>119520</v>
      </c>
      <c r="F748" s="2" t="s">
        <v>16</v>
      </c>
      <c r="G748" s="2" t="s">
        <v>3399</v>
      </c>
      <c r="H748" s="3">
        <v>0</v>
      </c>
      <c r="I748" s="2" t="s">
        <v>409</v>
      </c>
      <c r="J748" s="2" t="s">
        <v>3400</v>
      </c>
      <c r="K748" s="2" t="s">
        <v>16</v>
      </c>
      <c r="L748" s="2" t="s">
        <v>3401</v>
      </c>
      <c r="M748" s="4">
        <v>4576.42</v>
      </c>
      <c r="N748" t="b">
        <f>OR(LEFT(B748,3)="frg",(_xlfn.XMATCH(B748,ZZZ_Part_Id_[[#All],[FGCODE]])))</f>
        <v>1</v>
      </c>
    </row>
    <row r="749" spans="1:14" x14ac:dyDescent="0.3">
      <c r="A749" s="2" t="s">
        <v>3402</v>
      </c>
      <c r="B749" s="2" t="s">
        <v>14</v>
      </c>
      <c r="C749" s="2" t="s">
        <v>3403</v>
      </c>
      <c r="D749" s="3">
        <v>24</v>
      </c>
      <c r="E749" s="3">
        <v>24</v>
      </c>
      <c r="F749" s="2" t="s">
        <v>16</v>
      </c>
      <c r="G749" s="2" t="s">
        <v>3404</v>
      </c>
      <c r="H749" s="3">
        <v>0</v>
      </c>
      <c r="I749" s="2" t="s">
        <v>409</v>
      </c>
      <c r="J749" s="2" t="s">
        <v>3405</v>
      </c>
      <c r="K749" s="2" t="s">
        <v>16</v>
      </c>
      <c r="L749" s="2" t="s">
        <v>3406</v>
      </c>
      <c r="M749" s="4">
        <v>1.85</v>
      </c>
      <c r="N749" t="e">
        <f>OR(LEFT(B749,3)="frg",(_xlfn.XMATCH(B749,ZZZ_Part_Id_[[#All],[FGCODE]])))</f>
        <v>#N/A</v>
      </c>
    </row>
    <row r="750" spans="1:14" x14ac:dyDescent="0.3">
      <c r="A750" s="2" t="s">
        <v>3402</v>
      </c>
      <c r="B750" s="2" t="s">
        <v>172</v>
      </c>
      <c r="C750" s="2" t="s">
        <v>3407</v>
      </c>
      <c r="D750" s="3">
        <v>3.3839999999999999</v>
      </c>
      <c r="E750" s="3">
        <v>3.3839999999999999</v>
      </c>
      <c r="F750" s="2" t="s">
        <v>23</v>
      </c>
      <c r="G750" s="2" t="s">
        <v>3408</v>
      </c>
      <c r="H750" s="3">
        <v>0</v>
      </c>
      <c r="I750" s="2" t="s">
        <v>409</v>
      </c>
      <c r="J750" s="2" t="s">
        <v>3409</v>
      </c>
      <c r="K750" s="2" t="s">
        <v>23</v>
      </c>
      <c r="L750" s="2" t="s">
        <v>3410</v>
      </c>
      <c r="M750" s="4">
        <v>22</v>
      </c>
      <c r="N750" t="e">
        <f>OR(LEFT(B750,3)="frg",(_xlfn.XMATCH(B750,ZZZ_Part_Id_[[#All],[FGCODE]])))</f>
        <v>#N/A</v>
      </c>
    </row>
    <row r="751" spans="1:14" x14ac:dyDescent="0.3">
      <c r="A751" s="2" t="s">
        <v>3402</v>
      </c>
      <c r="B751" s="2" t="s">
        <v>3142</v>
      </c>
      <c r="C751" s="2" t="s">
        <v>3411</v>
      </c>
      <c r="D751" s="3">
        <v>79488</v>
      </c>
      <c r="E751" s="3">
        <v>79488</v>
      </c>
      <c r="F751" s="2" t="s">
        <v>16</v>
      </c>
      <c r="G751" s="2" t="s">
        <v>3412</v>
      </c>
      <c r="H751" s="3">
        <v>0</v>
      </c>
      <c r="I751" s="2" t="s">
        <v>409</v>
      </c>
      <c r="J751" s="2" t="s">
        <v>3413</v>
      </c>
      <c r="K751" s="2" t="s">
        <v>16</v>
      </c>
      <c r="L751" s="2" t="s">
        <v>3414</v>
      </c>
      <c r="M751" s="4">
        <v>16005.72</v>
      </c>
      <c r="N751" t="b">
        <f>OR(LEFT(B751,3)="frg",(_xlfn.XMATCH(B751,ZZZ_Part_Id_[[#All],[FGCODE]])))</f>
        <v>1</v>
      </c>
    </row>
    <row r="752" spans="1:14" x14ac:dyDescent="0.3">
      <c r="A752" s="2" t="s">
        <v>3415</v>
      </c>
      <c r="B752" s="2" t="s">
        <v>172</v>
      </c>
      <c r="C752" s="2" t="s">
        <v>3416</v>
      </c>
      <c r="D752" s="3">
        <v>40</v>
      </c>
      <c r="E752" s="3">
        <v>40</v>
      </c>
      <c r="F752" s="2" t="s">
        <v>23</v>
      </c>
      <c r="G752" s="2" t="s">
        <v>3417</v>
      </c>
      <c r="H752" s="3">
        <v>0</v>
      </c>
      <c r="I752" s="2" t="s">
        <v>18</v>
      </c>
      <c r="J752" s="2" t="s">
        <v>3418</v>
      </c>
      <c r="K752" s="2" t="s">
        <v>23</v>
      </c>
      <c r="L752" s="2" t="s">
        <v>3419</v>
      </c>
      <c r="M752" s="4">
        <v>260</v>
      </c>
      <c r="N752" t="e">
        <f>OR(LEFT(B752,3)="frg",(_xlfn.XMATCH(B752,ZZZ_Part_Id_[[#All],[FGCODE]])))</f>
        <v>#N/A</v>
      </c>
    </row>
    <row r="753" spans="1:14" x14ac:dyDescent="0.3">
      <c r="A753" s="2" t="s">
        <v>3415</v>
      </c>
      <c r="B753" s="2" t="s">
        <v>740</v>
      </c>
      <c r="C753" s="2" t="s">
        <v>3420</v>
      </c>
      <c r="D753" s="3">
        <v>1019520</v>
      </c>
      <c r="E753" s="3">
        <v>1019520</v>
      </c>
      <c r="F753" s="2" t="s">
        <v>16</v>
      </c>
      <c r="G753" s="2" t="s">
        <v>3421</v>
      </c>
      <c r="H753" s="3">
        <v>0</v>
      </c>
      <c r="I753" s="2" t="s">
        <v>18</v>
      </c>
      <c r="J753" s="2" t="s">
        <v>3422</v>
      </c>
      <c r="K753" s="2" t="s">
        <v>16</v>
      </c>
      <c r="L753" s="2" t="s">
        <v>3423</v>
      </c>
      <c r="M753" s="4">
        <v>125493.12</v>
      </c>
      <c r="N753" t="b">
        <f>OR(LEFT(B753,3)="frg",(_xlfn.XMATCH(B753,ZZZ_Part_Id_[[#All],[FGCODE]])))</f>
        <v>1</v>
      </c>
    </row>
    <row r="754" spans="1:14" x14ac:dyDescent="0.3">
      <c r="A754" s="2" t="s">
        <v>3424</v>
      </c>
      <c r="B754" s="2" t="s">
        <v>14</v>
      </c>
      <c r="C754" s="2" t="s">
        <v>3425</v>
      </c>
      <c r="D754" s="3">
        <v>73</v>
      </c>
      <c r="E754" s="3">
        <v>73</v>
      </c>
      <c r="F754" s="2" t="s">
        <v>16</v>
      </c>
      <c r="G754" s="2" t="s">
        <v>3426</v>
      </c>
      <c r="H754" s="3">
        <v>0</v>
      </c>
      <c r="I754" s="2" t="s">
        <v>18</v>
      </c>
      <c r="J754" s="2" t="s">
        <v>3427</v>
      </c>
      <c r="K754" s="2" t="s">
        <v>16</v>
      </c>
      <c r="L754" s="2" t="s">
        <v>3428</v>
      </c>
      <c r="M754" s="4">
        <v>5.62</v>
      </c>
      <c r="N754" t="e">
        <f>OR(LEFT(B754,3)="frg",(_xlfn.XMATCH(B754,ZZZ_Part_Id_[[#All],[FGCODE]])))</f>
        <v>#N/A</v>
      </c>
    </row>
    <row r="755" spans="1:14" x14ac:dyDescent="0.3">
      <c r="A755" s="2" t="s">
        <v>3424</v>
      </c>
      <c r="B755" s="2" t="s">
        <v>172</v>
      </c>
      <c r="C755" s="2" t="s">
        <v>3429</v>
      </c>
      <c r="D755" s="3">
        <v>20.585999999999999</v>
      </c>
      <c r="E755" s="3">
        <v>20.585999999999999</v>
      </c>
      <c r="F755" s="2" t="s">
        <v>23</v>
      </c>
      <c r="G755" s="2" t="s">
        <v>3430</v>
      </c>
      <c r="H755" s="3">
        <v>0</v>
      </c>
      <c r="I755" s="2" t="s">
        <v>18</v>
      </c>
      <c r="J755" s="2" t="s">
        <v>3431</v>
      </c>
      <c r="K755" s="2" t="s">
        <v>23</v>
      </c>
      <c r="L755" s="2" t="s">
        <v>3432</v>
      </c>
      <c r="M755" s="4">
        <v>133.81</v>
      </c>
      <c r="N755" t="e">
        <f>OR(LEFT(B755,3)="frg",(_xlfn.XMATCH(B755,ZZZ_Part_Id_[[#All],[FGCODE]])))</f>
        <v>#N/A</v>
      </c>
    </row>
    <row r="756" spans="1:14" x14ac:dyDescent="0.3">
      <c r="A756" s="2" t="s">
        <v>3424</v>
      </c>
      <c r="B756" s="2" t="s">
        <v>27</v>
      </c>
      <c r="C756" s="2" t="s">
        <v>3433</v>
      </c>
      <c r="D756" s="3">
        <v>483552</v>
      </c>
      <c r="E756" s="3">
        <v>483552</v>
      </c>
      <c r="F756" s="2" t="s">
        <v>16</v>
      </c>
      <c r="G756" s="2" t="s">
        <v>3434</v>
      </c>
      <c r="H756" s="3">
        <v>0</v>
      </c>
      <c r="I756" s="2" t="s">
        <v>18</v>
      </c>
      <c r="J756" s="2" t="s">
        <v>3435</v>
      </c>
      <c r="K756" s="2" t="s">
        <v>16</v>
      </c>
      <c r="L756" s="2" t="s">
        <v>3436</v>
      </c>
      <c r="M756" s="4">
        <v>89805.33</v>
      </c>
      <c r="N756" t="b">
        <f>OR(LEFT(B756,3)="frg",(_xlfn.XMATCH(B756,ZZZ_Part_Id_[[#All],[FGCODE]])))</f>
        <v>1</v>
      </c>
    </row>
    <row r="757" spans="1:14" x14ac:dyDescent="0.3">
      <c r="A757" s="2" t="s">
        <v>3437</v>
      </c>
      <c r="B757" s="2" t="s">
        <v>14</v>
      </c>
      <c r="C757" s="2" t="s">
        <v>3438</v>
      </c>
      <c r="D757" s="3">
        <v>51</v>
      </c>
      <c r="E757" s="3">
        <v>51</v>
      </c>
      <c r="F757" s="2" t="s">
        <v>16</v>
      </c>
      <c r="G757" s="2" t="s">
        <v>3439</v>
      </c>
      <c r="H757" s="3">
        <v>0</v>
      </c>
      <c r="I757" s="2" t="s">
        <v>18</v>
      </c>
      <c r="J757" s="2" t="s">
        <v>3440</v>
      </c>
      <c r="K757" s="2" t="s">
        <v>16</v>
      </c>
      <c r="L757" s="2" t="s">
        <v>3441</v>
      </c>
      <c r="M757" s="4">
        <v>3.92</v>
      </c>
      <c r="N757" t="e">
        <f>OR(LEFT(B757,3)="frg",(_xlfn.XMATCH(B757,ZZZ_Part_Id_[[#All],[FGCODE]])))</f>
        <v>#N/A</v>
      </c>
    </row>
    <row r="758" spans="1:14" x14ac:dyDescent="0.3">
      <c r="A758" s="2" t="s">
        <v>3437</v>
      </c>
      <c r="B758" s="2" t="s">
        <v>172</v>
      </c>
      <c r="C758" s="2" t="s">
        <v>3442</v>
      </c>
      <c r="D758" s="3">
        <v>14.382</v>
      </c>
      <c r="E758" s="3">
        <v>14.382</v>
      </c>
      <c r="F758" s="2" t="s">
        <v>23</v>
      </c>
      <c r="G758" s="2" t="s">
        <v>3443</v>
      </c>
      <c r="H758" s="3">
        <v>0</v>
      </c>
      <c r="I758" s="2" t="s">
        <v>18</v>
      </c>
      <c r="J758" s="2" t="s">
        <v>3444</v>
      </c>
      <c r="K758" s="2" t="s">
        <v>23</v>
      </c>
      <c r="L758" s="2" t="s">
        <v>3445</v>
      </c>
      <c r="M758" s="4">
        <v>93.48</v>
      </c>
      <c r="N758" t="e">
        <f>OR(LEFT(B758,3)="frg",(_xlfn.XMATCH(B758,ZZZ_Part_Id_[[#All],[FGCODE]])))</f>
        <v>#N/A</v>
      </c>
    </row>
    <row r="759" spans="1:14" x14ac:dyDescent="0.3">
      <c r="A759" s="2" t="s">
        <v>3437</v>
      </c>
      <c r="B759" s="2" t="s">
        <v>517</v>
      </c>
      <c r="C759" s="2" t="s">
        <v>3446</v>
      </c>
      <c r="D759" s="3">
        <v>514080</v>
      </c>
      <c r="E759" s="3">
        <v>514080</v>
      </c>
      <c r="F759" s="2" t="s">
        <v>16</v>
      </c>
      <c r="G759" s="2" t="s">
        <v>3447</v>
      </c>
      <c r="H759" s="3">
        <v>0</v>
      </c>
      <c r="I759" s="2" t="s">
        <v>18</v>
      </c>
      <c r="J759" s="2" t="s">
        <v>3448</v>
      </c>
      <c r="K759" s="2" t="s">
        <v>16</v>
      </c>
      <c r="L759" s="2" t="s">
        <v>3449</v>
      </c>
      <c r="M759" s="4">
        <v>59663.89</v>
      </c>
      <c r="N759" t="b">
        <f>OR(LEFT(B759,3)="frg",(_xlfn.XMATCH(B759,ZZZ_Part_Id_[[#All],[FGCODE]])))</f>
        <v>1</v>
      </c>
    </row>
    <row r="760" spans="1:14" x14ac:dyDescent="0.3">
      <c r="A760" s="2" t="s">
        <v>3450</v>
      </c>
      <c r="B760" s="2" t="s">
        <v>14</v>
      </c>
      <c r="C760" s="2" t="s">
        <v>3451</v>
      </c>
      <c r="D760" s="3">
        <v>6</v>
      </c>
      <c r="E760" s="3">
        <v>6</v>
      </c>
      <c r="F760" s="2" t="s">
        <v>16</v>
      </c>
      <c r="G760" s="2" t="s">
        <v>3452</v>
      </c>
      <c r="H760" s="3">
        <v>0</v>
      </c>
      <c r="I760" s="2" t="s">
        <v>18</v>
      </c>
      <c r="J760" s="2" t="s">
        <v>3453</v>
      </c>
      <c r="K760" s="2" t="s">
        <v>16</v>
      </c>
      <c r="L760" s="2" t="s">
        <v>3454</v>
      </c>
      <c r="M760" s="4">
        <v>0.46</v>
      </c>
      <c r="N760" t="e">
        <f>OR(LEFT(B760,3)="frg",(_xlfn.XMATCH(B760,ZZZ_Part_Id_[[#All],[FGCODE]])))</f>
        <v>#N/A</v>
      </c>
    </row>
    <row r="761" spans="1:14" x14ac:dyDescent="0.3">
      <c r="A761" s="2" t="s">
        <v>3450</v>
      </c>
      <c r="B761" s="2" t="s">
        <v>65</v>
      </c>
      <c r="C761" s="2" t="s">
        <v>3455</v>
      </c>
      <c r="D761" s="5">
        <v>-440</v>
      </c>
      <c r="E761" s="5">
        <v>-440</v>
      </c>
      <c r="F761" s="2" t="s">
        <v>23</v>
      </c>
      <c r="G761" s="2" t="s">
        <v>3456</v>
      </c>
      <c r="H761" s="3">
        <v>0</v>
      </c>
      <c r="I761" s="2" t="s">
        <v>18</v>
      </c>
      <c r="J761" s="2" t="s">
        <v>3457</v>
      </c>
      <c r="K761" s="2" t="s">
        <v>23</v>
      </c>
      <c r="L761" s="2" t="s">
        <v>3458</v>
      </c>
      <c r="M761" s="6">
        <v>-1131.5</v>
      </c>
      <c r="N761" t="b">
        <f>OR(LEFT(B761,3)="frg",(_xlfn.XMATCH(B761,ZZZ_Part_Id_[[#All],[FGCODE]])))</f>
        <v>1</v>
      </c>
    </row>
    <row r="762" spans="1:14" x14ac:dyDescent="0.3">
      <c r="A762" s="2" t="s">
        <v>3450</v>
      </c>
      <c r="B762" s="2" t="s">
        <v>396</v>
      </c>
      <c r="C762" s="2" t="s">
        <v>3459</v>
      </c>
      <c r="D762" s="3">
        <v>215500</v>
      </c>
      <c r="E762" s="3">
        <v>215500</v>
      </c>
      <c r="F762" s="2" t="s">
        <v>16</v>
      </c>
      <c r="G762" s="2" t="s">
        <v>3460</v>
      </c>
      <c r="H762" s="3">
        <v>0</v>
      </c>
      <c r="I762" s="2" t="s">
        <v>18</v>
      </c>
      <c r="J762" s="2" t="s">
        <v>3461</v>
      </c>
      <c r="K762" s="2" t="s">
        <v>16</v>
      </c>
      <c r="L762" s="2" t="s">
        <v>3462</v>
      </c>
      <c r="M762" s="4">
        <v>7807.56</v>
      </c>
      <c r="N762" t="b">
        <f>OR(LEFT(B762,3)="frg",(_xlfn.XMATCH(B762,ZZZ_Part_Id_[[#All],[FGCODE]])))</f>
        <v>1</v>
      </c>
    </row>
    <row r="763" spans="1:14" x14ac:dyDescent="0.3">
      <c r="A763" s="2" t="s">
        <v>3463</v>
      </c>
      <c r="B763" s="2" t="s">
        <v>14</v>
      </c>
      <c r="C763" s="2" t="s">
        <v>3464</v>
      </c>
      <c r="D763" s="3">
        <v>10</v>
      </c>
      <c r="E763" s="3">
        <v>10</v>
      </c>
      <c r="F763" s="2" t="s">
        <v>16</v>
      </c>
      <c r="G763" s="2" t="s">
        <v>3465</v>
      </c>
      <c r="H763" s="3">
        <v>0</v>
      </c>
      <c r="I763" s="2" t="s">
        <v>409</v>
      </c>
      <c r="J763" s="2" t="s">
        <v>3466</v>
      </c>
      <c r="K763" s="2" t="s">
        <v>16</v>
      </c>
      <c r="L763" s="2" t="s">
        <v>3467</v>
      </c>
      <c r="M763" s="4">
        <v>0.77</v>
      </c>
      <c r="N763" t="e">
        <f>OR(LEFT(B763,3)="frg",(_xlfn.XMATCH(B763,ZZZ_Part_Id_[[#All],[FGCODE]])))</f>
        <v>#N/A</v>
      </c>
    </row>
    <row r="764" spans="1:14" x14ac:dyDescent="0.3">
      <c r="A764" s="2" t="s">
        <v>3463</v>
      </c>
      <c r="B764" s="2" t="s">
        <v>1989</v>
      </c>
      <c r="C764" s="2" t="s">
        <v>3468</v>
      </c>
      <c r="D764" s="3">
        <v>124992</v>
      </c>
      <c r="E764" s="3">
        <v>124992</v>
      </c>
      <c r="F764" s="2" t="s">
        <v>16</v>
      </c>
      <c r="G764" s="2" t="s">
        <v>3469</v>
      </c>
      <c r="H764" s="3">
        <v>0</v>
      </c>
      <c r="I764" s="2" t="s">
        <v>409</v>
      </c>
      <c r="J764" s="2" t="s">
        <v>3470</v>
      </c>
      <c r="K764" s="2" t="s">
        <v>16</v>
      </c>
      <c r="L764" s="2" t="s">
        <v>3471</v>
      </c>
      <c r="M764" s="4">
        <v>7819.49</v>
      </c>
      <c r="N764" t="b">
        <f>OR(LEFT(B764,3)="frg",(_xlfn.XMATCH(B764,ZZZ_Part_Id_[[#All],[FGCODE]])))</f>
        <v>1</v>
      </c>
    </row>
    <row r="765" spans="1:14" x14ac:dyDescent="0.3">
      <c r="A765" s="2" t="s">
        <v>3472</v>
      </c>
      <c r="B765" s="2" t="s">
        <v>14</v>
      </c>
      <c r="C765" s="2" t="s">
        <v>3473</v>
      </c>
      <c r="D765" s="3">
        <v>20</v>
      </c>
      <c r="E765" s="3">
        <v>20</v>
      </c>
      <c r="F765" s="2" t="s">
        <v>16</v>
      </c>
      <c r="G765" s="2" t="s">
        <v>3474</v>
      </c>
      <c r="H765" s="3">
        <v>0</v>
      </c>
      <c r="I765" s="2" t="s">
        <v>18</v>
      </c>
      <c r="J765" s="2" t="s">
        <v>3475</v>
      </c>
      <c r="K765" s="2" t="s">
        <v>16</v>
      </c>
      <c r="L765" s="2" t="s">
        <v>3476</v>
      </c>
      <c r="M765" s="4">
        <v>1.54</v>
      </c>
      <c r="N765" t="e">
        <f>OR(LEFT(B765,3)="frg",(_xlfn.XMATCH(B765,ZZZ_Part_Id_[[#All],[FGCODE]])))</f>
        <v>#N/A</v>
      </c>
    </row>
    <row r="766" spans="1:14" x14ac:dyDescent="0.3">
      <c r="A766" s="2" t="s">
        <v>3472</v>
      </c>
      <c r="B766" s="2" t="s">
        <v>1093</v>
      </c>
      <c r="C766" s="2" t="s">
        <v>3477</v>
      </c>
      <c r="D766" s="3">
        <v>354960</v>
      </c>
      <c r="E766" s="3">
        <v>0</v>
      </c>
      <c r="F766" s="2" t="s">
        <v>16</v>
      </c>
      <c r="G766" s="2" t="s">
        <v>3478</v>
      </c>
      <c r="H766" s="3">
        <v>0</v>
      </c>
      <c r="I766" s="2" t="s">
        <v>18</v>
      </c>
      <c r="J766" s="2" t="s">
        <v>3479</v>
      </c>
      <c r="K766" s="2" t="s">
        <v>16</v>
      </c>
      <c r="L766" s="2" t="s">
        <v>3480</v>
      </c>
      <c r="M766" s="4">
        <v>0</v>
      </c>
      <c r="N766" t="b">
        <f>OR(LEFT(B766,3)="frg",(_xlfn.XMATCH(B766,ZZZ_Part_Id_[[#All],[FGCODE]])))</f>
        <v>1</v>
      </c>
    </row>
    <row r="767" spans="1:14" x14ac:dyDescent="0.3">
      <c r="A767" s="2" t="s">
        <v>3472</v>
      </c>
      <c r="B767" s="2" t="s">
        <v>3481</v>
      </c>
      <c r="C767" s="2" t="s">
        <v>3482</v>
      </c>
      <c r="D767" s="3">
        <v>354960</v>
      </c>
      <c r="E767" s="3">
        <v>354960</v>
      </c>
      <c r="F767" s="2" t="s">
        <v>16</v>
      </c>
      <c r="G767" s="2" t="s">
        <v>131</v>
      </c>
      <c r="H767" s="3">
        <v>0</v>
      </c>
      <c r="I767" s="2" t="s">
        <v>18</v>
      </c>
      <c r="J767" s="2" t="s">
        <v>3483</v>
      </c>
      <c r="K767" s="2" t="s">
        <v>16</v>
      </c>
      <c r="L767" s="2" t="s">
        <v>3484</v>
      </c>
      <c r="M767" s="4">
        <v>19629.29</v>
      </c>
      <c r="N767" t="b">
        <f>OR(LEFT(B767,3)="frg",(_xlfn.XMATCH(B767,ZZZ_Part_Id_[[#All],[FGCODE]])))</f>
        <v>1</v>
      </c>
    </row>
    <row r="768" spans="1:14" x14ac:dyDescent="0.3">
      <c r="A768" s="2" t="s">
        <v>3485</v>
      </c>
      <c r="B768" s="2" t="s">
        <v>14</v>
      </c>
      <c r="C768" s="2" t="s">
        <v>3486</v>
      </c>
      <c r="D768" s="3">
        <v>1</v>
      </c>
      <c r="E768" s="3">
        <v>1</v>
      </c>
      <c r="F768" s="2" t="s">
        <v>16</v>
      </c>
      <c r="G768" s="2" t="s">
        <v>3487</v>
      </c>
      <c r="H768" s="3">
        <v>0</v>
      </c>
      <c r="I768" s="2" t="s">
        <v>18</v>
      </c>
      <c r="J768" s="2" t="s">
        <v>3488</v>
      </c>
      <c r="K768" s="2" t="s">
        <v>16</v>
      </c>
      <c r="L768" s="2" t="s">
        <v>3489</v>
      </c>
      <c r="M768" s="4">
        <v>0.08</v>
      </c>
      <c r="N768" t="e">
        <f>OR(LEFT(B768,3)="frg",(_xlfn.XMATCH(B768,ZZZ_Part_Id_[[#All],[FGCODE]])))</f>
        <v>#N/A</v>
      </c>
    </row>
    <row r="769" spans="1:14" x14ac:dyDescent="0.3">
      <c r="A769" s="2" t="s">
        <v>3485</v>
      </c>
      <c r="B769" s="2" t="s">
        <v>65</v>
      </c>
      <c r="C769" s="2" t="s">
        <v>3490</v>
      </c>
      <c r="D769" s="5">
        <v>-346</v>
      </c>
      <c r="E769" s="5">
        <v>-346</v>
      </c>
      <c r="F769" s="2" t="s">
        <v>23</v>
      </c>
      <c r="G769" s="2" t="s">
        <v>3491</v>
      </c>
      <c r="H769" s="3">
        <v>0</v>
      </c>
      <c r="I769" s="2" t="s">
        <v>18</v>
      </c>
      <c r="J769" s="2" t="s">
        <v>3492</v>
      </c>
      <c r="K769" s="2" t="s">
        <v>23</v>
      </c>
      <c r="L769" s="2" t="s">
        <v>3493</v>
      </c>
      <c r="M769" s="6">
        <v>-889.77</v>
      </c>
      <c r="N769" t="b">
        <f>OR(LEFT(B769,3)="frg",(_xlfn.XMATCH(B769,ZZZ_Part_Id_[[#All],[FGCODE]])))</f>
        <v>1</v>
      </c>
    </row>
    <row r="770" spans="1:14" x14ac:dyDescent="0.3">
      <c r="A770" s="2" t="s">
        <v>3485</v>
      </c>
      <c r="B770" s="2" t="s">
        <v>396</v>
      </c>
      <c r="C770" s="2" t="s">
        <v>3494</v>
      </c>
      <c r="D770" s="3">
        <v>68800</v>
      </c>
      <c r="E770" s="3">
        <v>68800</v>
      </c>
      <c r="F770" s="2" t="s">
        <v>16</v>
      </c>
      <c r="G770" s="2" t="s">
        <v>3495</v>
      </c>
      <c r="H770" s="3">
        <v>0</v>
      </c>
      <c r="I770" s="2" t="s">
        <v>18</v>
      </c>
      <c r="J770" s="2" t="s">
        <v>3496</v>
      </c>
      <c r="K770" s="2" t="s">
        <v>16</v>
      </c>
      <c r="L770" s="2" t="s">
        <v>3497</v>
      </c>
      <c r="M770" s="4">
        <v>2492.62</v>
      </c>
      <c r="N770" t="b">
        <f>OR(LEFT(B770,3)="frg",(_xlfn.XMATCH(B770,ZZZ_Part_Id_[[#All],[FGCODE]])))</f>
        <v>1</v>
      </c>
    </row>
    <row r="771" spans="1:14" x14ac:dyDescent="0.3">
      <c r="A771" s="2" t="s">
        <v>3498</v>
      </c>
      <c r="B771" s="2" t="s">
        <v>14</v>
      </c>
      <c r="C771" s="2" t="s">
        <v>3499</v>
      </c>
      <c r="D771" s="3">
        <v>17</v>
      </c>
      <c r="E771" s="3">
        <v>17</v>
      </c>
      <c r="F771" s="2" t="s">
        <v>16</v>
      </c>
      <c r="G771" s="2" t="s">
        <v>3500</v>
      </c>
      <c r="H771" s="3">
        <v>0</v>
      </c>
      <c r="I771" s="2" t="s">
        <v>409</v>
      </c>
      <c r="J771" s="2" t="s">
        <v>3501</v>
      </c>
      <c r="K771" s="2" t="s">
        <v>16</v>
      </c>
      <c r="L771" s="2" t="s">
        <v>3502</v>
      </c>
      <c r="M771" s="4">
        <v>1.31</v>
      </c>
      <c r="N771" t="e">
        <f>OR(LEFT(B771,3)="frg",(_xlfn.XMATCH(B771,ZZZ_Part_Id_[[#All],[FGCODE]])))</f>
        <v>#N/A</v>
      </c>
    </row>
    <row r="772" spans="1:14" x14ac:dyDescent="0.3">
      <c r="A772" s="2" t="s">
        <v>3498</v>
      </c>
      <c r="B772" s="2" t="s">
        <v>65</v>
      </c>
      <c r="C772" s="2" t="s">
        <v>3503</v>
      </c>
      <c r="D772" s="5">
        <v>-482</v>
      </c>
      <c r="E772" s="5">
        <v>-482</v>
      </c>
      <c r="F772" s="2" t="s">
        <v>23</v>
      </c>
      <c r="G772" s="2" t="s">
        <v>3504</v>
      </c>
      <c r="H772" s="3">
        <v>0</v>
      </c>
      <c r="I772" s="2" t="s">
        <v>409</v>
      </c>
      <c r="J772" s="2" t="s">
        <v>3505</v>
      </c>
      <c r="K772" s="2" t="s">
        <v>23</v>
      </c>
      <c r="L772" s="2" t="s">
        <v>3506</v>
      </c>
      <c r="M772" s="6">
        <v>-1239.51</v>
      </c>
      <c r="N772" t="b">
        <f>OR(LEFT(B772,3)="frg",(_xlfn.XMATCH(B772,ZZZ_Part_Id_[[#All],[FGCODE]])))</f>
        <v>1</v>
      </c>
    </row>
    <row r="773" spans="1:14" x14ac:dyDescent="0.3">
      <c r="A773" s="2" t="s">
        <v>3498</v>
      </c>
      <c r="B773" s="2" t="s">
        <v>1989</v>
      </c>
      <c r="C773" s="2" t="s">
        <v>3507</v>
      </c>
      <c r="D773" s="3">
        <v>339264</v>
      </c>
      <c r="E773" s="3">
        <v>339264</v>
      </c>
      <c r="F773" s="2" t="s">
        <v>16</v>
      </c>
      <c r="G773" s="2" t="s">
        <v>3508</v>
      </c>
      <c r="H773" s="3">
        <v>0</v>
      </c>
      <c r="I773" s="2" t="s">
        <v>409</v>
      </c>
      <c r="J773" s="2" t="s">
        <v>3509</v>
      </c>
      <c r="K773" s="2" t="s">
        <v>16</v>
      </c>
      <c r="L773" s="2" t="s">
        <v>3510</v>
      </c>
      <c r="M773" s="4">
        <v>21224.33</v>
      </c>
      <c r="N773" t="b">
        <f>OR(LEFT(B773,3)="frg",(_xlfn.XMATCH(B773,ZZZ_Part_Id_[[#All],[FGCODE]])))</f>
        <v>1</v>
      </c>
    </row>
    <row r="774" spans="1:14" x14ac:dyDescent="0.3">
      <c r="A774" s="2" t="s">
        <v>3511</v>
      </c>
      <c r="B774" s="2" t="s">
        <v>14</v>
      </c>
      <c r="C774" s="2" t="s">
        <v>3512</v>
      </c>
      <c r="D774" s="3">
        <v>6</v>
      </c>
      <c r="E774" s="3">
        <v>6</v>
      </c>
      <c r="F774" s="2" t="s">
        <v>16</v>
      </c>
      <c r="G774" s="2" t="s">
        <v>3513</v>
      </c>
      <c r="H774" s="3">
        <v>0</v>
      </c>
      <c r="I774" s="2" t="s">
        <v>18</v>
      </c>
      <c r="J774" s="2" t="s">
        <v>3514</v>
      </c>
      <c r="K774" s="2" t="s">
        <v>16</v>
      </c>
      <c r="L774" s="2" t="s">
        <v>3515</v>
      </c>
      <c r="M774" s="4">
        <v>0.46</v>
      </c>
      <c r="N774" t="e">
        <f>OR(LEFT(B774,3)="frg",(_xlfn.XMATCH(B774,ZZZ_Part_Id_[[#All],[FGCODE]])))</f>
        <v>#N/A</v>
      </c>
    </row>
    <row r="775" spans="1:14" x14ac:dyDescent="0.3">
      <c r="A775" s="2" t="s">
        <v>3511</v>
      </c>
      <c r="B775" s="2" t="s">
        <v>172</v>
      </c>
      <c r="C775" s="2" t="s">
        <v>3516</v>
      </c>
      <c r="D775" s="3">
        <v>1.6919999999999999</v>
      </c>
      <c r="E775" s="3">
        <v>1.6919999999999999</v>
      </c>
      <c r="F775" s="2" t="s">
        <v>23</v>
      </c>
      <c r="G775" s="2" t="s">
        <v>3517</v>
      </c>
      <c r="H775" s="3">
        <v>0</v>
      </c>
      <c r="I775" s="2" t="s">
        <v>18</v>
      </c>
      <c r="J775" s="2" t="s">
        <v>3518</v>
      </c>
      <c r="K775" s="2" t="s">
        <v>23</v>
      </c>
      <c r="L775" s="2" t="s">
        <v>3519</v>
      </c>
      <c r="M775" s="4">
        <v>11</v>
      </c>
      <c r="N775" t="e">
        <f>OR(LEFT(B775,3)="frg",(_xlfn.XMATCH(B775,ZZZ_Part_Id_[[#All],[FGCODE]])))</f>
        <v>#N/A</v>
      </c>
    </row>
    <row r="776" spans="1:14" x14ac:dyDescent="0.3">
      <c r="A776" s="2" t="s">
        <v>3511</v>
      </c>
      <c r="B776" s="2" t="s">
        <v>27</v>
      </c>
      <c r="C776" s="2" t="s">
        <v>3520</v>
      </c>
      <c r="D776" s="3">
        <v>39744</v>
      </c>
      <c r="E776" s="3">
        <v>39744</v>
      </c>
      <c r="F776" s="2" t="s">
        <v>16</v>
      </c>
      <c r="G776" s="2" t="s">
        <v>3521</v>
      </c>
      <c r="H776" s="3">
        <v>0</v>
      </c>
      <c r="I776" s="2" t="s">
        <v>18</v>
      </c>
      <c r="J776" s="2" t="s">
        <v>3522</v>
      </c>
      <c r="K776" s="2" t="s">
        <v>16</v>
      </c>
      <c r="L776" s="2" t="s">
        <v>3523</v>
      </c>
      <c r="M776" s="4">
        <v>7381.26</v>
      </c>
      <c r="N776" t="b">
        <f>OR(LEFT(B776,3)="frg",(_xlfn.XMATCH(B776,ZZZ_Part_Id_[[#All],[FGCODE]])))</f>
        <v>1</v>
      </c>
    </row>
    <row r="777" spans="1:14" x14ac:dyDescent="0.3">
      <c r="A777" s="2" t="s">
        <v>3524</v>
      </c>
      <c r="B777" s="2" t="s">
        <v>14</v>
      </c>
      <c r="C777" s="2" t="s">
        <v>3525</v>
      </c>
      <c r="D777" s="3">
        <v>8</v>
      </c>
      <c r="E777" s="3">
        <v>8</v>
      </c>
      <c r="F777" s="2" t="s">
        <v>16</v>
      </c>
      <c r="G777" s="2" t="s">
        <v>3526</v>
      </c>
      <c r="H777" s="3">
        <v>0</v>
      </c>
      <c r="I777" s="2" t="s">
        <v>409</v>
      </c>
      <c r="J777" s="2" t="s">
        <v>3527</v>
      </c>
      <c r="K777" s="2" t="s">
        <v>16</v>
      </c>
      <c r="L777" s="2" t="s">
        <v>3528</v>
      </c>
      <c r="M777" s="4">
        <v>0.62</v>
      </c>
      <c r="N777" t="e">
        <f>OR(LEFT(B777,3)="frg",(_xlfn.XMATCH(B777,ZZZ_Part_Id_[[#All],[FGCODE]])))</f>
        <v>#N/A</v>
      </c>
    </row>
    <row r="778" spans="1:14" x14ac:dyDescent="0.3">
      <c r="A778" s="2" t="s">
        <v>3524</v>
      </c>
      <c r="B778" s="2" t="s">
        <v>172</v>
      </c>
      <c r="C778" s="2" t="s">
        <v>3529</v>
      </c>
      <c r="D778" s="3">
        <v>1.1279999999999999</v>
      </c>
      <c r="E778" s="3">
        <v>1.1279999999999999</v>
      </c>
      <c r="F778" s="2" t="s">
        <v>23</v>
      </c>
      <c r="G778" s="2" t="s">
        <v>3530</v>
      </c>
      <c r="H778" s="3">
        <v>0</v>
      </c>
      <c r="I778" s="2" t="s">
        <v>409</v>
      </c>
      <c r="J778" s="2" t="s">
        <v>3531</v>
      </c>
      <c r="K778" s="2" t="s">
        <v>23</v>
      </c>
      <c r="L778" s="2" t="s">
        <v>3532</v>
      </c>
      <c r="M778" s="4">
        <v>7.33</v>
      </c>
      <c r="N778" t="e">
        <f>OR(LEFT(B778,3)="frg",(_xlfn.XMATCH(B778,ZZZ_Part_Id_[[#All],[FGCODE]])))</f>
        <v>#N/A</v>
      </c>
    </row>
    <row r="779" spans="1:14" x14ac:dyDescent="0.3">
      <c r="A779" s="2" t="s">
        <v>3524</v>
      </c>
      <c r="B779" s="2" t="s">
        <v>3142</v>
      </c>
      <c r="C779" s="2" t="s">
        <v>3533</v>
      </c>
      <c r="D779" s="3">
        <v>26496</v>
      </c>
      <c r="E779" s="3">
        <v>26496</v>
      </c>
      <c r="F779" s="2" t="s">
        <v>16</v>
      </c>
      <c r="G779" s="2" t="s">
        <v>3534</v>
      </c>
      <c r="H779" s="3">
        <v>0</v>
      </c>
      <c r="I779" s="2" t="s">
        <v>409</v>
      </c>
      <c r="J779" s="2" t="s">
        <v>3535</v>
      </c>
      <c r="K779" s="2" t="s">
        <v>16</v>
      </c>
      <c r="L779" s="2" t="s">
        <v>3536</v>
      </c>
      <c r="M779" s="4">
        <v>5335.24</v>
      </c>
      <c r="N779" t="b">
        <f>OR(LEFT(B779,3)="frg",(_xlfn.XMATCH(B779,ZZZ_Part_Id_[[#All],[FGCODE]])))</f>
        <v>1</v>
      </c>
    </row>
    <row r="780" spans="1:14" x14ac:dyDescent="0.3">
      <c r="A780" s="2" t="s">
        <v>3537</v>
      </c>
      <c r="B780" s="2" t="s">
        <v>14</v>
      </c>
      <c r="C780" s="2" t="s">
        <v>3538</v>
      </c>
      <c r="D780" s="3">
        <v>10</v>
      </c>
      <c r="E780" s="3">
        <v>10</v>
      </c>
      <c r="F780" s="2" t="s">
        <v>16</v>
      </c>
      <c r="G780" s="2" t="s">
        <v>3539</v>
      </c>
      <c r="H780" s="3">
        <v>0</v>
      </c>
      <c r="I780" s="2" t="s">
        <v>18</v>
      </c>
      <c r="J780" s="2" t="s">
        <v>3540</v>
      </c>
      <c r="K780" s="2" t="s">
        <v>16</v>
      </c>
      <c r="L780" s="2" t="s">
        <v>3541</v>
      </c>
      <c r="M780" s="4">
        <v>0.77</v>
      </c>
      <c r="N780" t="e">
        <f>OR(LEFT(B780,3)="frg",(_xlfn.XMATCH(B780,ZZZ_Part_Id_[[#All],[FGCODE]])))</f>
        <v>#N/A</v>
      </c>
    </row>
    <row r="781" spans="1:14" x14ac:dyDescent="0.3">
      <c r="A781" s="2" t="s">
        <v>3537</v>
      </c>
      <c r="B781" s="2" t="s">
        <v>86</v>
      </c>
      <c r="C781" s="2" t="s">
        <v>3542</v>
      </c>
      <c r="D781" s="5">
        <v>-268</v>
      </c>
      <c r="E781" s="5">
        <v>-268</v>
      </c>
      <c r="F781" s="2" t="s">
        <v>23</v>
      </c>
      <c r="G781" s="2" t="s">
        <v>3543</v>
      </c>
      <c r="H781" s="3">
        <v>0</v>
      </c>
      <c r="I781" s="2" t="s">
        <v>18</v>
      </c>
      <c r="J781" s="2" t="s">
        <v>3544</v>
      </c>
      <c r="K781" s="2" t="s">
        <v>23</v>
      </c>
      <c r="L781" s="2" t="s">
        <v>3545</v>
      </c>
      <c r="M781" s="6">
        <v>-701.57</v>
      </c>
      <c r="N781" t="b">
        <f>OR(LEFT(B781,3)="frg",(_xlfn.XMATCH(B781,ZZZ_Part_Id_[[#All],[FGCODE]])))</f>
        <v>1</v>
      </c>
    </row>
    <row r="782" spans="1:14" x14ac:dyDescent="0.3">
      <c r="A782" s="2" t="s">
        <v>3537</v>
      </c>
      <c r="B782" s="2" t="s">
        <v>2840</v>
      </c>
      <c r="C782" s="2" t="s">
        <v>3546</v>
      </c>
      <c r="D782" s="3">
        <v>70560</v>
      </c>
      <c r="E782" s="3">
        <v>70560</v>
      </c>
      <c r="F782" s="2" t="s">
        <v>16</v>
      </c>
      <c r="G782" s="2" t="s">
        <v>3547</v>
      </c>
      <c r="H782" s="3">
        <v>0</v>
      </c>
      <c r="I782" s="2" t="s">
        <v>18</v>
      </c>
      <c r="J782" s="2" t="s">
        <v>3548</v>
      </c>
      <c r="K782" s="2" t="s">
        <v>16</v>
      </c>
      <c r="L782" s="2" t="s">
        <v>3549</v>
      </c>
      <c r="M782" s="4">
        <v>8549.0300000000007</v>
      </c>
      <c r="N782" t="b">
        <f>OR(LEFT(B782,3)="frg",(_xlfn.XMATCH(B782,ZZZ_Part_Id_[[#All],[FGCODE]])))</f>
        <v>1</v>
      </c>
    </row>
    <row r="783" spans="1:14" x14ac:dyDescent="0.3">
      <c r="A783" s="2" t="s">
        <v>3550</v>
      </c>
      <c r="B783" s="2" t="s">
        <v>14</v>
      </c>
      <c r="C783" s="2" t="s">
        <v>3551</v>
      </c>
      <c r="D783" s="3">
        <v>5</v>
      </c>
      <c r="E783" s="3">
        <v>0</v>
      </c>
      <c r="F783" s="2" t="s">
        <v>16</v>
      </c>
      <c r="G783" s="2" t="s">
        <v>3552</v>
      </c>
      <c r="H783" s="3">
        <v>0</v>
      </c>
      <c r="I783" s="2" t="s">
        <v>18</v>
      </c>
      <c r="J783" s="2" t="s">
        <v>3553</v>
      </c>
      <c r="K783" s="2" t="s">
        <v>16</v>
      </c>
      <c r="L783" s="2" t="s">
        <v>3554</v>
      </c>
      <c r="M783" s="4">
        <v>0</v>
      </c>
      <c r="N783" t="e">
        <f>OR(LEFT(B783,3)="frg",(_xlfn.XMATCH(B783,ZZZ_Part_Id_[[#All],[FGCODE]])))</f>
        <v>#N/A</v>
      </c>
    </row>
    <row r="784" spans="1:14" x14ac:dyDescent="0.3">
      <c r="A784" s="2" t="s">
        <v>3550</v>
      </c>
      <c r="B784" s="2" t="s">
        <v>21</v>
      </c>
      <c r="C784" s="2" t="s">
        <v>3555</v>
      </c>
      <c r="D784" s="3">
        <v>10</v>
      </c>
      <c r="E784" s="3">
        <v>0</v>
      </c>
      <c r="F784" s="2" t="s">
        <v>23</v>
      </c>
      <c r="G784" s="2" t="s">
        <v>3556</v>
      </c>
      <c r="H784" s="3">
        <v>0</v>
      </c>
      <c r="I784" s="2" t="s">
        <v>18</v>
      </c>
      <c r="J784" s="2" t="s">
        <v>3557</v>
      </c>
      <c r="K784" s="2" t="s">
        <v>23</v>
      </c>
      <c r="L784" s="2" t="s">
        <v>3558</v>
      </c>
      <c r="M784" s="4">
        <v>0</v>
      </c>
      <c r="N784" t="b">
        <f>OR(LEFT(B784,3)="frg",(_xlfn.XMATCH(B784,ZZZ_Part_Id_[[#All],[FGCODE]])))</f>
        <v>1</v>
      </c>
    </row>
    <row r="785" spans="1:14" x14ac:dyDescent="0.3">
      <c r="A785" s="2" t="s">
        <v>3550</v>
      </c>
      <c r="B785" s="2" t="s">
        <v>1512</v>
      </c>
      <c r="C785" s="2" t="s">
        <v>3559</v>
      </c>
      <c r="D785" s="3">
        <v>10620</v>
      </c>
      <c r="E785" s="3">
        <v>10620</v>
      </c>
      <c r="F785" s="2" t="s">
        <v>16</v>
      </c>
      <c r="G785" s="2" t="s">
        <v>3560</v>
      </c>
      <c r="H785" s="3">
        <v>0</v>
      </c>
      <c r="I785" s="2" t="s">
        <v>18</v>
      </c>
      <c r="J785" s="2" t="s">
        <v>3561</v>
      </c>
      <c r="K785" s="2" t="s">
        <v>16</v>
      </c>
      <c r="L785" s="2" t="s">
        <v>3562</v>
      </c>
      <c r="M785" s="4">
        <v>1334.72</v>
      </c>
      <c r="N785" t="b">
        <f>OR(LEFT(B785,3)="frg",(_xlfn.XMATCH(B785,ZZZ_Part_Id_[[#All],[FGCODE]])))</f>
        <v>1</v>
      </c>
    </row>
    <row r="786" spans="1:14" x14ac:dyDescent="0.3">
      <c r="A786" s="2" t="s">
        <v>3550</v>
      </c>
      <c r="B786" s="2" t="s">
        <v>1027</v>
      </c>
      <c r="C786" s="2" t="s">
        <v>3563</v>
      </c>
      <c r="D786" s="3">
        <v>0</v>
      </c>
      <c r="E786" s="3">
        <v>0</v>
      </c>
      <c r="F786" s="2" t="s">
        <v>16</v>
      </c>
      <c r="G786" s="2" t="s">
        <v>3564</v>
      </c>
      <c r="H786" s="3">
        <v>0</v>
      </c>
      <c r="I786" s="2" t="s">
        <v>18</v>
      </c>
      <c r="J786" s="2" t="s">
        <v>3565</v>
      </c>
      <c r="K786" s="2" t="s">
        <v>16</v>
      </c>
      <c r="L786" s="2" t="s">
        <v>3566</v>
      </c>
      <c r="M786" s="4">
        <v>0</v>
      </c>
      <c r="N786" t="b">
        <f>OR(LEFT(B786,3)="frg",(_xlfn.XMATCH(B786,ZZZ_Part_Id_[[#All],[FGCODE]])))</f>
        <v>1</v>
      </c>
    </row>
    <row r="787" spans="1:14" x14ac:dyDescent="0.3">
      <c r="A787" s="2" t="s">
        <v>3567</v>
      </c>
      <c r="B787" s="2" t="s">
        <v>1512</v>
      </c>
      <c r="C787" s="2" t="s">
        <v>3568</v>
      </c>
      <c r="D787" s="3">
        <v>10620</v>
      </c>
      <c r="E787" s="3">
        <v>10620</v>
      </c>
      <c r="F787" s="2" t="s">
        <v>16</v>
      </c>
      <c r="G787" s="2" t="s">
        <v>3569</v>
      </c>
      <c r="H787" s="3">
        <v>0</v>
      </c>
      <c r="I787" s="2" t="s">
        <v>18</v>
      </c>
      <c r="J787" s="2" t="s">
        <v>3570</v>
      </c>
      <c r="K787" s="2" t="s">
        <v>16</v>
      </c>
      <c r="L787" s="2" t="s">
        <v>3571</v>
      </c>
      <c r="M787" s="4">
        <v>1334.72</v>
      </c>
      <c r="N787" t="b">
        <f>OR(LEFT(B787,3)="frg",(_xlfn.XMATCH(B787,ZZZ_Part_Id_[[#All],[FGCODE]])))</f>
        <v>1</v>
      </c>
    </row>
    <row r="788" spans="1:14" x14ac:dyDescent="0.3">
      <c r="A788" s="2" t="s">
        <v>3572</v>
      </c>
      <c r="B788" s="2" t="s">
        <v>14</v>
      </c>
      <c r="C788" s="2" t="s">
        <v>3573</v>
      </c>
      <c r="D788" s="3">
        <v>40</v>
      </c>
      <c r="E788" s="3">
        <v>40</v>
      </c>
      <c r="F788" s="2" t="s">
        <v>16</v>
      </c>
      <c r="G788" s="2" t="s">
        <v>3574</v>
      </c>
      <c r="H788" s="3">
        <v>0</v>
      </c>
      <c r="I788" s="2" t="s">
        <v>18</v>
      </c>
      <c r="J788" s="2" t="s">
        <v>3575</v>
      </c>
      <c r="K788" s="2" t="s">
        <v>16</v>
      </c>
      <c r="L788" s="2" t="s">
        <v>3576</v>
      </c>
      <c r="M788" s="4">
        <v>3.08</v>
      </c>
      <c r="N788" t="e">
        <f>OR(LEFT(B788,3)="frg",(_xlfn.XMATCH(B788,ZZZ_Part_Id_[[#All],[FGCODE]])))</f>
        <v>#N/A</v>
      </c>
    </row>
    <row r="789" spans="1:14" x14ac:dyDescent="0.3">
      <c r="A789" s="2" t="s">
        <v>3572</v>
      </c>
      <c r="B789" s="2" t="s">
        <v>740</v>
      </c>
      <c r="C789" s="2" t="s">
        <v>3577</v>
      </c>
      <c r="D789" s="3">
        <v>223020</v>
      </c>
      <c r="E789" s="3">
        <v>223020</v>
      </c>
      <c r="F789" s="2" t="s">
        <v>16</v>
      </c>
      <c r="G789" s="2" t="s">
        <v>3578</v>
      </c>
      <c r="H789" s="3">
        <v>0</v>
      </c>
      <c r="I789" s="2" t="s">
        <v>18</v>
      </c>
      <c r="J789" s="2" t="s">
        <v>3579</v>
      </c>
      <c r="K789" s="2" t="s">
        <v>16</v>
      </c>
      <c r="L789" s="2" t="s">
        <v>3580</v>
      </c>
      <c r="M789" s="4">
        <v>27451.62</v>
      </c>
      <c r="N789" t="b">
        <f>OR(LEFT(B789,3)="frg",(_xlfn.XMATCH(B789,ZZZ_Part_Id_[[#All],[FGCODE]])))</f>
        <v>1</v>
      </c>
    </row>
    <row r="790" spans="1:14" x14ac:dyDescent="0.3">
      <c r="A790" s="2" t="s">
        <v>3581</v>
      </c>
      <c r="B790" s="2" t="s">
        <v>14</v>
      </c>
      <c r="C790" s="2" t="s">
        <v>3582</v>
      </c>
      <c r="D790" s="3">
        <v>2</v>
      </c>
      <c r="E790" s="3">
        <v>2</v>
      </c>
      <c r="F790" s="2" t="s">
        <v>16</v>
      </c>
      <c r="G790" s="2" t="s">
        <v>3583</v>
      </c>
      <c r="H790" s="3">
        <v>0</v>
      </c>
      <c r="I790" s="2" t="s">
        <v>18</v>
      </c>
      <c r="J790" s="2" t="s">
        <v>3584</v>
      </c>
      <c r="K790" s="2" t="s">
        <v>16</v>
      </c>
      <c r="L790" s="2" t="s">
        <v>3585</v>
      </c>
      <c r="M790" s="4">
        <v>0.15</v>
      </c>
      <c r="N790" t="e">
        <f>OR(LEFT(B790,3)="frg",(_xlfn.XMATCH(B790,ZZZ_Part_Id_[[#All],[FGCODE]])))</f>
        <v>#N/A</v>
      </c>
    </row>
    <row r="791" spans="1:14" x14ac:dyDescent="0.3">
      <c r="A791" s="2" t="s">
        <v>3581</v>
      </c>
      <c r="B791" s="2" t="s">
        <v>37</v>
      </c>
      <c r="C791" s="2" t="s">
        <v>3586</v>
      </c>
      <c r="D791" s="3">
        <v>2</v>
      </c>
      <c r="E791" s="3">
        <v>2</v>
      </c>
      <c r="F791" s="2" t="s">
        <v>16</v>
      </c>
      <c r="G791" s="2" t="s">
        <v>3587</v>
      </c>
      <c r="H791" s="3">
        <v>0</v>
      </c>
      <c r="I791" s="2" t="s">
        <v>18</v>
      </c>
      <c r="J791" s="2" t="s">
        <v>3588</v>
      </c>
      <c r="K791" s="2" t="s">
        <v>16</v>
      </c>
      <c r="L791" s="2" t="s">
        <v>3589</v>
      </c>
      <c r="M791" s="4">
        <v>32</v>
      </c>
      <c r="N791" t="e">
        <f>OR(LEFT(B791,3)="frg",(_xlfn.XMATCH(B791,ZZZ_Part_Id_[[#All],[FGCODE]])))</f>
        <v>#N/A</v>
      </c>
    </row>
    <row r="792" spans="1:14" x14ac:dyDescent="0.3">
      <c r="A792" s="2" t="s">
        <v>3581</v>
      </c>
      <c r="B792" s="2" t="s">
        <v>65</v>
      </c>
      <c r="C792" s="2" t="s">
        <v>3590</v>
      </c>
      <c r="D792" s="5">
        <v>-310</v>
      </c>
      <c r="E792" s="5">
        <v>-310</v>
      </c>
      <c r="F792" s="2" t="s">
        <v>23</v>
      </c>
      <c r="G792" s="2" t="s">
        <v>3591</v>
      </c>
      <c r="H792" s="3">
        <v>0</v>
      </c>
      <c r="I792" s="2" t="s">
        <v>18</v>
      </c>
      <c r="J792" s="2" t="s">
        <v>3592</v>
      </c>
      <c r="K792" s="2" t="s">
        <v>23</v>
      </c>
      <c r="L792" s="2" t="s">
        <v>3593</v>
      </c>
      <c r="M792" s="6">
        <v>-797.2</v>
      </c>
      <c r="N792" t="b">
        <f>OR(LEFT(B792,3)="frg",(_xlfn.XMATCH(B792,ZZZ_Part_Id_[[#All],[FGCODE]])))</f>
        <v>1</v>
      </c>
    </row>
    <row r="793" spans="1:14" x14ac:dyDescent="0.3">
      <c r="A793" s="2" t="s">
        <v>3581</v>
      </c>
      <c r="B793" s="2" t="s">
        <v>740</v>
      </c>
      <c r="C793" s="2" t="s">
        <v>3594</v>
      </c>
      <c r="D793" s="3">
        <v>31860</v>
      </c>
      <c r="E793" s="3">
        <v>31860</v>
      </c>
      <c r="F793" s="2" t="s">
        <v>16</v>
      </c>
      <c r="G793" s="2" t="s">
        <v>3595</v>
      </c>
      <c r="H793" s="3">
        <v>0</v>
      </c>
      <c r="I793" s="2" t="s">
        <v>18</v>
      </c>
      <c r="J793" s="2" t="s">
        <v>3596</v>
      </c>
      <c r="K793" s="2" t="s">
        <v>16</v>
      </c>
      <c r="L793" s="2" t="s">
        <v>3597</v>
      </c>
      <c r="M793" s="4">
        <v>3921.66</v>
      </c>
      <c r="N793" t="b">
        <f>OR(LEFT(B793,3)="frg",(_xlfn.XMATCH(B793,ZZZ_Part_Id_[[#All],[FGCODE]])))</f>
        <v>1</v>
      </c>
    </row>
    <row r="794" spans="1:14" x14ac:dyDescent="0.3">
      <c r="A794" s="2" t="s">
        <v>3598</v>
      </c>
      <c r="B794" s="2" t="s">
        <v>21</v>
      </c>
      <c r="C794" s="2" t="s">
        <v>3599</v>
      </c>
      <c r="D794" s="5">
        <v>-20</v>
      </c>
      <c r="E794" s="5">
        <v>-20</v>
      </c>
      <c r="F794" s="2" t="s">
        <v>23</v>
      </c>
      <c r="G794" s="2" t="s">
        <v>3600</v>
      </c>
      <c r="H794" s="3">
        <v>0</v>
      </c>
      <c r="I794" s="2" t="s">
        <v>18</v>
      </c>
      <c r="J794" s="2" t="s">
        <v>3601</v>
      </c>
      <c r="K794" s="2" t="s">
        <v>23</v>
      </c>
      <c r="L794" s="2" t="s">
        <v>3602</v>
      </c>
      <c r="M794" s="6">
        <v>-37.869999999999997</v>
      </c>
      <c r="N794" t="b">
        <f>OR(LEFT(B794,3)="frg",(_xlfn.XMATCH(B794,ZZZ_Part_Id_[[#All],[FGCODE]])))</f>
        <v>1</v>
      </c>
    </row>
    <row r="795" spans="1:14" x14ac:dyDescent="0.3">
      <c r="A795" s="2" t="s">
        <v>3598</v>
      </c>
      <c r="B795" s="2" t="s">
        <v>1027</v>
      </c>
      <c r="C795" s="2" t="s">
        <v>3603</v>
      </c>
      <c r="D795" s="3">
        <v>11540</v>
      </c>
      <c r="E795" s="3">
        <v>11540</v>
      </c>
      <c r="F795" s="2" t="s">
        <v>16</v>
      </c>
      <c r="G795" s="2" t="s">
        <v>3604</v>
      </c>
      <c r="H795" s="3">
        <v>0</v>
      </c>
      <c r="I795" s="2" t="s">
        <v>18</v>
      </c>
      <c r="J795" s="2" t="s">
        <v>3605</v>
      </c>
      <c r="K795" s="2" t="s">
        <v>16</v>
      </c>
      <c r="L795" s="2" t="s">
        <v>3606</v>
      </c>
      <c r="M795" s="4">
        <v>1450.35</v>
      </c>
      <c r="N795" t="b">
        <f>OR(LEFT(B795,3)="frg",(_xlfn.XMATCH(B795,ZZZ_Part_Id_[[#All],[FGCODE]])))</f>
        <v>1</v>
      </c>
    </row>
    <row r="796" spans="1:14" x14ac:dyDescent="0.3">
      <c r="A796" s="2" t="s">
        <v>3607</v>
      </c>
      <c r="B796" s="2" t="s">
        <v>3608</v>
      </c>
      <c r="C796" s="2" t="s">
        <v>3609</v>
      </c>
      <c r="D796" s="3">
        <v>105984</v>
      </c>
      <c r="E796" s="3">
        <v>105984</v>
      </c>
      <c r="F796" s="2" t="s">
        <v>16</v>
      </c>
      <c r="G796" s="2" t="s">
        <v>3610</v>
      </c>
      <c r="H796" s="3">
        <v>0</v>
      </c>
      <c r="I796" s="2" t="s">
        <v>18</v>
      </c>
      <c r="J796" s="2" t="s">
        <v>3611</v>
      </c>
      <c r="K796" s="2" t="s">
        <v>16</v>
      </c>
      <c r="L796" s="2" t="s">
        <v>3612</v>
      </c>
      <c r="M796" s="4">
        <v>21967.35</v>
      </c>
      <c r="N796" t="b">
        <f>OR(LEFT(B796,3)="frg",(_xlfn.XMATCH(B796,ZZZ_Part_Id_[[#All],[FGCODE]])))</f>
        <v>1</v>
      </c>
    </row>
    <row r="797" spans="1:14" x14ac:dyDescent="0.3">
      <c r="A797" s="2" t="s">
        <v>3607</v>
      </c>
      <c r="B797" s="2" t="s">
        <v>14</v>
      </c>
      <c r="C797" s="2" t="s">
        <v>3613</v>
      </c>
      <c r="D797" s="3">
        <v>15</v>
      </c>
      <c r="E797" s="3">
        <v>15</v>
      </c>
      <c r="F797" s="2" t="s">
        <v>16</v>
      </c>
      <c r="G797" s="2" t="s">
        <v>3614</v>
      </c>
      <c r="H797" s="3">
        <v>0</v>
      </c>
      <c r="I797" s="2" t="s">
        <v>18</v>
      </c>
      <c r="J797" s="2" t="s">
        <v>3615</v>
      </c>
      <c r="K797" s="2" t="s">
        <v>16</v>
      </c>
      <c r="L797" s="2" t="s">
        <v>3616</v>
      </c>
      <c r="M797" s="4">
        <v>1.1499999999999999</v>
      </c>
      <c r="N797" t="e">
        <f>OR(LEFT(B797,3)="frg",(_xlfn.XMATCH(B797,ZZZ_Part_Id_[[#All],[FGCODE]])))</f>
        <v>#N/A</v>
      </c>
    </row>
    <row r="798" spans="1:14" x14ac:dyDescent="0.3">
      <c r="A798" s="2" t="s">
        <v>3607</v>
      </c>
      <c r="B798" s="2" t="s">
        <v>140</v>
      </c>
      <c r="C798" s="2" t="s">
        <v>3617</v>
      </c>
      <c r="D798" s="3">
        <v>0.6</v>
      </c>
      <c r="E798" s="3">
        <v>0.6</v>
      </c>
      <c r="F798" s="2" t="s">
        <v>16</v>
      </c>
      <c r="G798" s="2" t="s">
        <v>3618</v>
      </c>
      <c r="H798" s="3">
        <v>0</v>
      </c>
      <c r="I798" s="2" t="s">
        <v>18</v>
      </c>
      <c r="J798" s="2" t="s">
        <v>3619</v>
      </c>
      <c r="K798" s="2" t="s">
        <v>16</v>
      </c>
      <c r="L798" s="2" t="s">
        <v>3620</v>
      </c>
      <c r="M798" s="4">
        <v>0.99</v>
      </c>
      <c r="N798" t="e">
        <f>OR(LEFT(B798,3)="frg",(_xlfn.XMATCH(B798,ZZZ_Part_Id_[[#All],[FGCODE]])))</f>
        <v>#N/A</v>
      </c>
    </row>
    <row r="799" spans="1:14" x14ac:dyDescent="0.3">
      <c r="A799" s="2" t="s">
        <v>3607</v>
      </c>
      <c r="B799" s="2" t="s">
        <v>192</v>
      </c>
      <c r="C799" s="2" t="s">
        <v>3621</v>
      </c>
      <c r="D799" s="3">
        <v>0.15</v>
      </c>
      <c r="E799" s="3">
        <v>0.15</v>
      </c>
      <c r="F799" s="2" t="s">
        <v>194</v>
      </c>
      <c r="G799" s="2" t="s">
        <v>3622</v>
      </c>
      <c r="H799" s="3">
        <v>0</v>
      </c>
      <c r="I799" s="2" t="s">
        <v>18</v>
      </c>
      <c r="J799" s="2" t="s">
        <v>3623</v>
      </c>
      <c r="K799" s="2" t="s">
        <v>194</v>
      </c>
      <c r="L799" s="2" t="s">
        <v>3624</v>
      </c>
      <c r="M799" s="4">
        <v>0.75</v>
      </c>
      <c r="N799" t="e">
        <f>OR(LEFT(B799,3)="frg",(_xlfn.XMATCH(B799,ZZZ_Part_Id_[[#All],[FGCODE]])))</f>
        <v>#N/A</v>
      </c>
    </row>
    <row r="800" spans="1:14" x14ac:dyDescent="0.3">
      <c r="A800" s="2" t="s">
        <v>3607</v>
      </c>
      <c r="B800" s="2" t="s">
        <v>21</v>
      </c>
      <c r="C800" s="2" t="s">
        <v>3625</v>
      </c>
      <c r="D800" s="5">
        <v>-331</v>
      </c>
      <c r="E800" s="5">
        <v>-331</v>
      </c>
      <c r="F800" s="2" t="s">
        <v>23</v>
      </c>
      <c r="G800" s="2" t="s">
        <v>3626</v>
      </c>
      <c r="H800" s="3">
        <v>0</v>
      </c>
      <c r="I800" s="2" t="s">
        <v>18</v>
      </c>
      <c r="J800" s="2" t="s">
        <v>3627</v>
      </c>
      <c r="K800" s="2" t="s">
        <v>23</v>
      </c>
      <c r="L800" s="2" t="s">
        <v>3628</v>
      </c>
      <c r="M800" s="6">
        <v>-626.75</v>
      </c>
      <c r="N800" t="b">
        <f>OR(LEFT(B800,3)="frg",(_xlfn.XMATCH(B800,ZZZ_Part_Id_[[#All],[FGCODE]])))</f>
        <v>1</v>
      </c>
    </row>
    <row r="801" spans="1:14" x14ac:dyDescent="0.3">
      <c r="A801" s="2" t="s">
        <v>3629</v>
      </c>
      <c r="B801" s="2" t="s">
        <v>797</v>
      </c>
      <c r="C801" s="2" t="s">
        <v>3630</v>
      </c>
      <c r="D801" s="3">
        <v>86640</v>
      </c>
      <c r="E801" s="3">
        <v>86640</v>
      </c>
      <c r="F801" s="2" t="s">
        <v>16</v>
      </c>
      <c r="G801" s="2" t="s">
        <v>3631</v>
      </c>
      <c r="H801" s="3">
        <v>0</v>
      </c>
      <c r="I801" s="2" t="s">
        <v>18</v>
      </c>
      <c r="J801" s="2" t="s">
        <v>3632</v>
      </c>
      <c r="K801" s="2" t="s">
        <v>16</v>
      </c>
      <c r="L801" s="2" t="s">
        <v>3633</v>
      </c>
      <c r="M801" s="4">
        <v>3080.91</v>
      </c>
      <c r="N801" t="b">
        <f>OR(LEFT(B801,3)="frg",(_xlfn.XMATCH(B801,ZZZ_Part_Id_[[#All],[FGCODE]])))</f>
        <v>1</v>
      </c>
    </row>
    <row r="802" spans="1:14" x14ac:dyDescent="0.3">
      <c r="A802" s="2" t="s">
        <v>3629</v>
      </c>
      <c r="B802" s="2" t="s">
        <v>86</v>
      </c>
      <c r="C802" s="2" t="s">
        <v>3634</v>
      </c>
      <c r="D802" s="5">
        <v>-200</v>
      </c>
      <c r="E802" s="5">
        <v>-200</v>
      </c>
      <c r="F802" s="2" t="s">
        <v>23</v>
      </c>
      <c r="G802" s="2" t="s">
        <v>3635</v>
      </c>
      <c r="H802" s="3">
        <v>0</v>
      </c>
      <c r="I802" s="2" t="s">
        <v>18</v>
      </c>
      <c r="J802" s="2" t="s">
        <v>3636</v>
      </c>
      <c r="K802" s="2" t="s">
        <v>23</v>
      </c>
      <c r="L802" s="2" t="s">
        <v>3637</v>
      </c>
      <c r="M802" s="6">
        <v>-523.55999999999995</v>
      </c>
      <c r="N802" t="b">
        <f>OR(LEFT(B802,3)="frg",(_xlfn.XMATCH(B802,ZZZ_Part_Id_[[#All],[FGCODE]])))</f>
        <v>1</v>
      </c>
    </row>
    <row r="803" spans="1:14" x14ac:dyDescent="0.3">
      <c r="A803" s="2" t="s">
        <v>3629</v>
      </c>
      <c r="B803" s="2" t="s">
        <v>14</v>
      </c>
      <c r="C803" s="2" t="s">
        <v>3638</v>
      </c>
      <c r="D803" s="3">
        <v>2</v>
      </c>
      <c r="E803" s="3">
        <v>2</v>
      </c>
      <c r="F803" s="2" t="s">
        <v>16</v>
      </c>
      <c r="G803" s="2" t="s">
        <v>3639</v>
      </c>
      <c r="H803" s="3">
        <v>0</v>
      </c>
      <c r="I803" s="2" t="s">
        <v>18</v>
      </c>
      <c r="J803" s="2" t="s">
        <v>3640</v>
      </c>
      <c r="K803" s="2" t="s">
        <v>16</v>
      </c>
      <c r="L803" s="2" t="s">
        <v>3641</v>
      </c>
      <c r="M803" s="4">
        <v>0.15</v>
      </c>
      <c r="N803" t="e">
        <f>OR(LEFT(B803,3)="frg",(_xlfn.XMATCH(B803,ZZZ_Part_Id_[[#All],[FGCODE]])))</f>
        <v>#N/A</v>
      </c>
    </row>
    <row r="804" spans="1:14" x14ac:dyDescent="0.3">
      <c r="A804" s="2" t="s">
        <v>3629</v>
      </c>
      <c r="B804" s="2" t="s">
        <v>140</v>
      </c>
      <c r="C804" s="2" t="s">
        <v>3642</v>
      </c>
      <c r="D804" s="3">
        <v>0.08</v>
      </c>
      <c r="E804" s="3">
        <v>0.08</v>
      </c>
      <c r="F804" s="2" t="s">
        <v>16</v>
      </c>
      <c r="G804" s="2" t="s">
        <v>3643</v>
      </c>
      <c r="H804" s="3">
        <v>0</v>
      </c>
      <c r="I804" s="2" t="s">
        <v>18</v>
      </c>
      <c r="J804" s="2" t="s">
        <v>3644</v>
      </c>
      <c r="K804" s="2" t="s">
        <v>16</v>
      </c>
      <c r="L804" s="2" t="s">
        <v>3645</v>
      </c>
      <c r="M804" s="4">
        <v>0.13</v>
      </c>
      <c r="N804" t="e">
        <f>OR(LEFT(B804,3)="frg",(_xlfn.XMATCH(B804,ZZZ_Part_Id_[[#All],[FGCODE]])))</f>
        <v>#N/A</v>
      </c>
    </row>
    <row r="805" spans="1:14" x14ac:dyDescent="0.3">
      <c r="A805" s="2" t="s">
        <v>3629</v>
      </c>
      <c r="B805" s="2" t="s">
        <v>192</v>
      </c>
      <c r="C805" s="2" t="s">
        <v>3646</v>
      </c>
      <c r="D805" s="3">
        <v>0.02</v>
      </c>
      <c r="E805" s="3">
        <v>0.02</v>
      </c>
      <c r="F805" s="2" t="s">
        <v>194</v>
      </c>
      <c r="G805" s="2" t="s">
        <v>3647</v>
      </c>
      <c r="H805" s="3">
        <v>0</v>
      </c>
      <c r="I805" s="2" t="s">
        <v>18</v>
      </c>
      <c r="J805" s="2" t="s">
        <v>3648</v>
      </c>
      <c r="K805" s="2" t="s">
        <v>194</v>
      </c>
      <c r="L805" s="2" t="s">
        <v>3649</v>
      </c>
      <c r="M805" s="4">
        <v>0.1</v>
      </c>
      <c r="N805" t="e">
        <f>OR(LEFT(B805,3)="frg",(_xlfn.XMATCH(B805,ZZZ_Part_Id_[[#All],[FGCODE]])))</f>
        <v>#N/A</v>
      </c>
    </row>
    <row r="806" spans="1:14" x14ac:dyDescent="0.3">
      <c r="A806" s="2" t="s">
        <v>3629</v>
      </c>
      <c r="B806" s="2" t="s">
        <v>145</v>
      </c>
      <c r="C806" s="2" t="s">
        <v>3650</v>
      </c>
      <c r="D806" s="3">
        <v>8.0000000000000002E-3</v>
      </c>
      <c r="E806" s="3">
        <v>8.0000000000000002E-3</v>
      </c>
      <c r="F806" s="2" t="s">
        <v>147</v>
      </c>
      <c r="G806" s="2" t="s">
        <v>3651</v>
      </c>
      <c r="H806" s="3">
        <v>0</v>
      </c>
      <c r="I806" s="2" t="s">
        <v>18</v>
      </c>
      <c r="J806" s="2" t="s">
        <v>3652</v>
      </c>
      <c r="K806" s="2" t="s">
        <v>147</v>
      </c>
      <c r="L806" s="2" t="s">
        <v>3653</v>
      </c>
      <c r="M806" s="4">
        <v>1.25</v>
      </c>
      <c r="N806" t="e">
        <f>OR(LEFT(B806,3)="frg",(_xlfn.XMATCH(B806,ZZZ_Part_Id_[[#All],[FGCODE]])))</f>
        <v>#N/A</v>
      </c>
    </row>
    <row r="807" spans="1:14" x14ac:dyDescent="0.3">
      <c r="A807" s="2" t="s">
        <v>3654</v>
      </c>
      <c r="B807" s="2" t="s">
        <v>1924</v>
      </c>
      <c r="C807" s="2" t="s">
        <v>3655</v>
      </c>
      <c r="D807" s="3">
        <v>46368</v>
      </c>
      <c r="E807" s="3">
        <v>46368</v>
      </c>
      <c r="F807" s="2" t="s">
        <v>16</v>
      </c>
      <c r="G807" s="2" t="s">
        <v>3656</v>
      </c>
      <c r="H807" s="3">
        <v>0</v>
      </c>
      <c r="I807" s="2" t="s">
        <v>137</v>
      </c>
      <c r="J807" s="2" t="s">
        <v>3657</v>
      </c>
      <c r="K807" s="2" t="s">
        <v>16</v>
      </c>
      <c r="L807" s="2" t="s">
        <v>3658</v>
      </c>
      <c r="M807" s="4">
        <v>13009.47</v>
      </c>
      <c r="N807" t="b">
        <f>OR(LEFT(B807,3)="frg",(_xlfn.XMATCH(B807,ZZZ_Part_Id_[[#All],[FGCODE]])))</f>
        <v>1</v>
      </c>
    </row>
    <row r="808" spans="1:14" x14ac:dyDescent="0.3">
      <c r="A808" s="2" t="s">
        <v>3654</v>
      </c>
      <c r="B808" s="2" t="s">
        <v>65</v>
      </c>
      <c r="C808" s="2" t="s">
        <v>3659</v>
      </c>
      <c r="D808" s="5">
        <v>-662</v>
      </c>
      <c r="E808" s="5">
        <v>-662</v>
      </c>
      <c r="F808" s="2" t="s">
        <v>23</v>
      </c>
      <c r="G808" s="2" t="s">
        <v>3660</v>
      </c>
      <c r="H808" s="3">
        <v>0</v>
      </c>
      <c r="I808" s="2" t="s">
        <v>137</v>
      </c>
      <c r="J808" s="2" t="s">
        <v>3661</v>
      </c>
      <c r="K808" s="2" t="s">
        <v>23</v>
      </c>
      <c r="L808" s="2" t="s">
        <v>3662</v>
      </c>
      <c r="M808" s="6">
        <v>-1702.4</v>
      </c>
      <c r="N808" t="b">
        <f>OR(LEFT(B808,3)="frg",(_xlfn.XMATCH(B808,ZZZ_Part_Id_[[#All],[FGCODE]])))</f>
        <v>1</v>
      </c>
    </row>
    <row r="809" spans="1:14" x14ac:dyDescent="0.3">
      <c r="A809" s="2" t="s">
        <v>3654</v>
      </c>
      <c r="B809" s="2" t="s">
        <v>14</v>
      </c>
      <c r="C809" s="2" t="s">
        <v>3663</v>
      </c>
      <c r="D809" s="3">
        <v>5</v>
      </c>
      <c r="E809" s="3">
        <v>5</v>
      </c>
      <c r="F809" s="2" t="s">
        <v>16</v>
      </c>
      <c r="G809" s="2" t="s">
        <v>3664</v>
      </c>
      <c r="H809" s="3">
        <v>0</v>
      </c>
      <c r="I809" s="2" t="s">
        <v>137</v>
      </c>
      <c r="J809" s="2" t="s">
        <v>3665</v>
      </c>
      <c r="K809" s="2" t="s">
        <v>16</v>
      </c>
      <c r="L809" s="2" t="s">
        <v>3666</v>
      </c>
      <c r="M809" s="4">
        <v>0.38</v>
      </c>
      <c r="N809" t="e">
        <f>OR(LEFT(B809,3)="frg",(_xlfn.XMATCH(B809,ZZZ_Part_Id_[[#All],[FGCODE]])))</f>
        <v>#N/A</v>
      </c>
    </row>
    <row r="810" spans="1:14" x14ac:dyDescent="0.3">
      <c r="A810" s="2" t="s">
        <v>3654</v>
      </c>
      <c r="B810" s="2" t="s">
        <v>140</v>
      </c>
      <c r="C810" s="2" t="s">
        <v>3667</v>
      </c>
      <c r="D810" s="3">
        <v>0.2</v>
      </c>
      <c r="E810" s="3">
        <v>0.2</v>
      </c>
      <c r="F810" s="2" t="s">
        <v>16</v>
      </c>
      <c r="G810" s="2" t="s">
        <v>3668</v>
      </c>
      <c r="H810" s="3">
        <v>0</v>
      </c>
      <c r="I810" s="2" t="s">
        <v>137</v>
      </c>
      <c r="J810" s="2" t="s">
        <v>3669</v>
      </c>
      <c r="K810" s="2" t="s">
        <v>16</v>
      </c>
      <c r="L810" s="2" t="s">
        <v>3670</v>
      </c>
      <c r="M810" s="4">
        <v>0.33</v>
      </c>
      <c r="N810" t="e">
        <f>OR(LEFT(B810,3)="frg",(_xlfn.XMATCH(B810,ZZZ_Part_Id_[[#All],[FGCODE]])))</f>
        <v>#N/A</v>
      </c>
    </row>
    <row r="811" spans="1:14" x14ac:dyDescent="0.3">
      <c r="A811" s="2" t="s">
        <v>3654</v>
      </c>
      <c r="B811" s="2" t="s">
        <v>192</v>
      </c>
      <c r="C811" s="2" t="s">
        <v>3671</v>
      </c>
      <c r="D811" s="3">
        <v>0.05</v>
      </c>
      <c r="E811" s="3">
        <v>0.05</v>
      </c>
      <c r="F811" s="2" t="s">
        <v>194</v>
      </c>
      <c r="G811" s="2" t="s">
        <v>3672</v>
      </c>
      <c r="H811" s="3">
        <v>0</v>
      </c>
      <c r="I811" s="2" t="s">
        <v>137</v>
      </c>
      <c r="J811" s="2" t="s">
        <v>3673</v>
      </c>
      <c r="K811" s="2" t="s">
        <v>194</v>
      </c>
      <c r="L811" s="2" t="s">
        <v>3674</v>
      </c>
      <c r="M811" s="4">
        <v>0.25</v>
      </c>
      <c r="N811" t="e">
        <f>OR(LEFT(B811,3)="frg",(_xlfn.XMATCH(B811,ZZZ_Part_Id_[[#All],[FGCODE]])))</f>
        <v>#N/A</v>
      </c>
    </row>
    <row r="812" spans="1:14" x14ac:dyDescent="0.3">
      <c r="A812" s="2" t="s">
        <v>3654</v>
      </c>
      <c r="B812" s="2" t="s">
        <v>145</v>
      </c>
      <c r="C812" s="2" t="s">
        <v>3675</v>
      </c>
      <c r="D812" s="3">
        <v>0.02</v>
      </c>
      <c r="E812" s="3">
        <v>0.02</v>
      </c>
      <c r="F812" s="2" t="s">
        <v>147</v>
      </c>
      <c r="G812" s="2" t="s">
        <v>3676</v>
      </c>
      <c r="H812" s="3">
        <v>0</v>
      </c>
      <c r="I812" s="2" t="s">
        <v>137</v>
      </c>
      <c r="J812" s="2" t="s">
        <v>3677</v>
      </c>
      <c r="K812" s="2" t="s">
        <v>147</v>
      </c>
      <c r="L812" s="2" t="s">
        <v>3678</v>
      </c>
      <c r="M812" s="4">
        <v>3.13</v>
      </c>
      <c r="N812" t="e">
        <f>OR(LEFT(B812,3)="frg",(_xlfn.XMATCH(B812,ZZZ_Part_Id_[[#All],[FGCODE]])))</f>
        <v>#N/A</v>
      </c>
    </row>
    <row r="813" spans="1:14" x14ac:dyDescent="0.3">
      <c r="A813" s="2" t="s">
        <v>3679</v>
      </c>
      <c r="B813" s="2" t="s">
        <v>3142</v>
      </c>
      <c r="C813" s="2" t="s">
        <v>3680</v>
      </c>
      <c r="D813" s="3">
        <v>39744</v>
      </c>
      <c r="E813" s="3">
        <v>39744</v>
      </c>
      <c r="F813" s="2" t="s">
        <v>16</v>
      </c>
      <c r="G813" s="2" t="s">
        <v>3681</v>
      </c>
      <c r="H813" s="3">
        <v>0</v>
      </c>
      <c r="I813" s="2" t="s">
        <v>409</v>
      </c>
      <c r="J813" s="2" t="s">
        <v>3682</v>
      </c>
      <c r="K813" s="2" t="s">
        <v>16</v>
      </c>
      <c r="L813" s="2" t="s">
        <v>3683</v>
      </c>
      <c r="M813" s="4">
        <v>8002.86</v>
      </c>
      <c r="N813" t="b">
        <f>OR(LEFT(B813,3)="frg",(_xlfn.XMATCH(B813,ZZZ_Part_Id_[[#All],[FGCODE]])))</f>
        <v>1</v>
      </c>
    </row>
    <row r="814" spans="1:14" x14ac:dyDescent="0.3">
      <c r="A814" s="2" t="s">
        <v>3679</v>
      </c>
      <c r="B814" s="2" t="s">
        <v>65</v>
      </c>
      <c r="C814" s="2" t="s">
        <v>3684</v>
      </c>
      <c r="D814" s="5">
        <v>-331</v>
      </c>
      <c r="E814" s="5">
        <v>-331</v>
      </c>
      <c r="F814" s="2" t="s">
        <v>23</v>
      </c>
      <c r="G814" s="2" t="s">
        <v>3685</v>
      </c>
      <c r="H814" s="3">
        <v>0</v>
      </c>
      <c r="I814" s="2" t="s">
        <v>409</v>
      </c>
      <c r="J814" s="2" t="s">
        <v>3686</v>
      </c>
      <c r="K814" s="2" t="s">
        <v>23</v>
      </c>
      <c r="L814" s="2" t="s">
        <v>3687</v>
      </c>
      <c r="M814" s="6">
        <v>-851.2</v>
      </c>
      <c r="N814" t="b">
        <f>OR(LEFT(B814,3)="frg",(_xlfn.XMATCH(B814,ZZZ_Part_Id_[[#All],[FGCODE]])))</f>
        <v>1</v>
      </c>
    </row>
    <row r="815" spans="1:14" x14ac:dyDescent="0.3">
      <c r="A815" s="2" t="s">
        <v>3679</v>
      </c>
      <c r="B815" s="2" t="s">
        <v>14</v>
      </c>
      <c r="C815" s="2" t="s">
        <v>3688</v>
      </c>
      <c r="D815" s="3">
        <v>5</v>
      </c>
      <c r="E815" s="3">
        <v>5</v>
      </c>
      <c r="F815" s="2" t="s">
        <v>16</v>
      </c>
      <c r="G815" s="2" t="s">
        <v>3689</v>
      </c>
      <c r="H815" s="3">
        <v>0</v>
      </c>
      <c r="I815" s="2" t="s">
        <v>409</v>
      </c>
      <c r="J815" s="2" t="s">
        <v>3690</v>
      </c>
      <c r="K815" s="2" t="s">
        <v>16</v>
      </c>
      <c r="L815" s="2" t="s">
        <v>3691</v>
      </c>
      <c r="M815" s="4">
        <v>0.38</v>
      </c>
      <c r="N815" t="e">
        <f>OR(LEFT(B815,3)="frg",(_xlfn.XMATCH(B815,ZZZ_Part_Id_[[#All],[FGCODE]])))</f>
        <v>#N/A</v>
      </c>
    </row>
    <row r="816" spans="1:14" x14ac:dyDescent="0.3">
      <c r="A816" s="2" t="s">
        <v>3679</v>
      </c>
      <c r="B816" s="2" t="s">
        <v>140</v>
      </c>
      <c r="C816" s="2" t="s">
        <v>3692</v>
      </c>
      <c r="D816" s="3">
        <v>0.2</v>
      </c>
      <c r="E816" s="3">
        <v>0.2</v>
      </c>
      <c r="F816" s="2" t="s">
        <v>16</v>
      </c>
      <c r="G816" s="2" t="s">
        <v>3693</v>
      </c>
      <c r="H816" s="3">
        <v>0</v>
      </c>
      <c r="I816" s="2" t="s">
        <v>409</v>
      </c>
      <c r="J816" s="2" t="s">
        <v>3694</v>
      </c>
      <c r="K816" s="2" t="s">
        <v>16</v>
      </c>
      <c r="L816" s="2" t="s">
        <v>3695</v>
      </c>
      <c r="M816" s="4">
        <v>0.33</v>
      </c>
      <c r="N816" t="e">
        <f>OR(LEFT(B816,3)="frg",(_xlfn.XMATCH(B816,ZZZ_Part_Id_[[#All],[FGCODE]])))</f>
        <v>#N/A</v>
      </c>
    </row>
    <row r="817" spans="1:14" x14ac:dyDescent="0.3">
      <c r="A817" s="2" t="s">
        <v>3679</v>
      </c>
      <c r="B817" s="2" t="s">
        <v>192</v>
      </c>
      <c r="C817" s="2" t="s">
        <v>3696</v>
      </c>
      <c r="D817" s="3">
        <v>0.05</v>
      </c>
      <c r="E817" s="3">
        <v>0.05</v>
      </c>
      <c r="F817" s="2" t="s">
        <v>194</v>
      </c>
      <c r="G817" s="2" t="s">
        <v>3697</v>
      </c>
      <c r="H817" s="3">
        <v>0</v>
      </c>
      <c r="I817" s="2" t="s">
        <v>409</v>
      </c>
      <c r="J817" s="2" t="s">
        <v>3698</v>
      </c>
      <c r="K817" s="2" t="s">
        <v>194</v>
      </c>
      <c r="L817" s="2" t="s">
        <v>3699</v>
      </c>
      <c r="M817" s="4">
        <v>0.25</v>
      </c>
      <c r="N817" t="e">
        <f>OR(LEFT(B817,3)="frg",(_xlfn.XMATCH(B817,ZZZ_Part_Id_[[#All],[FGCODE]])))</f>
        <v>#N/A</v>
      </c>
    </row>
    <row r="818" spans="1:14" x14ac:dyDescent="0.3">
      <c r="A818" s="2" t="s">
        <v>3679</v>
      </c>
      <c r="B818" s="2" t="s">
        <v>145</v>
      </c>
      <c r="C818" s="2" t="s">
        <v>3700</v>
      </c>
      <c r="D818" s="3">
        <v>0.02</v>
      </c>
      <c r="E818" s="3">
        <v>0.02</v>
      </c>
      <c r="F818" s="2" t="s">
        <v>147</v>
      </c>
      <c r="G818" s="2" t="s">
        <v>3701</v>
      </c>
      <c r="H818" s="3">
        <v>0</v>
      </c>
      <c r="I818" s="2" t="s">
        <v>409</v>
      </c>
      <c r="J818" s="2" t="s">
        <v>3702</v>
      </c>
      <c r="K818" s="2" t="s">
        <v>147</v>
      </c>
      <c r="L818" s="2" t="s">
        <v>3703</v>
      </c>
      <c r="M818" s="4">
        <v>3.13</v>
      </c>
      <c r="N818" t="e">
        <f>OR(LEFT(B818,3)="frg",(_xlfn.XMATCH(B818,ZZZ_Part_Id_[[#All],[FGCODE]])))</f>
        <v>#N/A</v>
      </c>
    </row>
    <row r="819" spans="1:14" x14ac:dyDescent="0.3">
      <c r="A819" s="2" t="s">
        <v>3704</v>
      </c>
      <c r="B819" s="2" t="s">
        <v>2115</v>
      </c>
      <c r="C819" s="2" t="s">
        <v>3705</v>
      </c>
      <c r="D819" s="3">
        <v>28800</v>
      </c>
      <c r="E819" s="3">
        <v>28800</v>
      </c>
      <c r="F819" s="2" t="s">
        <v>16</v>
      </c>
      <c r="G819" s="2" t="s">
        <v>3706</v>
      </c>
      <c r="H819" s="3">
        <v>0</v>
      </c>
      <c r="I819" s="2" t="s">
        <v>18</v>
      </c>
      <c r="J819" s="2" t="s">
        <v>3707</v>
      </c>
      <c r="K819" s="2" t="s">
        <v>16</v>
      </c>
      <c r="L819" s="2" t="s">
        <v>3708</v>
      </c>
      <c r="M819" s="4">
        <v>5946.08</v>
      </c>
      <c r="N819" t="b">
        <f>OR(LEFT(B819,3)="frg",(_xlfn.XMATCH(B819,ZZZ_Part_Id_[[#All],[FGCODE]])))</f>
        <v>1</v>
      </c>
    </row>
    <row r="820" spans="1:14" x14ac:dyDescent="0.3">
      <c r="A820" s="2" t="s">
        <v>3704</v>
      </c>
      <c r="B820" s="2" t="s">
        <v>65</v>
      </c>
      <c r="C820" s="2" t="s">
        <v>3709</v>
      </c>
      <c r="D820" s="5">
        <v>-368</v>
      </c>
      <c r="E820" s="5">
        <v>-368</v>
      </c>
      <c r="F820" s="2" t="s">
        <v>23</v>
      </c>
      <c r="G820" s="2" t="s">
        <v>3710</v>
      </c>
      <c r="H820" s="3">
        <v>0</v>
      </c>
      <c r="I820" s="2" t="s">
        <v>18</v>
      </c>
      <c r="J820" s="2" t="s">
        <v>3711</v>
      </c>
      <c r="K820" s="2" t="s">
        <v>23</v>
      </c>
      <c r="L820" s="2" t="s">
        <v>3712</v>
      </c>
      <c r="M820" s="6">
        <v>-946.35</v>
      </c>
      <c r="N820" t="b">
        <f>OR(LEFT(B820,3)="frg",(_xlfn.XMATCH(B820,ZZZ_Part_Id_[[#All],[FGCODE]])))</f>
        <v>1</v>
      </c>
    </row>
    <row r="821" spans="1:14" x14ac:dyDescent="0.3">
      <c r="A821" s="2" t="s">
        <v>3704</v>
      </c>
      <c r="B821" s="2" t="s">
        <v>14</v>
      </c>
      <c r="C821" s="2" t="s">
        <v>3713</v>
      </c>
      <c r="D821" s="3">
        <v>6</v>
      </c>
      <c r="E821" s="3">
        <v>6</v>
      </c>
      <c r="F821" s="2" t="s">
        <v>16</v>
      </c>
      <c r="G821" s="2" t="s">
        <v>3714</v>
      </c>
      <c r="H821" s="3">
        <v>0</v>
      </c>
      <c r="I821" s="2" t="s">
        <v>18</v>
      </c>
      <c r="J821" s="2" t="s">
        <v>3715</v>
      </c>
      <c r="K821" s="2" t="s">
        <v>16</v>
      </c>
      <c r="L821" s="2" t="s">
        <v>3716</v>
      </c>
      <c r="M821" s="4">
        <v>0.46</v>
      </c>
      <c r="N821" t="e">
        <f>OR(LEFT(B821,3)="frg",(_xlfn.XMATCH(B821,ZZZ_Part_Id_[[#All],[FGCODE]])))</f>
        <v>#N/A</v>
      </c>
    </row>
    <row r="822" spans="1:14" x14ac:dyDescent="0.3">
      <c r="A822" s="2" t="s">
        <v>3704</v>
      </c>
      <c r="B822" s="2" t="s">
        <v>140</v>
      </c>
      <c r="C822" s="2" t="s">
        <v>3717</v>
      </c>
      <c r="D822" s="3">
        <v>0.24</v>
      </c>
      <c r="E822" s="3">
        <v>0.24</v>
      </c>
      <c r="F822" s="2" t="s">
        <v>16</v>
      </c>
      <c r="G822" s="2" t="s">
        <v>3718</v>
      </c>
      <c r="H822" s="3">
        <v>0</v>
      </c>
      <c r="I822" s="2" t="s">
        <v>18</v>
      </c>
      <c r="J822" s="2" t="s">
        <v>3719</v>
      </c>
      <c r="K822" s="2" t="s">
        <v>16</v>
      </c>
      <c r="L822" s="2" t="s">
        <v>3720</v>
      </c>
      <c r="M822" s="4">
        <v>0.4</v>
      </c>
      <c r="N822" t="e">
        <f>OR(LEFT(B822,3)="frg",(_xlfn.XMATCH(B822,ZZZ_Part_Id_[[#All],[FGCODE]])))</f>
        <v>#N/A</v>
      </c>
    </row>
    <row r="823" spans="1:14" x14ac:dyDescent="0.3">
      <c r="A823" s="2" t="s">
        <v>3704</v>
      </c>
      <c r="B823" s="2" t="s">
        <v>192</v>
      </c>
      <c r="C823" s="2" t="s">
        <v>3721</v>
      </c>
      <c r="D823" s="3">
        <v>0.06</v>
      </c>
      <c r="E823" s="3">
        <v>0.06</v>
      </c>
      <c r="F823" s="2" t="s">
        <v>194</v>
      </c>
      <c r="G823" s="2" t="s">
        <v>3722</v>
      </c>
      <c r="H823" s="3">
        <v>0</v>
      </c>
      <c r="I823" s="2" t="s">
        <v>18</v>
      </c>
      <c r="J823" s="2" t="s">
        <v>3723</v>
      </c>
      <c r="K823" s="2" t="s">
        <v>194</v>
      </c>
      <c r="L823" s="2" t="s">
        <v>3724</v>
      </c>
      <c r="M823" s="4">
        <v>0.3</v>
      </c>
      <c r="N823" t="e">
        <f>OR(LEFT(B823,3)="frg",(_xlfn.XMATCH(B823,ZZZ_Part_Id_[[#All],[FGCODE]])))</f>
        <v>#N/A</v>
      </c>
    </row>
    <row r="824" spans="1:14" x14ac:dyDescent="0.3">
      <c r="A824" s="2" t="s">
        <v>3704</v>
      </c>
      <c r="B824" s="2" t="s">
        <v>145</v>
      </c>
      <c r="C824" s="2" t="s">
        <v>3725</v>
      </c>
      <c r="D824" s="3">
        <v>2.4E-2</v>
      </c>
      <c r="E824" s="3">
        <v>2.4E-2</v>
      </c>
      <c r="F824" s="2" t="s">
        <v>147</v>
      </c>
      <c r="G824" s="2" t="s">
        <v>3726</v>
      </c>
      <c r="H824" s="3">
        <v>0</v>
      </c>
      <c r="I824" s="2" t="s">
        <v>18</v>
      </c>
      <c r="J824" s="2" t="s">
        <v>3727</v>
      </c>
      <c r="K824" s="2" t="s">
        <v>147</v>
      </c>
      <c r="L824" s="2" t="s">
        <v>3728</v>
      </c>
      <c r="M824" s="4">
        <v>3.75</v>
      </c>
      <c r="N824" t="e">
        <f>OR(LEFT(B824,3)="frg",(_xlfn.XMATCH(B824,ZZZ_Part_Id_[[#All],[FGCODE]])))</f>
        <v>#N/A</v>
      </c>
    </row>
    <row r="825" spans="1:14" x14ac:dyDescent="0.3">
      <c r="A825" s="2" t="s">
        <v>3729</v>
      </c>
      <c r="B825" s="2" t="s">
        <v>103</v>
      </c>
      <c r="C825" s="2" t="s">
        <v>3730</v>
      </c>
      <c r="D825" s="3">
        <v>21240</v>
      </c>
      <c r="E825" s="3">
        <v>21240</v>
      </c>
      <c r="F825" s="2" t="s">
        <v>16</v>
      </c>
      <c r="G825" s="2" t="s">
        <v>3731</v>
      </c>
      <c r="H825" s="3">
        <v>0</v>
      </c>
      <c r="I825" s="2" t="s">
        <v>18</v>
      </c>
      <c r="J825" s="2" t="s">
        <v>3732</v>
      </c>
      <c r="K825" s="2" t="s">
        <v>16</v>
      </c>
      <c r="L825" s="2" t="s">
        <v>3733</v>
      </c>
      <c r="M825" s="4">
        <v>2644.8</v>
      </c>
      <c r="N825" t="b">
        <f>OR(LEFT(B825,3)="frg",(_xlfn.XMATCH(B825,ZZZ_Part_Id_[[#All],[FGCODE]])))</f>
        <v>1</v>
      </c>
    </row>
    <row r="826" spans="1:14" x14ac:dyDescent="0.3">
      <c r="A826" s="2" t="s">
        <v>3734</v>
      </c>
      <c r="B826" s="2" t="s">
        <v>121</v>
      </c>
      <c r="C826" s="2" t="s">
        <v>3735</v>
      </c>
      <c r="D826" s="3">
        <v>112608</v>
      </c>
      <c r="E826" s="3">
        <v>112608</v>
      </c>
      <c r="F826" s="2" t="s">
        <v>16</v>
      </c>
      <c r="G826" s="2" t="s">
        <v>3736</v>
      </c>
      <c r="H826" s="3">
        <v>0</v>
      </c>
      <c r="I826" s="2" t="s">
        <v>18</v>
      </c>
      <c r="J826" s="2" t="s">
        <v>3737</v>
      </c>
      <c r="K826" s="2" t="s">
        <v>16</v>
      </c>
      <c r="L826" s="2" t="s">
        <v>3738</v>
      </c>
      <c r="M826" s="4">
        <v>20925.98</v>
      </c>
      <c r="N826" t="b">
        <f>OR(LEFT(B826,3)="frg",(_xlfn.XMATCH(B826,ZZZ_Part_Id_[[#All],[FGCODE]])))</f>
        <v>1</v>
      </c>
    </row>
    <row r="827" spans="1:14" x14ac:dyDescent="0.3">
      <c r="A827" s="2" t="s">
        <v>3734</v>
      </c>
      <c r="B827" s="2" t="s">
        <v>21</v>
      </c>
      <c r="C827" s="2" t="s">
        <v>3739</v>
      </c>
      <c r="D827" s="5">
        <v>-236</v>
      </c>
      <c r="E827" s="5">
        <v>-236</v>
      </c>
      <c r="F827" s="2" t="s">
        <v>23</v>
      </c>
      <c r="G827" s="2" t="s">
        <v>3740</v>
      </c>
      <c r="H827" s="3">
        <v>0</v>
      </c>
      <c r="I827" s="2" t="s">
        <v>18</v>
      </c>
      <c r="J827" s="2" t="s">
        <v>3741</v>
      </c>
      <c r="K827" s="2" t="s">
        <v>23</v>
      </c>
      <c r="L827" s="2" t="s">
        <v>3742</v>
      </c>
      <c r="M827" s="6">
        <v>-446.87</v>
      </c>
      <c r="N827" t="b">
        <f>OR(LEFT(B827,3)="frg",(_xlfn.XMATCH(B827,ZZZ_Part_Id_[[#All],[FGCODE]])))</f>
        <v>1</v>
      </c>
    </row>
    <row r="828" spans="1:14" x14ac:dyDescent="0.3">
      <c r="A828" s="2" t="s">
        <v>3743</v>
      </c>
      <c r="B828" s="2" t="s">
        <v>3744</v>
      </c>
      <c r="C828" s="2" t="s">
        <v>3745</v>
      </c>
      <c r="D828" s="3">
        <v>146160</v>
      </c>
      <c r="E828" s="3">
        <v>146160</v>
      </c>
      <c r="F828" s="2" t="s">
        <v>16</v>
      </c>
      <c r="G828" s="2" t="s">
        <v>3746</v>
      </c>
      <c r="H828" s="3">
        <v>0</v>
      </c>
      <c r="I828" s="2" t="s">
        <v>409</v>
      </c>
      <c r="J828" s="2" t="s">
        <v>3747</v>
      </c>
      <c r="K828" s="2" t="s">
        <v>16</v>
      </c>
      <c r="L828" s="2" t="s">
        <v>3748</v>
      </c>
      <c r="M828" s="4">
        <v>8309.2000000000007</v>
      </c>
      <c r="N828" t="b">
        <f>OR(LEFT(B828,3)="frg",(_xlfn.XMATCH(B828,ZZZ_Part_Id_[[#All],[FGCODE]])))</f>
        <v>1</v>
      </c>
    </row>
    <row r="829" spans="1:14" x14ac:dyDescent="0.3">
      <c r="A829" s="2" t="s">
        <v>3743</v>
      </c>
      <c r="B829" s="2" t="s">
        <v>3749</v>
      </c>
      <c r="C829" s="2" t="s">
        <v>3750</v>
      </c>
      <c r="D829" s="3">
        <v>20880</v>
      </c>
      <c r="E829" s="3">
        <v>20880</v>
      </c>
      <c r="F829" s="2" t="s">
        <v>16</v>
      </c>
      <c r="G829" s="2" t="s">
        <v>131</v>
      </c>
      <c r="H829" s="3">
        <v>0</v>
      </c>
      <c r="I829" s="2" t="s">
        <v>409</v>
      </c>
      <c r="J829" s="2" t="s">
        <v>3751</v>
      </c>
      <c r="K829" s="2" t="s">
        <v>16</v>
      </c>
      <c r="L829" s="2" t="s">
        <v>3752</v>
      </c>
      <c r="M829" s="4">
        <v>1138.5899999999999</v>
      </c>
      <c r="N829" t="b">
        <f>OR(LEFT(B829,3)="frg",(_xlfn.XMATCH(B829,ZZZ_Part_Id_[[#All],[FGCODE]])))</f>
        <v>1</v>
      </c>
    </row>
    <row r="830" spans="1:14" x14ac:dyDescent="0.3">
      <c r="A830" s="2" t="s">
        <v>3753</v>
      </c>
      <c r="B830" s="2" t="s">
        <v>91</v>
      </c>
      <c r="C830" s="2" t="s">
        <v>3754</v>
      </c>
      <c r="D830" s="3">
        <v>54000</v>
      </c>
      <c r="E830" s="3">
        <v>54000</v>
      </c>
      <c r="F830" s="2" t="s">
        <v>16</v>
      </c>
      <c r="G830" s="2" t="s">
        <v>3755</v>
      </c>
      <c r="H830" s="3">
        <v>0</v>
      </c>
      <c r="I830" s="2" t="s">
        <v>18</v>
      </c>
      <c r="J830" s="2" t="s">
        <v>3756</v>
      </c>
      <c r="K830" s="2" t="s">
        <v>16</v>
      </c>
      <c r="L830" s="2" t="s">
        <v>3757</v>
      </c>
      <c r="M830" s="4">
        <v>2024.46</v>
      </c>
      <c r="N830" t="b">
        <f>OR(LEFT(B830,3)="frg",(_xlfn.XMATCH(B830,ZZZ_Part_Id_[[#All],[FGCODE]])))</f>
        <v>1</v>
      </c>
    </row>
    <row r="831" spans="1:14" x14ac:dyDescent="0.3">
      <c r="A831" s="2" t="s">
        <v>3758</v>
      </c>
      <c r="B831" s="2" t="s">
        <v>3759</v>
      </c>
      <c r="C831" s="2" t="s">
        <v>3760</v>
      </c>
      <c r="D831" s="3">
        <v>29880</v>
      </c>
      <c r="E831" s="3">
        <v>29880</v>
      </c>
      <c r="F831" s="2" t="s">
        <v>16</v>
      </c>
      <c r="G831" s="2" t="s">
        <v>3761</v>
      </c>
      <c r="H831" s="3">
        <v>0</v>
      </c>
      <c r="I831" s="2" t="s">
        <v>409</v>
      </c>
      <c r="J831" s="2" t="s">
        <v>3762</v>
      </c>
      <c r="K831" s="2" t="s">
        <v>16</v>
      </c>
      <c r="L831" s="2" t="s">
        <v>3763</v>
      </c>
      <c r="M831" s="4">
        <v>1087.93</v>
      </c>
      <c r="N831" t="b">
        <f>OR(LEFT(B831,3)="frg",(_xlfn.XMATCH(B831,ZZZ_Part_Id_[[#All],[FGCODE]])))</f>
        <v>1</v>
      </c>
    </row>
    <row r="832" spans="1:14" x14ac:dyDescent="0.3">
      <c r="A832" s="2" t="s">
        <v>3764</v>
      </c>
      <c r="B832" s="2" t="s">
        <v>14</v>
      </c>
      <c r="C832" s="2" t="s">
        <v>3765</v>
      </c>
      <c r="D832" s="3">
        <v>20</v>
      </c>
      <c r="E832" s="3">
        <v>20</v>
      </c>
      <c r="F832" s="2" t="s">
        <v>16</v>
      </c>
      <c r="G832" s="2" t="s">
        <v>3766</v>
      </c>
      <c r="H832" s="3">
        <v>0</v>
      </c>
      <c r="I832" s="2" t="s">
        <v>18</v>
      </c>
      <c r="J832" s="2" t="s">
        <v>3767</v>
      </c>
      <c r="K832" s="2" t="s">
        <v>16</v>
      </c>
      <c r="L832" s="2" t="s">
        <v>3768</v>
      </c>
      <c r="M832" s="4">
        <v>1.54</v>
      </c>
      <c r="N832" t="e">
        <f>OR(LEFT(B832,3)="frg",(_xlfn.XMATCH(B832,ZZZ_Part_Id_[[#All],[FGCODE]])))</f>
        <v>#N/A</v>
      </c>
    </row>
    <row r="833" spans="1:14" x14ac:dyDescent="0.3">
      <c r="A833" s="2" t="s">
        <v>3764</v>
      </c>
      <c r="B833" s="2" t="s">
        <v>97</v>
      </c>
      <c r="C833" s="2" t="s">
        <v>3769</v>
      </c>
      <c r="D833" s="3">
        <v>96000</v>
      </c>
      <c r="E833" s="3">
        <v>96000</v>
      </c>
      <c r="F833" s="2" t="s">
        <v>16</v>
      </c>
      <c r="G833" s="2" t="s">
        <v>3770</v>
      </c>
      <c r="H833" s="3">
        <v>0</v>
      </c>
      <c r="I833" s="2" t="s">
        <v>18</v>
      </c>
      <c r="J833" s="2" t="s">
        <v>3771</v>
      </c>
      <c r="K833" s="2" t="s">
        <v>16</v>
      </c>
      <c r="L833" s="2" t="s">
        <v>3772</v>
      </c>
      <c r="M833" s="4">
        <v>20512.400000000001</v>
      </c>
      <c r="N833" t="b">
        <f>OR(LEFT(B833,3)="frg",(_xlfn.XMATCH(B833,ZZZ_Part_Id_[[#All],[FGCODE]])))</f>
        <v>1</v>
      </c>
    </row>
    <row r="834" spans="1:14" x14ac:dyDescent="0.3">
      <c r="A834" s="2" t="s">
        <v>3773</v>
      </c>
      <c r="B834" s="2" t="s">
        <v>37</v>
      </c>
      <c r="C834" s="2" t="s">
        <v>3774</v>
      </c>
      <c r="D834" s="3">
        <v>10</v>
      </c>
      <c r="E834" s="3">
        <v>10</v>
      </c>
      <c r="F834" s="2" t="s">
        <v>16</v>
      </c>
      <c r="G834" s="2" t="s">
        <v>3775</v>
      </c>
      <c r="H834" s="3">
        <v>0</v>
      </c>
      <c r="I834" s="2" t="s">
        <v>18</v>
      </c>
      <c r="J834" s="2" t="s">
        <v>3776</v>
      </c>
      <c r="K834" s="2" t="s">
        <v>16</v>
      </c>
      <c r="L834" s="2" t="s">
        <v>3777</v>
      </c>
      <c r="M834" s="4">
        <v>160</v>
      </c>
      <c r="N834" t="e">
        <f>OR(LEFT(B834,3)="frg",(_xlfn.XMATCH(B834,ZZZ_Part_Id_[[#All],[FGCODE]])))</f>
        <v>#N/A</v>
      </c>
    </row>
    <row r="835" spans="1:14" x14ac:dyDescent="0.3">
      <c r="A835" s="2" t="s">
        <v>3773</v>
      </c>
      <c r="B835" s="2" t="s">
        <v>97</v>
      </c>
      <c r="C835" s="2" t="s">
        <v>3778</v>
      </c>
      <c r="D835" s="3">
        <v>48000</v>
      </c>
      <c r="E835" s="3">
        <v>48000</v>
      </c>
      <c r="F835" s="2" t="s">
        <v>16</v>
      </c>
      <c r="G835" s="2" t="s">
        <v>3779</v>
      </c>
      <c r="H835" s="3">
        <v>0</v>
      </c>
      <c r="I835" s="2" t="s">
        <v>18</v>
      </c>
      <c r="J835" s="2" t="s">
        <v>3780</v>
      </c>
      <c r="K835" s="2" t="s">
        <v>16</v>
      </c>
      <c r="L835" s="2" t="s">
        <v>3781</v>
      </c>
      <c r="M835" s="4">
        <v>10256.200000000001</v>
      </c>
      <c r="N835" t="b">
        <f>OR(LEFT(B835,3)="frg",(_xlfn.XMATCH(B835,ZZZ_Part_Id_[[#All],[FGCODE]])))</f>
        <v>1</v>
      </c>
    </row>
    <row r="836" spans="1:14" x14ac:dyDescent="0.3">
      <c r="A836" s="2" t="s">
        <v>3782</v>
      </c>
      <c r="B836" s="2" t="s">
        <v>14</v>
      </c>
      <c r="C836" s="2" t="s">
        <v>3783</v>
      </c>
      <c r="D836" s="3">
        <v>54</v>
      </c>
      <c r="E836" s="3">
        <v>54</v>
      </c>
      <c r="F836" s="2" t="s">
        <v>16</v>
      </c>
      <c r="G836" s="2" t="s">
        <v>3784</v>
      </c>
      <c r="H836" s="3">
        <v>0</v>
      </c>
      <c r="I836" s="2" t="s">
        <v>18</v>
      </c>
      <c r="J836" s="2" t="s">
        <v>3785</v>
      </c>
      <c r="K836" s="2" t="s">
        <v>16</v>
      </c>
      <c r="L836" s="2" t="s">
        <v>3786</v>
      </c>
      <c r="M836" s="4">
        <v>4.1500000000000004</v>
      </c>
      <c r="N836" t="e">
        <f>OR(LEFT(B836,3)="frg",(_xlfn.XMATCH(B836,ZZZ_Part_Id_[[#All],[FGCODE]])))</f>
        <v>#N/A</v>
      </c>
    </row>
    <row r="837" spans="1:14" x14ac:dyDescent="0.3">
      <c r="A837" s="2" t="s">
        <v>3782</v>
      </c>
      <c r="B837" s="2" t="s">
        <v>172</v>
      </c>
      <c r="C837" s="2" t="s">
        <v>3787</v>
      </c>
      <c r="D837" s="3">
        <v>15.336</v>
      </c>
      <c r="E837" s="3">
        <v>15.336</v>
      </c>
      <c r="F837" s="2" t="s">
        <v>23</v>
      </c>
      <c r="G837" s="2" t="s">
        <v>3788</v>
      </c>
      <c r="H837" s="3">
        <v>0</v>
      </c>
      <c r="I837" s="2" t="s">
        <v>18</v>
      </c>
      <c r="J837" s="2" t="s">
        <v>3789</v>
      </c>
      <c r="K837" s="2" t="s">
        <v>23</v>
      </c>
      <c r="L837" s="2" t="s">
        <v>3790</v>
      </c>
      <c r="M837" s="4">
        <v>99.68</v>
      </c>
      <c r="N837" t="e">
        <f>OR(LEFT(B837,3)="frg",(_xlfn.XMATCH(B837,ZZZ_Part_Id_[[#All],[FGCODE]])))</f>
        <v>#N/A</v>
      </c>
    </row>
    <row r="838" spans="1:14" x14ac:dyDescent="0.3">
      <c r="A838" s="2" t="s">
        <v>3782</v>
      </c>
      <c r="B838" s="2" t="s">
        <v>97</v>
      </c>
      <c r="C838" s="2" t="s">
        <v>3791</v>
      </c>
      <c r="D838" s="3">
        <v>259200</v>
      </c>
      <c r="E838" s="3">
        <v>259200</v>
      </c>
      <c r="F838" s="2" t="s">
        <v>16</v>
      </c>
      <c r="G838" s="2" t="s">
        <v>3792</v>
      </c>
      <c r="H838" s="3">
        <v>0</v>
      </c>
      <c r="I838" s="2" t="s">
        <v>18</v>
      </c>
      <c r="J838" s="2" t="s">
        <v>3793</v>
      </c>
      <c r="K838" s="2" t="s">
        <v>16</v>
      </c>
      <c r="L838" s="2" t="s">
        <v>3794</v>
      </c>
      <c r="M838" s="4">
        <v>55383.48</v>
      </c>
      <c r="N838" t="b">
        <f>OR(LEFT(B838,3)="frg",(_xlfn.XMATCH(B838,ZZZ_Part_Id_[[#All],[FGCODE]])))</f>
        <v>1</v>
      </c>
    </row>
    <row r="839" spans="1:14" x14ac:dyDescent="0.3">
      <c r="A839" s="2" t="s">
        <v>3795</v>
      </c>
      <c r="B839" s="2" t="s">
        <v>37</v>
      </c>
      <c r="C839" s="2" t="s">
        <v>3796</v>
      </c>
      <c r="D839" s="3">
        <v>8</v>
      </c>
      <c r="E839" s="3">
        <v>8</v>
      </c>
      <c r="F839" s="2" t="s">
        <v>16</v>
      </c>
      <c r="G839" s="2" t="s">
        <v>3797</v>
      </c>
      <c r="H839" s="3">
        <v>0</v>
      </c>
      <c r="I839" s="2" t="s">
        <v>18</v>
      </c>
      <c r="J839" s="2" t="s">
        <v>3798</v>
      </c>
      <c r="K839" s="2" t="s">
        <v>16</v>
      </c>
      <c r="L839" s="2" t="s">
        <v>3799</v>
      </c>
      <c r="M839" s="4">
        <v>128</v>
      </c>
      <c r="N839" t="e">
        <f>OR(LEFT(B839,3)="frg",(_xlfn.XMATCH(B839,ZZZ_Part_Id_[[#All],[FGCODE]])))</f>
        <v>#N/A</v>
      </c>
    </row>
    <row r="840" spans="1:14" x14ac:dyDescent="0.3">
      <c r="A840" s="2" t="s">
        <v>3795</v>
      </c>
      <c r="B840" s="2" t="s">
        <v>97</v>
      </c>
      <c r="C840" s="2" t="s">
        <v>3800</v>
      </c>
      <c r="D840" s="3">
        <v>38400</v>
      </c>
      <c r="E840" s="3">
        <v>38400</v>
      </c>
      <c r="F840" s="2" t="s">
        <v>16</v>
      </c>
      <c r="G840" s="2" t="s">
        <v>3801</v>
      </c>
      <c r="H840" s="3">
        <v>0</v>
      </c>
      <c r="I840" s="2" t="s">
        <v>18</v>
      </c>
      <c r="J840" s="2" t="s">
        <v>3802</v>
      </c>
      <c r="K840" s="2" t="s">
        <v>16</v>
      </c>
      <c r="L840" s="2" t="s">
        <v>3803</v>
      </c>
      <c r="M840" s="4">
        <v>8204.9599999999991</v>
      </c>
      <c r="N840" t="b">
        <f>OR(LEFT(B840,3)="frg",(_xlfn.XMATCH(B840,ZZZ_Part_Id_[[#All],[FGCODE]])))</f>
        <v>1</v>
      </c>
    </row>
    <row r="841" spans="1:14" x14ac:dyDescent="0.3">
      <c r="A841" s="2" t="s">
        <v>3804</v>
      </c>
      <c r="B841" s="2" t="s">
        <v>14</v>
      </c>
      <c r="C841" s="2" t="s">
        <v>3805</v>
      </c>
      <c r="D841" s="3">
        <v>10</v>
      </c>
      <c r="E841" s="3">
        <v>10</v>
      </c>
      <c r="F841" s="2" t="s">
        <v>16</v>
      </c>
      <c r="G841" s="2" t="s">
        <v>3806</v>
      </c>
      <c r="H841" s="3">
        <v>0</v>
      </c>
      <c r="I841" s="2" t="s">
        <v>18</v>
      </c>
      <c r="J841" s="2" t="s">
        <v>3807</v>
      </c>
      <c r="K841" s="2" t="s">
        <v>16</v>
      </c>
      <c r="L841" s="2" t="s">
        <v>3808</v>
      </c>
      <c r="M841" s="4">
        <v>0.77</v>
      </c>
      <c r="N841" t="e">
        <f>OR(LEFT(B841,3)="frg",(_xlfn.XMATCH(B841,ZZZ_Part_Id_[[#All],[FGCODE]])))</f>
        <v>#N/A</v>
      </c>
    </row>
    <row r="842" spans="1:14" x14ac:dyDescent="0.3">
      <c r="A842" s="2" t="s">
        <v>3804</v>
      </c>
      <c r="B842" s="2" t="s">
        <v>91</v>
      </c>
      <c r="C842" s="2" t="s">
        <v>3809</v>
      </c>
      <c r="D842" s="3">
        <v>243000</v>
      </c>
      <c r="E842" s="3">
        <v>243000</v>
      </c>
      <c r="F842" s="2" t="s">
        <v>16</v>
      </c>
      <c r="G842" s="2" t="s">
        <v>3810</v>
      </c>
      <c r="H842" s="3">
        <v>0</v>
      </c>
      <c r="I842" s="2" t="s">
        <v>18</v>
      </c>
      <c r="J842" s="2" t="s">
        <v>3811</v>
      </c>
      <c r="K842" s="2" t="s">
        <v>16</v>
      </c>
      <c r="L842" s="2" t="s">
        <v>3812</v>
      </c>
      <c r="M842" s="4">
        <v>9110.07</v>
      </c>
      <c r="N842" t="b">
        <f>OR(LEFT(B842,3)="frg",(_xlfn.XMATCH(B842,ZZZ_Part_Id_[[#All],[FGCODE]])))</f>
        <v>1</v>
      </c>
    </row>
    <row r="843" spans="1:14" x14ac:dyDescent="0.3">
      <c r="A843" s="2" t="s">
        <v>3813</v>
      </c>
      <c r="B843" s="2" t="s">
        <v>14</v>
      </c>
      <c r="C843" s="2" t="s">
        <v>3814</v>
      </c>
      <c r="D843" s="3">
        <v>10</v>
      </c>
      <c r="E843" s="3">
        <v>10</v>
      </c>
      <c r="F843" s="2" t="s">
        <v>16</v>
      </c>
      <c r="G843" s="2" t="s">
        <v>3815</v>
      </c>
      <c r="H843" s="3">
        <v>0</v>
      </c>
      <c r="I843" s="2" t="s">
        <v>18</v>
      </c>
      <c r="J843" s="2" t="s">
        <v>3816</v>
      </c>
      <c r="K843" s="2" t="s">
        <v>16</v>
      </c>
      <c r="L843" s="2" t="s">
        <v>3817</v>
      </c>
      <c r="M843" s="4">
        <v>0.77</v>
      </c>
      <c r="N843" t="e">
        <f>OR(LEFT(B843,3)="frg",(_xlfn.XMATCH(B843,ZZZ_Part_Id_[[#All],[FGCODE]])))</f>
        <v>#N/A</v>
      </c>
    </row>
    <row r="844" spans="1:14" x14ac:dyDescent="0.3">
      <c r="A844" s="2" t="s">
        <v>3813</v>
      </c>
      <c r="B844" s="2" t="s">
        <v>86</v>
      </c>
      <c r="C844" s="2" t="s">
        <v>3818</v>
      </c>
      <c r="D844" s="5">
        <v>-518</v>
      </c>
      <c r="E844" s="5">
        <v>-518</v>
      </c>
      <c r="F844" s="2" t="s">
        <v>23</v>
      </c>
      <c r="G844" s="2" t="s">
        <v>3819</v>
      </c>
      <c r="H844" s="3">
        <v>0</v>
      </c>
      <c r="I844" s="2" t="s">
        <v>18</v>
      </c>
      <c r="J844" s="2" t="s">
        <v>3820</v>
      </c>
      <c r="K844" s="2" t="s">
        <v>23</v>
      </c>
      <c r="L844" s="2" t="s">
        <v>3821</v>
      </c>
      <c r="M844" s="6">
        <v>-1356.02</v>
      </c>
      <c r="N844" t="b">
        <f>OR(LEFT(B844,3)="frg",(_xlfn.XMATCH(B844,ZZZ_Part_Id_[[#All],[FGCODE]])))</f>
        <v>1</v>
      </c>
    </row>
    <row r="845" spans="1:14" x14ac:dyDescent="0.3">
      <c r="A845" s="2" t="s">
        <v>3813</v>
      </c>
      <c r="B845" s="2" t="s">
        <v>2238</v>
      </c>
      <c r="C845" s="2" t="s">
        <v>3822</v>
      </c>
      <c r="D845" s="3">
        <v>96000</v>
      </c>
      <c r="E845" s="3">
        <v>96000</v>
      </c>
      <c r="F845" s="2" t="s">
        <v>16</v>
      </c>
      <c r="G845" s="2" t="s">
        <v>3823</v>
      </c>
      <c r="H845" s="3">
        <v>0</v>
      </c>
      <c r="I845" s="2" t="s">
        <v>18</v>
      </c>
      <c r="J845" s="2" t="s">
        <v>3824</v>
      </c>
      <c r="K845" s="2" t="s">
        <v>16</v>
      </c>
      <c r="L845" s="2" t="s">
        <v>3825</v>
      </c>
      <c r="M845" s="4">
        <v>1522.57</v>
      </c>
      <c r="N845" t="b">
        <f>OR(LEFT(B845,3)="frg",(_xlfn.XMATCH(B845,ZZZ_Part_Id_[[#All],[FGCODE]])))</f>
        <v>1</v>
      </c>
    </row>
    <row r="846" spans="1:14" x14ac:dyDescent="0.3">
      <c r="A846" s="2" t="s">
        <v>3826</v>
      </c>
      <c r="B846" s="2" t="s">
        <v>14</v>
      </c>
      <c r="C846" s="2" t="s">
        <v>3827</v>
      </c>
      <c r="D846" s="3">
        <v>10</v>
      </c>
      <c r="E846" s="3">
        <v>10</v>
      </c>
      <c r="F846" s="2" t="s">
        <v>16</v>
      </c>
      <c r="G846" s="2" t="s">
        <v>3828</v>
      </c>
      <c r="H846" s="3">
        <v>0</v>
      </c>
      <c r="I846" s="2" t="s">
        <v>18</v>
      </c>
      <c r="J846" s="2" t="s">
        <v>3829</v>
      </c>
      <c r="K846" s="2" t="s">
        <v>16</v>
      </c>
      <c r="L846" s="2" t="s">
        <v>3830</v>
      </c>
      <c r="M846" s="4">
        <v>0.77</v>
      </c>
      <c r="N846" t="e">
        <f>OR(LEFT(B846,3)="frg",(_xlfn.XMATCH(B846,ZZZ_Part_Id_[[#All],[FGCODE]])))</f>
        <v>#N/A</v>
      </c>
    </row>
    <row r="847" spans="1:14" x14ac:dyDescent="0.3">
      <c r="A847" s="2" t="s">
        <v>3826</v>
      </c>
      <c r="B847" s="2" t="s">
        <v>699</v>
      </c>
      <c r="C847" s="2" t="s">
        <v>3831</v>
      </c>
      <c r="D847" s="3">
        <v>46368</v>
      </c>
      <c r="E847" s="3">
        <v>46368</v>
      </c>
      <c r="F847" s="2" t="s">
        <v>16</v>
      </c>
      <c r="G847" s="2" t="s">
        <v>3832</v>
      </c>
      <c r="H847" s="3">
        <v>0</v>
      </c>
      <c r="I847" s="2" t="s">
        <v>18</v>
      </c>
      <c r="J847" s="2" t="s">
        <v>3833</v>
      </c>
      <c r="K847" s="2" t="s">
        <v>16</v>
      </c>
      <c r="L847" s="2" t="s">
        <v>3834</v>
      </c>
      <c r="M847" s="4">
        <v>8452.92</v>
      </c>
      <c r="N847" t="b">
        <f>OR(LEFT(B847,3)="frg",(_xlfn.XMATCH(B847,ZZZ_Part_Id_[[#All],[FGCODE]])))</f>
        <v>1</v>
      </c>
    </row>
    <row r="848" spans="1:14" x14ac:dyDescent="0.3">
      <c r="A848" s="2" t="s">
        <v>3835</v>
      </c>
      <c r="B848" s="2" t="s">
        <v>14</v>
      </c>
      <c r="C848" s="2" t="s">
        <v>3836</v>
      </c>
      <c r="D848" s="3">
        <v>40</v>
      </c>
      <c r="E848" s="3">
        <v>40</v>
      </c>
      <c r="F848" s="2" t="s">
        <v>16</v>
      </c>
      <c r="G848" s="2" t="s">
        <v>3837</v>
      </c>
      <c r="H848" s="3">
        <v>0</v>
      </c>
      <c r="I848" s="2" t="s">
        <v>409</v>
      </c>
      <c r="J848" s="2" t="s">
        <v>3838</v>
      </c>
      <c r="K848" s="2" t="s">
        <v>16</v>
      </c>
      <c r="L848" s="2" t="s">
        <v>3839</v>
      </c>
      <c r="M848" s="4">
        <v>3.08</v>
      </c>
      <c r="N848" t="e">
        <f>OR(LEFT(B848,3)="frg",(_xlfn.XMATCH(B848,ZZZ_Part_Id_[[#All],[FGCODE]])))</f>
        <v>#N/A</v>
      </c>
    </row>
    <row r="849" spans="1:14" x14ac:dyDescent="0.3">
      <c r="A849" s="2" t="s">
        <v>3835</v>
      </c>
      <c r="B849" s="2" t="s">
        <v>172</v>
      </c>
      <c r="C849" s="2" t="s">
        <v>3840</v>
      </c>
      <c r="D849" s="3">
        <v>10</v>
      </c>
      <c r="E849" s="3">
        <v>10</v>
      </c>
      <c r="F849" s="2" t="s">
        <v>23</v>
      </c>
      <c r="G849" s="2" t="s">
        <v>3841</v>
      </c>
      <c r="H849" s="3">
        <v>0</v>
      </c>
      <c r="I849" s="2" t="s">
        <v>409</v>
      </c>
      <c r="J849" s="2" t="s">
        <v>3842</v>
      </c>
      <c r="K849" s="2" t="s">
        <v>23</v>
      </c>
      <c r="L849" s="2" t="s">
        <v>3843</v>
      </c>
      <c r="M849" s="4">
        <v>65</v>
      </c>
      <c r="N849" t="e">
        <f>OR(LEFT(B849,3)="frg",(_xlfn.XMATCH(B849,ZZZ_Part_Id_[[#All],[FGCODE]])))</f>
        <v>#N/A</v>
      </c>
    </row>
    <row r="850" spans="1:14" x14ac:dyDescent="0.3">
      <c r="A850" s="2" t="s">
        <v>3835</v>
      </c>
      <c r="B850" s="2" t="s">
        <v>3142</v>
      </c>
      <c r="C850" s="2" t="s">
        <v>3844</v>
      </c>
      <c r="D850" s="3">
        <v>132480</v>
      </c>
      <c r="E850" s="3">
        <v>132480</v>
      </c>
      <c r="F850" s="2" t="s">
        <v>16</v>
      </c>
      <c r="G850" s="2" t="s">
        <v>3845</v>
      </c>
      <c r="H850" s="3">
        <v>0</v>
      </c>
      <c r="I850" s="2" t="s">
        <v>409</v>
      </c>
      <c r="J850" s="2" t="s">
        <v>3846</v>
      </c>
      <c r="K850" s="2" t="s">
        <v>16</v>
      </c>
      <c r="L850" s="2" t="s">
        <v>3847</v>
      </c>
      <c r="M850" s="4">
        <v>26676.2</v>
      </c>
      <c r="N850" t="b">
        <f>OR(LEFT(B850,3)="frg",(_xlfn.XMATCH(B850,ZZZ_Part_Id_[[#All],[FGCODE]])))</f>
        <v>1</v>
      </c>
    </row>
    <row r="851" spans="1:14" x14ac:dyDescent="0.3">
      <c r="A851" s="2" t="s">
        <v>3848</v>
      </c>
      <c r="B851" s="2" t="s">
        <v>14</v>
      </c>
      <c r="C851" s="2" t="s">
        <v>3849</v>
      </c>
      <c r="D851" s="3">
        <v>64</v>
      </c>
      <c r="E851" s="3">
        <v>64</v>
      </c>
      <c r="F851" s="2" t="s">
        <v>16</v>
      </c>
      <c r="G851" s="2" t="s">
        <v>3850</v>
      </c>
      <c r="H851" s="3">
        <v>0</v>
      </c>
      <c r="I851" s="2" t="s">
        <v>18</v>
      </c>
      <c r="J851" s="2" t="s">
        <v>3851</v>
      </c>
      <c r="K851" s="2" t="s">
        <v>16</v>
      </c>
      <c r="L851" s="2" t="s">
        <v>3852</v>
      </c>
      <c r="M851" s="4">
        <v>4.92</v>
      </c>
      <c r="N851" t="e">
        <f>OR(LEFT(B851,3)="frg",(_xlfn.XMATCH(B851,ZZZ_Part_Id_[[#All],[FGCODE]])))</f>
        <v>#N/A</v>
      </c>
    </row>
    <row r="852" spans="1:14" x14ac:dyDescent="0.3">
      <c r="A852" s="2" t="s">
        <v>3848</v>
      </c>
      <c r="B852" s="2" t="s">
        <v>172</v>
      </c>
      <c r="C852" s="2" t="s">
        <v>3853</v>
      </c>
      <c r="D852" s="3">
        <v>20</v>
      </c>
      <c r="E852" s="3">
        <v>20</v>
      </c>
      <c r="F852" s="2" t="s">
        <v>23</v>
      </c>
      <c r="G852" s="2" t="s">
        <v>3854</v>
      </c>
      <c r="H852" s="3">
        <v>0</v>
      </c>
      <c r="I852" s="2" t="s">
        <v>18</v>
      </c>
      <c r="J852" s="2" t="s">
        <v>3855</v>
      </c>
      <c r="K852" s="2" t="s">
        <v>23</v>
      </c>
      <c r="L852" s="2" t="s">
        <v>3856</v>
      </c>
      <c r="M852" s="4">
        <v>130</v>
      </c>
      <c r="N852" t="e">
        <f>OR(LEFT(B852,3)="frg",(_xlfn.XMATCH(B852,ZZZ_Part_Id_[[#All],[FGCODE]])))</f>
        <v>#N/A</v>
      </c>
    </row>
    <row r="853" spans="1:14" x14ac:dyDescent="0.3">
      <c r="A853" s="2" t="s">
        <v>3848</v>
      </c>
      <c r="B853" s="2" t="s">
        <v>97</v>
      </c>
      <c r="C853" s="2" t="s">
        <v>3857</v>
      </c>
      <c r="D853" s="3">
        <v>302400</v>
      </c>
      <c r="E853" s="3">
        <v>302400</v>
      </c>
      <c r="F853" s="2" t="s">
        <v>16</v>
      </c>
      <c r="G853" s="2" t="s">
        <v>3858</v>
      </c>
      <c r="H853" s="3">
        <v>0</v>
      </c>
      <c r="I853" s="2" t="s">
        <v>18</v>
      </c>
      <c r="J853" s="2" t="s">
        <v>3859</v>
      </c>
      <c r="K853" s="2" t="s">
        <v>16</v>
      </c>
      <c r="L853" s="2" t="s">
        <v>3860</v>
      </c>
      <c r="M853" s="4">
        <v>64614.06</v>
      </c>
      <c r="N853" t="b">
        <f>OR(LEFT(B853,3)="frg",(_xlfn.XMATCH(B853,ZZZ_Part_Id_[[#All],[FGCODE]])))</f>
        <v>1</v>
      </c>
    </row>
    <row r="854" spans="1:14" x14ac:dyDescent="0.3">
      <c r="A854" s="2" t="s">
        <v>3861</v>
      </c>
      <c r="B854" s="2" t="s">
        <v>14</v>
      </c>
      <c r="C854" s="2" t="s">
        <v>3862</v>
      </c>
      <c r="D854" s="3">
        <v>33</v>
      </c>
      <c r="E854" s="3">
        <v>33</v>
      </c>
      <c r="F854" s="2" t="s">
        <v>16</v>
      </c>
      <c r="G854" s="2" t="s">
        <v>3863</v>
      </c>
      <c r="H854" s="3">
        <v>0</v>
      </c>
      <c r="I854" s="2" t="s">
        <v>18</v>
      </c>
      <c r="J854" s="2" t="s">
        <v>3864</v>
      </c>
      <c r="K854" s="2" t="s">
        <v>16</v>
      </c>
      <c r="L854" s="2" t="s">
        <v>3865</v>
      </c>
      <c r="M854" s="4">
        <v>2.54</v>
      </c>
      <c r="N854" t="e">
        <f>OR(LEFT(B854,3)="frg",(_xlfn.XMATCH(B854,ZZZ_Part_Id_[[#All],[FGCODE]])))</f>
        <v>#N/A</v>
      </c>
    </row>
    <row r="855" spans="1:14" x14ac:dyDescent="0.3">
      <c r="A855" s="2" t="s">
        <v>3861</v>
      </c>
      <c r="B855" s="2" t="s">
        <v>172</v>
      </c>
      <c r="C855" s="2" t="s">
        <v>3866</v>
      </c>
      <c r="D855" s="3">
        <v>9.3059999999999992</v>
      </c>
      <c r="E855" s="3">
        <v>9.3059999999999992</v>
      </c>
      <c r="F855" s="2" t="s">
        <v>23</v>
      </c>
      <c r="G855" s="2" t="s">
        <v>3867</v>
      </c>
      <c r="H855" s="3">
        <v>0</v>
      </c>
      <c r="I855" s="2" t="s">
        <v>18</v>
      </c>
      <c r="J855" s="2" t="s">
        <v>3868</v>
      </c>
      <c r="K855" s="2" t="s">
        <v>23</v>
      </c>
      <c r="L855" s="2" t="s">
        <v>3869</v>
      </c>
      <c r="M855" s="4">
        <v>60.49</v>
      </c>
      <c r="N855" t="e">
        <f>OR(LEFT(B855,3)="frg",(_xlfn.XMATCH(B855,ZZZ_Part_Id_[[#All],[FGCODE]])))</f>
        <v>#N/A</v>
      </c>
    </row>
    <row r="856" spans="1:14" x14ac:dyDescent="0.3">
      <c r="A856" s="2" t="s">
        <v>3861</v>
      </c>
      <c r="B856" s="2" t="s">
        <v>517</v>
      </c>
      <c r="C856" s="2" t="s">
        <v>3870</v>
      </c>
      <c r="D856" s="3">
        <v>332640</v>
      </c>
      <c r="E856" s="3">
        <v>332640</v>
      </c>
      <c r="F856" s="2" t="s">
        <v>16</v>
      </c>
      <c r="G856" s="2" t="s">
        <v>3871</v>
      </c>
      <c r="H856" s="3">
        <v>0</v>
      </c>
      <c r="I856" s="2" t="s">
        <v>18</v>
      </c>
      <c r="J856" s="2" t="s">
        <v>3872</v>
      </c>
      <c r="K856" s="2" t="s">
        <v>16</v>
      </c>
      <c r="L856" s="2" t="s">
        <v>3873</v>
      </c>
      <c r="M856" s="4">
        <v>38606.050000000003</v>
      </c>
      <c r="N856" t="b">
        <f>OR(LEFT(B856,3)="frg",(_xlfn.XMATCH(B856,ZZZ_Part_Id_[[#All],[FGCODE]])))</f>
        <v>1</v>
      </c>
    </row>
    <row r="857" spans="1:14" x14ac:dyDescent="0.3">
      <c r="A857" s="2" t="s">
        <v>3874</v>
      </c>
      <c r="B857" s="2" t="s">
        <v>14</v>
      </c>
      <c r="C857" s="2" t="s">
        <v>3875</v>
      </c>
      <c r="D857" s="3">
        <v>4</v>
      </c>
      <c r="E857" s="3">
        <v>4</v>
      </c>
      <c r="F857" s="2" t="s">
        <v>16</v>
      </c>
      <c r="G857" s="2" t="s">
        <v>3876</v>
      </c>
      <c r="H857" s="3">
        <v>0</v>
      </c>
      <c r="I857" s="2" t="s">
        <v>18</v>
      </c>
      <c r="J857" s="2" t="s">
        <v>3877</v>
      </c>
      <c r="K857" s="2" t="s">
        <v>16</v>
      </c>
      <c r="L857" s="2" t="s">
        <v>3878</v>
      </c>
      <c r="M857" s="4">
        <v>0.31</v>
      </c>
      <c r="N857" t="e">
        <f>OR(LEFT(B857,3)="frg",(_xlfn.XMATCH(B857,ZZZ_Part_Id_[[#All],[FGCODE]])))</f>
        <v>#N/A</v>
      </c>
    </row>
    <row r="858" spans="1:14" x14ac:dyDescent="0.3">
      <c r="A858" s="2" t="s">
        <v>3874</v>
      </c>
      <c r="B858" s="2" t="s">
        <v>121</v>
      </c>
      <c r="C858" s="2" t="s">
        <v>3879</v>
      </c>
      <c r="D858" s="3">
        <v>11880</v>
      </c>
      <c r="E858" s="3">
        <v>11880</v>
      </c>
      <c r="F858" s="2" t="s">
        <v>16</v>
      </c>
      <c r="G858" s="2" t="s">
        <v>3880</v>
      </c>
      <c r="H858" s="3">
        <v>0</v>
      </c>
      <c r="I858" s="2" t="s">
        <v>18</v>
      </c>
      <c r="J858" s="2" t="s">
        <v>3881</v>
      </c>
      <c r="K858" s="2" t="s">
        <v>16</v>
      </c>
      <c r="L858" s="2" t="s">
        <v>3882</v>
      </c>
      <c r="M858" s="4">
        <v>2207.66</v>
      </c>
      <c r="N858" t="b">
        <f>OR(LEFT(B858,3)="frg",(_xlfn.XMATCH(B858,ZZZ_Part_Id_[[#All],[FGCODE]])))</f>
        <v>1</v>
      </c>
    </row>
    <row r="859" spans="1:14" x14ac:dyDescent="0.3">
      <c r="A859" s="2" t="s">
        <v>3883</v>
      </c>
      <c r="B859" s="2" t="s">
        <v>97</v>
      </c>
      <c r="C859" s="2" t="s">
        <v>3884</v>
      </c>
      <c r="D859" s="3">
        <v>144000</v>
      </c>
      <c r="E859" s="3">
        <v>144000</v>
      </c>
      <c r="F859" s="2" t="s">
        <v>16</v>
      </c>
      <c r="G859" s="2" t="s">
        <v>3885</v>
      </c>
      <c r="H859" s="3">
        <v>0</v>
      </c>
      <c r="I859" s="2" t="s">
        <v>18</v>
      </c>
      <c r="J859" s="2" t="s">
        <v>3886</v>
      </c>
      <c r="K859" s="2" t="s">
        <v>16</v>
      </c>
      <c r="L859" s="2" t="s">
        <v>3887</v>
      </c>
      <c r="M859" s="4">
        <v>30768.6</v>
      </c>
      <c r="N859" t="b">
        <f>OR(LEFT(B859,3)="frg",(_xlfn.XMATCH(B859,ZZZ_Part_Id_[[#All],[FGCODE]])))</f>
        <v>1</v>
      </c>
    </row>
    <row r="860" spans="1:14" x14ac:dyDescent="0.3">
      <c r="A860" s="2" t="s">
        <v>3888</v>
      </c>
      <c r="B860" s="2" t="s">
        <v>14</v>
      </c>
      <c r="C860" s="2" t="s">
        <v>3889</v>
      </c>
      <c r="D860" s="3">
        <v>64</v>
      </c>
      <c r="E860" s="3">
        <v>64</v>
      </c>
      <c r="F860" s="2" t="s">
        <v>16</v>
      </c>
      <c r="G860" s="2" t="s">
        <v>3890</v>
      </c>
      <c r="H860" s="3">
        <v>0</v>
      </c>
      <c r="I860" s="2" t="s">
        <v>18</v>
      </c>
      <c r="J860" s="2" t="s">
        <v>3891</v>
      </c>
      <c r="K860" s="2" t="s">
        <v>16</v>
      </c>
      <c r="L860" s="2" t="s">
        <v>3892</v>
      </c>
      <c r="M860" s="4">
        <v>4.92</v>
      </c>
      <c r="N860" t="e">
        <f>OR(LEFT(B860,3)="frg",(_xlfn.XMATCH(B860,ZZZ_Part_Id_[[#All],[FGCODE]])))</f>
        <v>#N/A</v>
      </c>
    </row>
    <row r="861" spans="1:14" x14ac:dyDescent="0.3">
      <c r="A861" s="2" t="s">
        <v>3888</v>
      </c>
      <c r="B861" s="2" t="s">
        <v>517</v>
      </c>
      <c r="C861" s="2" t="s">
        <v>3893</v>
      </c>
      <c r="D861" s="3">
        <v>493920</v>
      </c>
      <c r="E861" s="3">
        <v>493920</v>
      </c>
      <c r="F861" s="2" t="s">
        <v>16</v>
      </c>
      <c r="G861" s="2" t="s">
        <v>3894</v>
      </c>
      <c r="H861" s="3">
        <v>0</v>
      </c>
      <c r="I861" s="2" t="s">
        <v>18</v>
      </c>
      <c r="J861" s="2" t="s">
        <v>3895</v>
      </c>
      <c r="K861" s="2" t="s">
        <v>16</v>
      </c>
      <c r="L861" s="2" t="s">
        <v>3896</v>
      </c>
      <c r="M861" s="4">
        <v>57324.12</v>
      </c>
      <c r="N861" t="b">
        <f>OR(LEFT(B861,3)="frg",(_xlfn.XMATCH(B861,ZZZ_Part_Id_[[#All],[FGCODE]])))</f>
        <v>1</v>
      </c>
    </row>
    <row r="862" spans="1:14" x14ac:dyDescent="0.3">
      <c r="A862" s="2" t="s">
        <v>3897</v>
      </c>
      <c r="B862" s="2" t="s">
        <v>2611</v>
      </c>
      <c r="C862" s="2" t="s">
        <v>3898</v>
      </c>
      <c r="D862" s="3">
        <v>10656</v>
      </c>
      <c r="E862" s="3">
        <v>10656</v>
      </c>
      <c r="F862" s="2" t="s">
        <v>16</v>
      </c>
      <c r="G862" s="2" t="s">
        <v>3899</v>
      </c>
      <c r="H862" s="3">
        <v>0</v>
      </c>
      <c r="I862" s="2" t="s">
        <v>409</v>
      </c>
      <c r="J862" s="2" t="s">
        <v>3900</v>
      </c>
      <c r="K862" s="2" t="s">
        <v>16</v>
      </c>
      <c r="L862" s="2" t="s">
        <v>3901</v>
      </c>
      <c r="M862" s="4">
        <v>633.82000000000005</v>
      </c>
      <c r="N862" t="b">
        <f>OR(LEFT(B862,3)="frg",(_xlfn.XMATCH(B862,ZZZ_Part_Id_[[#All],[FGCODE]])))</f>
        <v>1</v>
      </c>
    </row>
    <row r="863" spans="1:14" x14ac:dyDescent="0.3">
      <c r="A863" s="2" t="s">
        <v>3902</v>
      </c>
      <c r="B863" s="2" t="s">
        <v>2611</v>
      </c>
      <c r="C863" s="2" t="s">
        <v>3903</v>
      </c>
      <c r="D863" s="3">
        <v>10656</v>
      </c>
      <c r="E863" s="3">
        <v>10656</v>
      </c>
      <c r="F863" s="2" t="s">
        <v>16</v>
      </c>
      <c r="G863" s="2" t="s">
        <v>3904</v>
      </c>
      <c r="H863" s="3">
        <v>0</v>
      </c>
      <c r="I863" s="2" t="s">
        <v>409</v>
      </c>
      <c r="J863" s="2" t="s">
        <v>3905</v>
      </c>
      <c r="K863" s="2" t="s">
        <v>16</v>
      </c>
      <c r="L863" s="2" t="s">
        <v>3906</v>
      </c>
      <c r="M863" s="4">
        <v>633.82000000000005</v>
      </c>
      <c r="N863" t="b">
        <f>OR(LEFT(B863,3)="frg",(_xlfn.XMATCH(B863,ZZZ_Part_Id_[[#All],[FGCODE]])))</f>
        <v>1</v>
      </c>
    </row>
    <row r="864" spans="1:14" x14ac:dyDescent="0.3">
      <c r="A864" s="2" t="s">
        <v>3907</v>
      </c>
      <c r="B864" s="2" t="s">
        <v>14</v>
      </c>
      <c r="C864" s="2" t="s">
        <v>3908</v>
      </c>
      <c r="D864" s="3">
        <v>4</v>
      </c>
      <c r="E864" s="3">
        <v>4</v>
      </c>
      <c r="F864" s="2" t="s">
        <v>16</v>
      </c>
      <c r="G864" s="2" t="s">
        <v>3909</v>
      </c>
      <c r="H864" s="3">
        <v>0</v>
      </c>
      <c r="I864" s="2" t="s">
        <v>409</v>
      </c>
      <c r="J864" s="2" t="s">
        <v>3910</v>
      </c>
      <c r="K864" s="2" t="s">
        <v>16</v>
      </c>
      <c r="L864" s="2" t="s">
        <v>3911</v>
      </c>
      <c r="M864" s="4">
        <v>0.31</v>
      </c>
      <c r="N864" t="e">
        <f>OR(LEFT(B864,3)="frg",(_xlfn.XMATCH(B864,ZZZ_Part_Id_[[#All],[FGCODE]])))</f>
        <v>#N/A</v>
      </c>
    </row>
    <row r="865" spans="1:14" x14ac:dyDescent="0.3">
      <c r="A865" s="2" t="s">
        <v>3907</v>
      </c>
      <c r="B865" s="2" t="s">
        <v>65</v>
      </c>
      <c r="C865" s="2" t="s">
        <v>3912</v>
      </c>
      <c r="D865" s="5">
        <v>-288</v>
      </c>
      <c r="E865" s="5">
        <v>-288</v>
      </c>
      <c r="F865" s="2" t="s">
        <v>23</v>
      </c>
      <c r="G865" s="2" t="s">
        <v>3913</v>
      </c>
      <c r="H865" s="3">
        <v>0</v>
      </c>
      <c r="I865" s="2" t="s">
        <v>409</v>
      </c>
      <c r="J865" s="2" t="s">
        <v>3914</v>
      </c>
      <c r="K865" s="2" t="s">
        <v>23</v>
      </c>
      <c r="L865" s="2" t="s">
        <v>3915</v>
      </c>
      <c r="M865" s="6">
        <v>-740.62</v>
      </c>
      <c r="N865" t="b">
        <f>OR(LEFT(B865,3)="frg",(_xlfn.XMATCH(B865,ZZZ_Part_Id_[[#All],[FGCODE]])))</f>
        <v>1</v>
      </c>
    </row>
    <row r="866" spans="1:14" x14ac:dyDescent="0.3">
      <c r="A866" s="2" t="s">
        <v>3907</v>
      </c>
      <c r="B866" s="2" t="s">
        <v>947</v>
      </c>
      <c r="C866" s="2" t="s">
        <v>3916</v>
      </c>
      <c r="D866" s="3">
        <v>103200</v>
      </c>
      <c r="E866" s="3">
        <v>103200</v>
      </c>
      <c r="F866" s="2" t="s">
        <v>16</v>
      </c>
      <c r="G866" s="2" t="s">
        <v>3917</v>
      </c>
      <c r="H866" s="3">
        <v>0</v>
      </c>
      <c r="I866" s="2" t="s">
        <v>409</v>
      </c>
      <c r="J866" s="2" t="s">
        <v>3918</v>
      </c>
      <c r="K866" s="2" t="s">
        <v>16</v>
      </c>
      <c r="L866" s="2" t="s">
        <v>3919</v>
      </c>
      <c r="M866" s="4">
        <v>6527.4</v>
      </c>
      <c r="N866" t="b">
        <f>OR(LEFT(B866,3)="frg",(_xlfn.XMATCH(B866,ZZZ_Part_Id_[[#All],[FGCODE]])))</f>
        <v>1</v>
      </c>
    </row>
    <row r="867" spans="1:14" x14ac:dyDescent="0.3">
      <c r="A867" s="2" t="s">
        <v>3920</v>
      </c>
      <c r="B867" s="2" t="s">
        <v>14</v>
      </c>
      <c r="C867" s="2" t="s">
        <v>3921</v>
      </c>
      <c r="D867" s="3">
        <v>1</v>
      </c>
      <c r="E867" s="3">
        <v>1</v>
      </c>
      <c r="F867" s="2" t="s">
        <v>16</v>
      </c>
      <c r="G867" s="2" t="s">
        <v>3922</v>
      </c>
      <c r="H867" s="3">
        <v>0</v>
      </c>
      <c r="I867" s="2" t="s">
        <v>18</v>
      </c>
      <c r="J867" s="2" t="s">
        <v>3923</v>
      </c>
      <c r="K867" s="2" t="s">
        <v>16</v>
      </c>
      <c r="L867" s="2" t="s">
        <v>3924</v>
      </c>
      <c r="M867" s="4">
        <v>0.08</v>
      </c>
      <c r="N867" t="e">
        <f>OR(LEFT(B867,3)="frg",(_xlfn.XMATCH(B867,ZZZ_Part_Id_[[#All],[FGCODE]])))</f>
        <v>#N/A</v>
      </c>
    </row>
    <row r="868" spans="1:14" x14ac:dyDescent="0.3">
      <c r="A868" s="2" t="s">
        <v>3920</v>
      </c>
      <c r="B868" s="2" t="s">
        <v>3028</v>
      </c>
      <c r="C868" s="2" t="s">
        <v>3925</v>
      </c>
      <c r="D868" s="3">
        <v>25380</v>
      </c>
      <c r="E868" s="3">
        <v>25380</v>
      </c>
      <c r="F868" s="2" t="s">
        <v>16</v>
      </c>
      <c r="G868" s="2" t="s">
        <v>3926</v>
      </c>
      <c r="H868" s="3">
        <v>0</v>
      </c>
      <c r="I868" s="2" t="s">
        <v>18</v>
      </c>
      <c r="J868" s="2" t="s">
        <v>3927</v>
      </c>
      <c r="K868" s="2" t="s">
        <v>16</v>
      </c>
      <c r="L868" s="2" t="s">
        <v>3928</v>
      </c>
      <c r="M868" s="4">
        <v>1072.56</v>
      </c>
      <c r="N868" t="b">
        <f>OR(LEFT(B868,3)="frg",(_xlfn.XMATCH(B868,ZZZ_Part_Id_[[#All],[FGCODE]])))</f>
        <v>1</v>
      </c>
    </row>
    <row r="869" spans="1:14" x14ac:dyDescent="0.3">
      <c r="A869" s="2" t="s">
        <v>3929</v>
      </c>
      <c r="B869" s="2" t="s">
        <v>14</v>
      </c>
      <c r="C869" s="2" t="s">
        <v>3930</v>
      </c>
      <c r="D869" s="3">
        <v>14</v>
      </c>
      <c r="E869" s="3">
        <v>14</v>
      </c>
      <c r="F869" s="2" t="s">
        <v>16</v>
      </c>
      <c r="G869" s="2" t="s">
        <v>3931</v>
      </c>
      <c r="H869" s="3">
        <v>0</v>
      </c>
      <c r="I869" s="2" t="s">
        <v>18</v>
      </c>
      <c r="J869" s="2" t="s">
        <v>3932</v>
      </c>
      <c r="K869" s="2" t="s">
        <v>16</v>
      </c>
      <c r="L869" s="2" t="s">
        <v>3933</v>
      </c>
      <c r="M869" s="4">
        <v>1.08</v>
      </c>
      <c r="N869" t="e">
        <f>OR(LEFT(B869,3)="frg",(_xlfn.XMATCH(B869,ZZZ_Part_Id_[[#All],[FGCODE]])))</f>
        <v>#N/A</v>
      </c>
    </row>
    <row r="870" spans="1:14" x14ac:dyDescent="0.3">
      <c r="A870" s="2" t="s">
        <v>3929</v>
      </c>
      <c r="B870" s="2" t="s">
        <v>76</v>
      </c>
      <c r="C870" s="2" t="s">
        <v>3934</v>
      </c>
      <c r="D870" s="3">
        <v>355320</v>
      </c>
      <c r="E870" s="3">
        <v>355320</v>
      </c>
      <c r="F870" s="2" t="s">
        <v>16</v>
      </c>
      <c r="G870" s="2" t="s">
        <v>3935</v>
      </c>
      <c r="H870" s="3">
        <v>0</v>
      </c>
      <c r="I870" s="2" t="s">
        <v>18</v>
      </c>
      <c r="J870" s="2" t="s">
        <v>3936</v>
      </c>
      <c r="K870" s="2" t="s">
        <v>16</v>
      </c>
      <c r="L870" s="2" t="s">
        <v>3937</v>
      </c>
      <c r="M870" s="4">
        <v>2917.18</v>
      </c>
      <c r="N870" t="b">
        <f>OR(LEFT(B870,3)="frg",(_xlfn.XMATCH(B870,ZZZ_Part_Id_[[#All],[FGCODE]])))</f>
        <v>1</v>
      </c>
    </row>
    <row r="871" spans="1:14" x14ac:dyDescent="0.3">
      <c r="A871" s="2" t="s">
        <v>3938</v>
      </c>
      <c r="B871" s="2" t="s">
        <v>14</v>
      </c>
      <c r="C871" s="2" t="s">
        <v>3939</v>
      </c>
      <c r="D871" s="3">
        <v>1</v>
      </c>
      <c r="E871" s="3">
        <v>1</v>
      </c>
      <c r="F871" s="2" t="s">
        <v>16</v>
      </c>
      <c r="G871" s="2" t="s">
        <v>3940</v>
      </c>
      <c r="H871" s="3">
        <v>0</v>
      </c>
      <c r="I871" s="2" t="s">
        <v>18</v>
      </c>
      <c r="J871" s="2" t="s">
        <v>3941</v>
      </c>
      <c r="K871" s="2" t="s">
        <v>16</v>
      </c>
      <c r="L871" s="2" t="s">
        <v>3942</v>
      </c>
      <c r="M871" s="4">
        <v>0.08</v>
      </c>
      <c r="N871" t="e">
        <f>OR(LEFT(B871,3)="frg",(_xlfn.XMATCH(B871,ZZZ_Part_Id_[[#All],[FGCODE]])))</f>
        <v>#N/A</v>
      </c>
    </row>
    <row r="872" spans="1:14" x14ac:dyDescent="0.3">
      <c r="A872" s="2" t="s">
        <v>3938</v>
      </c>
      <c r="B872" s="2" t="s">
        <v>445</v>
      </c>
      <c r="C872" s="2" t="s">
        <v>3943</v>
      </c>
      <c r="D872" s="3">
        <v>25380</v>
      </c>
      <c r="E872" s="3">
        <v>25380</v>
      </c>
      <c r="F872" s="2" t="s">
        <v>16</v>
      </c>
      <c r="G872" s="2" t="s">
        <v>3944</v>
      </c>
      <c r="H872" s="3">
        <v>0</v>
      </c>
      <c r="I872" s="2" t="s">
        <v>18</v>
      </c>
      <c r="J872" s="2" t="s">
        <v>3945</v>
      </c>
      <c r="K872" s="2" t="s">
        <v>16</v>
      </c>
      <c r="L872" s="2" t="s">
        <v>3946</v>
      </c>
      <c r="M872" s="4">
        <v>1100.22</v>
      </c>
      <c r="N872" t="b">
        <f>OR(LEFT(B872,3)="frg",(_xlfn.XMATCH(B872,ZZZ_Part_Id_[[#All],[FGCODE]])))</f>
        <v>1</v>
      </c>
    </row>
    <row r="873" spans="1:14" x14ac:dyDescent="0.3">
      <c r="A873" s="2" t="s">
        <v>3947</v>
      </c>
      <c r="B873" s="2" t="s">
        <v>14</v>
      </c>
      <c r="C873" s="2" t="s">
        <v>3948</v>
      </c>
      <c r="D873" s="3">
        <v>1E-3</v>
      </c>
      <c r="E873" s="3">
        <v>0</v>
      </c>
      <c r="F873" s="2" t="s">
        <v>16</v>
      </c>
      <c r="G873" s="2" t="s">
        <v>3949</v>
      </c>
      <c r="H873" s="3">
        <v>0</v>
      </c>
      <c r="I873" s="2" t="s">
        <v>3950</v>
      </c>
      <c r="J873" s="2" t="s">
        <v>3951</v>
      </c>
      <c r="K873" s="2" t="s">
        <v>16</v>
      </c>
      <c r="L873" s="2" t="s">
        <v>3952</v>
      </c>
      <c r="M873" s="4">
        <v>0</v>
      </c>
      <c r="N873" t="e">
        <f>OR(LEFT(B873,3)="frg",(_xlfn.XMATCH(B873,ZZZ_Part_Id_[[#All],[FGCODE]])))</f>
        <v>#N/A</v>
      </c>
    </row>
    <row r="874" spans="1:14" x14ac:dyDescent="0.3">
      <c r="A874" s="2" t="s">
        <v>3947</v>
      </c>
      <c r="B874" s="2" t="s">
        <v>177</v>
      </c>
      <c r="C874" s="2" t="s">
        <v>3953</v>
      </c>
      <c r="D874" s="3">
        <v>1E-3</v>
      </c>
      <c r="E874" s="3">
        <v>0</v>
      </c>
      <c r="F874" s="2" t="s">
        <v>16</v>
      </c>
      <c r="G874" s="2" t="s">
        <v>3954</v>
      </c>
      <c r="H874" s="3">
        <v>0</v>
      </c>
      <c r="I874" s="2" t="s">
        <v>3950</v>
      </c>
      <c r="J874" s="2" t="s">
        <v>3955</v>
      </c>
      <c r="K874" s="2" t="s">
        <v>16</v>
      </c>
      <c r="L874" s="2" t="s">
        <v>3956</v>
      </c>
      <c r="M874" s="4">
        <v>0</v>
      </c>
      <c r="N874" t="e">
        <f>OR(LEFT(B874,3)="frg",(_xlfn.XMATCH(B874,ZZZ_Part_Id_[[#All],[FGCODE]])))</f>
        <v>#N/A</v>
      </c>
    </row>
    <row r="875" spans="1:14" x14ac:dyDescent="0.3">
      <c r="A875" s="2" t="s">
        <v>3947</v>
      </c>
      <c r="B875" s="2" t="s">
        <v>151</v>
      </c>
      <c r="C875" s="2" t="s">
        <v>3957</v>
      </c>
      <c r="D875" s="3">
        <v>1E-3</v>
      </c>
      <c r="E875" s="3">
        <v>0</v>
      </c>
      <c r="F875" s="2" t="s">
        <v>16</v>
      </c>
      <c r="G875" s="2" t="s">
        <v>3958</v>
      </c>
      <c r="H875" s="3">
        <v>0</v>
      </c>
      <c r="I875" s="2" t="s">
        <v>3950</v>
      </c>
      <c r="J875" s="2" t="s">
        <v>3959</v>
      </c>
      <c r="K875" s="2" t="s">
        <v>16</v>
      </c>
      <c r="L875" s="2" t="s">
        <v>3960</v>
      </c>
      <c r="M875" s="4">
        <v>0</v>
      </c>
      <c r="N875" t="e">
        <f>OR(LEFT(B875,3)="frg",(_xlfn.XMATCH(B875,ZZZ_Part_Id_[[#All],[FGCODE]])))</f>
        <v>#N/A</v>
      </c>
    </row>
    <row r="876" spans="1:14" x14ac:dyDescent="0.3">
      <c r="A876" s="2" t="s">
        <v>3947</v>
      </c>
      <c r="B876" s="2" t="s">
        <v>182</v>
      </c>
      <c r="C876" s="2" t="s">
        <v>3961</v>
      </c>
      <c r="D876" s="3">
        <v>1E-3</v>
      </c>
      <c r="E876" s="3">
        <v>0</v>
      </c>
      <c r="F876" s="2" t="s">
        <v>16</v>
      </c>
      <c r="G876" s="2" t="s">
        <v>3962</v>
      </c>
      <c r="H876" s="3">
        <v>0</v>
      </c>
      <c r="I876" s="2" t="s">
        <v>3950</v>
      </c>
      <c r="J876" s="2" t="s">
        <v>3963</v>
      </c>
      <c r="K876" s="2" t="s">
        <v>16</v>
      </c>
      <c r="L876" s="2" t="s">
        <v>3964</v>
      </c>
      <c r="M876" s="4">
        <v>0</v>
      </c>
      <c r="N876" t="e">
        <f>OR(LEFT(B876,3)="frg",(_xlfn.XMATCH(B876,ZZZ_Part_Id_[[#All],[FGCODE]])))</f>
        <v>#N/A</v>
      </c>
    </row>
    <row r="877" spans="1:14" x14ac:dyDescent="0.3">
      <c r="A877" s="2" t="s">
        <v>3947</v>
      </c>
      <c r="B877" s="2" t="s">
        <v>187</v>
      </c>
      <c r="C877" s="2" t="s">
        <v>3965</v>
      </c>
      <c r="D877" s="3">
        <v>1E-3</v>
      </c>
      <c r="E877" s="3">
        <v>0</v>
      </c>
      <c r="F877" s="2" t="s">
        <v>16</v>
      </c>
      <c r="G877" s="2" t="s">
        <v>3966</v>
      </c>
      <c r="H877" s="3">
        <v>0</v>
      </c>
      <c r="I877" s="2" t="s">
        <v>3950</v>
      </c>
      <c r="J877" s="2" t="s">
        <v>3967</v>
      </c>
      <c r="K877" s="2" t="s">
        <v>16</v>
      </c>
      <c r="L877" s="2" t="s">
        <v>3968</v>
      </c>
      <c r="M877" s="4">
        <v>0</v>
      </c>
      <c r="N877" t="e">
        <f>OR(LEFT(B877,3)="frg",(_xlfn.XMATCH(B877,ZZZ_Part_Id_[[#All],[FGCODE]])))</f>
        <v>#N/A</v>
      </c>
    </row>
    <row r="878" spans="1:14" x14ac:dyDescent="0.3">
      <c r="A878" s="2" t="s">
        <v>3947</v>
      </c>
      <c r="B878" s="2" t="s">
        <v>140</v>
      </c>
      <c r="C878" s="2" t="s">
        <v>3969</v>
      </c>
      <c r="D878" s="3">
        <v>0</v>
      </c>
      <c r="E878" s="3">
        <v>0</v>
      </c>
      <c r="F878" s="2" t="s">
        <v>16</v>
      </c>
      <c r="G878" s="2" t="s">
        <v>3970</v>
      </c>
      <c r="H878" s="3">
        <v>0</v>
      </c>
      <c r="I878" s="2" t="s">
        <v>3950</v>
      </c>
      <c r="J878" s="2" t="s">
        <v>3971</v>
      </c>
      <c r="K878" s="2" t="s">
        <v>16</v>
      </c>
      <c r="L878" s="2" t="s">
        <v>3972</v>
      </c>
      <c r="M878" s="4">
        <v>0</v>
      </c>
      <c r="N878" t="e">
        <f>OR(LEFT(B878,3)="frg",(_xlfn.XMATCH(B878,ZZZ_Part_Id_[[#All],[FGCODE]])))</f>
        <v>#N/A</v>
      </c>
    </row>
    <row r="879" spans="1:14" x14ac:dyDescent="0.3">
      <c r="A879" s="2" t="s">
        <v>3947</v>
      </c>
      <c r="B879" s="2" t="s">
        <v>167</v>
      </c>
      <c r="C879" s="2" t="s">
        <v>3973</v>
      </c>
      <c r="D879" s="3">
        <v>1E-3</v>
      </c>
      <c r="E879" s="3">
        <v>0</v>
      </c>
      <c r="F879" s="2" t="s">
        <v>23</v>
      </c>
      <c r="G879" s="2" t="s">
        <v>3974</v>
      </c>
      <c r="H879" s="3">
        <v>0</v>
      </c>
      <c r="I879" s="2" t="s">
        <v>3950</v>
      </c>
      <c r="J879" s="2" t="s">
        <v>3975</v>
      </c>
      <c r="K879" s="2" t="s">
        <v>23</v>
      </c>
      <c r="L879" s="2" t="s">
        <v>3976</v>
      </c>
      <c r="M879" s="4">
        <v>0</v>
      </c>
      <c r="N879" t="e">
        <f>OR(LEFT(B879,3)="frg",(_xlfn.XMATCH(B879,ZZZ_Part_Id_[[#All],[FGCODE]])))</f>
        <v>#N/A</v>
      </c>
    </row>
    <row r="880" spans="1:14" x14ac:dyDescent="0.3">
      <c r="A880" s="2" t="s">
        <v>3947</v>
      </c>
      <c r="B880" s="2" t="s">
        <v>161</v>
      </c>
      <c r="C880" s="2" t="s">
        <v>3977</v>
      </c>
      <c r="D880" s="3">
        <v>0</v>
      </c>
      <c r="E880" s="3">
        <v>0</v>
      </c>
      <c r="F880" s="2" t="s">
        <v>163</v>
      </c>
      <c r="G880" s="2" t="s">
        <v>3978</v>
      </c>
      <c r="H880" s="3">
        <v>0</v>
      </c>
      <c r="I880" s="2" t="s">
        <v>3950</v>
      </c>
      <c r="J880" s="2" t="s">
        <v>3979</v>
      </c>
      <c r="K880" s="2" t="s">
        <v>163</v>
      </c>
      <c r="L880" s="2" t="s">
        <v>3980</v>
      </c>
      <c r="M880" s="4">
        <v>0</v>
      </c>
      <c r="N880" t="e">
        <f>OR(LEFT(B880,3)="frg",(_xlfn.XMATCH(B880,ZZZ_Part_Id_[[#All],[FGCODE]])))</f>
        <v>#N/A</v>
      </c>
    </row>
    <row r="881" spans="1:14" x14ac:dyDescent="0.3">
      <c r="A881" s="2" t="s">
        <v>3947</v>
      </c>
      <c r="B881" s="2" t="s">
        <v>145</v>
      </c>
      <c r="C881" s="2" t="s">
        <v>3981</v>
      </c>
      <c r="D881" s="3">
        <v>0</v>
      </c>
      <c r="E881" s="3">
        <v>0</v>
      </c>
      <c r="F881" s="2" t="s">
        <v>147</v>
      </c>
      <c r="G881" s="2" t="s">
        <v>3982</v>
      </c>
      <c r="H881" s="3">
        <v>0</v>
      </c>
      <c r="I881" s="2" t="s">
        <v>3950</v>
      </c>
      <c r="J881" s="2" t="s">
        <v>3983</v>
      </c>
      <c r="K881" s="2" t="s">
        <v>147</v>
      </c>
      <c r="L881" s="2" t="s">
        <v>3984</v>
      </c>
      <c r="M881" s="4">
        <v>0</v>
      </c>
      <c r="N881" t="e">
        <f>OR(LEFT(B881,3)="frg",(_xlfn.XMATCH(B881,ZZZ_Part_Id_[[#All],[FGCODE]])))</f>
        <v>#N/A</v>
      </c>
    </row>
    <row r="882" spans="1:14" x14ac:dyDescent="0.3">
      <c r="A882" s="2" t="s">
        <v>3947</v>
      </c>
      <c r="B882" s="2" t="s">
        <v>3985</v>
      </c>
      <c r="C882" s="2" t="s">
        <v>3986</v>
      </c>
      <c r="D882" s="3">
        <v>3.5000000000000003E-2</v>
      </c>
      <c r="E882" s="7">
        <v>0</v>
      </c>
      <c r="F882" s="2" t="s">
        <v>3987</v>
      </c>
      <c r="G882" s="2" t="s">
        <v>3988</v>
      </c>
      <c r="H882" s="7">
        <v>0</v>
      </c>
      <c r="I882" s="2" t="s">
        <v>3950</v>
      </c>
      <c r="J882" s="2" t="s">
        <v>3989</v>
      </c>
      <c r="K882" s="2" t="s">
        <v>3987</v>
      </c>
      <c r="L882" s="2" t="s">
        <v>3990</v>
      </c>
      <c r="M882" s="4">
        <v>0</v>
      </c>
      <c r="N882" t="e">
        <f>OR(LEFT(B882,3)="frg",(_xlfn.XMATCH(B882,ZZZ_Part_Id_[[#All],[FGCODE]])))</f>
        <v>#N/A</v>
      </c>
    </row>
    <row r="883" spans="1:14" x14ac:dyDescent="0.3">
      <c r="A883" s="2" t="s">
        <v>3947</v>
      </c>
      <c r="B883" s="2" t="s">
        <v>192</v>
      </c>
      <c r="C883" s="2" t="s">
        <v>3991</v>
      </c>
      <c r="D883" s="3">
        <v>0</v>
      </c>
      <c r="E883" s="3">
        <v>0</v>
      </c>
      <c r="F883" s="2" t="s">
        <v>194</v>
      </c>
      <c r="G883" s="2" t="s">
        <v>3992</v>
      </c>
      <c r="H883" s="3">
        <v>0</v>
      </c>
      <c r="I883" s="2" t="s">
        <v>3950</v>
      </c>
      <c r="J883" s="2" t="s">
        <v>3993</v>
      </c>
      <c r="K883" s="2" t="s">
        <v>194</v>
      </c>
      <c r="L883" s="2" t="s">
        <v>3994</v>
      </c>
      <c r="M883" s="4">
        <v>0</v>
      </c>
      <c r="N883" t="e">
        <f>OR(LEFT(B883,3)="frg",(_xlfn.XMATCH(B883,ZZZ_Part_Id_[[#All],[FGCODE]])))</f>
        <v>#N/A</v>
      </c>
    </row>
    <row r="884" spans="1:14" x14ac:dyDescent="0.3">
      <c r="A884" s="2" t="s">
        <v>3947</v>
      </c>
      <c r="B884" s="2" t="s">
        <v>213</v>
      </c>
      <c r="C884" s="2" t="s">
        <v>3995</v>
      </c>
      <c r="D884" s="3">
        <v>0</v>
      </c>
      <c r="E884" s="3">
        <v>0</v>
      </c>
      <c r="F884" s="2" t="s">
        <v>16</v>
      </c>
      <c r="G884" s="2" t="s">
        <v>3996</v>
      </c>
      <c r="H884" s="3">
        <v>0</v>
      </c>
      <c r="I884" s="2" t="s">
        <v>3950</v>
      </c>
      <c r="J884" s="2" t="s">
        <v>3997</v>
      </c>
      <c r="K884" s="2" t="s">
        <v>16</v>
      </c>
      <c r="L884" s="2" t="s">
        <v>3998</v>
      </c>
      <c r="M884" s="4">
        <v>0</v>
      </c>
      <c r="N884" t="e">
        <f>OR(LEFT(B884,3)="frg",(_xlfn.XMATCH(B884,ZZZ_Part_Id_[[#All],[FGCODE]])))</f>
        <v>#N/A</v>
      </c>
    </row>
    <row r="885" spans="1:14" x14ac:dyDescent="0.3">
      <c r="A885" s="2" t="s">
        <v>3947</v>
      </c>
      <c r="B885" s="2" t="s">
        <v>218</v>
      </c>
      <c r="C885" s="2" t="s">
        <v>3999</v>
      </c>
      <c r="D885" s="3">
        <v>0</v>
      </c>
      <c r="E885" s="3">
        <v>0</v>
      </c>
      <c r="F885" s="2" t="s">
        <v>16</v>
      </c>
      <c r="G885" s="2" t="s">
        <v>4000</v>
      </c>
      <c r="H885" s="3">
        <v>0</v>
      </c>
      <c r="I885" s="2" t="s">
        <v>3950</v>
      </c>
      <c r="J885" s="2" t="s">
        <v>4001</v>
      </c>
      <c r="K885" s="2" t="s">
        <v>16</v>
      </c>
      <c r="L885" s="2" t="s">
        <v>4002</v>
      </c>
      <c r="M885" s="4">
        <v>0</v>
      </c>
      <c r="N885" t="e">
        <f>OR(LEFT(B885,3)="frg",(_xlfn.XMATCH(B885,ZZZ_Part_Id_[[#All],[FGCODE]])))</f>
        <v>#N/A</v>
      </c>
    </row>
    <row r="886" spans="1:14" x14ac:dyDescent="0.3">
      <c r="A886" s="2" t="s">
        <v>3947</v>
      </c>
      <c r="B886" s="2" t="s">
        <v>237</v>
      </c>
      <c r="C886" s="2" t="s">
        <v>4003</v>
      </c>
      <c r="D886" s="3">
        <v>0</v>
      </c>
      <c r="E886" s="3">
        <v>0</v>
      </c>
      <c r="F886" s="2" t="s">
        <v>16</v>
      </c>
      <c r="G886" s="2" t="s">
        <v>4004</v>
      </c>
      <c r="H886" s="3">
        <v>0</v>
      </c>
      <c r="I886" s="2" t="s">
        <v>3950</v>
      </c>
      <c r="J886" s="2" t="s">
        <v>4005</v>
      </c>
      <c r="K886" s="2" t="s">
        <v>16</v>
      </c>
      <c r="L886" s="2" t="s">
        <v>4006</v>
      </c>
      <c r="M886" s="4">
        <v>0</v>
      </c>
      <c r="N886" t="e">
        <f>OR(LEFT(B886,3)="frg",(_xlfn.XMATCH(B886,ZZZ_Part_Id_[[#All],[FGCODE]])))</f>
        <v>#N/A</v>
      </c>
    </row>
    <row r="887" spans="1:14" x14ac:dyDescent="0.3">
      <c r="A887" s="2" t="s">
        <v>3947</v>
      </c>
      <c r="B887" s="2" t="s">
        <v>242</v>
      </c>
      <c r="C887" s="2" t="s">
        <v>4007</v>
      </c>
      <c r="D887" s="3">
        <v>0</v>
      </c>
      <c r="E887" s="3">
        <v>0</v>
      </c>
      <c r="F887" s="2" t="s">
        <v>16</v>
      </c>
      <c r="G887" s="2" t="s">
        <v>4008</v>
      </c>
      <c r="H887" s="3">
        <v>0</v>
      </c>
      <c r="I887" s="2" t="s">
        <v>3950</v>
      </c>
      <c r="J887" s="2" t="s">
        <v>4009</v>
      </c>
      <c r="K887" s="2" t="s">
        <v>16</v>
      </c>
      <c r="L887" s="2" t="s">
        <v>4010</v>
      </c>
      <c r="M887" s="4">
        <v>0</v>
      </c>
      <c r="N887" t="e">
        <f>OR(LEFT(B887,3)="frg",(_xlfn.XMATCH(B887,ZZZ_Part_Id_[[#All],[FGCODE]])))</f>
        <v>#N/A</v>
      </c>
    </row>
    <row r="888" spans="1:14" x14ac:dyDescent="0.3">
      <c r="A888" s="2" t="s">
        <v>3947</v>
      </c>
      <c r="B888" s="2" t="s">
        <v>264</v>
      </c>
      <c r="C888" s="2" t="s">
        <v>4011</v>
      </c>
      <c r="D888" s="3">
        <v>0</v>
      </c>
      <c r="E888" s="3">
        <v>0</v>
      </c>
      <c r="F888" s="2" t="s">
        <v>16</v>
      </c>
      <c r="G888" s="2" t="s">
        <v>4012</v>
      </c>
      <c r="H888" s="3">
        <v>0</v>
      </c>
      <c r="I888" s="2" t="s">
        <v>3950</v>
      </c>
      <c r="J888" s="2" t="s">
        <v>4013</v>
      </c>
      <c r="K888" s="2" t="s">
        <v>16</v>
      </c>
      <c r="L888" s="2" t="s">
        <v>4014</v>
      </c>
      <c r="M888" s="4">
        <v>0</v>
      </c>
      <c r="N888" t="e">
        <f>OR(LEFT(B888,3)="frg",(_xlfn.XMATCH(B888,ZZZ_Part_Id_[[#All],[FGCODE]])))</f>
        <v>#N/A</v>
      </c>
    </row>
    <row r="889" spans="1:14" x14ac:dyDescent="0.3">
      <c r="A889" s="2" t="s">
        <v>3947</v>
      </c>
      <c r="B889" s="2" t="s">
        <v>45</v>
      </c>
      <c r="C889" s="2" t="s">
        <v>4015</v>
      </c>
      <c r="D889" s="3">
        <v>0</v>
      </c>
      <c r="E889" s="3">
        <v>0</v>
      </c>
      <c r="F889" s="2" t="s">
        <v>47</v>
      </c>
      <c r="G889" s="2" t="s">
        <v>4016</v>
      </c>
      <c r="H889" s="3">
        <v>0</v>
      </c>
      <c r="I889" s="2" t="s">
        <v>3950</v>
      </c>
      <c r="J889" s="2" t="s">
        <v>4017</v>
      </c>
      <c r="K889" s="2" t="s">
        <v>47</v>
      </c>
      <c r="L889" s="2" t="s">
        <v>4018</v>
      </c>
      <c r="M889" s="4">
        <v>0</v>
      </c>
      <c r="N889" t="e">
        <f>OR(LEFT(B889,3)="frg",(_xlfn.XMATCH(B889,ZZZ_Part_Id_[[#All],[FGCODE]])))</f>
        <v>#N/A</v>
      </c>
    </row>
    <row r="890" spans="1:14" x14ac:dyDescent="0.3">
      <c r="A890" s="2" t="s">
        <v>3947</v>
      </c>
      <c r="B890" s="2" t="s">
        <v>4019</v>
      </c>
      <c r="C890" s="2" t="s">
        <v>4020</v>
      </c>
      <c r="D890" s="3">
        <v>2.7E-2</v>
      </c>
      <c r="E890" s="3">
        <v>0</v>
      </c>
      <c r="F890" s="2" t="s">
        <v>23</v>
      </c>
      <c r="G890" s="2" t="s">
        <v>4021</v>
      </c>
      <c r="H890" s="3">
        <v>0</v>
      </c>
      <c r="I890" s="2" t="s">
        <v>3950</v>
      </c>
      <c r="J890" s="2" t="s">
        <v>4022</v>
      </c>
      <c r="K890" s="2" t="s">
        <v>23</v>
      </c>
      <c r="L890" s="2" t="s">
        <v>4023</v>
      </c>
      <c r="M890" s="4">
        <v>0</v>
      </c>
      <c r="N890" t="e">
        <f>OR(LEFT(B890,3)="frg",(_xlfn.XMATCH(B890,ZZZ_Part_Id_[[#All],[FGCODE]])))</f>
        <v>#N/A</v>
      </c>
    </row>
    <row r="891" spans="1:14" x14ac:dyDescent="0.3">
      <c r="A891" s="2" t="s">
        <v>3947</v>
      </c>
      <c r="B891" s="2" t="s">
        <v>4024</v>
      </c>
      <c r="C891" s="2" t="s">
        <v>4025</v>
      </c>
      <c r="D891" s="3">
        <v>1E-3</v>
      </c>
      <c r="E891" s="3">
        <v>0</v>
      </c>
      <c r="F891" s="2" t="s">
        <v>23</v>
      </c>
      <c r="G891" s="2" t="s">
        <v>4026</v>
      </c>
      <c r="H891" s="3">
        <v>0</v>
      </c>
      <c r="I891" s="2" t="s">
        <v>3950</v>
      </c>
      <c r="J891" s="2" t="s">
        <v>4027</v>
      </c>
      <c r="K891" s="2" t="s">
        <v>23</v>
      </c>
      <c r="L891" s="2" t="s">
        <v>4028</v>
      </c>
      <c r="M891" s="4">
        <v>0</v>
      </c>
      <c r="N891" t="e">
        <f>OR(LEFT(B891,3)="FRG",(_xlfn.XMATCH(B891,ZZZ_Part_Id_[[#All],[FGCODE]])))</f>
        <v>#N/A</v>
      </c>
    </row>
    <row r="892" spans="1:14" x14ac:dyDescent="0.3">
      <c r="A892" s="2" t="s">
        <v>3947</v>
      </c>
      <c r="B892" s="2" t="s">
        <v>4029</v>
      </c>
      <c r="C892" s="2" t="s">
        <v>4030</v>
      </c>
      <c r="D892" s="3">
        <v>1E-3</v>
      </c>
      <c r="E892" s="3">
        <v>0</v>
      </c>
      <c r="F892" s="2" t="s">
        <v>23</v>
      </c>
      <c r="G892" s="2" t="s">
        <v>4031</v>
      </c>
      <c r="H892" s="3">
        <v>0</v>
      </c>
      <c r="I892" s="2" t="s">
        <v>3950</v>
      </c>
      <c r="J892" s="2" t="s">
        <v>4032</v>
      </c>
      <c r="K892" s="2" t="s">
        <v>23</v>
      </c>
      <c r="L892" s="2" t="s">
        <v>4033</v>
      </c>
      <c r="M892" s="4">
        <v>0</v>
      </c>
      <c r="N892" t="e">
        <f>OR(LEFT(B892,3)="frg",(_xlfn.XMATCH(B892,ZZZ_Part_Id_[[#All],[FGCODE]])))</f>
        <v>#N/A</v>
      </c>
    </row>
    <row r="893" spans="1:14" x14ac:dyDescent="0.3">
      <c r="A893" s="2" t="s">
        <v>4034</v>
      </c>
      <c r="B893" s="2" t="s">
        <v>445</v>
      </c>
      <c r="C893" s="2" t="s">
        <v>4035</v>
      </c>
      <c r="D893" s="3">
        <v>304560</v>
      </c>
      <c r="E893" s="3">
        <v>304560</v>
      </c>
      <c r="F893" s="2" t="s">
        <v>16</v>
      </c>
      <c r="G893" s="2" t="s">
        <v>4036</v>
      </c>
      <c r="H893" s="3">
        <v>0</v>
      </c>
      <c r="I893" s="2" t="s">
        <v>18</v>
      </c>
      <c r="J893" s="2" t="s">
        <v>4037</v>
      </c>
      <c r="K893" s="2" t="s">
        <v>16</v>
      </c>
      <c r="L893" s="2" t="s">
        <v>4038</v>
      </c>
      <c r="M893" s="4">
        <v>13202.64</v>
      </c>
      <c r="N893" t="b">
        <f>OR(LEFT(B893,3)="frg",(_xlfn.XMATCH(B893,ZZZ_Part_Id_[[#All],[FGCODE]])))</f>
        <v>1</v>
      </c>
    </row>
    <row r="894" spans="1:14" x14ac:dyDescent="0.3">
      <c r="A894" s="2" t="s">
        <v>4034</v>
      </c>
      <c r="B894" s="2" t="s">
        <v>14</v>
      </c>
      <c r="C894" s="2" t="s">
        <v>4039</v>
      </c>
      <c r="D894" s="3">
        <v>9</v>
      </c>
      <c r="E894" s="3">
        <v>9</v>
      </c>
      <c r="F894" s="2" t="s">
        <v>16</v>
      </c>
      <c r="G894" s="2" t="s">
        <v>4040</v>
      </c>
      <c r="H894" s="3">
        <v>0</v>
      </c>
      <c r="I894" s="2" t="s">
        <v>18</v>
      </c>
      <c r="J894" s="2" t="s">
        <v>4041</v>
      </c>
      <c r="K894" s="2" t="s">
        <v>16</v>
      </c>
      <c r="L894" s="2" t="s">
        <v>4042</v>
      </c>
      <c r="M894" s="4">
        <v>0.69</v>
      </c>
      <c r="N894" t="e">
        <f>OR(LEFT(B894,3)="frg",(_xlfn.XMATCH(B894,ZZZ_Part_Id_[[#All],[FGCODE]])))</f>
        <v>#N/A</v>
      </c>
    </row>
    <row r="895" spans="1:14" x14ac:dyDescent="0.3">
      <c r="A895" s="2" t="s">
        <v>4034</v>
      </c>
      <c r="B895" s="2" t="s">
        <v>140</v>
      </c>
      <c r="C895" s="2" t="s">
        <v>4043</v>
      </c>
      <c r="D895" s="3">
        <v>0.36</v>
      </c>
      <c r="E895" s="3">
        <v>0.36</v>
      </c>
      <c r="F895" s="2" t="s">
        <v>16</v>
      </c>
      <c r="G895" s="2" t="s">
        <v>4044</v>
      </c>
      <c r="H895" s="3">
        <v>0</v>
      </c>
      <c r="I895" s="2" t="s">
        <v>18</v>
      </c>
      <c r="J895" s="2" t="s">
        <v>4045</v>
      </c>
      <c r="K895" s="2" t="s">
        <v>16</v>
      </c>
      <c r="L895" s="2" t="s">
        <v>4046</v>
      </c>
      <c r="M895" s="4">
        <v>0.59</v>
      </c>
      <c r="N895" t="e">
        <f>OR(LEFT(B895,3)="frg",(_xlfn.XMATCH(B895,ZZZ_Part_Id_[[#All],[FGCODE]])))</f>
        <v>#N/A</v>
      </c>
    </row>
    <row r="896" spans="1:14" x14ac:dyDescent="0.3">
      <c r="A896" s="2" t="s">
        <v>4034</v>
      </c>
      <c r="B896" s="2" t="s">
        <v>192</v>
      </c>
      <c r="C896" s="2" t="s">
        <v>4047</v>
      </c>
      <c r="D896" s="3">
        <v>0.09</v>
      </c>
      <c r="E896" s="3">
        <v>0.09</v>
      </c>
      <c r="F896" s="2" t="s">
        <v>194</v>
      </c>
      <c r="G896" s="2" t="s">
        <v>4048</v>
      </c>
      <c r="H896" s="3">
        <v>0</v>
      </c>
      <c r="I896" s="2" t="s">
        <v>18</v>
      </c>
      <c r="J896" s="2" t="s">
        <v>4049</v>
      </c>
      <c r="K896" s="2" t="s">
        <v>194</v>
      </c>
      <c r="L896" s="2" t="s">
        <v>4050</v>
      </c>
      <c r="M896" s="4">
        <v>0.48</v>
      </c>
      <c r="N896" t="e">
        <f>OR(LEFT(B896,3)="frg",(_xlfn.XMATCH(B896,ZZZ_Part_Id_[[#All],[FGCODE]])))</f>
        <v>#N/A</v>
      </c>
    </row>
    <row r="897" spans="1:14" x14ac:dyDescent="0.3">
      <c r="A897" s="2" t="s">
        <v>4034</v>
      </c>
      <c r="B897" s="2" t="s">
        <v>145</v>
      </c>
      <c r="C897" s="2" t="s">
        <v>4051</v>
      </c>
      <c r="D897" s="3">
        <v>3.5999999999999997E-2</v>
      </c>
      <c r="E897" s="3">
        <v>3.5999999999999997E-2</v>
      </c>
      <c r="F897" s="2" t="s">
        <v>147</v>
      </c>
      <c r="G897" s="2" t="s">
        <v>4052</v>
      </c>
      <c r="H897" s="3">
        <v>0</v>
      </c>
      <c r="I897" s="2" t="s">
        <v>18</v>
      </c>
      <c r="J897" s="2" t="s">
        <v>4053</v>
      </c>
      <c r="K897" s="2" t="s">
        <v>147</v>
      </c>
      <c r="L897" s="2" t="s">
        <v>4054</v>
      </c>
      <c r="M897" s="4">
        <v>5.63</v>
      </c>
      <c r="N897" t="e">
        <f>OR(LEFT(B897,3)="frg",(_xlfn.XMATCH(B897,ZZZ_Part_Id_[[#All],[FGCODE]])))</f>
        <v>#N/A</v>
      </c>
    </row>
    <row r="898" spans="1:14" x14ac:dyDescent="0.3">
      <c r="A898" s="2" t="s">
        <v>4034</v>
      </c>
      <c r="B898" s="2" t="s">
        <v>65</v>
      </c>
      <c r="C898" s="2" t="s">
        <v>4055</v>
      </c>
      <c r="D898" s="5">
        <v>-714</v>
      </c>
      <c r="E898" s="5">
        <v>-714</v>
      </c>
      <c r="F898" s="2" t="s">
        <v>23</v>
      </c>
      <c r="G898" s="2" t="s">
        <v>131</v>
      </c>
      <c r="H898" s="3">
        <v>0</v>
      </c>
      <c r="I898" s="2" t="s">
        <v>18</v>
      </c>
      <c r="J898" s="2" t="s">
        <v>4056</v>
      </c>
      <c r="K898" s="2" t="s">
        <v>23</v>
      </c>
      <c r="L898" s="2" t="s">
        <v>4057</v>
      </c>
      <c r="M898" s="6">
        <v>-1836.12</v>
      </c>
      <c r="N898" t="b">
        <f>OR(LEFT(B898,3)="frg",(_xlfn.XMATCH(B898,ZZZ_Part_Id_[[#All],[FGCODE]])))</f>
        <v>1</v>
      </c>
    </row>
    <row r="899" spans="1:14" x14ac:dyDescent="0.3">
      <c r="A899" s="2" t="s">
        <v>4058</v>
      </c>
      <c r="B899" s="2" t="s">
        <v>3608</v>
      </c>
      <c r="C899" s="2" t="s">
        <v>4059</v>
      </c>
      <c r="D899" s="3">
        <v>26496</v>
      </c>
      <c r="E899" s="3">
        <v>26496</v>
      </c>
      <c r="F899" s="2" t="s">
        <v>16</v>
      </c>
      <c r="G899" s="2" t="s">
        <v>4060</v>
      </c>
      <c r="H899" s="3">
        <v>0</v>
      </c>
      <c r="I899" s="2" t="s">
        <v>18</v>
      </c>
      <c r="J899" s="2" t="s">
        <v>4061</v>
      </c>
      <c r="K899" s="2" t="s">
        <v>16</v>
      </c>
      <c r="L899" s="2" t="s">
        <v>4062</v>
      </c>
      <c r="M899" s="4">
        <v>5491.84</v>
      </c>
      <c r="N899" t="b">
        <f>OR(LEFT(B899,3)="frg",(_xlfn.XMATCH(B899,ZZZ_Part_Id_[[#All],[FGCODE]])))</f>
        <v>1</v>
      </c>
    </row>
    <row r="900" spans="1:14" x14ac:dyDescent="0.3">
      <c r="A900" s="2" t="s">
        <v>4058</v>
      </c>
      <c r="B900" s="2" t="s">
        <v>14</v>
      </c>
      <c r="C900" s="2" t="s">
        <v>4063</v>
      </c>
      <c r="D900" s="3">
        <v>3</v>
      </c>
      <c r="E900" s="3">
        <v>3</v>
      </c>
      <c r="F900" s="2" t="s">
        <v>16</v>
      </c>
      <c r="G900" s="2" t="s">
        <v>4064</v>
      </c>
      <c r="H900" s="3">
        <v>0</v>
      </c>
      <c r="I900" s="2" t="s">
        <v>18</v>
      </c>
      <c r="J900" s="2" t="s">
        <v>4065</v>
      </c>
      <c r="K900" s="2" t="s">
        <v>16</v>
      </c>
      <c r="L900" s="2" t="s">
        <v>4066</v>
      </c>
      <c r="M900" s="4">
        <v>0.23</v>
      </c>
      <c r="N900" t="e">
        <f>OR(LEFT(B900,3)="frg",(_xlfn.XMATCH(B900,ZZZ_Part_Id_[[#All],[FGCODE]])))</f>
        <v>#N/A</v>
      </c>
    </row>
    <row r="901" spans="1:14" x14ac:dyDescent="0.3">
      <c r="A901" s="2" t="s">
        <v>4058</v>
      </c>
      <c r="B901" s="2" t="s">
        <v>140</v>
      </c>
      <c r="C901" s="2" t="s">
        <v>4067</v>
      </c>
      <c r="D901" s="3">
        <v>0.12</v>
      </c>
      <c r="E901" s="3">
        <v>0.12</v>
      </c>
      <c r="F901" s="2" t="s">
        <v>16</v>
      </c>
      <c r="G901" s="2" t="s">
        <v>4068</v>
      </c>
      <c r="H901" s="3">
        <v>0</v>
      </c>
      <c r="I901" s="2" t="s">
        <v>18</v>
      </c>
      <c r="J901" s="2" t="s">
        <v>4069</v>
      </c>
      <c r="K901" s="2" t="s">
        <v>16</v>
      </c>
      <c r="L901" s="2" t="s">
        <v>4070</v>
      </c>
      <c r="M901" s="4">
        <v>0.2</v>
      </c>
      <c r="N901" t="e">
        <f>OR(LEFT(B901,3)="frg",(_xlfn.XMATCH(B901,ZZZ_Part_Id_[[#All],[FGCODE]])))</f>
        <v>#N/A</v>
      </c>
    </row>
    <row r="902" spans="1:14" x14ac:dyDescent="0.3">
      <c r="A902" s="2" t="s">
        <v>4058</v>
      </c>
      <c r="B902" s="2" t="s">
        <v>192</v>
      </c>
      <c r="C902" s="2" t="s">
        <v>4071</v>
      </c>
      <c r="D902" s="3">
        <v>0.03</v>
      </c>
      <c r="E902" s="3">
        <v>0.03</v>
      </c>
      <c r="F902" s="2" t="s">
        <v>194</v>
      </c>
      <c r="G902" s="2" t="s">
        <v>4072</v>
      </c>
      <c r="H902" s="3">
        <v>0</v>
      </c>
      <c r="I902" s="2" t="s">
        <v>18</v>
      </c>
      <c r="J902" s="2" t="s">
        <v>4073</v>
      </c>
      <c r="K902" s="2" t="s">
        <v>194</v>
      </c>
      <c r="L902" s="2" t="s">
        <v>4074</v>
      </c>
      <c r="M902" s="4">
        <v>0.16</v>
      </c>
      <c r="N902" t="e">
        <f>OR(LEFT(B902,3)="frg",(_xlfn.XMATCH(B902,ZZZ_Part_Id_[[#All],[FGCODE]])))</f>
        <v>#N/A</v>
      </c>
    </row>
    <row r="903" spans="1:14" x14ac:dyDescent="0.3">
      <c r="A903" s="2" t="s">
        <v>4058</v>
      </c>
      <c r="B903" s="2" t="s">
        <v>145</v>
      </c>
      <c r="C903" s="2" t="s">
        <v>4075</v>
      </c>
      <c r="D903" s="3">
        <v>1.2E-2</v>
      </c>
      <c r="E903" s="3">
        <v>1.2E-2</v>
      </c>
      <c r="F903" s="2" t="s">
        <v>147</v>
      </c>
      <c r="G903" s="2" t="s">
        <v>4076</v>
      </c>
      <c r="H903" s="3">
        <v>0</v>
      </c>
      <c r="I903" s="2" t="s">
        <v>18</v>
      </c>
      <c r="J903" s="2" t="s">
        <v>4077</v>
      </c>
      <c r="K903" s="2" t="s">
        <v>147</v>
      </c>
      <c r="L903" s="2" t="s">
        <v>4078</v>
      </c>
      <c r="M903" s="4">
        <v>1.88</v>
      </c>
      <c r="N903" t="e">
        <f>OR(LEFT(B903,3)="frg",(_xlfn.XMATCH(B903,ZZZ_Part_Id_[[#All],[FGCODE]])))</f>
        <v>#N/A</v>
      </c>
    </row>
    <row r="904" spans="1:14" x14ac:dyDescent="0.3">
      <c r="A904" s="2" t="s">
        <v>4058</v>
      </c>
      <c r="B904" s="2" t="s">
        <v>21</v>
      </c>
      <c r="C904" s="2" t="s">
        <v>4079</v>
      </c>
      <c r="D904" s="5">
        <v>-331</v>
      </c>
      <c r="E904" s="5">
        <v>-331</v>
      </c>
      <c r="F904" s="2" t="s">
        <v>23</v>
      </c>
      <c r="G904" s="2" t="s">
        <v>4080</v>
      </c>
      <c r="H904" s="3">
        <v>0</v>
      </c>
      <c r="I904" s="2" t="s">
        <v>18</v>
      </c>
      <c r="J904" s="2" t="s">
        <v>4081</v>
      </c>
      <c r="K904" s="2" t="s">
        <v>23</v>
      </c>
      <c r="L904" s="2" t="s">
        <v>4082</v>
      </c>
      <c r="M904" s="6">
        <v>-626.75</v>
      </c>
      <c r="N904" t="b">
        <f>OR(LEFT(B904,3)="frg",(_xlfn.XMATCH(B904,ZZZ_Part_Id_[[#All],[FGCODE]])))</f>
        <v>1</v>
      </c>
    </row>
    <row r="905" spans="1:14" x14ac:dyDescent="0.3">
      <c r="A905" s="2" t="s">
        <v>4083</v>
      </c>
      <c r="B905" s="2" t="s">
        <v>740</v>
      </c>
      <c r="C905" s="2" t="s">
        <v>4084</v>
      </c>
      <c r="D905" s="3">
        <v>499140</v>
      </c>
      <c r="E905" s="3">
        <v>499140</v>
      </c>
      <c r="F905" s="2" t="s">
        <v>16</v>
      </c>
      <c r="G905" s="2" t="s">
        <v>4085</v>
      </c>
      <c r="H905" s="3">
        <v>0</v>
      </c>
      <c r="I905" s="2" t="s">
        <v>18</v>
      </c>
      <c r="J905" s="2" t="s">
        <v>4086</v>
      </c>
      <c r="K905" s="2" t="s">
        <v>16</v>
      </c>
      <c r="L905" s="2" t="s">
        <v>4087</v>
      </c>
      <c r="M905" s="4">
        <v>61439.34</v>
      </c>
      <c r="N905" t="b">
        <f>OR(LEFT(B905,3)="frg",(_xlfn.XMATCH(B905,ZZZ_Part_Id_[[#All],[FGCODE]])))</f>
        <v>1</v>
      </c>
    </row>
    <row r="906" spans="1:14" x14ac:dyDescent="0.3">
      <c r="A906" s="2" t="s">
        <v>4088</v>
      </c>
      <c r="B906" s="2" t="s">
        <v>517</v>
      </c>
      <c r="C906" s="2" t="s">
        <v>4089</v>
      </c>
      <c r="D906" s="3">
        <v>534240</v>
      </c>
      <c r="E906" s="3">
        <v>534240</v>
      </c>
      <c r="F906" s="2" t="s">
        <v>16</v>
      </c>
      <c r="G906" s="2" t="s">
        <v>4090</v>
      </c>
      <c r="H906" s="3">
        <v>0</v>
      </c>
      <c r="I906" s="2" t="s">
        <v>18</v>
      </c>
      <c r="J906" s="2" t="s">
        <v>4091</v>
      </c>
      <c r="K906" s="2" t="s">
        <v>16</v>
      </c>
      <c r="L906" s="2" t="s">
        <v>4092</v>
      </c>
      <c r="M906" s="4">
        <v>62003.64</v>
      </c>
      <c r="N906" t="b">
        <f>OR(LEFT(B906,3)="frg",(_xlfn.XMATCH(B906,ZZZ_Part_Id_[[#All],[FGCODE]])))</f>
        <v>1</v>
      </c>
    </row>
    <row r="907" spans="1:14" x14ac:dyDescent="0.3">
      <c r="A907" s="2" t="s">
        <v>4093</v>
      </c>
      <c r="B907" s="2" t="s">
        <v>2008</v>
      </c>
      <c r="C907" s="2" t="s">
        <v>4094</v>
      </c>
      <c r="D907" s="3">
        <v>70560</v>
      </c>
      <c r="E907" s="3">
        <v>70560</v>
      </c>
      <c r="F907" s="2" t="s">
        <v>16</v>
      </c>
      <c r="G907" s="2" t="s">
        <v>4095</v>
      </c>
      <c r="H907" s="3">
        <v>0</v>
      </c>
      <c r="I907" s="2" t="s">
        <v>18</v>
      </c>
      <c r="J907" s="2" t="s">
        <v>4096</v>
      </c>
      <c r="K907" s="2" t="s">
        <v>16</v>
      </c>
      <c r="L907" s="2" t="s">
        <v>4097</v>
      </c>
      <c r="M907" s="4">
        <v>8258.34</v>
      </c>
      <c r="N907" t="b">
        <f>OR(LEFT(B907,3)="frg",(_xlfn.XMATCH(B907,ZZZ_Part_Id_[[#All],[FGCODE]])))</f>
        <v>1</v>
      </c>
    </row>
    <row r="908" spans="1:14" x14ac:dyDescent="0.3">
      <c r="A908" s="2" t="s">
        <v>4093</v>
      </c>
      <c r="B908" s="2" t="s">
        <v>14</v>
      </c>
      <c r="C908" s="2" t="s">
        <v>4098</v>
      </c>
      <c r="D908" s="3">
        <v>6</v>
      </c>
      <c r="E908" s="3">
        <v>6</v>
      </c>
      <c r="F908" s="2" t="s">
        <v>16</v>
      </c>
      <c r="G908" s="2" t="s">
        <v>4099</v>
      </c>
      <c r="H908" s="3">
        <v>0</v>
      </c>
      <c r="I908" s="2" t="s">
        <v>18</v>
      </c>
      <c r="J908" s="2" t="s">
        <v>4100</v>
      </c>
      <c r="K908" s="2" t="s">
        <v>16</v>
      </c>
      <c r="L908" s="2" t="s">
        <v>4101</v>
      </c>
      <c r="M908" s="4">
        <v>0.46</v>
      </c>
      <c r="N908" t="e">
        <f>OR(LEFT(B908,3)="frg",(_xlfn.XMATCH(B908,ZZZ_Part_Id_[[#All],[FGCODE]])))</f>
        <v>#N/A</v>
      </c>
    </row>
    <row r="909" spans="1:14" x14ac:dyDescent="0.3">
      <c r="A909" s="2" t="s">
        <v>4093</v>
      </c>
      <c r="B909" s="2" t="s">
        <v>140</v>
      </c>
      <c r="C909" s="2" t="s">
        <v>4102</v>
      </c>
      <c r="D909" s="3">
        <v>0.24</v>
      </c>
      <c r="E909" s="3">
        <v>0.24</v>
      </c>
      <c r="F909" s="2" t="s">
        <v>16</v>
      </c>
      <c r="G909" s="2" t="s">
        <v>4103</v>
      </c>
      <c r="H909" s="3">
        <v>0</v>
      </c>
      <c r="I909" s="2" t="s">
        <v>18</v>
      </c>
      <c r="J909" s="2" t="s">
        <v>4104</v>
      </c>
      <c r="K909" s="2" t="s">
        <v>16</v>
      </c>
      <c r="L909" s="2" t="s">
        <v>4105</v>
      </c>
      <c r="M909" s="4">
        <v>0.4</v>
      </c>
      <c r="N909" t="e">
        <f>OR(LEFT(B909,3)="frg",(_xlfn.XMATCH(B909,ZZZ_Part_Id_[[#All],[FGCODE]])))</f>
        <v>#N/A</v>
      </c>
    </row>
    <row r="910" spans="1:14" x14ac:dyDescent="0.3">
      <c r="A910" s="2" t="s">
        <v>4093</v>
      </c>
      <c r="B910" s="2" t="s">
        <v>192</v>
      </c>
      <c r="C910" s="2" t="s">
        <v>4106</v>
      </c>
      <c r="D910" s="3">
        <v>0.06</v>
      </c>
      <c r="E910" s="3">
        <v>0.06</v>
      </c>
      <c r="F910" s="2" t="s">
        <v>194</v>
      </c>
      <c r="G910" s="2" t="s">
        <v>4107</v>
      </c>
      <c r="H910" s="3">
        <v>0</v>
      </c>
      <c r="I910" s="2" t="s">
        <v>18</v>
      </c>
      <c r="J910" s="2" t="s">
        <v>4108</v>
      </c>
      <c r="K910" s="2" t="s">
        <v>194</v>
      </c>
      <c r="L910" s="2" t="s">
        <v>4109</v>
      </c>
      <c r="M910" s="4">
        <v>0.32</v>
      </c>
      <c r="N910" t="e">
        <f>OR(LEFT(B910,3)="frg",(_xlfn.XMATCH(B910,ZZZ_Part_Id_[[#All],[FGCODE]])))</f>
        <v>#N/A</v>
      </c>
    </row>
    <row r="911" spans="1:14" x14ac:dyDescent="0.3">
      <c r="A911" s="2" t="s">
        <v>4093</v>
      </c>
      <c r="B911" s="2" t="s">
        <v>145</v>
      </c>
      <c r="C911" s="2" t="s">
        <v>4110</v>
      </c>
      <c r="D911" s="3">
        <v>2.4E-2</v>
      </c>
      <c r="E911" s="3">
        <v>2.4E-2</v>
      </c>
      <c r="F911" s="2" t="s">
        <v>147</v>
      </c>
      <c r="G911" s="2" t="s">
        <v>4111</v>
      </c>
      <c r="H911" s="3">
        <v>0</v>
      </c>
      <c r="I911" s="2" t="s">
        <v>18</v>
      </c>
      <c r="J911" s="2" t="s">
        <v>4112</v>
      </c>
      <c r="K911" s="2" t="s">
        <v>147</v>
      </c>
      <c r="L911" s="2" t="s">
        <v>4113</v>
      </c>
      <c r="M911" s="4">
        <v>3.75</v>
      </c>
      <c r="N911" t="e">
        <f>OR(LEFT(B911,3)="frg",(_xlfn.XMATCH(B911,ZZZ_Part_Id_[[#All],[FGCODE]])))</f>
        <v>#N/A</v>
      </c>
    </row>
    <row r="912" spans="1:14" x14ac:dyDescent="0.3">
      <c r="A912" s="2" t="s">
        <v>4093</v>
      </c>
      <c r="B912" s="2" t="s">
        <v>65</v>
      </c>
      <c r="C912" s="2" t="s">
        <v>4114</v>
      </c>
      <c r="D912" s="5">
        <v>-268</v>
      </c>
      <c r="E912" s="5">
        <v>-268</v>
      </c>
      <c r="F912" s="2" t="s">
        <v>23</v>
      </c>
      <c r="G912" s="2" t="s">
        <v>4115</v>
      </c>
      <c r="H912" s="3">
        <v>0</v>
      </c>
      <c r="I912" s="2" t="s">
        <v>18</v>
      </c>
      <c r="J912" s="2" t="s">
        <v>4116</v>
      </c>
      <c r="K912" s="2" t="s">
        <v>23</v>
      </c>
      <c r="L912" s="2" t="s">
        <v>4117</v>
      </c>
      <c r="M912" s="6">
        <v>-689.19</v>
      </c>
      <c r="N912" t="b">
        <f>OR(LEFT(B912,3)="frg",(_xlfn.XMATCH(B912,ZZZ_Part_Id_[[#All],[FGCODE]])))</f>
        <v>1</v>
      </c>
    </row>
    <row r="913" spans="1:14" x14ac:dyDescent="0.3">
      <c r="A913" s="2" t="s">
        <v>4118</v>
      </c>
      <c r="B913" s="2" t="s">
        <v>485</v>
      </c>
      <c r="C913" s="2" t="s">
        <v>4119</v>
      </c>
      <c r="D913" s="3">
        <v>211200</v>
      </c>
      <c r="E913" s="3">
        <v>211200</v>
      </c>
      <c r="F913" s="2" t="s">
        <v>16</v>
      </c>
      <c r="G913" s="2" t="s">
        <v>4120</v>
      </c>
      <c r="H913" s="3">
        <v>0</v>
      </c>
      <c r="I913" s="2" t="s">
        <v>18</v>
      </c>
      <c r="J913" s="2" t="s">
        <v>4121</v>
      </c>
      <c r="K913" s="2" t="s">
        <v>16</v>
      </c>
      <c r="L913" s="2" t="s">
        <v>4122</v>
      </c>
      <c r="M913" s="4">
        <v>14188.46</v>
      </c>
      <c r="N913" t="b">
        <f>OR(LEFT(B913,3)="frg",(_xlfn.XMATCH(B913,ZZZ_Part_Id_[[#All],[FGCODE]])))</f>
        <v>1</v>
      </c>
    </row>
    <row r="914" spans="1:14" x14ac:dyDescent="0.3">
      <c r="A914" s="2" t="s">
        <v>4118</v>
      </c>
      <c r="B914" s="2" t="s">
        <v>86</v>
      </c>
      <c r="C914" s="2" t="s">
        <v>4123</v>
      </c>
      <c r="D914" s="5">
        <v>-537</v>
      </c>
      <c r="E914" s="5">
        <v>-537</v>
      </c>
      <c r="F914" s="2" t="s">
        <v>23</v>
      </c>
      <c r="G914" s="2" t="s">
        <v>4124</v>
      </c>
      <c r="H914" s="3">
        <v>0</v>
      </c>
      <c r="I914" s="2" t="s">
        <v>18</v>
      </c>
      <c r="J914" s="2" t="s">
        <v>4125</v>
      </c>
      <c r="K914" s="2" t="s">
        <v>23</v>
      </c>
      <c r="L914" s="2" t="s">
        <v>4126</v>
      </c>
      <c r="M914" s="6">
        <v>-1405.76</v>
      </c>
      <c r="N914" t="b">
        <f>OR(LEFT(B914,3)="frg",(_xlfn.XMATCH(B914,ZZZ_Part_Id_[[#All],[FGCODE]])))</f>
        <v>1</v>
      </c>
    </row>
    <row r="915" spans="1:14" x14ac:dyDescent="0.3">
      <c r="A915" s="2" t="s">
        <v>4118</v>
      </c>
      <c r="B915" s="2" t="s">
        <v>14</v>
      </c>
      <c r="C915" s="2" t="s">
        <v>4127</v>
      </c>
      <c r="D915" s="3">
        <v>9</v>
      </c>
      <c r="E915" s="3">
        <v>9</v>
      </c>
      <c r="F915" s="2" t="s">
        <v>16</v>
      </c>
      <c r="G915" s="2" t="s">
        <v>4128</v>
      </c>
      <c r="H915" s="3">
        <v>0</v>
      </c>
      <c r="I915" s="2" t="s">
        <v>18</v>
      </c>
      <c r="J915" s="2" t="s">
        <v>4129</v>
      </c>
      <c r="K915" s="2" t="s">
        <v>16</v>
      </c>
      <c r="L915" s="2" t="s">
        <v>4130</v>
      </c>
      <c r="M915" s="4">
        <v>0.69</v>
      </c>
      <c r="N915" t="e">
        <f>OR(LEFT(B915,3)="frg",(_xlfn.XMATCH(B915,ZZZ_Part_Id_[[#All],[FGCODE]])))</f>
        <v>#N/A</v>
      </c>
    </row>
    <row r="916" spans="1:14" x14ac:dyDescent="0.3">
      <c r="A916" s="2" t="s">
        <v>4118</v>
      </c>
      <c r="B916" s="2" t="s">
        <v>140</v>
      </c>
      <c r="C916" s="2" t="s">
        <v>4131</v>
      </c>
      <c r="D916" s="3">
        <v>0.36</v>
      </c>
      <c r="E916" s="3">
        <v>0.36</v>
      </c>
      <c r="F916" s="2" t="s">
        <v>16</v>
      </c>
      <c r="G916" s="2" t="s">
        <v>4132</v>
      </c>
      <c r="H916" s="3">
        <v>0</v>
      </c>
      <c r="I916" s="2" t="s">
        <v>18</v>
      </c>
      <c r="J916" s="2" t="s">
        <v>4133</v>
      </c>
      <c r="K916" s="2" t="s">
        <v>16</v>
      </c>
      <c r="L916" s="2" t="s">
        <v>4134</v>
      </c>
      <c r="M916" s="4">
        <v>0.59</v>
      </c>
      <c r="N916" t="e">
        <f>OR(LEFT(B916,3)="frg",(_xlfn.XMATCH(B916,ZZZ_Part_Id_[[#All],[FGCODE]])))</f>
        <v>#N/A</v>
      </c>
    </row>
    <row r="917" spans="1:14" x14ac:dyDescent="0.3">
      <c r="A917" s="2" t="s">
        <v>4118</v>
      </c>
      <c r="B917" s="2" t="s">
        <v>192</v>
      </c>
      <c r="C917" s="2" t="s">
        <v>4135</v>
      </c>
      <c r="D917" s="3">
        <v>0.09</v>
      </c>
      <c r="E917" s="3">
        <v>0.09</v>
      </c>
      <c r="F917" s="2" t="s">
        <v>194</v>
      </c>
      <c r="G917" s="2" t="s">
        <v>4136</v>
      </c>
      <c r="H917" s="3">
        <v>0</v>
      </c>
      <c r="I917" s="2" t="s">
        <v>18</v>
      </c>
      <c r="J917" s="2" t="s">
        <v>4137</v>
      </c>
      <c r="K917" s="2" t="s">
        <v>194</v>
      </c>
      <c r="L917" s="2" t="s">
        <v>4138</v>
      </c>
      <c r="M917" s="4">
        <v>0.48</v>
      </c>
      <c r="N917" t="e">
        <f>OR(LEFT(B917,3)="frg",(_xlfn.XMATCH(B917,ZZZ_Part_Id_[[#All],[FGCODE]])))</f>
        <v>#N/A</v>
      </c>
    </row>
    <row r="918" spans="1:14" x14ac:dyDescent="0.3">
      <c r="A918" s="2" t="s">
        <v>4118</v>
      </c>
      <c r="B918" s="2" t="s">
        <v>145</v>
      </c>
      <c r="C918" s="2" t="s">
        <v>4139</v>
      </c>
      <c r="D918" s="3">
        <v>3.5999999999999997E-2</v>
      </c>
      <c r="E918" s="3">
        <v>3.5999999999999997E-2</v>
      </c>
      <c r="F918" s="2" t="s">
        <v>147</v>
      </c>
      <c r="G918" s="2" t="s">
        <v>4140</v>
      </c>
      <c r="H918" s="3">
        <v>0</v>
      </c>
      <c r="I918" s="2" t="s">
        <v>18</v>
      </c>
      <c r="J918" s="2" t="s">
        <v>4141</v>
      </c>
      <c r="K918" s="2" t="s">
        <v>147</v>
      </c>
      <c r="L918" s="2" t="s">
        <v>4142</v>
      </c>
      <c r="M918" s="4">
        <v>5.63</v>
      </c>
      <c r="N918" t="e">
        <f>OR(LEFT(B918,3)="frg",(_xlfn.XMATCH(B918,ZZZ_Part_Id_[[#All],[FGCODE]])))</f>
        <v>#N/A</v>
      </c>
    </row>
    <row r="919" spans="1:14" x14ac:dyDescent="0.3">
      <c r="A919" s="2" t="s">
        <v>4143</v>
      </c>
      <c r="B919" s="2" t="s">
        <v>1027</v>
      </c>
      <c r="C919" s="2" t="s">
        <v>4144</v>
      </c>
      <c r="D919" s="3">
        <v>307980</v>
      </c>
      <c r="E919" s="3">
        <v>307980</v>
      </c>
      <c r="F919" s="2" t="s">
        <v>16</v>
      </c>
      <c r="G919" s="2" t="s">
        <v>4145</v>
      </c>
      <c r="H919" s="3">
        <v>0</v>
      </c>
      <c r="I919" s="2" t="s">
        <v>18</v>
      </c>
      <c r="J919" s="2" t="s">
        <v>4146</v>
      </c>
      <c r="K919" s="2" t="s">
        <v>16</v>
      </c>
      <c r="L919" s="2" t="s">
        <v>4147</v>
      </c>
      <c r="M919" s="4">
        <v>38706.879999999997</v>
      </c>
      <c r="N919" t="b">
        <f>OR(LEFT(B919,3)="frg",(_xlfn.XMATCH(B919,ZZZ_Part_Id_[[#All],[FGCODE]])))</f>
        <v>1</v>
      </c>
    </row>
    <row r="920" spans="1:14" x14ac:dyDescent="0.3">
      <c r="A920" s="2" t="s">
        <v>4148</v>
      </c>
      <c r="B920" s="2" t="s">
        <v>14</v>
      </c>
      <c r="C920" s="2" t="s">
        <v>4149</v>
      </c>
      <c r="D920" s="3">
        <v>40</v>
      </c>
      <c r="E920" s="3">
        <v>40</v>
      </c>
      <c r="F920" s="2" t="s">
        <v>16</v>
      </c>
      <c r="G920" s="2" t="s">
        <v>4150</v>
      </c>
      <c r="H920" s="3">
        <v>0</v>
      </c>
      <c r="I920" s="2" t="s">
        <v>18</v>
      </c>
      <c r="J920" s="2" t="s">
        <v>4151</v>
      </c>
      <c r="K920" s="2" t="s">
        <v>16</v>
      </c>
      <c r="L920" s="2" t="s">
        <v>4152</v>
      </c>
      <c r="M920" s="4">
        <v>3.08</v>
      </c>
      <c r="N920" t="e">
        <f>OR(LEFT(B920,3)="frg",(_xlfn.XMATCH(B920,ZZZ_Part_Id_[[#All],[FGCODE]])))</f>
        <v>#N/A</v>
      </c>
    </row>
    <row r="921" spans="1:14" x14ac:dyDescent="0.3">
      <c r="A921" s="2" t="s">
        <v>4148</v>
      </c>
      <c r="B921" s="2" t="s">
        <v>517</v>
      </c>
      <c r="C921" s="2" t="s">
        <v>4153</v>
      </c>
      <c r="D921" s="3">
        <v>362880</v>
      </c>
      <c r="E921" s="3">
        <v>362880</v>
      </c>
      <c r="F921" s="2" t="s">
        <v>16</v>
      </c>
      <c r="G921" s="2" t="s">
        <v>4154</v>
      </c>
      <c r="H921" s="3">
        <v>0</v>
      </c>
      <c r="I921" s="2" t="s">
        <v>18</v>
      </c>
      <c r="J921" s="2" t="s">
        <v>4155</v>
      </c>
      <c r="K921" s="2" t="s">
        <v>16</v>
      </c>
      <c r="L921" s="2" t="s">
        <v>4156</v>
      </c>
      <c r="M921" s="4">
        <v>42115.68</v>
      </c>
      <c r="N921" t="b">
        <f>OR(LEFT(B921,3)="frg",(_xlfn.XMATCH(B921,ZZZ_Part_Id_[[#All],[FGCODE]])))</f>
        <v>1</v>
      </c>
    </row>
    <row r="922" spans="1:14" x14ac:dyDescent="0.3">
      <c r="A922" s="2" t="s">
        <v>4157</v>
      </c>
      <c r="B922" s="2" t="s">
        <v>172</v>
      </c>
      <c r="C922" s="2" t="s">
        <v>4158</v>
      </c>
      <c r="D922" s="3">
        <v>20</v>
      </c>
      <c r="E922" s="3">
        <v>20</v>
      </c>
      <c r="F922" s="2" t="s">
        <v>23</v>
      </c>
      <c r="G922" s="2" t="s">
        <v>4159</v>
      </c>
      <c r="H922" s="3">
        <v>0</v>
      </c>
      <c r="I922" s="2" t="s">
        <v>18</v>
      </c>
      <c r="J922" s="2" t="s">
        <v>4160</v>
      </c>
      <c r="K922" s="2" t="s">
        <v>23</v>
      </c>
      <c r="L922" s="2" t="s">
        <v>4161</v>
      </c>
      <c r="M922" s="4">
        <v>130</v>
      </c>
      <c r="N922" t="e">
        <f>OR(LEFT(B922,3)="frg",(_xlfn.XMATCH(B922,ZZZ_Part_Id_[[#All],[FGCODE]])))</f>
        <v>#N/A</v>
      </c>
    </row>
    <row r="923" spans="1:14" x14ac:dyDescent="0.3">
      <c r="A923" s="2" t="s">
        <v>4157</v>
      </c>
      <c r="B923" s="2" t="s">
        <v>1027</v>
      </c>
      <c r="C923" s="2" t="s">
        <v>4162</v>
      </c>
      <c r="D923" s="3">
        <v>424800</v>
      </c>
      <c r="E923" s="3">
        <v>424800</v>
      </c>
      <c r="F923" s="2" t="s">
        <v>16</v>
      </c>
      <c r="G923" s="2" t="s">
        <v>4163</v>
      </c>
      <c r="H923" s="3">
        <v>0</v>
      </c>
      <c r="I923" s="2" t="s">
        <v>18</v>
      </c>
      <c r="J923" s="2" t="s">
        <v>4164</v>
      </c>
      <c r="K923" s="2" t="s">
        <v>16</v>
      </c>
      <c r="L923" s="2" t="s">
        <v>4165</v>
      </c>
      <c r="M923" s="4">
        <v>53388.800000000003</v>
      </c>
      <c r="N923" t="b">
        <f>OR(LEFT(B923,3)="frg",(_xlfn.XMATCH(B923,ZZZ_Part_Id_[[#All],[FGCODE]])))</f>
        <v>1</v>
      </c>
    </row>
    <row r="924" spans="1:14" x14ac:dyDescent="0.3">
      <c r="A924" s="2" t="s">
        <v>4166</v>
      </c>
      <c r="B924" s="2" t="s">
        <v>14</v>
      </c>
      <c r="C924" s="2" t="s">
        <v>4167</v>
      </c>
      <c r="D924" s="3">
        <v>61</v>
      </c>
      <c r="E924" s="3">
        <v>61</v>
      </c>
      <c r="F924" s="2" t="s">
        <v>16</v>
      </c>
      <c r="G924" s="2" t="s">
        <v>4168</v>
      </c>
      <c r="H924" s="3">
        <v>0</v>
      </c>
      <c r="I924" s="2" t="s">
        <v>18</v>
      </c>
      <c r="J924" s="2" t="s">
        <v>4169</v>
      </c>
      <c r="K924" s="2" t="s">
        <v>16</v>
      </c>
      <c r="L924" s="2" t="s">
        <v>4170</v>
      </c>
      <c r="M924" s="4">
        <v>4.6900000000000004</v>
      </c>
      <c r="N924" t="e">
        <f>OR(LEFT(B924,3)="frg",(_xlfn.XMATCH(B924,ZZZ_Part_Id_[[#All],[FGCODE]])))</f>
        <v>#N/A</v>
      </c>
    </row>
    <row r="925" spans="1:14" x14ac:dyDescent="0.3">
      <c r="A925" s="2" t="s">
        <v>4166</v>
      </c>
      <c r="B925" s="2" t="s">
        <v>172</v>
      </c>
      <c r="C925" s="2" t="s">
        <v>4171</v>
      </c>
      <c r="D925" s="3">
        <v>17.324000000000002</v>
      </c>
      <c r="E925" s="3">
        <v>17.324000000000002</v>
      </c>
      <c r="F925" s="2" t="s">
        <v>23</v>
      </c>
      <c r="G925" s="2" t="s">
        <v>4172</v>
      </c>
      <c r="H925" s="3">
        <v>0</v>
      </c>
      <c r="I925" s="2" t="s">
        <v>18</v>
      </c>
      <c r="J925" s="2" t="s">
        <v>4173</v>
      </c>
      <c r="K925" s="2" t="s">
        <v>23</v>
      </c>
      <c r="L925" s="2" t="s">
        <v>4174</v>
      </c>
      <c r="M925" s="4">
        <v>112.61</v>
      </c>
      <c r="N925" t="e">
        <f>OR(LEFT(B925,3)="frg",(_xlfn.XMATCH(B925,ZZZ_Part_Id_[[#All],[FGCODE]])))</f>
        <v>#N/A</v>
      </c>
    </row>
    <row r="926" spans="1:14" x14ac:dyDescent="0.3">
      <c r="A926" s="2" t="s">
        <v>4166</v>
      </c>
      <c r="B926" s="2" t="s">
        <v>97</v>
      </c>
      <c r="C926" s="2" t="s">
        <v>4175</v>
      </c>
      <c r="D926" s="3">
        <v>292800</v>
      </c>
      <c r="E926" s="3">
        <v>292800</v>
      </c>
      <c r="F926" s="2" t="s">
        <v>16</v>
      </c>
      <c r="G926" s="2" t="s">
        <v>4176</v>
      </c>
      <c r="H926" s="3">
        <v>0</v>
      </c>
      <c r="I926" s="2" t="s">
        <v>18</v>
      </c>
      <c r="J926" s="2" t="s">
        <v>4177</v>
      </c>
      <c r="K926" s="2" t="s">
        <v>16</v>
      </c>
      <c r="L926" s="2" t="s">
        <v>4178</v>
      </c>
      <c r="M926" s="4">
        <v>62562.82</v>
      </c>
      <c r="N926" t="b">
        <f>OR(LEFT(B926,3)="frg",(_xlfn.XMATCH(B926,ZZZ_Part_Id_[[#All],[FGCODE]])))</f>
        <v>1</v>
      </c>
    </row>
    <row r="927" spans="1:14" x14ac:dyDescent="0.3">
      <c r="A927" s="2" t="s">
        <v>4179</v>
      </c>
      <c r="B927" s="2" t="s">
        <v>14</v>
      </c>
      <c r="C927" s="2" t="s">
        <v>4180</v>
      </c>
      <c r="D927" s="3">
        <v>7</v>
      </c>
      <c r="E927" s="3">
        <v>7</v>
      </c>
      <c r="F927" s="2" t="s">
        <v>16</v>
      </c>
      <c r="G927" s="2" t="s">
        <v>4181</v>
      </c>
      <c r="H927" s="3">
        <v>0</v>
      </c>
      <c r="I927" s="2" t="s">
        <v>18</v>
      </c>
      <c r="J927" s="2" t="s">
        <v>4182</v>
      </c>
      <c r="K927" s="2" t="s">
        <v>16</v>
      </c>
      <c r="L927" s="2" t="s">
        <v>4183</v>
      </c>
      <c r="M927" s="4">
        <v>0.54</v>
      </c>
      <c r="N927" t="e">
        <f>OR(LEFT(B927,3)="frg",(_xlfn.XMATCH(B927,ZZZ_Part_Id_[[#All],[FGCODE]])))</f>
        <v>#N/A</v>
      </c>
    </row>
    <row r="928" spans="1:14" x14ac:dyDescent="0.3">
      <c r="A928" s="2" t="s">
        <v>4179</v>
      </c>
      <c r="B928" s="2" t="s">
        <v>86</v>
      </c>
      <c r="C928" s="2" t="s">
        <v>4184</v>
      </c>
      <c r="D928" s="5">
        <v>-224</v>
      </c>
      <c r="E928" s="5">
        <v>-224</v>
      </c>
      <c r="F928" s="2" t="s">
        <v>23</v>
      </c>
      <c r="G928" s="2" t="s">
        <v>4185</v>
      </c>
      <c r="H928" s="3">
        <v>0</v>
      </c>
      <c r="I928" s="2" t="s">
        <v>18</v>
      </c>
      <c r="J928" s="2" t="s">
        <v>4186</v>
      </c>
      <c r="K928" s="2" t="s">
        <v>23</v>
      </c>
      <c r="L928" s="2" t="s">
        <v>4187</v>
      </c>
      <c r="M928" s="6">
        <v>-586.39</v>
      </c>
      <c r="N928" t="b">
        <f>OR(LEFT(B928,3)="frg",(_xlfn.XMATCH(B928,ZZZ_Part_Id_[[#All],[FGCODE]])))</f>
        <v>1</v>
      </c>
    </row>
    <row r="929" spans="1:14" x14ac:dyDescent="0.3">
      <c r="A929" s="2" t="s">
        <v>4179</v>
      </c>
      <c r="B929" s="2" t="s">
        <v>91</v>
      </c>
      <c r="C929" s="2" t="s">
        <v>4188</v>
      </c>
      <c r="D929" s="3">
        <v>216000</v>
      </c>
      <c r="E929" s="3">
        <v>216000</v>
      </c>
      <c r="F929" s="2" t="s">
        <v>16</v>
      </c>
      <c r="G929" s="2" t="s">
        <v>4189</v>
      </c>
      <c r="H929" s="3">
        <v>0</v>
      </c>
      <c r="I929" s="2" t="s">
        <v>18</v>
      </c>
      <c r="J929" s="2" t="s">
        <v>4190</v>
      </c>
      <c r="K929" s="2" t="s">
        <v>16</v>
      </c>
      <c r="L929" s="2" t="s">
        <v>4191</v>
      </c>
      <c r="M929" s="4">
        <v>8097.84</v>
      </c>
      <c r="N929" t="b">
        <f>OR(LEFT(B929,3)="frg",(_xlfn.XMATCH(B929,ZZZ_Part_Id_[[#All],[FGCODE]])))</f>
        <v>1</v>
      </c>
    </row>
    <row r="930" spans="1:14" x14ac:dyDescent="0.3">
      <c r="A930" s="2" t="s">
        <v>4192</v>
      </c>
      <c r="B930" s="2" t="s">
        <v>14</v>
      </c>
      <c r="C930" s="2" t="s">
        <v>4193</v>
      </c>
      <c r="D930" s="3">
        <v>6</v>
      </c>
      <c r="E930" s="3">
        <v>6</v>
      </c>
      <c r="F930" s="2" t="s">
        <v>16</v>
      </c>
      <c r="G930" s="2" t="s">
        <v>4194</v>
      </c>
      <c r="H930" s="3">
        <v>0</v>
      </c>
      <c r="I930" s="2" t="s">
        <v>18</v>
      </c>
      <c r="J930" s="2" t="s">
        <v>4195</v>
      </c>
      <c r="K930" s="2" t="s">
        <v>16</v>
      </c>
      <c r="L930" s="2" t="s">
        <v>4196</v>
      </c>
      <c r="M930" s="4">
        <v>0.46</v>
      </c>
      <c r="N930" t="e">
        <f>OR(LEFT(B930,3)="frg",(_xlfn.XMATCH(B930,ZZZ_Part_Id_[[#All],[FGCODE]])))</f>
        <v>#N/A</v>
      </c>
    </row>
    <row r="931" spans="1:14" x14ac:dyDescent="0.3">
      <c r="A931" s="2" t="s">
        <v>4192</v>
      </c>
      <c r="B931" s="2" t="s">
        <v>21</v>
      </c>
      <c r="C931" s="2" t="s">
        <v>4197</v>
      </c>
      <c r="D931" s="5">
        <v>-295</v>
      </c>
      <c r="E931" s="5">
        <v>-295</v>
      </c>
      <c r="F931" s="2" t="s">
        <v>23</v>
      </c>
      <c r="G931" s="2" t="s">
        <v>4198</v>
      </c>
      <c r="H931" s="3">
        <v>0</v>
      </c>
      <c r="I931" s="2" t="s">
        <v>18</v>
      </c>
      <c r="J931" s="2" t="s">
        <v>4199</v>
      </c>
      <c r="K931" s="2" t="s">
        <v>23</v>
      </c>
      <c r="L931" s="2" t="s">
        <v>4200</v>
      </c>
      <c r="M931" s="6">
        <v>-558.58000000000004</v>
      </c>
      <c r="N931" t="b">
        <f>OR(LEFT(B931,3)="frg",(_xlfn.XMATCH(B931,ZZZ_Part_Id_[[#All],[FGCODE]])))</f>
        <v>1</v>
      </c>
    </row>
    <row r="932" spans="1:14" x14ac:dyDescent="0.3">
      <c r="A932" s="2" t="s">
        <v>4192</v>
      </c>
      <c r="B932" s="2" t="s">
        <v>1027</v>
      </c>
      <c r="C932" s="2" t="s">
        <v>4201</v>
      </c>
      <c r="D932" s="3">
        <v>73420</v>
      </c>
      <c r="E932" s="3">
        <v>73420</v>
      </c>
      <c r="F932" s="2" t="s">
        <v>16</v>
      </c>
      <c r="G932" s="2" t="s">
        <v>4202</v>
      </c>
      <c r="H932" s="3">
        <v>0</v>
      </c>
      <c r="I932" s="2" t="s">
        <v>18</v>
      </c>
      <c r="J932" s="2" t="s">
        <v>4203</v>
      </c>
      <c r="K932" s="2" t="s">
        <v>16</v>
      </c>
      <c r="L932" s="2" t="s">
        <v>4204</v>
      </c>
      <c r="M932" s="4">
        <v>9227.42</v>
      </c>
      <c r="N932" t="b">
        <f>OR(LEFT(B932,3)="frg",(_xlfn.XMATCH(B932,ZZZ_Part_Id_[[#All],[FGCODE]])))</f>
        <v>1</v>
      </c>
    </row>
    <row r="933" spans="1:14" x14ac:dyDescent="0.3">
      <c r="A933" s="2" t="s">
        <v>4205</v>
      </c>
      <c r="B933" s="2" t="s">
        <v>14</v>
      </c>
      <c r="C933" s="2" t="s">
        <v>4206</v>
      </c>
      <c r="D933" s="3">
        <v>2</v>
      </c>
      <c r="E933" s="3">
        <v>2</v>
      </c>
      <c r="F933" s="2" t="s">
        <v>16</v>
      </c>
      <c r="G933" s="2" t="s">
        <v>4207</v>
      </c>
      <c r="H933" s="3">
        <v>0</v>
      </c>
      <c r="I933" s="2" t="s">
        <v>18</v>
      </c>
      <c r="J933" s="2" t="s">
        <v>4208</v>
      </c>
      <c r="K933" s="2" t="s">
        <v>16</v>
      </c>
      <c r="L933" s="2" t="s">
        <v>4209</v>
      </c>
      <c r="M933" s="4">
        <v>0.15</v>
      </c>
      <c r="N933" t="e">
        <f>OR(LEFT(B933,3)="frg",(_xlfn.XMATCH(B933,ZZZ_Part_Id_[[#All],[FGCODE]])))</f>
        <v>#N/A</v>
      </c>
    </row>
    <row r="934" spans="1:14" x14ac:dyDescent="0.3">
      <c r="A934" s="2" t="s">
        <v>4205</v>
      </c>
      <c r="B934" s="2" t="s">
        <v>2168</v>
      </c>
      <c r="C934" s="2" t="s">
        <v>4210</v>
      </c>
      <c r="D934" s="3">
        <v>10620</v>
      </c>
      <c r="E934" s="3">
        <v>10620</v>
      </c>
      <c r="F934" s="2" t="s">
        <v>16</v>
      </c>
      <c r="G934" s="2" t="s">
        <v>4211</v>
      </c>
      <c r="H934" s="3">
        <v>0</v>
      </c>
      <c r="I934" s="2" t="s">
        <v>18</v>
      </c>
      <c r="J934" s="2" t="s">
        <v>4212</v>
      </c>
      <c r="K934" s="2" t="s">
        <v>16</v>
      </c>
      <c r="L934" s="2" t="s">
        <v>4213</v>
      </c>
      <c r="M934" s="4">
        <v>1350.65</v>
      </c>
      <c r="N934" t="b">
        <f>OR(LEFT(B934,3)="frg",(_xlfn.XMATCH(B934,ZZZ_Part_Id_[[#All],[FGCODE]])))</f>
        <v>1</v>
      </c>
    </row>
    <row r="935" spans="1:14" x14ac:dyDescent="0.3">
      <c r="A935" s="2" t="s">
        <v>4214</v>
      </c>
      <c r="B935" s="2" t="s">
        <v>14</v>
      </c>
      <c r="C935" s="2" t="s">
        <v>4215</v>
      </c>
      <c r="D935" s="3">
        <v>2</v>
      </c>
      <c r="E935" s="3">
        <v>2</v>
      </c>
      <c r="F935" s="2" t="s">
        <v>16</v>
      </c>
      <c r="G935" s="2" t="s">
        <v>4216</v>
      </c>
      <c r="H935" s="3">
        <v>0</v>
      </c>
      <c r="I935" s="2" t="s">
        <v>18</v>
      </c>
      <c r="J935" s="2" t="s">
        <v>4217</v>
      </c>
      <c r="K935" s="2" t="s">
        <v>16</v>
      </c>
      <c r="L935" s="2" t="s">
        <v>4218</v>
      </c>
      <c r="M935" s="4">
        <v>0.15</v>
      </c>
      <c r="N935" t="e">
        <f>OR(LEFT(B935,3)="frg",(_xlfn.XMATCH(B935,ZZZ_Part_Id_[[#All],[FGCODE]])))</f>
        <v>#N/A</v>
      </c>
    </row>
    <row r="936" spans="1:14" x14ac:dyDescent="0.3">
      <c r="A936" s="2" t="s">
        <v>4214</v>
      </c>
      <c r="B936" s="2" t="s">
        <v>2168</v>
      </c>
      <c r="C936" s="2" t="s">
        <v>4219</v>
      </c>
      <c r="D936" s="3">
        <v>10620</v>
      </c>
      <c r="E936" s="3">
        <v>10620</v>
      </c>
      <c r="F936" s="2" t="s">
        <v>16</v>
      </c>
      <c r="G936" s="2" t="s">
        <v>4220</v>
      </c>
      <c r="H936" s="3">
        <v>0</v>
      </c>
      <c r="I936" s="2" t="s">
        <v>18</v>
      </c>
      <c r="J936" s="2" t="s">
        <v>4221</v>
      </c>
      <c r="K936" s="2" t="s">
        <v>16</v>
      </c>
      <c r="L936" s="2" t="s">
        <v>4222</v>
      </c>
      <c r="M936" s="4">
        <v>1350.65</v>
      </c>
      <c r="N936" t="b">
        <f>OR(LEFT(B936,3)="frg",(_xlfn.XMATCH(B936,ZZZ_Part_Id_[[#All],[FGCODE]])))</f>
        <v>1</v>
      </c>
    </row>
    <row r="937" spans="1:14" x14ac:dyDescent="0.3">
      <c r="A937" s="2" t="s">
        <v>4223</v>
      </c>
      <c r="B937" s="2" t="s">
        <v>172</v>
      </c>
      <c r="C937" s="2" t="s">
        <v>4224</v>
      </c>
      <c r="D937" s="3">
        <v>10</v>
      </c>
      <c r="E937" s="3">
        <v>10</v>
      </c>
      <c r="F937" s="2" t="s">
        <v>23</v>
      </c>
      <c r="G937" s="2" t="s">
        <v>4225</v>
      </c>
      <c r="H937" s="3">
        <v>0</v>
      </c>
      <c r="I937" s="2" t="s">
        <v>18</v>
      </c>
      <c r="J937" s="2" t="s">
        <v>4226</v>
      </c>
      <c r="K937" s="2" t="s">
        <v>23</v>
      </c>
      <c r="L937" s="2" t="s">
        <v>4227</v>
      </c>
      <c r="M937" s="4">
        <v>65</v>
      </c>
      <c r="N937" t="e">
        <f>OR(LEFT(B937,3)="frg",(_xlfn.XMATCH(B937,ZZZ_Part_Id_[[#All],[FGCODE]])))</f>
        <v>#N/A</v>
      </c>
    </row>
    <row r="938" spans="1:14" x14ac:dyDescent="0.3">
      <c r="A938" s="2" t="s">
        <v>4223</v>
      </c>
      <c r="B938" s="2" t="s">
        <v>1512</v>
      </c>
      <c r="C938" s="2" t="s">
        <v>4228</v>
      </c>
      <c r="D938" s="3">
        <v>63720</v>
      </c>
      <c r="E938" s="3">
        <v>63720</v>
      </c>
      <c r="F938" s="2" t="s">
        <v>16</v>
      </c>
      <c r="G938" s="2" t="s">
        <v>4229</v>
      </c>
      <c r="H938" s="3">
        <v>0</v>
      </c>
      <c r="I938" s="2" t="s">
        <v>18</v>
      </c>
      <c r="J938" s="2" t="s">
        <v>4230</v>
      </c>
      <c r="K938" s="2" t="s">
        <v>16</v>
      </c>
      <c r="L938" s="2" t="s">
        <v>4231</v>
      </c>
      <c r="M938" s="4">
        <v>8008.34</v>
      </c>
      <c r="N938" t="b">
        <f>OR(LEFT(B938,3)="frg",(_xlfn.XMATCH(B938,ZZZ_Part_Id_[[#All],[FGCODE]])))</f>
        <v>1</v>
      </c>
    </row>
    <row r="939" spans="1:14" x14ac:dyDescent="0.3">
      <c r="A939" s="2" t="s">
        <v>4232</v>
      </c>
      <c r="B939" s="2" t="s">
        <v>14</v>
      </c>
      <c r="C939" s="2" t="s">
        <v>4233</v>
      </c>
      <c r="D939" s="3">
        <v>2</v>
      </c>
      <c r="E939" s="3">
        <v>2</v>
      </c>
      <c r="F939" s="2" t="s">
        <v>16</v>
      </c>
      <c r="G939" s="2" t="s">
        <v>4234</v>
      </c>
      <c r="H939" s="3">
        <v>0</v>
      </c>
      <c r="I939" s="2" t="s">
        <v>18</v>
      </c>
      <c r="J939" s="2" t="s">
        <v>4235</v>
      </c>
      <c r="K939" s="2" t="s">
        <v>16</v>
      </c>
      <c r="L939" s="2" t="s">
        <v>4236</v>
      </c>
      <c r="M939" s="4">
        <v>0.15</v>
      </c>
      <c r="N939" t="e">
        <f>OR(LEFT(B939,3)="frg",(_xlfn.XMATCH(B939,ZZZ_Part_Id_[[#All],[FGCODE]])))</f>
        <v>#N/A</v>
      </c>
    </row>
    <row r="940" spans="1:14" x14ac:dyDescent="0.3">
      <c r="A940" s="2" t="s">
        <v>4232</v>
      </c>
      <c r="B940" s="2" t="s">
        <v>4237</v>
      </c>
      <c r="C940" s="2" t="s">
        <v>4238</v>
      </c>
      <c r="D940" s="3">
        <v>12672</v>
      </c>
      <c r="E940" s="3">
        <v>12672</v>
      </c>
      <c r="F940" s="2" t="s">
        <v>16</v>
      </c>
      <c r="G940" s="2" t="s">
        <v>4239</v>
      </c>
      <c r="H940" s="3">
        <v>0</v>
      </c>
      <c r="I940" s="2" t="s">
        <v>18</v>
      </c>
      <c r="J940" s="2" t="s">
        <v>4240</v>
      </c>
      <c r="K940" s="2" t="s">
        <v>16</v>
      </c>
      <c r="L940" s="2" t="s">
        <v>4241</v>
      </c>
      <c r="M940" s="4">
        <v>2013.45</v>
      </c>
      <c r="N940" t="b">
        <f>OR(LEFT(B940,3)="frg",(_xlfn.XMATCH(B940,ZZZ_Part_Id_[[#All],[FGCODE]])))</f>
        <v>1</v>
      </c>
    </row>
    <row r="941" spans="1:14" x14ac:dyDescent="0.3">
      <c r="A941" s="2" t="s">
        <v>4242</v>
      </c>
      <c r="B941" s="2" t="s">
        <v>14</v>
      </c>
      <c r="C941" s="2" t="s">
        <v>4243</v>
      </c>
      <c r="D941" s="3">
        <v>4</v>
      </c>
      <c r="E941" s="3">
        <v>4</v>
      </c>
      <c r="F941" s="2" t="s">
        <v>16</v>
      </c>
      <c r="G941" s="2" t="s">
        <v>4244</v>
      </c>
      <c r="H941" s="3">
        <v>0</v>
      </c>
      <c r="I941" s="2" t="s">
        <v>409</v>
      </c>
      <c r="J941" s="2" t="s">
        <v>4245</v>
      </c>
      <c r="K941" s="2" t="s">
        <v>16</v>
      </c>
      <c r="L941" s="2" t="s">
        <v>4246</v>
      </c>
      <c r="M941" s="4">
        <v>0.31</v>
      </c>
      <c r="N941" t="e">
        <f>OR(LEFT(B941,3)="frg",(_xlfn.XMATCH(B941,ZZZ_Part_Id_[[#All],[FGCODE]])))</f>
        <v>#N/A</v>
      </c>
    </row>
    <row r="942" spans="1:14" x14ac:dyDescent="0.3">
      <c r="A942" s="2" t="s">
        <v>4242</v>
      </c>
      <c r="B942" s="2" t="s">
        <v>65</v>
      </c>
      <c r="C942" s="2" t="s">
        <v>4247</v>
      </c>
      <c r="D942" s="5">
        <v>-331</v>
      </c>
      <c r="E942" s="5">
        <v>-331</v>
      </c>
      <c r="F942" s="2" t="s">
        <v>23</v>
      </c>
      <c r="G942" s="2" t="s">
        <v>4248</v>
      </c>
      <c r="H942" s="3">
        <v>0</v>
      </c>
      <c r="I942" s="2" t="s">
        <v>409</v>
      </c>
      <c r="J942" s="2" t="s">
        <v>4249</v>
      </c>
      <c r="K942" s="2" t="s">
        <v>23</v>
      </c>
      <c r="L942" s="2" t="s">
        <v>4250</v>
      </c>
      <c r="M942" s="6">
        <v>-851.2</v>
      </c>
      <c r="N942" t="b">
        <f>OR(LEFT(B942,3)="frg",(_xlfn.XMATCH(B942,ZZZ_Part_Id_[[#All],[FGCODE]])))</f>
        <v>1</v>
      </c>
    </row>
    <row r="943" spans="1:14" x14ac:dyDescent="0.3">
      <c r="A943" s="2" t="s">
        <v>4242</v>
      </c>
      <c r="B943" s="2" t="s">
        <v>3142</v>
      </c>
      <c r="C943" s="2" t="s">
        <v>4251</v>
      </c>
      <c r="D943" s="3">
        <v>13248</v>
      </c>
      <c r="E943" s="3">
        <v>13248</v>
      </c>
      <c r="F943" s="2" t="s">
        <v>16</v>
      </c>
      <c r="G943" s="2" t="s">
        <v>4252</v>
      </c>
      <c r="H943" s="3">
        <v>0</v>
      </c>
      <c r="I943" s="2" t="s">
        <v>409</v>
      </c>
      <c r="J943" s="2" t="s">
        <v>4253</v>
      </c>
      <c r="K943" s="2" t="s">
        <v>16</v>
      </c>
      <c r="L943" s="2" t="s">
        <v>4254</v>
      </c>
      <c r="M943" s="4">
        <v>2667.62</v>
      </c>
      <c r="N943" t="b">
        <f>OR(LEFT(B943,3)="frg",(_xlfn.XMATCH(B943,ZZZ_Part_Id_[[#All],[FGCODE]])))</f>
        <v>1</v>
      </c>
    </row>
    <row r="944" spans="1:14" x14ac:dyDescent="0.3">
      <c r="A944" s="2" t="s">
        <v>4255</v>
      </c>
      <c r="B944" s="2" t="s">
        <v>14</v>
      </c>
      <c r="C944" s="2" t="s">
        <v>4256</v>
      </c>
      <c r="D944" s="3">
        <v>96</v>
      </c>
      <c r="E944" s="3">
        <v>96</v>
      </c>
      <c r="F944" s="2" t="s">
        <v>16</v>
      </c>
      <c r="G944" s="2" t="s">
        <v>4257</v>
      </c>
      <c r="H944" s="3">
        <v>0</v>
      </c>
      <c r="I944" s="2" t="s">
        <v>18</v>
      </c>
      <c r="J944" s="2" t="s">
        <v>4258</v>
      </c>
      <c r="K944" s="2" t="s">
        <v>16</v>
      </c>
      <c r="L944" s="2" t="s">
        <v>4259</v>
      </c>
      <c r="M944" s="4">
        <v>7.39</v>
      </c>
      <c r="N944" t="e">
        <f>OR(LEFT(B944,3)="frg",(_xlfn.XMATCH(B944,ZZZ_Part_Id_[[#All],[FGCODE]])))</f>
        <v>#N/A</v>
      </c>
    </row>
    <row r="945" spans="1:14" x14ac:dyDescent="0.3">
      <c r="A945" s="2" t="s">
        <v>4255</v>
      </c>
      <c r="B945" s="2" t="s">
        <v>264</v>
      </c>
      <c r="C945" s="2" t="s">
        <v>4260</v>
      </c>
      <c r="D945" s="3">
        <v>4.8000000000000001E-2</v>
      </c>
      <c r="E945" s="3">
        <v>4.8000000000000001E-2</v>
      </c>
      <c r="F945" s="2" t="s">
        <v>16</v>
      </c>
      <c r="G945" s="2" t="s">
        <v>4261</v>
      </c>
      <c r="H945" s="3">
        <v>0</v>
      </c>
      <c r="I945" s="2" t="s">
        <v>18</v>
      </c>
      <c r="J945" s="2" t="s">
        <v>4262</v>
      </c>
      <c r="K945" s="2" t="s">
        <v>16</v>
      </c>
      <c r="L945" s="2" t="s">
        <v>4263</v>
      </c>
      <c r="M945" s="4">
        <v>1.23</v>
      </c>
      <c r="N945" t="e">
        <f>OR(LEFT(B945,3)="frg",(_xlfn.XMATCH(B945,ZZZ_Part_Id_[[#All],[FGCODE]])))</f>
        <v>#N/A</v>
      </c>
    </row>
    <row r="946" spans="1:14" x14ac:dyDescent="0.3">
      <c r="A946" s="2" t="s">
        <v>4255</v>
      </c>
      <c r="B946" s="2" t="s">
        <v>740</v>
      </c>
      <c r="C946" s="2" t="s">
        <v>4264</v>
      </c>
      <c r="D946" s="3">
        <v>509760</v>
      </c>
      <c r="E946" s="3">
        <v>509760</v>
      </c>
      <c r="F946" s="2" t="s">
        <v>16</v>
      </c>
      <c r="G946" s="2" t="s">
        <v>4265</v>
      </c>
      <c r="H946" s="3">
        <v>0</v>
      </c>
      <c r="I946" s="2" t="s">
        <v>18</v>
      </c>
      <c r="J946" s="2" t="s">
        <v>4266</v>
      </c>
      <c r="K946" s="2" t="s">
        <v>16</v>
      </c>
      <c r="L946" s="2" t="s">
        <v>4267</v>
      </c>
      <c r="M946" s="4">
        <v>62746.559999999998</v>
      </c>
      <c r="N946" t="b">
        <f>OR(LEFT(B946,3)="frg",(_xlfn.XMATCH(B946,ZZZ_Part_Id_[[#All],[FGCODE]])))</f>
        <v>1</v>
      </c>
    </row>
    <row r="947" spans="1:14" x14ac:dyDescent="0.3">
      <c r="A947" s="2" t="s">
        <v>4255</v>
      </c>
      <c r="B947" s="2" t="s">
        <v>172</v>
      </c>
      <c r="C947" s="2" t="s">
        <v>4268</v>
      </c>
      <c r="D947" s="3">
        <v>13</v>
      </c>
      <c r="E947" s="3">
        <v>13</v>
      </c>
      <c r="F947" s="2" t="s">
        <v>23</v>
      </c>
      <c r="G947" s="2" t="s">
        <v>131</v>
      </c>
      <c r="H947" s="3">
        <v>0</v>
      </c>
      <c r="I947" s="2" t="s">
        <v>18</v>
      </c>
      <c r="J947" s="2" t="s">
        <v>4269</v>
      </c>
      <c r="K947" s="2" t="s">
        <v>23</v>
      </c>
      <c r="L947" s="2" t="s">
        <v>4270</v>
      </c>
      <c r="M947" s="4">
        <v>84.5</v>
      </c>
      <c r="N947" t="e">
        <f>OR(LEFT(B947,3)="frg",(_xlfn.XMATCH(B947,ZZZ_Part_Id_[[#All],[FGCODE]])))</f>
        <v>#N/A</v>
      </c>
    </row>
    <row r="948" spans="1:14" x14ac:dyDescent="0.3">
      <c r="A948" s="2" t="s">
        <v>4271</v>
      </c>
      <c r="B948" s="2" t="s">
        <v>14</v>
      </c>
      <c r="C948" s="2" t="s">
        <v>4272</v>
      </c>
      <c r="D948" s="3">
        <v>95</v>
      </c>
      <c r="E948" s="3">
        <v>95</v>
      </c>
      <c r="F948" s="2" t="s">
        <v>16</v>
      </c>
      <c r="G948" s="2" t="s">
        <v>4273</v>
      </c>
      <c r="H948" s="3">
        <v>0</v>
      </c>
      <c r="I948" s="2" t="s">
        <v>18</v>
      </c>
      <c r="J948" s="2" t="s">
        <v>4274</v>
      </c>
      <c r="K948" s="2" t="s">
        <v>16</v>
      </c>
      <c r="L948" s="2" t="s">
        <v>4275</v>
      </c>
      <c r="M948" s="4">
        <v>7.31</v>
      </c>
      <c r="N948" t="e">
        <f>OR(LEFT(B948,3)="frg",(_xlfn.XMATCH(B948,ZZZ_Part_Id_[[#All],[FGCODE]])))</f>
        <v>#N/A</v>
      </c>
    </row>
    <row r="949" spans="1:14" x14ac:dyDescent="0.3">
      <c r="A949" s="2" t="s">
        <v>4271</v>
      </c>
      <c r="B949" s="2" t="s">
        <v>172</v>
      </c>
      <c r="C949" s="2" t="s">
        <v>4276</v>
      </c>
      <c r="D949" s="3">
        <v>35</v>
      </c>
      <c r="E949" s="3">
        <v>35</v>
      </c>
      <c r="F949" s="2" t="s">
        <v>23</v>
      </c>
      <c r="G949" s="2" t="s">
        <v>4277</v>
      </c>
      <c r="H949" s="3">
        <v>0</v>
      </c>
      <c r="I949" s="2" t="s">
        <v>18</v>
      </c>
      <c r="J949" s="2" t="s">
        <v>4278</v>
      </c>
      <c r="K949" s="2" t="s">
        <v>23</v>
      </c>
      <c r="L949" s="2" t="s">
        <v>4279</v>
      </c>
      <c r="M949" s="4">
        <v>227.5</v>
      </c>
      <c r="N949" t="e">
        <f>OR(LEFT(B949,3)="frg",(_xlfn.XMATCH(B949,ZZZ_Part_Id_[[#All],[FGCODE]])))</f>
        <v>#N/A</v>
      </c>
    </row>
    <row r="950" spans="1:14" x14ac:dyDescent="0.3">
      <c r="A950" s="2" t="s">
        <v>4271</v>
      </c>
      <c r="B950" s="2" t="s">
        <v>97</v>
      </c>
      <c r="C950" s="2" t="s">
        <v>4280</v>
      </c>
      <c r="D950" s="3">
        <v>436800</v>
      </c>
      <c r="E950" s="3">
        <v>436800</v>
      </c>
      <c r="F950" s="2" t="s">
        <v>16</v>
      </c>
      <c r="G950" s="2" t="s">
        <v>4281</v>
      </c>
      <c r="H950" s="3">
        <v>0</v>
      </c>
      <c r="I950" s="2" t="s">
        <v>18</v>
      </c>
      <c r="J950" s="2" t="s">
        <v>4282</v>
      </c>
      <c r="K950" s="2" t="s">
        <v>16</v>
      </c>
      <c r="L950" s="2" t="s">
        <v>4283</v>
      </c>
      <c r="M950" s="4">
        <v>93331.42</v>
      </c>
      <c r="N950" t="b">
        <f>OR(LEFT(B950,3)="frg",(_xlfn.XMATCH(B950,ZZZ_Part_Id_[[#All],[FGCODE]])))</f>
        <v>1</v>
      </c>
    </row>
    <row r="951" spans="1:14" x14ac:dyDescent="0.3">
      <c r="A951" s="2" t="s">
        <v>4284</v>
      </c>
      <c r="B951" s="2" t="s">
        <v>14</v>
      </c>
      <c r="C951" s="2" t="s">
        <v>4285</v>
      </c>
      <c r="D951" s="3">
        <v>4</v>
      </c>
      <c r="E951" s="3">
        <v>4</v>
      </c>
      <c r="F951" s="2" t="s">
        <v>16</v>
      </c>
      <c r="G951" s="2" t="s">
        <v>4286</v>
      </c>
      <c r="H951" s="3">
        <v>0</v>
      </c>
      <c r="I951" s="2" t="s">
        <v>18</v>
      </c>
      <c r="J951" s="2" t="s">
        <v>4287</v>
      </c>
      <c r="K951" s="2" t="s">
        <v>16</v>
      </c>
      <c r="L951" s="2" t="s">
        <v>4288</v>
      </c>
      <c r="M951" s="4">
        <v>0.31</v>
      </c>
      <c r="N951" t="e">
        <f>OR(LEFT(B951,3)="frg",(_xlfn.XMATCH(B951,ZZZ_Part_Id_[[#All],[FGCODE]])))</f>
        <v>#N/A</v>
      </c>
    </row>
    <row r="952" spans="1:14" x14ac:dyDescent="0.3">
      <c r="A952" s="2" t="s">
        <v>4284</v>
      </c>
      <c r="B952" s="2" t="s">
        <v>97</v>
      </c>
      <c r="C952" s="2" t="s">
        <v>4289</v>
      </c>
      <c r="D952" s="3">
        <v>9600</v>
      </c>
      <c r="E952" s="3">
        <v>9600</v>
      </c>
      <c r="F952" s="2" t="s">
        <v>16</v>
      </c>
      <c r="G952" s="2" t="s">
        <v>4290</v>
      </c>
      <c r="H952" s="3">
        <v>0</v>
      </c>
      <c r="I952" s="2" t="s">
        <v>18</v>
      </c>
      <c r="J952" s="2" t="s">
        <v>4291</v>
      </c>
      <c r="K952" s="2" t="s">
        <v>16</v>
      </c>
      <c r="L952" s="2" t="s">
        <v>4292</v>
      </c>
      <c r="M952" s="4">
        <v>2051.2399999999998</v>
      </c>
      <c r="N952" t="b">
        <f>OR(LEFT(B952,3)="frg",(_xlfn.XMATCH(B952,ZZZ_Part_Id_[[#All],[FGCODE]])))</f>
        <v>1</v>
      </c>
    </row>
    <row r="953" spans="1:14" x14ac:dyDescent="0.3">
      <c r="A953" s="2" t="s">
        <v>4293</v>
      </c>
      <c r="B953" s="2" t="s">
        <v>172</v>
      </c>
      <c r="C953" s="2" t="s">
        <v>4294</v>
      </c>
      <c r="D953" s="3">
        <v>4</v>
      </c>
      <c r="E953" s="3">
        <v>4</v>
      </c>
      <c r="F953" s="2" t="s">
        <v>23</v>
      </c>
      <c r="G953" s="2" t="s">
        <v>4295</v>
      </c>
      <c r="H953" s="3">
        <v>0</v>
      </c>
      <c r="I953" s="2" t="s">
        <v>18</v>
      </c>
      <c r="J953" s="2" t="s">
        <v>4296</v>
      </c>
      <c r="K953" s="2" t="s">
        <v>23</v>
      </c>
      <c r="L953" s="2" t="s">
        <v>4297</v>
      </c>
      <c r="M953" s="4">
        <v>26</v>
      </c>
      <c r="N953" t="e">
        <f>OR(LEFT(B953,3)="frg",(_xlfn.XMATCH(B953,ZZZ_Part_Id_[[#All],[FGCODE]])))</f>
        <v>#N/A</v>
      </c>
    </row>
    <row r="954" spans="1:14" x14ac:dyDescent="0.3">
      <c r="A954" s="2" t="s">
        <v>4293</v>
      </c>
      <c r="B954" s="2" t="s">
        <v>1027</v>
      </c>
      <c r="C954" s="2" t="s">
        <v>4298</v>
      </c>
      <c r="D954" s="3">
        <v>31860</v>
      </c>
      <c r="E954" s="3">
        <v>31860</v>
      </c>
      <c r="F954" s="2" t="s">
        <v>16</v>
      </c>
      <c r="G954" s="2" t="s">
        <v>4299</v>
      </c>
      <c r="H954" s="3">
        <v>0</v>
      </c>
      <c r="I954" s="2" t="s">
        <v>18</v>
      </c>
      <c r="J954" s="2" t="s">
        <v>4300</v>
      </c>
      <c r="K954" s="2" t="s">
        <v>16</v>
      </c>
      <c r="L954" s="2" t="s">
        <v>4301</v>
      </c>
      <c r="M954" s="4">
        <v>4004.16</v>
      </c>
      <c r="N954" t="b">
        <f>OR(LEFT(B954,3)="frg",(_xlfn.XMATCH(B954,ZZZ_Part_Id_[[#All],[FGCODE]])))</f>
        <v>1</v>
      </c>
    </row>
    <row r="955" spans="1:14" x14ac:dyDescent="0.3">
      <c r="A955" s="2" t="s">
        <v>4302</v>
      </c>
      <c r="B955" s="2" t="s">
        <v>65</v>
      </c>
      <c r="C955" s="2" t="s">
        <v>4303</v>
      </c>
      <c r="D955" s="5">
        <v>-323</v>
      </c>
      <c r="E955" s="5">
        <v>-323</v>
      </c>
      <c r="F955" s="2" t="s">
        <v>23</v>
      </c>
      <c r="G955" s="2" t="s">
        <v>4304</v>
      </c>
      <c r="H955" s="3">
        <v>0</v>
      </c>
      <c r="I955" s="2" t="s">
        <v>18</v>
      </c>
      <c r="J955" s="2" t="s">
        <v>4305</v>
      </c>
      <c r="K955" s="2" t="s">
        <v>23</v>
      </c>
      <c r="L955" s="2" t="s">
        <v>4306</v>
      </c>
      <c r="M955" s="6">
        <v>-830.63</v>
      </c>
      <c r="N955" t="b">
        <f>OR(LEFT(B955,3)="frg",(_xlfn.XMATCH(B955,ZZZ_Part_Id_[[#All],[FGCODE]])))</f>
        <v>1</v>
      </c>
    </row>
    <row r="956" spans="1:14" x14ac:dyDescent="0.3">
      <c r="A956" s="2" t="s">
        <v>4302</v>
      </c>
      <c r="B956" s="2" t="s">
        <v>740</v>
      </c>
      <c r="C956" s="2" t="s">
        <v>4307</v>
      </c>
      <c r="D956" s="3">
        <v>31860</v>
      </c>
      <c r="E956" s="3">
        <v>31860</v>
      </c>
      <c r="F956" s="2" t="s">
        <v>16</v>
      </c>
      <c r="G956" s="2" t="s">
        <v>4308</v>
      </c>
      <c r="H956" s="3">
        <v>0</v>
      </c>
      <c r="I956" s="2" t="s">
        <v>18</v>
      </c>
      <c r="J956" s="2" t="s">
        <v>4309</v>
      </c>
      <c r="K956" s="2" t="s">
        <v>16</v>
      </c>
      <c r="L956" s="2" t="s">
        <v>4310</v>
      </c>
      <c r="M956" s="4">
        <v>3921.66</v>
      </c>
      <c r="N956" t="b">
        <f>OR(LEFT(B956,3)="frg",(_xlfn.XMATCH(B956,ZZZ_Part_Id_[[#All],[FGCODE]])))</f>
        <v>1</v>
      </c>
    </row>
    <row r="957" spans="1:14" x14ac:dyDescent="0.3">
      <c r="A957" s="2" t="s">
        <v>4311</v>
      </c>
      <c r="B957" s="2" t="s">
        <v>14</v>
      </c>
      <c r="C957" s="2" t="s">
        <v>4312</v>
      </c>
      <c r="D957" s="3">
        <v>1</v>
      </c>
      <c r="E957" s="3">
        <v>1</v>
      </c>
      <c r="F957" s="2" t="s">
        <v>16</v>
      </c>
      <c r="G957" s="2" t="s">
        <v>4313</v>
      </c>
      <c r="H957" s="3">
        <v>0</v>
      </c>
      <c r="I957" s="2" t="s">
        <v>18</v>
      </c>
      <c r="J957" s="2" t="s">
        <v>4314</v>
      </c>
      <c r="K957" s="2" t="s">
        <v>16</v>
      </c>
      <c r="L957" s="2" t="s">
        <v>4315</v>
      </c>
      <c r="M957" s="4">
        <v>0.08</v>
      </c>
      <c r="N957" t="e">
        <f>OR(LEFT(B957,3)="frg",(_xlfn.XMATCH(B957,ZZZ_Part_Id_[[#All],[FGCODE]])))</f>
        <v>#N/A</v>
      </c>
    </row>
    <row r="958" spans="1:14" x14ac:dyDescent="0.3">
      <c r="A958" s="2" t="s">
        <v>4311</v>
      </c>
      <c r="B958" s="2" t="s">
        <v>2100</v>
      </c>
      <c r="C958" s="2" t="s">
        <v>4316</v>
      </c>
      <c r="D958" s="3">
        <v>10620</v>
      </c>
      <c r="E958" s="3">
        <v>10620</v>
      </c>
      <c r="F958" s="2" t="s">
        <v>16</v>
      </c>
      <c r="G958" s="2" t="s">
        <v>4317</v>
      </c>
      <c r="H958" s="3">
        <v>0</v>
      </c>
      <c r="I958" s="2" t="s">
        <v>18</v>
      </c>
      <c r="J958" s="2" t="s">
        <v>4318</v>
      </c>
      <c r="K958" s="2" t="s">
        <v>16</v>
      </c>
      <c r="L958" s="2" t="s">
        <v>4319</v>
      </c>
      <c r="M958" s="4">
        <v>1307.22</v>
      </c>
      <c r="N958" t="b">
        <f>OR(LEFT(B958,3)="frg",(_xlfn.XMATCH(B958,ZZZ_Part_Id_[[#All],[FGCODE]])))</f>
        <v>1</v>
      </c>
    </row>
    <row r="959" spans="1:14" x14ac:dyDescent="0.3">
      <c r="A959" s="2" t="s">
        <v>4320</v>
      </c>
      <c r="B959" s="2" t="s">
        <v>769</v>
      </c>
      <c r="C959" s="2" t="s">
        <v>4321</v>
      </c>
      <c r="D959" s="3">
        <v>29880</v>
      </c>
      <c r="E959" s="3">
        <v>29880</v>
      </c>
      <c r="F959" s="2" t="s">
        <v>16</v>
      </c>
      <c r="G959" s="2" t="s">
        <v>4322</v>
      </c>
      <c r="H959" s="3">
        <v>0</v>
      </c>
      <c r="I959" s="2" t="s">
        <v>409</v>
      </c>
      <c r="J959" s="2" t="s">
        <v>4323</v>
      </c>
      <c r="K959" s="2" t="s">
        <v>16</v>
      </c>
      <c r="L959" s="2" t="s">
        <v>4324</v>
      </c>
      <c r="M959" s="4">
        <v>1064.92</v>
      </c>
      <c r="N959" t="b">
        <f>OR(LEFT(B959,3)="frg",(_xlfn.XMATCH(B959,ZZZ_Part_Id_[[#All],[FGCODE]])))</f>
        <v>1</v>
      </c>
    </row>
    <row r="960" spans="1:14" x14ac:dyDescent="0.3">
      <c r="A960" s="2" t="s">
        <v>4325</v>
      </c>
      <c r="B960" s="2" t="s">
        <v>2191</v>
      </c>
      <c r="C960" s="2" t="s">
        <v>4326</v>
      </c>
      <c r="D960" s="3">
        <v>95</v>
      </c>
      <c r="E960" s="3">
        <v>95</v>
      </c>
      <c r="F960" s="2" t="s">
        <v>47</v>
      </c>
      <c r="G960" s="2" t="s">
        <v>4327</v>
      </c>
      <c r="H960" s="3">
        <v>0</v>
      </c>
      <c r="I960" s="2" t="s">
        <v>18</v>
      </c>
      <c r="J960" s="2" t="s">
        <v>4328</v>
      </c>
      <c r="K960" s="2" t="s">
        <v>47</v>
      </c>
      <c r="L960" s="2" t="s">
        <v>4329</v>
      </c>
      <c r="M960" s="4">
        <v>328.81</v>
      </c>
      <c r="N960" t="e">
        <f>OR(LEFT(B960,3)="frg",(_xlfn.XMATCH(B960,ZZZ_Part_Id_[[#All],[FGCODE]])))</f>
        <v>#N/A</v>
      </c>
    </row>
    <row r="961" spans="1:14" x14ac:dyDescent="0.3">
      <c r="A961" s="2" t="s">
        <v>4325</v>
      </c>
      <c r="B961" s="2" t="s">
        <v>14</v>
      </c>
      <c r="C961" s="2" t="s">
        <v>4330</v>
      </c>
      <c r="D961" s="3">
        <v>14</v>
      </c>
      <c r="E961" s="3">
        <v>14</v>
      </c>
      <c r="F961" s="2" t="s">
        <v>16</v>
      </c>
      <c r="G961" s="2" t="s">
        <v>4331</v>
      </c>
      <c r="H961" s="3">
        <v>0</v>
      </c>
      <c r="I961" s="2" t="s">
        <v>18</v>
      </c>
      <c r="J961" s="2" t="s">
        <v>4332</v>
      </c>
      <c r="K961" s="2" t="s">
        <v>16</v>
      </c>
      <c r="L961" s="2" t="s">
        <v>4333</v>
      </c>
      <c r="M961" s="4">
        <v>1.08</v>
      </c>
      <c r="N961" t="e">
        <f>OR(LEFT(B961,3)="frg",(_xlfn.XMATCH(B961,ZZZ_Part_Id_[[#All],[FGCODE]])))</f>
        <v>#N/A</v>
      </c>
    </row>
    <row r="962" spans="1:14" x14ac:dyDescent="0.3">
      <c r="A962" s="2" t="s">
        <v>4325</v>
      </c>
      <c r="B962" s="2" t="s">
        <v>140</v>
      </c>
      <c r="C962" s="2" t="s">
        <v>4334</v>
      </c>
      <c r="D962" s="3">
        <v>4</v>
      </c>
      <c r="E962" s="3">
        <v>4</v>
      </c>
      <c r="F962" s="2" t="s">
        <v>16</v>
      </c>
      <c r="G962" s="2" t="s">
        <v>4335</v>
      </c>
      <c r="H962" s="3">
        <v>0</v>
      </c>
      <c r="I962" s="2" t="s">
        <v>18</v>
      </c>
      <c r="J962" s="2" t="s">
        <v>4336</v>
      </c>
      <c r="K962" s="2" t="s">
        <v>16</v>
      </c>
      <c r="L962" s="2" t="s">
        <v>4337</v>
      </c>
      <c r="M962" s="4">
        <v>6.6</v>
      </c>
      <c r="N962" t="e">
        <f>OR(LEFT(B962,3)="frg",(_xlfn.XMATCH(B962,ZZZ_Part_Id_[[#All],[FGCODE]])))</f>
        <v>#N/A</v>
      </c>
    </row>
    <row r="963" spans="1:14" x14ac:dyDescent="0.3">
      <c r="A963" s="2" t="s">
        <v>4325</v>
      </c>
      <c r="B963" s="2" t="s">
        <v>4338</v>
      </c>
      <c r="C963" s="2" t="s">
        <v>4339</v>
      </c>
      <c r="D963" s="3">
        <v>8736</v>
      </c>
      <c r="E963" s="3">
        <v>8736</v>
      </c>
      <c r="F963" s="2" t="s">
        <v>16</v>
      </c>
      <c r="G963" s="2" t="s">
        <v>4340</v>
      </c>
      <c r="H963" s="3">
        <v>0</v>
      </c>
      <c r="I963" s="2" t="s">
        <v>18</v>
      </c>
      <c r="J963" s="2" t="s">
        <v>4341</v>
      </c>
      <c r="K963" s="2" t="s">
        <v>16</v>
      </c>
      <c r="L963" s="2" t="s">
        <v>4342</v>
      </c>
      <c r="M963" s="4">
        <v>4381.7299999999996</v>
      </c>
      <c r="N963" t="b">
        <f>OR(LEFT(B963,3)="frg",(_xlfn.XMATCH(B963,ZZZ_Part_Id_[[#All],[FGCODE]])))</f>
        <v>1</v>
      </c>
    </row>
    <row r="964" spans="1:14" x14ac:dyDescent="0.3">
      <c r="A964" s="2" t="s">
        <v>4343</v>
      </c>
      <c r="B964" s="2" t="s">
        <v>2191</v>
      </c>
      <c r="C964" s="2" t="s">
        <v>4344</v>
      </c>
      <c r="D964" s="3">
        <v>95</v>
      </c>
      <c r="E964" s="3">
        <v>95</v>
      </c>
      <c r="F964" s="2" t="s">
        <v>47</v>
      </c>
      <c r="G964" s="2" t="s">
        <v>4345</v>
      </c>
      <c r="H964" s="3">
        <v>0</v>
      </c>
      <c r="I964" s="2" t="s">
        <v>409</v>
      </c>
      <c r="J964" s="2" t="s">
        <v>4346</v>
      </c>
      <c r="K964" s="2" t="s">
        <v>47</v>
      </c>
      <c r="L964" s="2" t="s">
        <v>4347</v>
      </c>
      <c r="M964" s="4">
        <v>328.81</v>
      </c>
      <c r="N964" t="e">
        <f>OR(LEFT(B964,3)="frg",(_xlfn.XMATCH(B964,ZZZ_Part_Id_[[#All],[FGCODE]])))</f>
        <v>#N/A</v>
      </c>
    </row>
    <row r="965" spans="1:14" x14ac:dyDescent="0.3">
      <c r="A965" s="2" t="s">
        <v>4343</v>
      </c>
      <c r="B965" s="2" t="s">
        <v>14</v>
      </c>
      <c r="C965" s="2" t="s">
        <v>4348</v>
      </c>
      <c r="D965" s="3">
        <v>14</v>
      </c>
      <c r="E965" s="3">
        <v>14</v>
      </c>
      <c r="F965" s="2" t="s">
        <v>16</v>
      </c>
      <c r="G965" s="2" t="s">
        <v>4349</v>
      </c>
      <c r="H965" s="3">
        <v>0</v>
      </c>
      <c r="I965" s="2" t="s">
        <v>409</v>
      </c>
      <c r="J965" s="2" t="s">
        <v>4350</v>
      </c>
      <c r="K965" s="2" t="s">
        <v>16</v>
      </c>
      <c r="L965" s="2" t="s">
        <v>4351</v>
      </c>
      <c r="M965" s="4">
        <v>1.08</v>
      </c>
      <c r="N965" t="e">
        <f>OR(LEFT(B965,3)="frg",(_xlfn.XMATCH(B965,ZZZ_Part_Id_[[#All],[FGCODE]])))</f>
        <v>#N/A</v>
      </c>
    </row>
    <row r="966" spans="1:14" x14ac:dyDescent="0.3">
      <c r="A966" s="2" t="s">
        <v>4343</v>
      </c>
      <c r="B966" s="2" t="s">
        <v>2209</v>
      </c>
      <c r="C966" s="2" t="s">
        <v>4352</v>
      </c>
      <c r="D966" s="3">
        <v>14</v>
      </c>
      <c r="E966" s="3">
        <v>14</v>
      </c>
      <c r="F966" s="2" t="s">
        <v>47</v>
      </c>
      <c r="G966" s="2" t="s">
        <v>4353</v>
      </c>
      <c r="H966" s="3">
        <v>0</v>
      </c>
      <c r="I966" s="2" t="s">
        <v>409</v>
      </c>
      <c r="J966" s="2" t="s">
        <v>4354</v>
      </c>
      <c r="K966" s="2" t="s">
        <v>47</v>
      </c>
      <c r="L966" s="2" t="s">
        <v>4355</v>
      </c>
      <c r="M966" s="4">
        <v>21.05</v>
      </c>
      <c r="N966" t="e">
        <f>OR(LEFT(B966,3)="frg",(_xlfn.XMATCH(B966,ZZZ_Part_Id_[[#All],[FGCODE]])))</f>
        <v>#N/A</v>
      </c>
    </row>
    <row r="967" spans="1:14" x14ac:dyDescent="0.3">
      <c r="A967" s="2" t="s">
        <v>4343</v>
      </c>
      <c r="B967" s="2" t="s">
        <v>2673</v>
      </c>
      <c r="C967" s="2" t="s">
        <v>4356</v>
      </c>
      <c r="D967" s="3">
        <v>8736</v>
      </c>
      <c r="E967" s="3">
        <v>8736</v>
      </c>
      <c r="F967" s="2" t="s">
        <v>16</v>
      </c>
      <c r="G967" s="2" t="s">
        <v>4357</v>
      </c>
      <c r="H967" s="3">
        <v>0</v>
      </c>
      <c r="I967" s="2" t="s">
        <v>409</v>
      </c>
      <c r="J967" s="2" t="s">
        <v>4358</v>
      </c>
      <c r="K967" s="2" t="s">
        <v>16</v>
      </c>
      <c r="L967" s="2" t="s">
        <v>4359</v>
      </c>
      <c r="M967" s="4">
        <v>4378.5600000000004</v>
      </c>
      <c r="N967" t="b">
        <f>OR(LEFT(B967,3)="frg",(_xlfn.XMATCH(B967,ZZZ_Part_Id_[[#All],[FGCODE]])))</f>
        <v>1</v>
      </c>
    </row>
    <row r="968" spans="1:14" x14ac:dyDescent="0.3">
      <c r="A968" s="2" t="s">
        <v>4360</v>
      </c>
      <c r="B968" s="2" t="s">
        <v>2209</v>
      </c>
      <c r="C968" s="2" t="s">
        <v>4361</v>
      </c>
      <c r="D968" s="3">
        <v>20</v>
      </c>
      <c r="E968" s="3">
        <v>20</v>
      </c>
      <c r="F968" s="2" t="s">
        <v>47</v>
      </c>
      <c r="G968" s="2" t="s">
        <v>4362</v>
      </c>
      <c r="H968" s="3">
        <v>0</v>
      </c>
      <c r="I968" s="2" t="s">
        <v>409</v>
      </c>
      <c r="J968" s="2" t="s">
        <v>4363</v>
      </c>
      <c r="K968" s="2" t="s">
        <v>47</v>
      </c>
      <c r="L968" s="2" t="s">
        <v>4364</v>
      </c>
      <c r="M968" s="4">
        <v>30.07</v>
      </c>
      <c r="N968" t="e">
        <f>OR(LEFT(B968,3)="frg",(_xlfn.XMATCH(B968,ZZZ_Part_Id_[[#All],[FGCODE]])))</f>
        <v>#N/A</v>
      </c>
    </row>
    <row r="969" spans="1:14" x14ac:dyDescent="0.3">
      <c r="A969" s="2" t="s">
        <v>4360</v>
      </c>
      <c r="B969" s="2" t="s">
        <v>4365</v>
      </c>
      <c r="C969" s="2" t="s">
        <v>4366</v>
      </c>
      <c r="D969" s="3">
        <v>3780</v>
      </c>
      <c r="E969" s="3">
        <v>3780</v>
      </c>
      <c r="F969" s="2" t="s">
        <v>16</v>
      </c>
      <c r="G969" s="2" t="s">
        <v>4367</v>
      </c>
      <c r="H969" s="3">
        <v>0</v>
      </c>
      <c r="I969" s="2" t="s">
        <v>409</v>
      </c>
      <c r="J969" s="2" t="s">
        <v>4368</v>
      </c>
      <c r="K969" s="2" t="s">
        <v>16</v>
      </c>
      <c r="L969" s="2" t="s">
        <v>4369</v>
      </c>
      <c r="M969" s="4">
        <v>1101.19</v>
      </c>
      <c r="N969" t="b">
        <f>OR(LEFT(B969,3)="frg",(_xlfn.XMATCH(B969,ZZZ_Part_Id_[[#All],[FGCODE]])))</f>
        <v>1</v>
      </c>
    </row>
    <row r="970" spans="1:14" x14ac:dyDescent="0.3">
      <c r="A970" s="2" t="s">
        <v>4370</v>
      </c>
      <c r="B970" s="2" t="s">
        <v>27</v>
      </c>
      <c r="C970" s="2" t="s">
        <v>4371</v>
      </c>
      <c r="D970" s="3">
        <v>324576</v>
      </c>
      <c r="E970" s="3">
        <v>324576</v>
      </c>
      <c r="F970" s="2" t="s">
        <v>16</v>
      </c>
      <c r="G970" s="2" t="s">
        <v>4372</v>
      </c>
      <c r="H970" s="3">
        <v>0</v>
      </c>
      <c r="I970" s="2" t="s">
        <v>18</v>
      </c>
      <c r="J970" s="2" t="s">
        <v>4373</v>
      </c>
      <c r="K970" s="2" t="s">
        <v>16</v>
      </c>
      <c r="L970" s="2" t="s">
        <v>4374</v>
      </c>
      <c r="M970" s="4">
        <v>60280.29</v>
      </c>
      <c r="N970" t="b">
        <f>OR(LEFT(B970,3)="frg",(_xlfn.XMATCH(B970,ZZZ_Part_Id_[[#All],[FGCODE]])))</f>
        <v>1</v>
      </c>
    </row>
    <row r="971" spans="1:14" x14ac:dyDescent="0.3">
      <c r="A971" s="2" t="s">
        <v>4370</v>
      </c>
      <c r="B971" s="2" t="s">
        <v>14</v>
      </c>
      <c r="C971" s="2" t="s">
        <v>4375</v>
      </c>
      <c r="D971" s="3">
        <v>48</v>
      </c>
      <c r="E971" s="3">
        <v>48</v>
      </c>
      <c r="F971" s="2" t="s">
        <v>16</v>
      </c>
      <c r="G971" s="2" t="s">
        <v>4376</v>
      </c>
      <c r="H971" s="3">
        <v>0</v>
      </c>
      <c r="I971" s="2" t="s">
        <v>18</v>
      </c>
      <c r="J971" s="2" t="s">
        <v>4377</v>
      </c>
      <c r="K971" s="2" t="s">
        <v>16</v>
      </c>
      <c r="L971" s="2" t="s">
        <v>4378</v>
      </c>
      <c r="M971" s="4">
        <v>3.69</v>
      </c>
      <c r="N971" t="e">
        <f>OR(LEFT(B971,3)="frg",(_xlfn.XMATCH(B971,ZZZ_Part_Id_[[#All],[FGCODE]])))</f>
        <v>#N/A</v>
      </c>
    </row>
    <row r="972" spans="1:14" x14ac:dyDescent="0.3">
      <c r="A972" s="2" t="s">
        <v>4370</v>
      </c>
      <c r="B972" s="2" t="s">
        <v>140</v>
      </c>
      <c r="C972" s="2" t="s">
        <v>4379</v>
      </c>
      <c r="D972" s="3">
        <v>1.92</v>
      </c>
      <c r="E972" s="3">
        <v>1.92</v>
      </c>
      <c r="F972" s="2" t="s">
        <v>16</v>
      </c>
      <c r="G972" s="2" t="s">
        <v>4380</v>
      </c>
      <c r="H972" s="3">
        <v>0</v>
      </c>
      <c r="I972" s="2" t="s">
        <v>18</v>
      </c>
      <c r="J972" s="2" t="s">
        <v>4381</v>
      </c>
      <c r="K972" s="2" t="s">
        <v>16</v>
      </c>
      <c r="L972" s="2" t="s">
        <v>4382</v>
      </c>
      <c r="M972" s="4">
        <v>3.17</v>
      </c>
      <c r="N972" t="e">
        <f>OR(LEFT(B972,3)="frg",(_xlfn.XMATCH(B972,ZZZ_Part_Id_[[#All],[FGCODE]])))</f>
        <v>#N/A</v>
      </c>
    </row>
    <row r="973" spans="1:14" x14ac:dyDescent="0.3">
      <c r="A973" s="2" t="s">
        <v>4370</v>
      </c>
      <c r="B973" s="2" t="s">
        <v>192</v>
      </c>
      <c r="C973" s="2" t="s">
        <v>4383</v>
      </c>
      <c r="D973" s="3">
        <v>0.48</v>
      </c>
      <c r="E973" s="3">
        <v>0.48</v>
      </c>
      <c r="F973" s="2" t="s">
        <v>194</v>
      </c>
      <c r="G973" s="2" t="s">
        <v>4384</v>
      </c>
      <c r="H973" s="3">
        <v>0</v>
      </c>
      <c r="I973" s="2" t="s">
        <v>18</v>
      </c>
      <c r="J973" s="2" t="s">
        <v>4385</v>
      </c>
      <c r="K973" s="2" t="s">
        <v>194</v>
      </c>
      <c r="L973" s="2" t="s">
        <v>4386</v>
      </c>
      <c r="M973" s="4">
        <v>2.57</v>
      </c>
      <c r="N973" t="e">
        <f>OR(LEFT(B973,3)="frg",(_xlfn.XMATCH(B973,ZZZ_Part_Id_[[#All],[FGCODE]])))</f>
        <v>#N/A</v>
      </c>
    </row>
    <row r="974" spans="1:14" x14ac:dyDescent="0.3">
      <c r="A974" s="2" t="s">
        <v>4370</v>
      </c>
      <c r="B974" s="2" t="s">
        <v>172</v>
      </c>
      <c r="C974" s="2" t="s">
        <v>4387</v>
      </c>
      <c r="D974" s="3">
        <v>13.536</v>
      </c>
      <c r="E974" s="3">
        <v>13.536</v>
      </c>
      <c r="F974" s="2" t="s">
        <v>23</v>
      </c>
      <c r="G974" s="2" t="s">
        <v>4388</v>
      </c>
      <c r="H974" s="3">
        <v>0</v>
      </c>
      <c r="I974" s="2" t="s">
        <v>18</v>
      </c>
      <c r="J974" s="2" t="s">
        <v>4389</v>
      </c>
      <c r="K974" s="2" t="s">
        <v>23</v>
      </c>
      <c r="L974" s="2" t="s">
        <v>4390</v>
      </c>
      <c r="M974" s="4">
        <v>87.98</v>
      </c>
      <c r="N974" t="e">
        <f>OR(LEFT(B974,3)="frg",(_xlfn.XMATCH(B974,ZZZ_Part_Id_[[#All],[FGCODE]])))</f>
        <v>#N/A</v>
      </c>
    </row>
    <row r="975" spans="1:14" x14ac:dyDescent="0.3">
      <c r="A975" s="2" t="s">
        <v>4370</v>
      </c>
      <c r="B975" s="2" t="s">
        <v>21</v>
      </c>
      <c r="C975" s="2" t="s">
        <v>4391</v>
      </c>
      <c r="D975" s="5">
        <v>-298</v>
      </c>
      <c r="E975" s="5">
        <v>-298</v>
      </c>
      <c r="F975" s="2" t="s">
        <v>23</v>
      </c>
      <c r="G975" s="2" t="s">
        <v>131</v>
      </c>
      <c r="H975" s="3">
        <v>0</v>
      </c>
      <c r="I975" s="2" t="s">
        <v>18</v>
      </c>
      <c r="J975" s="2" t="s">
        <v>4392</v>
      </c>
      <c r="K975" s="2" t="s">
        <v>23</v>
      </c>
      <c r="L975" s="2" t="s">
        <v>4393</v>
      </c>
      <c r="M975" s="6">
        <v>-564.26</v>
      </c>
      <c r="N975" t="b">
        <f>OR(LEFT(B975,3)="frg",(_xlfn.XMATCH(B975,ZZZ_Part_Id_[[#All],[FGCODE]])))</f>
        <v>1</v>
      </c>
    </row>
    <row r="976" spans="1:14" x14ac:dyDescent="0.3">
      <c r="A976" s="2" t="s">
        <v>4394</v>
      </c>
      <c r="B976" s="2" t="s">
        <v>699</v>
      </c>
      <c r="C976" s="2" t="s">
        <v>4395</v>
      </c>
      <c r="D976" s="3">
        <v>112608</v>
      </c>
      <c r="E976" s="3">
        <v>112608</v>
      </c>
      <c r="F976" s="2" t="s">
        <v>16</v>
      </c>
      <c r="G976" s="2" t="s">
        <v>4396</v>
      </c>
      <c r="H976" s="3">
        <v>0</v>
      </c>
      <c r="I976" s="2" t="s">
        <v>18</v>
      </c>
      <c r="J976" s="2" t="s">
        <v>4397</v>
      </c>
      <c r="K976" s="2" t="s">
        <v>16</v>
      </c>
      <c r="L976" s="2" t="s">
        <v>4398</v>
      </c>
      <c r="M976" s="4">
        <v>20528.52</v>
      </c>
      <c r="N976" t="b">
        <f>OR(LEFT(B976,3)="frg",(_xlfn.XMATCH(B976,ZZZ_Part_Id_[[#All],[FGCODE]])))</f>
        <v>1</v>
      </c>
    </row>
    <row r="977" spans="1:14" x14ac:dyDescent="0.3">
      <c r="A977" s="2" t="s">
        <v>4394</v>
      </c>
      <c r="B977" s="2" t="s">
        <v>14</v>
      </c>
      <c r="C977" s="2" t="s">
        <v>4399</v>
      </c>
      <c r="D977" s="3">
        <v>16</v>
      </c>
      <c r="E977" s="3">
        <v>16</v>
      </c>
      <c r="F977" s="2" t="s">
        <v>16</v>
      </c>
      <c r="G977" s="2" t="s">
        <v>4400</v>
      </c>
      <c r="H977" s="3">
        <v>0</v>
      </c>
      <c r="I977" s="2" t="s">
        <v>18</v>
      </c>
      <c r="J977" s="2" t="s">
        <v>4401</v>
      </c>
      <c r="K977" s="2" t="s">
        <v>16</v>
      </c>
      <c r="L977" s="2" t="s">
        <v>4402</v>
      </c>
      <c r="M977" s="4">
        <v>1.23</v>
      </c>
      <c r="N977" t="e">
        <f>OR(LEFT(B977,3)="frg",(_xlfn.XMATCH(B977,ZZZ_Part_Id_[[#All],[FGCODE]])))</f>
        <v>#N/A</v>
      </c>
    </row>
    <row r="978" spans="1:14" x14ac:dyDescent="0.3">
      <c r="A978" s="2" t="s">
        <v>4394</v>
      </c>
      <c r="B978" s="2" t="s">
        <v>140</v>
      </c>
      <c r="C978" s="2" t="s">
        <v>4403</v>
      </c>
      <c r="D978" s="3">
        <v>0.64</v>
      </c>
      <c r="E978" s="3">
        <v>0.64</v>
      </c>
      <c r="F978" s="2" t="s">
        <v>16</v>
      </c>
      <c r="G978" s="2" t="s">
        <v>4404</v>
      </c>
      <c r="H978" s="3">
        <v>0</v>
      </c>
      <c r="I978" s="2" t="s">
        <v>18</v>
      </c>
      <c r="J978" s="2" t="s">
        <v>4405</v>
      </c>
      <c r="K978" s="2" t="s">
        <v>16</v>
      </c>
      <c r="L978" s="2" t="s">
        <v>4406</v>
      </c>
      <c r="M978" s="4">
        <v>1.06</v>
      </c>
      <c r="N978" t="e">
        <f>OR(LEFT(B978,3)="frg",(_xlfn.XMATCH(B978,ZZZ_Part_Id_[[#All],[FGCODE]])))</f>
        <v>#N/A</v>
      </c>
    </row>
    <row r="979" spans="1:14" x14ac:dyDescent="0.3">
      <c r="A979" s="2" t="s">
        <v>4394</v>
      </c>
      <c r="B979" s="2" t="s">
        <v>192</v>
      </c>
      <c r="C979" s="2" t="s">
        <v>4407</v>
      </c>
      <c r="D979" s="3">
        <v>0.16</v>
      </c>
      <c r="E979" s="3">
        <v>0.16</v>
      </c>
      <c r="F979" s="2" t="s">
        <v>194</v>
      </c>
      <c r="G979" s="2" t="s">
        <v>4408</v>
      </c>
      <c r="H979" s="3">
        <v>0</v>
      </c>
      <c r="I979" s="2" t="s">
        <v>18</v>
      </c>
      <c r="J979" s="2" t="s">
        <v>4409</v>
      </c>
      <c r="K979" s="2" t="s">
        <v>194</v>
      </c>
      <c r="L979" s="2" t="s">
        <v>4410</v>
      </c>
      <c r="M979" s="4">
        <v>0.86</v>
      </c>
      <c r="N979" t="e">
        <f>OR(LEFT(B979,3)="frg",(_xlfn.XMATCH(B979,ZZZ_Part_Id_[[#All],[FGCODE]])))</f>
        <v>#N/A</v>
      </c>
    </row>
    <row r="980" spans="1:14" x14ac:dyDescent="0.3">
      <c r="A980" s="2" t="s">
        <v>4394</v>
      </c>
      <c r="B980" s="2" t="s">
        <v>172</v>
      </c>
      <c r="C980" s="2" t="s">
        <v>4411</v>
      </c>
      <c r="D980" s="3">
        <v>4.5119999999999996</v>
      </c>
      <c r="E980" s="3">
        <v>4.5119999999999996</v>
      </c>
      <c r="F980" s="2" t="s">
        <v>23</v>
      </c>
      <c r="G980" s="2" t="s">
        <v>4412</v>
      </c>
      <c r="H980" s="3">
        <v>0</v>
      </c>
      <c r="I980" s="2" t="s">
        <v>18</v>
      </c>
      <c r="J980" s="2" t="s">
        <v>4413</v>
      </c>
      <c r="K980" s="2" t="s">
        <v>23</v>
      </c>
      <c r="L980" s="2" t="s">
        <v>4414</v>
      </c>
      <c r="M980" s="4">
        <v>29.33</v>
      </c>
      <c r="N980" t="e">
        <f>OR(LEFT(B980,3)="frg",(_xlfn.XMATCH(B980,ZZZ_Part_Id_[[#All],[FGCODE]])))</f>
        <v>#N/A</v>
      </c>
    </row>
    <row r="981" spans="1:14" x14ac:dyDescent="0.3">
      <c r="A981" s="2" t="s">
        <v>4415</v>
      </c>
      <c r="B981" s="2" t="s">
        <v>14</v>
      </c>
      <c r="C981" s="2" t="s">
        <v>4416</v>
      </c>
      <c r="D981" s="3">
        <v>4</v>
      </c>
      <c r="E981" s="3">
        <v>4</v>
      </c>
      <c r="F981" s="2" t="s">
        <v>16</v>
      </c>
      <c r="G981" s="2" t="s">
        <v>4417</v>
      </c>
      <c r="H981" s="3">
        <v>0</v>
      </c>
      <c r="I981" s="2" t="s">
        <v>18</v>
      </c>
      <c r="J981" s="2" t="s">
        <v>4418</v>
      </c>
      <c r="K981" s="2" t="s">
        <v>16</v>
      </c>
      <c r="L981" s="2" t="s">
        <v>4419</v>
      </c>
      <c r="M981" s="4">
        <v>0.31</v>
      </c>
      <c r="N981" t="e">
        <f>OR(LEFT(B981,3)="frg",(_xlfn.XMATCH(B981,ZZZ_Part_Id_[[#All],[FGCODE]])))</f>
        <v>#N/A</v>
      </c>
    </row>
    <row r="982" spans="1:14" x14ac:dyDescent="0.3">
      <c r="A982" s="2" t="s">
        <v>4415</v>
      </c>
      <c r="B982" s="2" t="s">
        <v>65</v>
      </c>
      <c r="C982" s="2" t="s">
        <v>4420</v>
      </c>
      <c r="D982" s="5">
        <v>-98</v>
      </c>
      <c r="E982" s="5">
        <v>-98</v>
      </c>
      <c r="F982" s="2" t="s">
        <v>23</v>
      </c>
      <c r="G982" s="2" t="s">
        <v>4421</v>
      </c>
      <c r="H982" s="3">
        <v>0</v>
      </c>
      <c r="I982" s="2" t="s">
        <v>18</v>
      </c>
      <c r="J982" s="2" t="s">
        <v>4422</v>
      </c>
      <c r="K982" s="2" t="s">
        <v>23</v>
      </c>
      <c r="L982" s="2" t="s">
        <v>4423</v>
      </c>
      <c r="M982" s="6">
        <v>-252.02</v>
      </c>
      <c r="N982" t="b">
        <f>OR(LEFT(B982,3)="frg",(_xlfn.XMATCH(B982,ZZZ_Part_Id_[[#All],[FGCODE]])))</f>
        <v>1</v>
      </c>
    </row>
    <row r="983" spans="1:14" x14ac:dyDescent="0.3">
      <c r="A983" s="2" t="s">
        <v>4415</v>
      </c>
      <c r="B983" s="2" t="s">
        <v>4424</v>
      </c>
      <c r="C983" s="2" t="s">
        <v>4425</v>
      </c>
      <c r="D983" s="3">
        <v>86523</v>
      </c>
      <c r="E983" s="3">
        <v>86523</v>
      </c>
      <c r="F983" s="2" t="s">
        <v>16</v>
      </c>
      <c r="G983" s="2" t="s">
        <v>4426</v>
      </c>
      <c r="H983" s="3">
        <v>0</v>
      </c>
      <c r="I983" s="2" t="s">
        <v>18</v>
      </c>
      <c r="J983" s="2" t="s">
        <v>4427</v>
      </c>
      <c r="K983" s="2" t="s">
        <v>16</v>
      </c>
      <c r="L983" s="2" t="s">
        <v>4428</v>
      </c>
      <c r="M983" s="4">
        <v>3578.6</v>
      </c>
      <c r="N983" t="b">
        <f>OR(LEFT(B983,3)="frg",(_xlfn.XMATCH(B983,ZZZ_Part_Id_[[#All],[FGCODE]])))</f>
        <v>1</v>
      </c>
    </row>
    <row r="984" spans="1:14" x14ac:dyDescent="0.3">
      <c r="A984" s="2" t="s">
        <v>4429</v>
      </c>
      <c r="B984" s="2" t="s">
        <v>65</v>
      </c>
      <c r="C984" s="2" t="s">
        <v>4430</v>
      </c>
      <c r="D984" s="5">
        <v>-228</v>
      </c>
      <c r="E984" s="5">
        <v>-228</v>
      </c>
      <c r="F984" s="2" t="s">
        <v>23</v>
      </c>
      <c r="G984" s="2" t="s">
        <v>4431</v>
      </c>
      <c r="H984" s="3">
        <v>0</v>
      </c>
      <c r="I984" s="2" t="s">
        <v>18</v>
      </c>
      <c r="J984" s="2" t="s">
        <v>4432</v>
      </c>
      <c r="K984" s="2" t="s">
        <v>23</v>
      </c>
      <c r="L984" s="2" t="s">
        <v>4433</v>
      </c>
      <c r="M984" s="6">
        <v>-586.32000000000005</v>
      </c>
      <c r="N984" t="b">
        <f>OR(LEFT(B984,3)="frg",(_xlfn.XMATCH(B984,ZZZ_Part_Id_[[#All],[FGCODE]])))</f>
        <v>1</v>
      </c>
    </row>
    <row r="985" spans="1:14" x14ac:dyDescent="0.3">
      <c r="A985" s="2" t="s">
        <v>4429</v>
      </c>
      <c r="B985" s="2" t="s">
        <v>70</v>
      </c>
      <c r="C985" s="2" t="s">
        <v>4434</v>
      </c>
      <c r="D985" s="3">
        <v>63360</v>
      </c>
      <c r="E985" s="3">
        <v>63360</v>
      </c>
      <c r="F985" s="2" t="s">
        <v>16</v>
      </c>
      <c r="G985" s="2" t="s">
        <v>4435</v>
      </c>
      <c r="H985" s="3">
        <v>0</v>
      </c>
      <c r="I985" s="2" t="s">
        <v>18</v>
      </c>
      <c r="J985" s="2" t="s">
        <v>4436</v>
      </c>
      <c r="K985" s="2" t="s">
        <v>16</v>
      </c>
      <c r="L985" s="2" t="s">
        <v>4437</v>
      </c>
      <c r="M985" s="4">
        <v>9920.2999999999993</v>
      </c>
      <c r="N985" t="b">
        <f>OR(LEFT(B985,3)="frg",(_xlfn.XMATCH(B985,ZZZ_Part_Id_[[#All],[FGCODE]])))</f>
        <v>1</v>
      </c>
    </row>
    <row r="986" spans="1:14" x14ac:dyDescent="0.3">
      <c r="A986" s="2" t="s">
        <v>4438</v>
      </c>
      <c r="B986" s="2" t="s">
        <v>14</v>
      </c>
      <c r="C986" s="2" t="s">
        <v>4439</v>
      </c>
      <c r="D986" s="3">
        <v>4</v>
      </c>
      <c r="E986" s="3">
        <v>4</v>
      </c>
      <c r="F986" s="2" t="s">
        <v>16</v>
      </c>
      <c r="G986" s="2" t="s">
        <v>4440</v>
      </c>
      <c r="H986" s="3">
        <v>0</v>
      </c>
      <c r="I986" s="2" t="s">
        <v>18</v>
      </c>
      <c r="J986" s="2" t="s">
        <v>4441</v>
      </c>
      <c r="K986" s="2" t="s">
        <v>16</v>
      </c>
      <c r="L986" s="2" t="s">
        <v>4442</v>
      </c>
      <c r="M986" s="4">
        <v>0.31</v>
      </c>
      <c r="N986" t="e">
        <f>OR(LEFT(B986,3)="frg",(_xlfn.XMATCH(B986,ZZZ_Part_Id_[[#All],[FGCODE]])))</f>
        <v>#N/A</v>
      </c>
    </row>
    <row r="987" spans="1:14" x14ac:dyDescent="0.3">
      <c r="A987" s="2" t="s">
        <v>4438</v>
      </c>
      <c r="B987" s="2" t="s">
        <v>37</v>
      </c>
      <c r="C987" s="2" t="s">
        <v>4443</v>
      </c>
      <c r="D987" s="3">
        <v>4</v>
      </c>
      <c r="E987" s="3">
        <v>4</v>
      </c>
      <c r="F987" s="2" t="s">
        <v>16</v>
      </c>
      <c r="G987" s="2" t="s">
        <v>4444</v>
      </c>
      <c r="H987" s="3">
        <v>0</v>
      </c>
      <c r="I987" s="2" t="s">
        <v>18</v>
      </c>
      <c r="J987" s="2" t="s">
        <v>4445</v>
      </c>
      <c r="K987" s="2" t="s">
        <v>16</v>
      </c>
      <c r="L987" s="2" t="s">
        <v>4446</v>
      </c>
      <c r="M987" s="4">
        <v>64</v>
      </c>
      <c r="N987" t="e">
        <f>OR(LEFT(B987,3)="frg",(_xlfn.XMATCH(B987,ZZZ_Part_Id_[[#All],[FGCODE]])))</f>
        <v>#N/A</v>
      </c>
    </row>
    <row r="988" spans="1:14" x14ac:dyDescent="0.3">
      <c r="A988" s="2" t="s">
        <v>4438</v>
      </c>
      <c r="B988" s="2" t="s">
        <v>86</v>
      </c>
      <c r="C988" s="2" t="s">
        <v>4447</v>
      </c>
      <c r="D988" s="5">
        <v>-238</v>
      </c>
      <c r="E988" s="5">
        <v>-238</v>
      </c>
      <c r="F988" s="2" t="s">
        <v>23</v>
      </c>
      <c r="G988" s="2" t="s">
        <v>4448</v>
      </c>
      <c r="H988" s="3">
        <v>0</v>
      </c>
      <c r="I988" s="2" t="s">
        <v>18</v>
      </c>
      <c r="J988" s="2" t="s">
        <v>4449</v>
      </c>
      <c r="K988" s="2" t="s">
        <v>23</v>
      </c>
      <c r="L988" s="2" t="s">
        <v>4450</v>
      </c>
      <c r="M988" s="6">
        <v>-623.04</v>
      </c>
      <c r="N988" t="b">
        <f>OR(LEFT(B988,3)="frg",(_xlfn.XMATCH(B988,ZZZ_Part_Id_[[#All],[FGCODE]])))</f>
        <v>1</v>
      </c>
    </row>
    <row r="989" spans="1:14" x14ac:dyDescent="0.3">
      <c r="A989" s="2" t="s">
        <v>4438</v>
      </c>
      <c r="B989" s="2" t="s">
        <v>76</v>
      </c>
      <c r="C989" s="2" t="s">
        <v>4451</v>
      </c>
      <c r="D989" s="3">
        <v>101520</v>
      </c>
      <c r="E989" s="3">
        <v>101520</v>
      </c>
      <c r="F989" s="2" t="s">
        <v>16</v>
      </c>
      <c r="G989" s="2" t="s">
        <v>4452</v>
      </c>
      <c r="H989" s="3">
        <v>0</v>
      </c>
      <c r="I989" s="2" t="s">
        <v>18</v>
      </c>
      <c r="J989" s="2" t="s">
        <v>4453</v>
      </c>
      <c r="K989" s="2" t="s">
        <v>16</v>
      </c>
      <c r="L989" s="2" t="s">
        <v>4454</v>
      </c>
      <c r="M989" s="4">
        <v>833.48</v>
      </c>
      <c r="N989" t="b">
        <f>OR(LEFT(B989,3)="frg",(_xlfn.XMATCH(B989,ZZZ_Part_Id_[[#All],[FGCODE]])))</f>
        <v>1</v>
      </c>
    </row>
    <row r="990" spans="1:14" x14ac:dyDescent="0.3">
      <c r="A990" s="2" t="s">
        <v>4455</v>
      </c>
      <c r="B990" s="2" t="s">
        <v>14</v>
      </c>
      <c r="C990" s="2" t="s">
        <v>4456</v>
      </c>
      <c r="D990" s="3">
        <v>4</v>
      </c>
      <c r="E990" s="3">
        <v>4</v>
      </c>
      <c r="F990" s="2" t="s">
        <v>16</v>
      </c>
      <c r="G990" s="2" t="s">
        <v>4457</v>
      </c>
      <c r="H990" s="3">
        <v>0</v>
      </c>
      <c r="I990" s="2" t="s">
        <v>18</v>
      </c>
      <c r="J990" s="2" t="s">
        <v>4458</v>
      </c>
      <c r="K990" s="2" t="s">
        <v>16</v>
      </c>
      <c r="L990" s="2" t="s">
        <v>4459</v>
      </c>
      <c r="M990" s="4">
        <v>0.31</v>
      </c>
      <c r="N990" t="e">
        <f>OR(LEFT(B990,3)="frg",(_xlfn.XMATCH(B990,ZZZ_Part_Id_[[#All],[FGCODE]])))</f>
        <v>#N/A</v>
      </c>
    </row>
    <row r="991" spans="1:14" x14ac:dyDescent="0.3">
      <c r="A991" s="2" t="s">
        <v>4455</v>
      </c>
      <c r="B991" s="2" t="s">
        <v>1119</v>
      </c>
      <c r="C991" s="2" t="s">
        <v>4460</v>
      </c>
      <c r="D991" s="3">
        <v>50760</v>
      </c>
      <c r="E991" s="3">
        <v>50760</v>
      </c>
      <c r="F991" s="2" t="s">
        <v>16</v>
      </c>
      <c r="G991" s="2" t="s">
        <v>4461</v>
      </c>
      <c r="H991" s="3">
        <v>0</v>
      </c>
      <c r="I991" s="2" t="s">
        <v>18</v>
      </c>
      <c r="J991" s="2" t="s">
        <v>4462</v>
      </c>
      <c r="K991" s="2" t="s">
        <v>16</v>
      </c>
      <c r="L991" s="2" t="s">
        <v>4463</v>
      </c>
      <c r="M991" s="4">
        <v>2339.02</v>
      </c>
      <c r="N991" t="b">
        <f>OR(LEFT(B991,3)="frg",(_xlfn.XMATCH(B991,ZZZ_Part_Id_[[#All],[FGCODE]])))</f>
        <v>1</v>
      </c>
    </row>
    <row r="992" spans="1:14" x14ac:dyDescent="0.3">
      <c r="A992" s="2" t="s">
        <v>4464</v>
      </c>
      <c r="B992" s="2" t="s">
        <v>172</v>
      </c>
      <c r="C992" s="2" t="s">
        <v>4465</v>
      </c>
      <c r="D992" s="3">
        <v>14</v>
      </c>
      <c r="E992" s="3">
        <v>14</v>
      </c>
      <c r="F992" s="2" t="s">
        <v>23</v>
      </c>
      <c r="G992" s="2" t="s">
        <v>4466</v>
      </c>
      <c r="H992" s="3">
        <v>0</v>
      </c>
      <c r="I992" s="2" t="s">
        <v>409</v>
      </c>
      <c r="J992" s="2" t="s">
        <v>4467</v>
      </c>
      <c r="K992" s="2" t="s">
        <v>23</v>
      </c>
      <c r="L992" s="2" t="s">
        <v>4468</v>
      </c>
      <c r="M992" s="4">
        <v>91</v>
      </c>
      <c r="N992" t="e">
        <f>OR(LEFT(B992,3)="frg",(_xlfn.XMATCH(B992,ZZZ_Part_Id_[[#All],[FGCODE]])))</f>
        <v>#N/A</v>
      </c>
    </row>
    <row r="993" spans="1:14" x14ac:dyDescent="0.3">
      <c r="A993" s="2" t="s">
        <v>4464</v>
      </c>
      <c r="B993" s="2" t="s">
        <v>1093</v>
      </c>
      <c r="C993" s="2" t="s">
        <v>4469</v>
      </c>
      <c r="D993" s="3">
        <v>375840</v>
      </c>
      <c r="E993" s="3">
        <v>375840</v>
      </c>
      <c r="F993" s="2" t="s">
        <v>16</v>
      </c>
      <c r="G993" s="2" t="s">
        <v>4470</v>
      </c>
      <c r="H993" s="3">
        <v>0</v>
      </c>
      <c r="I993" s="2" t="s">
        <v>409</v>
      </c>
      <c r="J993" s="2" t="s">
        <v>4471</v>
      </c>
      <c r="K993" s="2" t="s">
        <v>16</v>
      </c>
      <c r="L993" s="2" t="s">
        <v>4472</v>
      </c>
      <c r="M993" s="4">
        <v>20494.62</v>
      </c>
      <c r="N993" t="b">
        <f>OR(LEFT(B993,3)="frg",(_xlfn.XMATCH(B993,ZZZ_Part_Id_[[#All],[FGCODE]])))</f>
        <v>1</v>
      </c>
    </row>
    <row r="994" spans="1:14" x14ac:dyDescent="0.3">
      <c r="A994" s="2" t="s">
        <v>4473</v>
      </c>
      <c r="B994" s="2" t="s">
        <v>14</v>
      </c>
      <c r="C994" s="2" t="s">
        <v>4474</v>
      </c>
      <c r="D994" s="3">
        <v>4</v>
      </c>
      <c r="E994" s="3">
        <v>4</v>
      </c>
      <c r="F994" s="2" t="s">
        <v>16</v>
      </c>
      <c r="G994" s="2" t="s">
        <v>4475</v>
      </c>
      <c r="H994" s="3">
        <v>0</v>
      </c>
      <c r="I994" s="2" t="s">
        <v>409</v>
      </c>
      <c r="J994" s="2" t="s">
        <v>4476</v>
      </c>
      <c r="K994" s="2" t="s">
        <v>16</v>
      </c>
      <c r="L994" s="2" t="s">
        <v>4477</v>
      </c>
      <c r="M994" s="4">
        <v>0.31</v>
      </c>
      <c r="N994" t="e">
        <f>OR(LEFT(B994,3)="frg",(_xlfn.XMATCH(B994,ZZZ_Part_Id_[[#All],[FGCODE]])))</f>
        <v>#N/A</v>
      </c>
    </row>
    <row r="995" spans="1:14" x14ac:dyDescent="0.3">
      <c r="A995" s="2" t="s">
        <v>4473</v>
      </c>
      <c r="B995" s="2" t="s">
        <v>65</v>
      </c>
      <c r="C995" s="2" t="s">
        <v>4478</v>
      </c>
      <c r="D995" s="5">
        <v>-1155</v>
      </c>
      <c r="E995" s="5">
        <v>-1155</v>
      </c>
      <c r="F995" s="2" t="s">
        <v>23</v>
      </c>
      <c r="G995" s="2" t="s">
        <v>4479</v>
      </c>
      <c r="H995" s="3">
        <v>0</v>
      </c>
      <c r="I995" s="2" t="s">
        <v>409</v>
      </c>
      <c r="J995" s="2" t="s">
        <v>4480</v>
      </c>
      <c r="K995" s="2" t="s">
        <v>23</v>
      </c>
      <c r="L995" s="2" t="s">
        <v>4481</v>
      </c>
      <c r="M995" s="6">
        <v>-2970.2</v>
      </c>
      <c r="N995" t="b">
        <f>OR(LEFT(B995,3)="frg",(_xlfn.XMATCH(B995,ZZZ_Part_Id_[[#All],[FGCODE]])))</f>
        <v>1</v>
      </c>
    </row>
    <row r="996" spans="1:14" x14ac:dyDescent="0.3">
      <c r="A996" s="2" t="s">
        <v>4473</v>
      </c>
      <c r="B996" s="2" t="s">
        <v>947</v>
      </c>
      <c r="C996" s="2" t="s">
        <v>4482</v>
      </c>
      <c r="D996" s="3">
        <v>103200</v>
      </c>
      <c r="E996" s="3">
        <v>103200</v>
      </c>
      <c r="F996" s="2" t="s">
        <v>16</v>
      </c>
      <c r="G996" s="2" t="s">
        <v>4483</v>
      </c>
      <c r="H996" s="3">
        <v>0</v>
      </c>
      <c r="I996" s="2" t="s">
        <v>409</v>
      </c>
      <c r="J996" s="2" t="s">
        <v>4484</v>
      </c>
      <c r="K996" s="2" t="s">
        <v>16</v>
      </c>
      <c r="L996" s="2" t="s">
        <v>4485</v>
      </c>
      <c r="M996" s="4">
        <v>6527.4</v>
      </c>
      <c r="N996" t="b">
        <f>OR(LEFT(B996,3)="frg",(_xlfn.XMATCH(B996,ZZZ_Part_Id_[[#All],[FGCODE]])))</f>
        <v>1</v>
      </c>
    </row>
    <row r="997" spans="1:14" x14ac:dyDescent="0.3">
      <c r="A997" s="2" t="s">
        <v>4486</v>
      </c>
      <c r="B997" s="2" t="s">
        <v>14</v>
      </c>
      <c r="C997" s="2" t="s">
        <v>4487</v>
      </c>
      <c r="D997" s="3">
        <v>1</v>
      </c>
      <c r="E997" s="3">
        <v>0</v>
      </c>
      <c r="F997" s="2" t="s">
        <v>16</v>
      </c>
      <c r="G997" s="2" t="s">
        <v>4488</v>
      </c>
      <c r="H997" s="3">
        <v>0</v>
      </c>
      <c r="I997" s="2" t="s">
        <v>18</v>
      </c>
      <c r="J997" s="2" t="s">
        <v>4489</v>
      </c>
      <c r="K997" s="2" t="s">
        <v>16</v>
      </c>
      <c r="L997" s="2" t="s">
        <v>4490</v>
      </c>
      <c r="M997" s="4">
        <v>0</v>
      </c>
      <c r="N997" t="e">
        <f>OR(LEFT(B997,3)="frg",(_xlfn.XMATCH(B997,ZZZ_Part_Id_[[#All],[FGCODE]])))</f>
        <v>#N/A</v>
      </c>
    </row>
    <row r="998" spans="1:14" x14ac:dyDescent="0.3">
      <c r="A998" s="2" t="s">
        <v>4486</v>
      </c>
      <c r="B998" s="2" t="s">
        <v>264</v>
      </c>
      <c r="C998" s="2" t="s">
        <v>4491</v>
      </c>
      <c r="D998" s="3">
        <v>1E-3</v>
      </c>
      <c r="E998" s="3">
        <v>0</v>
      </c>
      <c r="F998" s="2" t="s">
        <v>16</v>
      </c>
      <c r="G998" s="2" t="s">
        <v>4492</v>
      </c>
      <c r="H998" s="3">
        <v>0</v>
      </c>
      <c r="I998" s="2" t="s">
        <v>18</v>
      </c>
      <c r="J998" s="2" t="s">
        <v>4493</v>
      </c>
      <c r="K998" s="2" t="s">
        <v>16</v>
      </c>
      <c r="L998" s="2" t="s">
        <v>4494</v>
      </c>
      <c r="M998" s="4">
        <v>0</v>
      </c>
      <c r="N998" t="e">
        <f>OR(LEFT(B998,3)="frg",(_xlfn.XMATCH(B998,ZZZ_Part_Id_[[#All],[FGCODE]])))</f>
        <v>#N/A</v>
      </c>
    </row>
    <row r="999" spans="1:14" x14ac:dyDescent="0.3">
      <c r="A999" s="2" t="s">
        <v>4486</v>
      </c>
      <c r="B999" s="2" t="s">
        <v>4495</v>
      </c>
      <c r="C999" s="2" t="s">
        <v>4496</v>
      </c>
      <c r="D999" s="3">
        <v>6624</v>
      </c>
      <c r="E999" s="3">
        <v>0</v>
      </c>
      <c r="F999" s="2" t="s">
        <v>16</v>
      </c>
      <c r="G999" s="2" t="s">
        <v>4497</v>
      </c>
      <c r="H999" s="3">
        <v>0</v>
      </c>
      <c r="I999" s="2" t="s">
        <v>18</v>
      </c>
      <c r="J999" s="2" t="s">
        <v>4498</v>
      </c>
      <c r="K999" s="2" t="s">
        <v>16</v>
      </c>
      <c r="L999" s="2" t="s">
        <v>4499</v>
      </c>
      <c r="M999" s="4">
        <v>0</v>
      </c>
      <c r="N999" t="e">
        <f>OR(LEFT(B999,3)="frg",(_xlfn.XMATCH(B999,ZZZ_Part_Id_[[#All],[FGCODE]])))</f>
        <v>#N/A</v>
      </c>
    </row>
    <row r="1000" spans="1:14" x14ac:dyDescent="0.3">
      <c r="A1000" s="2" t="s">
        <v>4500</v>
      </c>
      <c r="B1000" s="2" t="s">
        <v>4495</v>
      </c>
      <c r="C1000" s="2" t="s">
        <v>4501</v>
      </c>
      <c r="D1000" s="3">
        <v>6624</v>
      </c>
      <c r="E1000" s="3">
        <v>6624</v>
      </c>
      <c r="F1000" s="2" t="s">
        <v>16</v>
      </c>
      <c r="G1000" s="2" t="s">
        <v>4502</v>
      </c>
      <c r="H1000" s="3">
        <v>0</v>
      </c>
      <c r="I1000" s="2" t="s">
        <v>409</v>
      </c>
      <c r="J1000" s="2" t="s">
        <v>4503</v>
      </c>
      <c r="K1000" s="2" t="s">
        <v>16</v>
      </c>
      <c r="L1000" s="2" t="s">
        <v>4504</v>
      </c>
      <c r="M1000" s="4">
        <v>1282.21</v>
      </c>
      <c r="N1000" t="e">
        <f>OR(LEFT(B1000,3)="frg",(_xlfn.XMATCH(B1000,ZZZ_Part_Id_[[#All],[FGCODE]])))</f>
        <v>#N/A</v>
      </c>
    </row>
    <row r="1001" spans="1:14" x14ac:dyDescent="0.3">
      <c r="A1001" s="2" t="s">
        <v>4505</v>
      </c>
      <c r="B1001" s="2" t="s">
        <v>1093</v>
      </c>
      <c r="C1001" s="2" t="s">
        <v>4506</v>
      </c>
      <c r="D1001" s="3">
        <v>542880</v>
      </c>
      <c r="E1001" s="3">
        <v>542880</v>
      </c>
      <c r="F1001" s="2" t="s">
        <v>16</v>
      </c>
      <c r="G1001" s="2" t="s">
        <v>4507</v>
      </c>
      <c r="H1001" s="3">
        <v>0</v>
      </c>
      <c r="I1001" s="2" t="s">
        <v>18</v>
      </c>
      <c r="J1001" s="2" t="s">
        <v>4508</v>
      </c>
      <c r="K1001" s="2" t="s">
        <v>16</v>
      </c>
      <c r="L1001" s="2" t="s">
        <v>4509</v>
      </c>
      <c r="M1001" s="4">
        <v>29603.33</v>
      </c>
      <c r="N1001" t="b">
        <f>OR(LEFT(B1001,3)="frg",(_xlfn.XMATCH(B1001,ZZZ_Part_Id_[[#All],[FGCODE]])))</f>
        <v>1</v>
      </c>
    </row>
    <row r="1002" spans="1:14" x14ac:dyDescent="0.3">
      <c r="A1002" s="2" t="s">
        <v>4510</v>
      </c>
      <c r="B1002" s="2" t="s">
        <v>4511</v>
      </c>
      <c r="C1002" s="2" t="s">
        <v>4512</v>
      </c>
      <c r="D1002" s="3">
        <v>29880</v>
      </c>
      <c r="E1002" s="3">
        <v>29880</v>
      </c>
      <c r="F1002" s="2" t="s">
        <v>16</v>
      </c>
      <c r="G1002" s="2" t="s">
        <v>4513</v>
      </c>
      <c r="H1002" s="3">
        <v>0</v>
      </c>
      <c r="I1002" s="2" t="s">
        <v>18</v>
      </c>
      <c r="J1002" s="2" t="s">
        <v>4514</v>
      </c>
      <c r="K1002" s="2" t="s">
        <v>16</v>
      </c>
      <c r="L1002" s="2" t="s">
        <v>4515</v>
      </c>
      <c r="M1002" s="4">
        <v>1100.48</v>
      </c>
      <c r="N1002" t="b">
        <f>OR(LEFT(B1002,3)="frg",(_xlfn.XMATCH(B1002,ZZZ_Part_Id_[[#All],[FGCODE]])))</f>
        <v>1</v>
      </c>
    </row>
    <row r="1003" spans="1:14" x14ac:dyDescent="0.3">
      <c r="A1003" s="2" t="s">
        <v>4516</v>
      </c>
      <c r="B1003" s="2" t="s">
        <v>264</v>
      </c>
      <c r="C1003" s="2" t="s">
        <v>4517</v>
      </c>
      <c r="D1003" s="3">
        <v>1.4999999999999999E-2</v>
      </c>
      <c r="E1003" s="3">
        <v>1.4999999999999999E-2</v>
      </c>
      <c r="F1003" s="2" t="s">
        <v>16</v>
      </c>
      <c r="G1003" s="2" t="s">
        <v>4518</v>
      </c>
      <c r="H1003" s="3">
        <v>0</v>
      </c>
      <c r="I1003" s="2" t="s">
        <v>18</v>
      </c>
      <c r="J1003" s="2" t="s">
        <v>4519</v>
      </c>
      <c r="K1003" s="2" t="s">
        <v>16</v>
      </c>
      <c r="L1003" s="2" t="s">
        <v>4520</v>
      </c>
      <c r="M1003" s="4">
        <v>0.45</v>
      </c>
      <c r="N1003" t="e">
        <f>OR(LEFT(B1003,3)="frg",(_xlfn.XMATCH(B1003,ZZZ_Part_Id_[[#All],[FGCODE]])))</f>
        <v>#N/A</v>
      </c>
    </row>
    <row r="1004" spans="1:14" x14ac:dyDescent="0.3">
      <c r="A1004" s="2" t="s">
        <v>4516</v>
      </c>
      <c r="B1004" s="2" t="s">
        <v>14</v>
      </c>
      <c r="C1004" s="2" t="s">
        <v>4521</v>
      </c>
      <c r="D1004" s="3">
        <v>15</v>
      </c>
      <c r="E1004" s="3">
        <v>15</v>
      </c>
      <c r="F1004" s="2" t="s">
        <v>16</v>
      </c>
      <c r="G1004" s="2" t="s">
        <v>4522</v>
      </c>
      <c r="H1004" s="3">
        <v>0</v>
      </c>
      <c r="I1004" s="2" t="s">
        <v>18</v>
      </c>
      <c r="J1004" s="2" t="s">
        <v>4523</v>
      </c>
      <c r="K1004" s="2" t="s">
        <v>16</v>
      </c>
      <c r="L1004" s="2" t="s">
        <v>4524</v>
      </c>
      <c r="M1004" s="4">
        <v>1.1499999999999999</v>
      </c>
      <c r="N1004" t="e">
        <f>OR(LEFT(B1004,3)="frg",(_xlfn.XMATCH(B1004,ZZZ_Part_Id_[[#All],[FGCODE]])))</f>
        <v>#N/A</v>
      </c>
    </row>
    <row r="1005" spans="1:14" x14ac:dyDescent="0.3">
      <c r="A1005" s="2" t="s">
        <v>4516</v>
      </c>
      <c r="B1005" s="2" t="s">
        <v>4525</v>
      </c>
      <c r="C1005" s="2" t="s">
        <v>4526</v>
      </c>
      <c r="D1005" s="3">
        <v>247680</v>
      </c>
      <c r="E1005" s="3">
        <v>247680</v>
      </c>
      <c r="F1005" s="2" t="s">
        <v>16</v>
      </c>
      <c r="G1005" s="2" t="s">
        <v>4527</v>
      </c>
      <c r="H1005" s="3">
        <v>0</v>
      </c>
      <c r="I1005" s="2" t="s">
        <v>18</v>
      </c>
      <c r="J1005" s="2" t="s">
        <v>4528</v>
      </c>
      <c r="K1005" s="2" t="s">
        <v>16</v>
      </c>
      <c r="L1005" s="2" t="s">
        <v>4529</v>
      </c>
      <c r="M1005" s="4">
        <v>19507.28</v>
      </c>
      <c r="N1005" t="b">
        <f>OR(LEFT(B1005,3)="frg",(_xlfn.XMATCH(B1005,ZZZ_Part_Id_[[#All],[FGCODE]])))</f>
        <v>1</v>
      </c>
    </row>
    <row r="1006" spans="1:14" x14ac:dyDescent="0.3">
      <c r="A1006" s="2" t="s">
        <v>4530</v>
      </c>
      <c r="B1006" s="2" t="s">
        <v>14</v>
      </c>
      <c r="C1006" s="2" t="s">
        <v>4531</v>
      </c>
      <c r="D1006" s="3">
        <v>10</v>
      </c>
      <c r="E1006" s="3">
        <v>10</v>
      </c>
      <c r="F1006" s="2" t="s">
        <v>16</v>
      </c>
      <c r="G1006" s="2" t="s">
        <v>4532</v>
      </c>
      <c r="H1006" s="3">
        <v>0</v>
      </c>
      <c r="I1006" s="2" t="s">
        <v>409</v>
      </c>
      <c r="J1006" s="2" t="s">
        <v>4533</v>
      </c>
      <c r="K1006" s="2" t="s">
        <v>16</v>
      </c>
      <c r="L1006" s="2" t="s">
        <v>4534</v>
      </c>
      <c r="M1006" s="4">
        <v>0.77</v>
      </c>
      <c r="N1006" t="e">
        <f>OR(LEFT(B1006,3)="frg",(_xlfn.XMATCH(B1006,ZZZ_Part_Id_[[#All],[FGCODE]])))</f>
        <v>#N/A</v>
      </c>
    </row>
    <row r="1007" spans="1:14" x14ac:dyDescent="0.3">
      <c r="A1007" s="2" t="s">
        <v>4530</v>
      </c>
      <c r="B1007" s="2" t="s">
        <v>86</v>
      </c>
      <c r="C1007" s="2" t="s">
        <v>4535</v>
      </c>
      <c r="D1007" s="5">
        <v>-222</v>
      </c>
      <c r="E1007" s="5">
        <v>-222</v>
      </c>
      <c r="F1007" s="2" t="s">
        <v>23</v>
      </c>
      <c r="G1007" s="2" t="s">
        <v>4536</v>
      </c>
      <c r="H1007" s="3">
        <v>0</v>
      </c>
      <c r="I1007" s="2" t="s">
        <v>409</v>
      </c>
      <c r="J1007" s="2" t="s">
        <v>4537</v>
      </c>
      <c r="K1007" s="2" t="s">
        <v>23</v>
      </c>
      <c r="L1007" s="2" t="s">
        <v>4538</v>
      </c>
      <c r="M1007" s="6">
        <v>-581.15</v>
      </c>
      <c r="N1007" t="b">
        <f>OR(LEFT(B1007,3)="frg",(_xlfn.XMATCH(B1007,ZZZ_Part_Id_[[#All],[FGCODE]])))</f>
        <v>1</v>
      </c>
    </row>
    <row r="1008" spans="1:14" x14ac:dyDescent="0.3">
      <c r="A1008" s="2" t="s">
        <v>4530</v>
      </c>
      <c r="B1008" s="2" t="s">
        <v>4511</v>
      </c>
      <c r="C1008" s="2" t="s">
        <v>4539</v>
      </c>
      <c r="D1008" s="3">
        <v>239040</v>
      </c>
      <c r="E1008" s="3">
        <v>239040</v>
      </c>
      <c r="F1008" s="2" t="s">
        <v>16</v>
      </c>
      <c r="G1008" s="2" t="s">
        <v>4540</v>
      </c>
      <c r="H1008" s="3">
        <v>0</v>
      </c>
      <c r="I1008" s="2" t="s">
        <v>409</v>
      </c>
      <c r="J1008" s="2" t="s">
        <v>4541</v>
      </c>
      <c r="K1008" s="2" t="s">
        <v>16</v>
      </c>
      <c r="L1008" s="2" t="s">
        <v>4542</v>
      </c>
      <c r="M1008" s="4">
        <v>8803.84</v>
      </c>
      <c r="N1008" t="b">
        <f>OR(LEFT(B1008,3)="frg",(_xlfn.XMATCH(B1008,ZZZ_Part_Id_[[#All],[FGCODE]])))</f>
        <v>1</v>
      </c>
    </row>
    <row r="1009" spans="1:14" x14ac:dyDescent="0.3">
      <c r="A1009" s="2" t="s">
        <v>4543</v>
      </c>
      <c r="B1009" s="2" t="s">
        <v>14</v>
      </c>
      <c r="C1009" s="2" t="s">
        <v>4544</v>
      </c>
      <c r="D1009" s="3">
        <v>64</v>
      </c>
      <c r="E1009" s="3">
        <v>64</v>
      </c>
      <c r="F1009" s="2" t="s">
        <v>16</v>
      </c>
      <c r="G1009" s="2" t="s">
        <v>4545</v>
      </c>
      <c r="H1009" s="3">
        <v>0</v>
      </c>
      <c r="I1009" s="2" t="s">
        <v>18</v>
      </c>
      <c r="J1009" s="2" t="s">
        <v>4546</v>
      </c>
      <c r="K1009" s="2" t="s">
        <v>16</v>
      </c>
      <c r="L1009" s="2" t="s">
        <v>4547</v>
      </c>
      <c r="M1009" s="4">
        <v>4.92</v>
      </c>
      <c r="N1009" t="e">
        <f>OR(LEFT(B1009,3)="frg",(_xlfn.XMATCH(B1009,ZZZ_Part_Id_[[#All],[FGCODE]])))</f>
        <v>#N/A</v>
      </c>
    </row>
    <row r="1010" spans="1:14" x14ac:dyDescent="0.3">
      <c r="A1010" s="2" t="s">
        <v>4543</v>
      </c>
      <c r="B1010" s="2" t="s">
        <v>172</v>
      </c>
      <c r="C1010" s="2" t="s">
        <v>4548</v>
      </c>
      <c r="D1010" s="3">
        <v>20</v>
      </c>
      <c r="E1010" s="3">
        <v>20</v>
      </c>
      <c r="F1010" s="2" t="s">
        <v>23</v>
      </c>
      <c r="G1010" s="2" t="s">
        <v>4549</v>
      </c>
      <c r="H1010" s="3">
        <v>0</v>
      </c>
      <c r="I1010" s="2" t="s">
        <v>18</v>
      </c>
      <c r="J1010" s="2" t="s">
        <v>4550</v>
      </c>
      <c r="K1010" s="2" t="s">
        <v>23</v>
      </c>
      <c r="L1010" s="2" t="s">
        <v>4551</v>
      </c>
      <c r="M1010" s="4">
        <v>130</v>
      </c>
      <c r="N1010" t="e">
        <f>OR(LEFT(B1010,3)="frg",(_xlfn.XMATCH(B1010,ZZZ_Part_Id_[[#All],[FGCODE]])))</f>
        <v>#N/A</v>
      </c>
    </row>
    <row r="1011" spans="1:14" x14ac:dyDescent="0.3">
      <c r="A1011" s="2" t="s">
        <v>4543</v>
      </c>
      <c r="B1011" s="2" t="s">
        <v>1093</v>
      </c>
      <c r="C1011" s="2" t="s">
        <v>4552</v>
      </c>
      <c r="D1011" s="3">
        <v>1002240</v>
      </c>
      <c r="E1011" s="3">
        <v>1002240</v>
      </c>
      <c r="F1011" s="2" t="s">
        <v>16</v>
      </c>
      <c r="G1011" s="2" t="s">
        <v>4553</v>
      </c>
      <c r="H1011" s="3">
        <v>0</v>
      </c>
      <c r="I1011" s="2" t="s">
        <v>18</v>
      </c>
      <c r="J1011" s="2" t="s">
        <v>4554</v>
      </c>
      <c r="K1011" s="2" t="s">
        <v>16</v>
      </c>
      <c r="L1011" s="2" t="s">
        <v>4555</v>
      </c>
      <c r="M1011" s="4">
        <v>54652.32</v>
      </c>
      <c r="N1011" t="b">
        <f>OR(LEFT(B1011,3)="frg",(_xlfn.XMATCH(B1011,ZZZ_Part_Id_[[#All],[FGCODE]])))</f>
        <v>1</v>
      </c>
    </row>
    <row r="1012" spans="1:14" x14ac:dyDescent="0.3">
      <c r="A1012" s="2" t="s">
        <v>4556</v>
      </c>
      <c r="B1012" s="2" t="s">
        <v>14</v>
      </c>
      <c r="C1012" s="2" t="s">
        <v>4557</v>
      </c>
      <c r="D1012" s="3">
        <v>64</v>
      </c>
      <c r="E1012" s="3">
        <v>64</v>
      </c>
      <c r="F1012" s="2" t="s">
        <v>16</v>
      </c>
      <c r="G1012" s="2" t="s">
        <v>4558</v>
      </c>
      <c r="H1012" s="3">
        <v>0</v>
      </c>
      <c r="I1012" s="2" t="s">
        <v>18</v>
      </c>
      <c r="J1012" s="2" t="s">
        <v>4559</v>
      </c>
      <c r="K1012" s="2" t="s">
        <v>16</v>
      </c>
      <c r="L1012" s="2" t="s">
        <v>4560</v>
      </c>
      <c r="M1012" s="4">
        <v>4.92</v>
      </c>
      <c r="N1012" t="e">
        <f>OR(LEFT(B1012,3)="frg",(_xlfn.XMATCH(B1012,ZZZ_Part_Id_[[#All],[FGCODE]])))</f>
        <v>#N/A</v>
      </c>
    </row>
    <row r="1013" spans="1:14" x14ac:dyDescent="0.3">
      <c r="A1013" s="2" t="s">
        <v>4556</v>
      </c>
      <c r="B1013" s="2" t="s">
        <v>172</v>
      </c>
      <c r="C1013" s="2" t="s">
        <v>4561</v>
      </c>
      <c r="D1013" s="3">
        <v>15</v>
      </c>
      <c r="E1013" s="3">
        <v>15</v>
      </c>
      <c r="F1013" s="2" t="s">
        <v>23</v>
      </c>
      <c r="G1013" s="2" t="s">
        <v>4562</v>
      </c>
      <c r="H1013" s="3">
        <v>0</v>
      </c>
      <c r="I1013" s="2" t="s">
        <v>18</v>
      </c>
      <c r="J1013" s="2" t="s">
        <v>4563</v>
      </c>
      <c r="K1013" s="2" t="s">
        <v>23</v>
      </c>
      <c r="L1013" s="2" t="s">
        <v>4564</v>
      </c>
      <c r="M1013" s="4">
        <v>97.5</v>
      </c>
      <c r="N1013" t="e">
        <f>OR(LEFT(B1013,3)="frg",(_xlfn.XMATCH(B1013,ZZZ_Part_Id_[[#All],[FGCODE]])))</f>
        <v>#N/A</v>
      </c>
    </row>
    <row r="1014" spans="1:14" x14ac:dyDescent="0.3">
      <c r="A1014" s="2" t="s">
        <v>4556</v>
      </c>
      <c r="B1014" s="2" t="s">
        <v>21</v>
      </c>
      <c r="C1014" s="2" t="s">
        <v>4565</v>
      </c>
      <c r="D1014" s="5">
        <v>-298</v>
      </c>
      <c r="E1014" s="5">
        <v>-298</v>
      </c>
      <c r="F1014" s="2" t="s">
        <v>23</v>
      </c>
      <c r="G1014" s="2" t="s">
        <v>4566</v>
      </c>
      <c r="H1014" s="3">
        <v>0</v>
      </c>
      <c r="I1014" s="2" t="s">
        <v>18</v>
      </c>
      <c r="J1014" s="2" t="s">
        <v>4567</v>
      </c>
      <c r="K1014" s="2" t="s">
        <v>23</v>
      </c>
      <c r="L1014" s="2" t="s">
        <v>4568</v>
      </c>
      <c r="M1014" s="6">
        <v>-564.26</v>
      </c>
      <c r="N1014" t="b">
        <f>OR(LEFT(B1014,3)="frg",(_xlfn.XMATCH(B1014,ZZZ_Part_Id_[[#All],[FGCODE]])))</f>
        <v>1</v>
      </c>
    </row>
    <row r="1015" spans="1:14" x14ac:dyDescent="0.3">
      <c r="A1015" s="2" t="s">
        <v>4556</v>
      </c>
      <c r="B1015" s="2" t="s">
        <v>27</v>
      </c>
      <c r="C1015" s="2" t="s">
        <v>4569</v>
      </c>
      <c r="D1015" s="3">
        <v>324576</v>
      </c>
      <c r="E1015" s="3">
        <v>324576</v>
      </c>
      <c r="F1015" s="2" t="s">
        <v>16</v>
      </c>
      <c r="G1015" s="2" t="s">
        <v>4570</v>
      </c>
      <c r="H1015" s="3">
        <v>0</v>
      </c>
      <c r="I1015" s="2" t="s">
        <v>18</v>
      </c>
      <c r="J1015" s="2" t="s">
        <v>4571</v>
      </c>
      <c r="K1015" s="2" t="s">
        <v>16</v>
      </c>
      <c r="L1015" s="2" t="s">
        <v>4572</v>
      </c>
      <c r="M1015" s="4">
        <v>60280.29</v>
      </c>
      <c r="N1015" t="b">
        <f>OR(LEFT(B1015,3)="frg",(_xlfn.XMATCH(B1015,ZZZ_Part_Id_[[#All],[FGCODE]])))</f>
        <v>1</v>
      </c>
    </row>
    <row r="1016" spans="1:14" x14ac:dyDescent="0.3">
      <c r="A1016" s="2" t="s">
        <v>4573</v>
      </c>
      <c r="B1016" s="2" t="s">
        <v>37</v>
      </c>
      <c r="C1016" s="2" t="s">
        <v>4574</v>
      </c>
      <c r="D1016" s="3">
        <v>6</v>
      </c>
      <c r="E1016" s="3">
        <v>6</v>
      </c>
      <c r="F1016" s="2" t="s">
        <v>16</v>
      </c>
      <c r="G1016" s="2" t="s">
        <v>4575</v>
      </c>
      <c r="H1016" s="3">
        <v>0</v>
      </c>
      <c r="I1016" s="2" t="s">
        <v>409</v>
      </c>
      <c r="J1016" s="2" t="s">
        <v>4576</v>
      </c>
      <c r="K1016" s="2" t="s">
        <v>16</v>
      </c>
      <c r="L1016" s="2" t="s">
        <v>4577</v>
      </c>
      <c r="M1016" s="4">
        <v>96</v>
      </c>
      <c r="N1016" t="e">
        <f>OR(LEFT(B1016,3)="frg",(_xlfn.XMATCH(B1016,ZZZ_Part_Id_[[#All],[FGCODE]])))</f>
        <v>#N/A</v>
      </c>
    </row>
    <row r="1017" spans="1:14" x14ac:dyDescent="0.3">
      <c r="A1017" s="2" t="s">
        <v>4573</v>
      </c>
      <c r="B1017" s="2" t="s">
        <v>65</v>
      </c>
      <c r="C1017" s="2" t="s">
        <v>4578</v>
      </c>
      <c r="D1017" s="5">
        <v>-249</v>
      </c>
      <c r="E1017" s="5">
        <v>-249</v>
      </c>
      <c r="F1017" s="2" t="s">
        <v>23</v>
      </c>
      <c r="G1017" s="2" t="s">
        <v>4579</v>
      </c>
      <c r="H1017" s="3">
        <v>0</v>
      </c>
      <c r="I1017" s="2" t="s">
        <v>409</v>
      </c>
      <c r="J1017" s="2" t="s">
        <v>4580</v>
      </c>
      <c r="K1017" s="2" t="s">
        <v>23</v>
      </c>
      <c r="L1017" s="2" t="s">
        <v>4581</v>
      </c>
      <c r="M1017" s="6">
        <v>-640.33000000000004</v>
      </c>
      <c r="N1017" t="b">
        <f>OR(LEFT(B1017,3)="frg",(_xlfn.XMATCH(B1017,ZZZ_Part_Id_[[#All],[FGCODE]])))</f>
        <v>1</v>
      </c>
    </row>
    <row r="1018" spans="1:14" x14ac:dyDescent="0.3">
      <c r="A1018" s="2" t="s">
        <v>4573</v>
      </c>
      <c r="B1018" s="2" t="s">
        <v>97</v>
      </c>
      <c r="C1018" s="2" t="s">
        <v>4582</v>
      </c>
      <c r="D1018" s="3">
        <v>33600</v>
      </c>
      <c r="E1018" s="3">
        <v>33600</v>
      </c>
      <c r="F1018" s="2" t="s">
        <v>16</v>
      </c>
      <c r="G1018" s="2" t="s">
        <v>4583</v>
      </c>
      <c r="H1018" s="3">
        <v>0</v>
      </c>
      <c r="I1018" s="2" t="s">
        <v>409</v>
      </c>
      <c r="J1018" s="2" t="s">
        <v>4584</v>
      </c>
      <c r="K1018" s="2" t="s">
        <v>16</v>
      </c>
      <c r="L1018" s="2" t="s">
        <v>4585</v>
      </c>
      <c r="M1018" s="4">
        <v>7179.34</v>
      </c>
      <c r="N1018" t="b">
        <f>OR(LEFT(B1018,3)="frg",(_xlfn.XMATCH(B1018,ZZZ_Part_Id_[[#All],[FGCODE]])))</f>
        <v>1</v>
      </c>
    </row>
    <row r="1019" spans="1:14" x14ac:dyDescent="0.3">
      <c r="A1019" s="2" t="s">
        <v>4586</v>
      </c>
      <c r="B1019" s="2" t="s">
        <v>14</v>
      </c>
      <c r="C1019" s="2" t="s">
        <v>4587</v>
      </c>
      <c r="D1019" s="3">
        <v>10</v>
      </c>
      <c r="E1019" s="3">
        <v>10</v>
      </c>
      <c r="F1019" s="2" t="s">
        <v>16</v>
      </c>
      <c r="G1019" s="2" t="s">
        <v>4588</v>
      </c>
      <c r="H1019" s="3">
        <v>0</v>
      </c>
      <c r="I1019" s="2" t="s">
        <v>18</v>
      </c>
      <c r="J1019" s="2" t="s">
        <v>4589</v>
      </c>
      <c r="K1019" s="2" t="s">
        <v>16</v>
      </c>
      <c r="L1019" s="2" t="s">
        <v>4590</v>
      </c>
      <c r="M1019" s="4">
        <v>0.77</v>
      </c>
      <c r="N1019" t="e">
        <f>OR(LEFT(B1019,3)="frg",(_xlfn.XMATCH(B1019,ZZZ_Part_Id_[[#All],[FGCODE]])))</f>
        <v>#N/A</v>
      </c>
    </row>
    <row r="1020" spans="1:14" x14ac:dyDescent="0.3">
      <c r="A1020" s="2" t="s">
        <v>4586</v>
      </c>
      <c r="B1020" s="2" t="s">
        <v>4511</v>
      </c>
      <c r="C1020" s="2" t="s">
        <v>4591</v>
      </c>
      <c r="D1020" s="3">
        <v>239040</v>
      </c>
      <c r="E1020" s="3">
        <v>239040</v>
      </c>
      <c r="F1020" s="2" t="s">
        <v>16</v>
      </c>
      <c r="G1020" s="2" t="s">
        <v>4592</v>
      </c>
      <c r="H1020" s="3">
        <v>0</v>
      </c>
      <c r="I1020" s="2" t="s">
        <v>18</v>
      </c>
      <c r="J1020" s="2" t="s">
        <v>4593</v>
      </c>
      <c r="K1020" s="2" t="s">
        <v>16</v>
      </c>
      <c r="L1020" s="2" t="s">
        <v>4594</v>
      </c>
      <c r="M1020" s="4">
        <v>8803.84</v>
      </c>
      <c r="N1020" t="b">
        <f>OR(LEFT(B1020,3)="frg",(_xlfn.XMATCH(B1020,ZZZ_Part_Id_[[#All],[FGCODE]])))</f>
        <v>1</v>
      </c>
    </row>
    <row r="1021" spans="1:14" x14ac:dyDescent="0.3">
      <c r="A1021" s="2" t="s">
        <v>4595</v>
      </c>
      <c r="B1021" s="2" t="s">
        <v>14</v>
      </c>
      <c r="C1021" s="2" t="s">
        <v>4596</v>
      </c>
      <c r="D1021" s="3">
        <v>4</v>
      </c>
      <c r="E1021" s="3">
        <v>4</v>
      </c>
      <c r="F1021" s="2" t="s">
        <v>16</v>
      </c>
      <c r="G1021" s="2" t="s">
        <v>4597</v>
      </c>
      <c r="H1021" s="3">
        <v>0</v>
      </c>
      <c r="I1021" s="2" t="s">
        <v>409</v>
      </c>
      <c r="J1021" s="2" t="s">
        <v>4598</v>
      </c>
      <c r="K1021" s="2" t="s">
        <v>16</v>
      </c>
      <c r="L1021" s="2" t="s">
        <v>4599</v>
      </c>
      <c r="M1021" s="4">
        <v>0.31</v>
      </c>
      <c r="N1021" t="e">
        <f>OR(LEFT(B1021,3)="frg",(_xlfn.XMATCH(B1021,ZZZ_Part_Id_[[#All],[FGCODE]])))</f>
        <v>#N/A</v>
      </c>
    </row>
    <row r="1022" spans="1:14" x14ac:dyDescent="0.3">
      <c r="A1022" s="2" t="s">
        <v>4595</v>
      </c>
      <c r="B1022" s="2" t="s">
        <v>27</v>
      </c>
      <c r="C1022" s="2" t="s">
        <v>4600</v>
      </c>
      <c r="D1022" s="3">
        <v>6624</v>
      </c>
      <c r="E1022" s="3">
        <v>6624</v>
      </c>
      <c r="F1022" s="2" t="s">
        <v>16</v>
      </c>
      <c r="G1022" s="2" t="s">
        <v>4601</v>
      </c>
      <c r="H1022" s="3">
        <v>0</v>
      </c>
      <c r="I1022" s="2" t="s">
        <v>409</v>
      </c>
      <c r="J1022" s="2" t="s">
        <v>4602</v>
      </c>
      <c r="K1022" s="2" t="s">
        <v>16</v>
      </c>
      <c r="L1022" s="2" t="s">
        <v>4603</v>
      </c>
      <c r="M1022" s="4">
        <v>1230.21</v>
      </c>
      <c r="N1022" t="b">
        <f>OR(LEFT(B1022,3)="frg",(_xlfn.XMATCH(B1022,ZZZ_Part_Id_[[#All],[FGCODE]])))</f>
        <v>1</v>
      </c>
    </row>
    <row r="1023" spans="1:14" x14ac:dyDescent="0.3">
      <c r="A1023" s="2" t="s">
        <v>4604</v>
      </c>
      <c r="B1023" s="2" t="s">
        <v>14</v>
      </c>
      <c r="C1023" s="2" t="s">
        <v>4605</v>
      </c>
      <c r="D1023" s="3">
        <v>10</v>
      </c>
      <c r="E1023" s="3">
        <v>10</v>
      </c>
      <c r="F1023" s="2" t="s">
        <v>16</v>
      </c>
      <c r="G1023" s="2" t="s">
        <v>4606</v>
      </c>
      <c r="H1023" s="3">
        <v>0</v>
      </c>
      <c r="I1023" s="2" t="s">
        <v>18</v>
      </c>
      <c r="J1023" s="2" t="s">
        <v>4607</v>
      </c>
      <c r="K1023" s="2" t="s">
        <v>16</v>
      </c>
      <c r="L1023" s="2" t="s">
        <v>4608</v>
      </c>
      <c r="M1023" s="4">
        <v>0.77</v>
      </c>
      <c r="N1023" t="e">
        <f>OR(LEFT(B1023,3)="frg",(_xlfn.XMATCH(B1023,ZZZ_Part_Id_[[#All],[FGCODE]])))</f>
        <v>#N/A</v>
      </c>
    </row>
    <row r="1024" spans="1:14" x14ac:dyDescent="0.3">
      <c r="A1024" s="2" t="s">
        <v>4604</v>
      </c>
      <c r="B1024" s="2" t="s">
        <v>3744</v>
      </c>
      <c r="C1024" s="2" t="s">
        <v>4609</v>
      </c>
      <c r="D1024" s="3">
        <v>83520</v>
      </c>
      <c r="E1024" s="3">
        <v>83520</v>
      </c>
      <c r="F1024" s="2" t="s">
        <v>16</v>
      </c>
      <c r="G1024" s="2" t="s">
        <v>4610</v>
      </c>
      <c r="H1024" s="3">
        <v>0</v>
      </c>
      <c r="I1024" s="2" t="s">
        <v>18</v>
      </c>
      <c r="J1024" s="2" t="s">
        <v>4611</v>
      </c>
      <c r="K1024" s="2" t="s">
        <v>16</v>
      </c>
      <c r="L1024" s="2" t="s">
        <v>4612</v>
      </c>
      <c r="M1024" s="4">
        <v>4748.12</v>
      </c>
      <c r="N1024" t="b">
        <f>OR(LEFT(B1024,3)="frg",(_xlfn.XMATCH(B1024,ZZZ_Part_Id_[[#All],[FGCODE]])))</f>
        <v>1</v>
      </c>
    </row>
    <row r="1025" spans="1:14" x14ac:dyDescent="0.3">
      <c r="A1025" s="2" t="s">
        <v>4613</v>
      </c>
      <c r="B1025" s="2" t="s">
        <v>14</v>
      </c>
      <c r="C1025" s="2" t="s">
        <v>4614</v>
      </c>
      <c r="D1025" s="3">
        <v>4</v>
      </c>
      <c r="E1025" s="3">
        <v>4</v>
      </c>
      <c r="F1025" s="2" t="s">
        <v>16</v>
      </c>
      <c r="G1025" s="2" t="s">
        <v>4615</v>
      </c>
      <c r="H1025" s="3">
        <v>0</v>
      </c>
      <c r="I1025" s="2" t="s">
        <v>18</v>
      </c>
      <c r="J1025" s="2" t="s">
        <v>4616</v>
      </c>
      <c r="K1025" s="2" t="s">
        <v>16</v>
      </c>
      <c r="L1025" s="2" t="s">
        <v>4617</v>
      </c>
      <c r="M1025" s="4">
        <v>0.31</v>
      </c>
      <c r="N1025" t="e">
        <f>OR(LEFT(B1025,3)="frg",(_xlfn.XMATCH(B1025,ZZZ_Part_Id_[[#All],[FGCODE]])))</f>
        <v>#N/A</v>
      </c>
    </row>
    <row r="1026" spans="1:14" x14ac:dyDescent="0.3">
      <c r="A1026" s="2" t="s">
        <v>4613</v>
      </c>
      <c r="B1026" s="2" t="s">
        <v>76</v>
      </c>
      <c r="C1026" s="2" t="s">
        <v>4618</v>
      </c>
      <c r="D1026" s="3">
        <v>76140</v>
      </c>
      <c r="E1026" s="3">
        <v>76140</v>
      </c>
      <c r="F1026" s="2" t="s">
        <v>16</v>
      </c>
      <c r="G1026" s="2" t="s">
        <v>4619</v>
      </c>
      <c r="H1026" s="3">
        <v>0</v>
      </c>
      <c r="I1026" s="2" t="s">
        <v>18</v>
      </c>
      <c r="J1026" s="2" t="s">
        <v>4620</v>
      </c>
      <c r="K1026" s="2" t="s">
        <v>16</v>
      </c>
      <c r="L1026" s="2" t="s">
        <v>4621</v>
      </c>
      <c r="M1026" s="4">
        <v>625.11</v>
      </c>
      <c r="N1026" t="b">
        <f>OR(LEFT(B1026,3)="frg",(_xlfn.XMATCH(B1026,ZZZ_Part_Id_[[#All],[FGCODE]])))</f>
        <v>1</v>
      </c>
    </row>
    <row r="1027" spans="1:14" x14ac:dyDescent="0.3">
      <c r="A1027" s="2" t="s">
        <v>4622</v>
      </c>
      <c r="B1027" s="2" t="s">
        <v>14</v>
      </c>
      <c r="C1027" s="2" t="s">
        <v>4623</v>
      </c>
      <c r="D1027" s="3">
        <v>4</v>
      </c>
      <c r="E1027" s="3">
        <v>4</v>
      </c>
      <c r="F1027" s="2" t="s">
        <v>16</v>
      </c>
      <c r="G1027" s="2" t="s">
        <v>4624</v>
      </c>
      <c r="H1027" s="3">
        <v>0</v>
      </c>
      <c r="I1027" s="2" t="s">
        <v>409</v>
      </c>
      <c r="J1027" s="2" t="s">
        <v>4625</v>
      </c>
      <c r="K1027" s="2" t="s">
        <v>16</v>
      </c>
      <c r="L1027" s="2" t="s">
        <v>4626</v>
      </c>
      <c r="M1027" s="4">
        <v>0.31</v>
      </c>
      <c r="N1027" t="e">
        <f>OR(LEFT(B1027,3)="frg",(_xlfn.XMATCH(B1027,ZZZ_Part_Id_[[#All],[FGCODE]])))</f>
        <v>#N/A</v>
      </c>
    </row>
    <row r="1028" spans="1:14" x14ac:dyDescent="0.3">
      <c r="A1028" s="2" t="s">
        <v>4622</v>
      </c>
      <c r="B1028" s="2" t="s">
        <v>699</v>
      </c>
      <c r="C1028" s="2" t="s">
        <v>4627</v>
      </c>
      <c r="D1028" s="3">
        <v>6624</v>
      </c>
      <c r="E1028" s="3">
        <v>0</v>
      </c>
      <c r="F1028" s="2" t="s">
        <v>16</v>
      </c>
      <c r="G1028" s="2" t="s">
        <v>4628</v>
      </c>
      <c r="H1028" s="3">
        <v>0</v>
      </c>
      <c r="I1028" s="2" t="s">
        <v>409</v>
      </c>
      <c r="J1028" s="2" t="s">
        <v>4629</v>
      </c>
      <c r="K1028" s="2" t="s">
        <v>16</v>
      </c>
      <c r="L1028" s="2" t="s">
        <v>4630</v>
      </c>
      <c r="M1028" s="4">
        <v>0</v>
      </c>
      <c r="N1028" t="b">
        <f>OR(LEFT(B1028,3)="frg",(_xlfn.XMATCH(B1028,ZZZ_Part_Id_[[#All],[FGCODE]])))</f>
        <v>1</v>
      </c>
    </row>
    <row r="1029" spans="1:14" x14ac:dyDescent="0.3">
      <c r="A1029" s="2" t="s">
        <v>4622</v>
      </c>
      <c r="B1029" s="2" t="s">
        <v>121</v>
      </c>
      <c r="C1029" s="2" t="s">
        <v>4631</v>
      </c>
      <c r="D1029" s="3">
        <v>7992</v>
      </c>
      <c r="E1029" s="3">
        <v>7992</v>
      </c>
      <c r="F1029" s="2" t="s">
        <v>16</v>
      </c>
      <c r="G1029" s="2" t="s">
        <v>131</v>
      </c>
      <c r="H1029" s="3">
        <v>0</v>
      </c>
      <c r="I1029" s="2" t="s">
        <v>409</v>
      </c>
      <c r="J1029" s="2" t="s">
        <v>4632</v>
      </c>
      <c r="K1029" s="2" t="s">
        <v>16</v>
      </c>
      <c r="L1029" s="2" t="s">
        <v>4633</v>
      </c>
      <c r="M1029" s="4">
        <v>1485.15</v>
      </c>
      <c r="N1029" t="b">
        <f>OR(LEFT(B1029,3)="frg",(_xlfn.XMATCH(B1029,ZZZ_Part_Id_[[#All],[FGCODE]])))</f>
        <v>1</v>
      </c>
    </row>
    <row r="1030" spans="1:14" x14ac:dyDescent="0.3">
      <c r="A1030" s="2" t="s">
        <v>4622</v>
      </c>
      <c r="B1030" s="2" t="s">
        <v>21</v>
      </c>
      <c r="C1030" s="2" t="s">
        <v>4634</v>
      </c>
      <c r="D1030" s="5">
        <v>-61.56</v>
      </c>
      <c r="E1030" s="5">
        <v>-61.56</v>
      </c>
      <c r="F1030" s="2" t="s">
        <v>23</v>
      </c>
      <c r="G1030" s="2" t="s">
        <v>131</v>
      </c>
      <c r="H1030" s="3">
        <v>0</v>
      </c>
      <c r="I1030" s="2" t="s">
        <v>409</v>
      </c>
      <c r="J1030" s="2" t="s">
        <v>4635</v>
      </c>
      <c r="K1030" s="2" t="s">
        <v>23</v>
      </c>
      <c r="L1030" s="2" t="s">
        <v>4636</v>
      </c>
      <c r="M1030" s="6">
        <v>-116.56</v>
      </c>
      <c r="N1030" t="b">
        <f>OR(LEFT(B1030,3)="frg",(_xlfn.XMATCH(B1030,ZZZ_Part_Id_[[#All],[FGCODE]])))</f>
        <v>1</v>
      </c>
    </row>
    <row r="1031" spans="1:14" x14ac:dyDescent="0.3">
      <c r="A1031" s="2" t="s">
        <v>4637</v>
      </c>
      <c r="B1031" s="2" t="s">
        <v>14</v>
      </c>
      <c r="C1031" s="2" t="s">
        <v>4638</v>
      </c>
      <c r="D1031" s="3">
        <v>14</v>
      </c>
      <c r="E1031" s="3">
        <v>14</v>
      </c>
      <c r="F1031" s="2" t="s">
        <v>16</v>
      </c>
      <c r="G1031" s="2" t="s">
        <v>4639</v>
      </c>
      <c r="H1031" s="3">
        <v>0</v>
      </c>
      <c r="I1031" s="2" t="s">
        <v>409</v>
      </c>
      <c r="J1031" s="2" t="s">
        <v>4640</v>
      </c>
      <c r="K1031" s="2" t="s">
        <v>16</v>
      </c>
      <c r="L1031" s="2" t="s">
        <v>4641</v>
      </c>
      <c r="M1031" s="4">
        <v>1.08</v>
      </c>
      <c r="N1031" t="e">
        <f>OR(LEFT(B1031,3)="frg",(_xlfn.XMATCH(B1031,ZZZ_Part_Id_[[#All],[FGCODE]])))</f>
        <v>#N/A</v>
      </c>
    </row>
    <row r="1032" spans="1:14" x14ac:dyDescent="0.3">
      <c r="A1032" s="2" t="s">
        <v>4637</v>
      </c>
      <c r="B1032" s="2" t="s">
        <v>121</v>
      </c>
      <c r="C1032" s="2" t="s">
        <v>4642</v>
      </c>
      <c r="D1032" s="3">
        <v>86112</v>
      </c>
      <c r="E1032" s="3">
        <v>86112</v>
      </c>
      <c r="F1032" s="2" t="s">
        <v>16</v>
      </c>
      <c r="G1032" s="2" t="s">
        <v>4643</v>
      </c>
      <c r="H1032" s="3">
        <v>0</v>
      </c>
      <c r="I1032" s="2" t="s">
        <v>409</v>
      </c>
      <c r="J1032" s="2" t="s">
        <v>4644</v>
      </c>
      <c r="K1032" s="2" t="s">
        <v>16</v>
      </c>
      <c r="L1032" s="2" t="s">
        <v>4645</v>
      </c>
      <c r="M1032" s="4">
        <v>16002.22</v>
      </c>
      <c r="N1032" t="b">
        <f>OR(LEFT(B1032,3)="frg",(_xlfn.XMATCH(B1032,ZZZ_Part_Id_[[#All],[FGCODE]])))</f>
        <v>1</v>
      </c>
    </row>
    <row r="1033" spans="1:14" x14ac:dyDescent="0.3">
      <c r="A1033" s="2" t="s">
        <v>4646</v>
      </c>
      <c r="B1033" s="2" t="s">
        <v>14</v>
      </c>
      <c r="C1033" s="2" t="s">
        <v>4647</v>
      </c>
      <c r="D1033" s="3">
        <v>4</v>
      </c>
      <c r="E1033" s="3">
        <v>4</v>
      </c>
      <c r="F1033" s="2" t="s">
        <v>16</v>
      </c>
      <c r="G1033" s="2" t="s">
        <v>4648</v>
      </c>
      <c r="H1033" s="3">
        <v>0</v>
      </c>
      <c r="I1033" s="2" t="s">
        <v>409</v>
      </c>
      <c r="J1033" s="2" t="s">
        <v>4649</v>
      </c>
      <c r="K1033" s="2" t="s">
        <v>16</v>
      </c>
      <c r="L1033" s="2" t="s">
        <v>4650</v>
      </c>
      <c r="M1033" s="4">
        <v>0.31</v>
      </c>
      <c r="N1033" t="e">
        <f>OR(LEFT(B1033,3)="frg",(_xlfn.XMATCH(B1033,ZZZ_Part_Id_[[#All],[FGCODE]])))</f>
        <v>#N/A</v>
      </c>
    </row>
    <row r="1034" spans="1:14" x14ac:dyDescent="0.3">
      <c r="A1034" s="2" t="s">
        <v>4646</v>
      </c>
      <c r="B1034" s="2" t="s">
        <v>3113</v>
      </c>
      <c r="C1034" s="2" t="s">
        <v>4651</v>
      </c>
      <c r="D1034" s="3">
        <v>20880</v>
      </c>
      <c r="E1034" s="3">
        <v>20880</v>
      </c>
      <c r="F1034" s="2" t="s">
        <v>16</v>
      </c>
      <c r="G1034" s="2" t="s">
        <v>4652</v>
      </c>
      <c r="H1034" s="3">
        <v>0</v>
      </c>
      <c r="I1034" s="2" t="s">
        <v>409</v>
      </c>
      <c r="J1034" s="2" t="s">
        <v>4653</v>
      </c>
      <c r="K1034" s="2" t="s">
        <v>16</v>
      </c>
      <c r="L1034" s="2" t="s">
        <v>4654</v>
      </c>
      <c r="M1034" s="4">
        <v>1035.23</v>
      </c>
      <c r="N1034" t="b">
        <f>OR(LEFT(B1034,3)="frg",(_xlfn.XMATCH(B1034,ZZZ_Part_Id_[[#All],[FGCODE]])))</f>
        <v>1</v>
      </c>
    </row>
    <row r="1035" spans="1:14" x14ac:dyDescent="0.3">
      <c r="A1035" s="2" t="s">
        <v>4655</v>
      </c>
      <c r="B1035" s="2" t="s">
        <v>14</v>
      </c>
      <c r="C1035" s="2" t="s">
        <v>4656</v>
      </c>
      <c r="D1035" s="3">
        <v>40</v>
      </c>
      <c r="E1035" s="3">
        <v>40</v>
      </c>
      <c r="F1035" s="2" t="s">
        <v>16</v>
      </c>
      <c r="G1035" s="2" t="s">
        <v>4657</v>
      </c>
      <c r="H1035" s="3">
        <v>0</v>
      </c>
      <c r="I1035" s="2" t="s">
        <v>18</v>
      </c>
      <c r="J1035" s="2" t="s">
        <v>4658</v>
      </c>
      <c r="K1035" s="2" t="s">
        <v>16</v>
      </c>
      <c r="L1035" s="2" t="s">
        <v>4659</v>
      </c>
      <c r="M1035" s="4">
        <v>3.08</v>
      </c>
      <c r="N1035" t="e">
        <f>OR(LEFT(B1035,3)="frg",(_xlfn.XMATCH(B1035,ZZZ_Part_Id_[[#All],[FGCODE]])))</f>
        <v>#N/A</v>
      </c>
    </row>
    <row r="1036" spans="1:14" x14ac:dyDescent="0.3">
      <c r="A1036" s="2" t="s">
        <v>4655</v>
      </c>
      <c r="B1036" s="2" t="s">
        <v>65</v>
      </c>
      <c r="C1036" s="2" t="s">
        <v>4660</v>
      </c>
      <c r="D1036" s="5">
        <v>-261</v>
      </c>
      <c r="E1036" s="5">
        <v>-261</v>
      </c>
      <c r="F1036" s="2" t="s">
        <v>23</v>
      </c>
      <c r="G1036" s="2" t="s">
        <v>4661</v>
      </c>
      <c r="H1036" s="3">
        <v>0</v>
      </c>
      <c r="I1036" s="2" t="s">
        <v>18</v>
      </c>
      <c r="J1036" s="2" t="s">
        <v>4662</v>
      </c>
      <c r="K1036" s="2" t="s">
        <v>23</v>
      </c>
      <c r="L1036" s="2" t="s">
        <v>4663</v>
      </c>
      <c r="M1036" s="6">
        <v>-671.19</v>
      </c>
      <c r="N1036" t="b">
        <f>OR(LEFT(B1036,3)="frg",(_xlfn.XMATCH(B1036,ZZZ_Part_Id_[[#All],[FGCODE]])))</f>
        <v>1</v>
      </c>
    </row>
    <row r="1037" spans="1:14" x14ac:dyDescent="0.3">
      <c r="A1037" s="2" t="s">
        <v>4655</v>
      </c>
      <c r="B1037" s="2" t="s">
        <v>1093</v>
      </c>
      <c r="C1037" s="2" t="s">
        <v>4664</v>
      </c>
      <c r="D1037" s="3">
        <v>522000</v>
      </c>
      <c r="E1037" s="3">
        <v>522000</v>
      </c>
      <c r="F1037" s="2" t="s">
        <v>16</v>
      </c>
      <c r="G1037" s="2" t="s">
        <v>4665</v>
      </c>
      <c r="H1037" s="3">
        <v>0</v>
      </c>
      <c r="I1037" s="2" t="s">
        <v>18</v>
      </c>
      <c r="J1037" s="2" t="s">
        <v>4666</v>
      </c>
      <c r="K1037" s="2" t="s">
        <v>16</v>
      </c>
      <c r="L1037" s="2" t="s">
        <v>4667</v>
      </c>
      <c r="M1037" s="4">
        <v>28464.75</v>
      </c>
      <c r="N1037" t="b">
        <f>OR(LEFT(B1037,3)="frg",(_xlfn.XMATCH(B1037,ZZZ_Part_Id_[[#All],[FGCODE]])))</f>
        <v>1</v>
      </c>
    </row>
    <row r="1038" spans="1:14" x14ac:dyDescent="0.3">
      <c r="A1038" s="2" t="s">
        <v>4668</v>
      </c>
      <c r="B1038" s="2" t="s">
        <v>14</v>
      </c>
      <c r="C1038" s="2" t="s">
        <v>4669</v>
      </c>
      <c r="D1038" s="3">
        <v>40</v>
      </c>
      <c r="E1038" s="3">
        <v>40</v>
      </c>
      <c r="F1038" s="2" t="s">
        <v>16</v>
      </c>
      <c r="G1038" s="2" t="s">
        <v>4670</v>
      </c>
      <c r="H1038" s="3">
        <v>0</v>
      </c>
      <c r="I1038" s="2" t="s">
        <v>18</v>
      </c>
      <c r="J1038" s="2" t="s">
        <v>4671</v>
      </c>
      <c r="K1038" s="2" t="s">
        <v>16</v>
      </c>
      <c r="L1038" s="2" t="s">
        <v>4672</v>
      </c>
      <c r="M1038" s="4">
        <v>3.08</v>
      </c>
      <c r="N1038" t="e">
        <f>OR(LEFT(B1038,3)="frg",(_xlfn.XMATCH(B1038,ZZZ_Part_Id_[[#All],[FGCODE]])))</f>
        <v>#N/A</v>
      </c>
    </row>
    <row r="1039" spans="1:14" x14ac:dyDescent="0.3">
      <c r="A1039" s="2" t="s">
        <v>4668</v>
      </c>
      <c r="B1039" s="2" t="s">
        <v>1093</v>
      </c>
      <c r="C1039" s="2" t="s">
        <v>4673</v>
      </c>
      <c r="D1039" s="3">
        <v>501120</v>
      </c>
      <c r="E1039" s="3">
        <v>501120</v>
      </c>
      <c r="F1039" s="2" t="s">
        <v>16</v>
      </c>
      <c r="G1039" s="2" t="s">
        <v>4674</v>
      </c>
      <c r="H1039" s="3">
        <v>0</v>
      </c>
      <c r="I1039" s="2" t="s">
        <v>18</v>
      </c>
      <c r="J1039" s="2" t="s">
        <v>4675</v>
      </c>
      <c r="K1039" s="2" t="s">
        <v>16</v>
      </c>
      <c r="L1039" s="2" t="s">
        <v>4676</v>
      </c>
      <c r="M1039" s="4">
        <v>27326.15</v>
      </c>
      <c r="N1039" t="b">
        <f>OR(LEFT(B1039,3)="frg",(_xlfn.XMATCH(B1039,ZZZ_Part_Id_[[#All],[FGCODE]])))</f>
        <v>1</v>
      </c>
    </row>
    <row r="1040" spans="1:14" x14ac:dyDescent="0.3">
      <c r="A1040" s="2" t="s">
        <v>4677</v>
      </c>
      <c r="B1040" s="2" t="s">
        <v>14</v>
      </c>
      <c r="C1040" s="2" t="s">
        <v>4678</v>
      </c>
      <c r="D1040" s="3">
        <v>64</v>
      </c>
      <c r="E1040" s="3">
        <v>64</v>
      </c>
      <c r="F1040" s="2" t="s">
        <v>16</v>
      </c>
      <c r="G1040" s="2" t="s">
        <v>4679</v>
      </c>
      <c r="H1040" s="3">
        <v>0</v>
      </c>
      <c r="I1040" s="2" t="s">
        <v>409</v>
      </c>
      <c r="J1040" s="2" t="s">
        <v>4680</v>
      </c>
      <c r="K1040" s="2" t="s">
        <v>16</v>
      </c>
      <c r="L1040" s="2" t="s">
        <v>4681</v>
      </c>
      <c r="M1040" s="4">
        <v>4.92</v>
      </c>
      <c r="N1040" t="e">
        <f>OR(LEFT(B1040,3)="frg",(_xlfn.XMATCH(B1040,ZZZ_Part_Id_[[#All],[FGCODE]])))</f>
        <v>#N/A</v>
      </c>
    </row>
    <row r="1041" spans="1:14" x14ac:dyDescent="0.3">
      <c r="A1041" s="2" t="s">
        <v>4677</v>
      </c>
      <c r="B1041" s="2" t="s">
        <v>27</v>
      </c>
      <c r="C1041" s="2" t="s">
        <v>4682</v>
      </c>
      <c r="D1041" s="3">
        <v>364320</v>
      </c>
      <c r="E1041" s="3">
        <v>364320</v>
      </c>
      <c r="F1041" s="2" t="s">
        <v>16</v>
      </c>
      <c r="G1041" s="2" t="s">
        <v>4683</v>
      </c>
      <c r="H1041" s="3">
        <v>0</v>
      </c>
      <c r="I1041" s="2" t="s">
        <v>409</v>
      </c>
      <c r="J1041" s="2" t="s">
        <v>4684</v>
      </c>
      <c r="K1041" s="2" t="s">
        <v>16</v>
      </c>
      <c r="L1041" s="2" t="s">
        <v>4685</v>
      </c>
      <c r="M1041" s="4">
        <v>67661.55</v>
      </c>
      <c r="N1041" t="b">
        <f>OR(LEFT(B1041,3)="frg",(_xlfn.XMATCH(B1041,ZZZ_Part_Id_[[#All],[FGCODE]])))</f>
        <v>1</v>
      </c>
    </row>
    <row r="1042" spans="1:14" x14ac:dyDescent="0.3">
      <c r="A1042" s="2" t="s">
        <v>4686</v>
      </c>
      <c r="B1042" s="2" t="s">
        <v>14</v>
      </c>
      <c r="C1042" s="2" t="s">
        <v>4687</v>
      </c>
      <c r="D1042" s="3">
        <v>4</v>
      </c>
      <c r="E1042" s="3">
        <v>4</v>
      </c>
      <c r="F1042" s="2" t="s">
        <v>16</v>
      </c>
      <c r="G1042" s="2" t="s">
        <v>4688</v>
      </c>
      <c r="H1042" s="3">
        <v>0</v>
      </c>
      <c r="I1042" s="2" t="s">
        <v>18</v>
      </c>
      <c r="J1042" s="2" t="s">
        <v>4689</v>
      </c>
      <c r="K1042" s="2" t="s">
        <v>16</v>
      </c>
      <c r="L1042" s="2" t="s">
        <v>4690</v>
      </c>
      <c r="M1042" s="4">
        <v>0.31</v>
      </c>
      <c r="N1042" t="e">
        <f>OR(LEFT(B1042,3)="frg",(_xlfn.XMATCH(B1042,ZZZ_Part_Id_[[#All],[FGCODE]])))</f>
        <v>#N/A</v>
      </c>
    </row>
    <row r="1043" spans="1:14" x14ac:dyDescent="0.3">
      <c r="A1043" s="2" t="s">
        <v>4686</v>
      </c>
      <c r="B1043" s="2" t="s">
        <v>1093</v>
      </c>
      <c r="C1043" s="2" t="s">
        <v>4691</v>
      </c>
      <c r="D1043" s="3">
        <v>41760</v>
      </c>
      <c r="E1043" s="3">
        <v>41760</v>
      </c>
      <c r="F1043" s="2" t="s">
        <v>16</v>
      </c>
      <c r="G1043" s="2" t="s">
        <v>4692</v>
      </c>
      <c r="H1043" s="3">
        <v>0</v>
      </c>
      <c r="I1043" s="2" t="s">
        <v>18</v>
      </c>
      <c r="J1043" s="2" t="s">
        <v>4693</v>
      </c>
      <c r="K1043" s="2" t="s">
        <v>16</v>
      </c>
      <c r="L1043" s="2" t="s">
        <v>4694</v>
      </c>
      <c r="M1043" s="4">
        <v>2277.1799999999998</v>
      </c>
      <c r="N1043" t="b">
        <f>OR(LEFT(B1043,3)="frg",(_xlfn.XMATCH(B1043,ZZZ_Part_Id_[[#All],[FGCODE]])))</f>
        <v>1</v>
      </c>
    </row>
    <row r="1044" spans="1:14" x14ac:dyDescent="0.3">
      <c r="A1044" s="2" t="s">
        <v>4695</v>
      </c>
      <c r="B1044" s="2" t="s">
        <v>27</v>
      </c>
      <c r="C1044" s="2" t="s">
        <v>4696</v>
      </c>
      <c r="D1044" s="3">
        <v>6624</v>
      </c>
      <c r="E1044" s="3">
        <v>6624</v>
      </c>
      <c r="F1044" s="2" t="s">
        <v>16</v>
      </c>
      <c r="G1044" s="2" t="s">
        <v>4697</v>
      </c>
      <c r="H1044" s="3">
        <v>0</v>
      </c>
      <c r="I1044" s="2" t="s">
        <v>18</v>
      </c>
      <c r="J1044" s="2" t="s">
        <v>4698</v>
      </c>
      <c r="K1044" s="2" t="s">
        <v>16</v>
      </c>
      <c r="L1044" s="2" t="s">
        <v>4699</v>
      </c>
      <c r="M1044" s="4">
        <v>1230.21</v>
      </c>
      <c r="N1044" t="b">
        <f>OR(LEFT(B1044,3)="frg",(_xlfn.XMATCH(B1044,ZZZ_Part_Id_[[#All],[FGCODE]])))</f>
        <v>1</v>
      </c>
    </row>
    <row r="1045" spans="1:14" x14ac:dyDescent="0.3">
      <c r="A1045" s="2" t="s">
        <v>4700</v>
      </c>
      <c r="B1045" s="2" t="s">
        <v>517</v>
      </c>
      <c r="C1045" s="2" t="s">
        <v>4701</v>
      </c>
      <c r="D1045" s="3">
        <v>90720</v>
      </c>
      <c r="E1045" s="3">
        <v>90720</v>
      </c>
      <c r="F1045" s="2" t="s">
        <v>16</v>
      </c>
      <c r="G1045" s="2" t="s">
        <v>4702</v>
      </c>
      <c r="H1045" s="3">
        <v>0</v>
      </c>
      <c r="I1045" s="2" t="s">
        <v>18</v>
      </c>
      <c r="J1045" s="2" t="s">
        <v>4703</v>
      </c>
      <c r="K1045" s="2" t="s">
        <v>16</v>
      </c>
      <c r="L1045" s="2" t="s">
        <v>4704</v>
      </c>
      <c r="M1045" s="4">
        <v>10528.92</v>
      </c>
      <c r="N1045" t="b">
        <f>OR(LEFT(B1045,3)="frg",(_xlfn.XMATCH(B1045,ZZZ_Part_Id_[[#All],[FGCODE]])))</f>
        <v>1</v>
      </c>
    </row>
    <row r="1046" spans="1:14" x14ac:dyDescent="0.3">
      <c r="A1046" s="2" t="s">
        <v>4705</v>
      </c>
      <c r="B1046" s="2" t="s">
        <v>1093</v>
      </c>
      <c r="C1046" s="2" t="s">
        <v>4706</v>
      </c>
      <c r="D1046" s="3">
        <v>1002240</v>
      </c>
      <c r="E1046" s="3">
        <v>1002240</v>
      </c>
      <c r="F1046" s="2" t="s">
        <v>16</v>
      </c>
      <c r="G1046" s="2" t="s">
        <v>4707</v>
      </c>
      <c r="H1046" s="3">
        <v>0</v>
      </c>
      <c r="I1046" s="2" t="s">
        <v>18</v>
      </c>
      <c r="J1046" s="2" t="s">
        <v>4708</v>
      </c>
      <c r="K1046" s="2" t="s">
        <v>16</v>
      </c>
      <c r="L1046" s="2" t="s">
        <v>4709</v>
      </c>
      <c r="M1046" s="4">
        <v>54652.32</v>
      </c>
      <c r="N1046" t="b">
        <f>OR(LEFT(B1046,3)="frg",(_xlfn.XMATCH(B1046,ZZZ_Part_Id_[[#All],[FGCODE]])))</f>
        <v>1</v>
      </c>
    </row>
    <row r="1047" spans="1:14" x14ac:dyDescent="0.3">
      <c r="A1047" s="2" t="s">
        <v>4710</v>
      </c>
      <c r="B1047" s="2" t="s">
        <v>1093</v>
      </c>
      <c r="C1047" s="2" t="s">
        <v>4711</v>
      </c>
      <c r="D1047" s="3">
        <v>1983600</v>
      </c>
      <c r="E1047" s="3">
        <v>1983600</v>
      </c>
      <c r="F1047" s="2" t="s">
        <v>16</v>
      </c>
      <c r="G1047" s="2" t="s">
        <v>4712</v>
      </c>
      <c r="H1047" s="3">
        <v>0</v>
      </c>
      <c r="I1047" s="2" t="s">
        <v>18</v>
      </c>
      <c r="J1047" s="2" t="s">
        <v>4713</v>
      </c>
      <c r="K1047" s="2" t="s">
        <v>16</v>
      </c>
      <c r="L1047" s="2" t="s">
        <v>4714</v>
      </c>
      <c r="M1047" s="4">
        <v>108166.05</v>
      </c>
      <c r="N1047" t="b">
        <f>OR(LEFT(B1047,3)="frg",(_xlfn.XMATCH(B1047,ZZZ_Part_Id_[[#All],[FGCODE]])))</f>
        <v>1</v>
      </c>
    </row>
    <row r="1048" spans="1:14" x14ac:dyDescent="0.3">
      <c r="A1048" s="2" t="s">
        <v>4710</v>
      </c>
      <c r="B1048" s="2" t="s">
        <v>65</v>
      </c>
      <c r="C1048" s="2" t="s">
        <v>4715</v>
      </c>
      <c r="D1048" s="5">
        <v>-261</v>
      </c>
      <c r="E1048" s="5">
        <v>-261</v>
      </c>
      <c r="F1048" s="2" t="s">
        <v>23</v>
      </c>
      <c r="G1048" s="2" t="s">
        <v>4716</v>
      </c>
      <c r="H1048" s="3">
        <v>0</v>
      </c>
      <c r="I1048" s="2" t="s">
        <v>18</v>
      </c>
      <c r="J1048" s="2" t="s">
        <v>4717</v>
      </c>
      <c r="K1048" s="2" t="s">
        <v>23</v>
      </c>
      <c r="L1048" s="2" t="s">
        <v>4718</v>
      </c>
      <c r="M1048" s="6">
        <v>-671.19</v>
      </c>
      <c r="N1048" t="b">
        <f>OR(LEFT(B1048,3)="frg",(_xlfn.XMATCH(B1048,ZZZ_Part_Id_[[#All],[FGCODE]])))</f>
        <v>1</v>
      </c>
    </row>
    <row r="1049" spans="1:14" x14ac:dyDescent="0.3">
      <c r="A1049" s="2" t="s">
        <v>4719</v>
      </c>
      <c r="B1049" s="2" t="s">
        <v>1027</v>
      </c>
      <c r="C1049" s="2" t="s">
        <v>4720</v>
      </c>
      <c r="D1049" s="3">
        <v>1008900</v>
      </c>
      <c r="E1049" s="3">
        <v>1008900</v>
      </c>
      <c r="F1049" s="2" t="s">
        <v>16</v>
      </c>
      <c r="G1049" s="2" t="s">
        <v>4721</v>
      </c>
      <c r="H1049" s="3">
        <v>0</v>
      </c>
      <c r="I1049" s="2" t="s">
        <v>18</v>
      </c>
      <c r="J1049" s="2" t="s">
        <v>4722</v>
      </c>
      <c r="K1049" s="2" t="s">
        <v>16</v>
      </c>
      <c r="L1049" s="2" t="s">
        <v>4723</v>
      </c>
      <c r="M1049" s="4">
        <v>126798.39999999999</v>
      </c>
      <c r="N1049" t="b">
        <f>OR(LEFT(B1049,3)="frg",(_xlfn.XMATCH(B1049,ZZZ_Part_Id_[[#All],[FGCODE]])))</f>
        <v>1</v>
      </c>
    </row>
    <row r="1050" spans="1:14" x14ac:dyDescent="0.3">
      <c r="A1050" s="2" t="s">
        <v>4724</v>
      </c>
      <c r="B1050" s="2" t="s">
        <v>97</v>
      </c>
      <c r="C1050" s="2" t="s">
        <v>4725</v>
      </c>
      <c r="D1050" s="3">
        <v>499200</v>
      </c>
      <c r="E1050" s="3">
        <v>499200</v>
      </c>
      <c r="F1050" s="2" t="s">
        <v>16</v>
      </c>
      <c r="G1050" s="2" t="s">
        <v>4726</v>
      </c>
      <c r="H1050" s="3">
        <v>0</v>
      </c>
      <c r="I1050" s="2" t="s">
        <v>18</v>
      </c>
      <c r="J1050" s="2" t="s">
        <v>4727</v>
      </c>
      <c r="K1050" s="2" t="s">
        <v>16</v>
      </c>
      <c r="L1050" s="2" t="s">
        <v>4728</v>
      </c>
      <c r="M1050" s="4">
        <v>106664.48</v>
      </c>
      <c r="N1050" t="b">
        <f>OR(LEFT(B1050,3)="frg",(_xlfn.XMATCH(B1050,ZZZ_Part_Id_[[#All],[FGCODE]])))</f>
        <v>1</v>
      </c>
    </row>
    <row r="1051" spans="1:14" x14ac:dyDescent="0.3">
      <c r="A1051" s="2" t="s">
        <v>4729</v>
      </c>
      <c r="B1051" s="2" t="s">
        <v>27</v>
      </c>
      <c r="C1051" s="2" t="s">
        <v>4730</v>
      </c>
      <c r="D1051" s="3">
        <v>324576</v>
      </c>
      <c r="E1051" s="3">
        <v>324576</v>
      </c>
      <c r="F1051" s="2" t="s">
        <v>16</v>
      </c>
      <c r="G1051" s="2" t="s">
        <v>4731</v>
      </c>
      <c r="H1051" s="3">
        <v>0</v>
      </c>
      <c r="I1051" s="2" t="s">
        <v>18</v>
      </c>
      <c r="J1051" s="2" t="s">
        <v>4732</v>
      </c>
      <c r="K1051" s="2" t="s">
        <v>16</v>
      </c>
      <c r="L1051" s="2" t="s">
        <v>4733</v>
      </c>
      <c r="M1051" s="4">
        <v>60280.29</v>
      </c>
      <c r="N1051" t="b">
        <f>OR(LEFT(B1051,3)="frg",(_xlfn.XMATCH(B1051,ZZZ_Part_Id_[[#All],[FGCODE]])))</f>
        <v>1</v>
      </c>
    </row>
    <row r="1052" spans="1:14" x14ac:dyDescent="0.3">
      <c r="A1052" s="2" t="s">
        <v>4734</v>
      </c>
      <c r="B1052" s="2" t="s">
        <v>517</v>
      </c>
      <c r="C1052" s="2" t="s">
        <v>4735</v>
      </c>
      <c r="D1052" s="3">
        <v>413280</v>
      </c>
      <c r="E1052" s="3">
        <v>413280</v>
      </c>
      <c r="F1052" s="2" t="s">
        <v>16</v>
      </c>
      <c r="G1052" s="2" t="s">
        <v>4736</v>
      </c>
      <c r="H1052" s="3">
        <v>0</v>
      </c>
      <c r="I1052" s="2" t="s">
        <v>18</v>
      </c>
      <c r="J1052" s="2" t="s">
        <v>4737</v>
      </c>
      <c r="K1052" s="2" t="s">
        <v>16</v>
      </c>
      <c r="L1052" s="2" t="s">
        <v>4738</v>
      </c>
      <c r="M1052" s="4">
        <v>47965.08</v>
      </c>
      <c r="N1052" t="b">
        <f>OR(LEFT(B1052,3)="frg",(_xlfn.XMATCH(B1052,ZZZ_Part_Id_[[#All],[FGCODE]])))</f>
        <v>1</v>
      </c>
    </row>
    <row r="1053" spans="1:14" x14ac:dyDescent="0.3">
      <c r="A1053" s="2" t="s">
        <v>4739</v>
      </c>
      <c r="B1053" s="2" t="s">
        <v>308</v>
      </c>
      <c r="C1053" s="2" t="s">
        <v>4740</v>
      </c>
      <c r="D1053" s="3">
        <v>135000</v>
      </c>
      <c r="E1053" s="3">
        <v>135000</v>
      </c>
      <c r="F1053" s="2" t="s">
        <v>16</v>
      </c>
      <c r="G1053" s="2" t="s">
        <v>4741</v>
      </c>
      <c r="H1053" s="3">
        <v>0</v>
      </c>
      <c r="I1053" s="2" t="s">
        <v>18</v>
      </c>
      <c r="J1053" s="2" t="s">
        <v>4742</v>
      </c>
      <c r="K1053" s="2" t="s">
        <v>16</v>
      </c>
      <c r="L1053" s="2" t="s">
        <v>4743</v>
      </c>
      <c r="M1053" s="4">
        <v>5212.3500000000004</v>
      </c>
      <c r="N1053" t="b">
        <f>OR(LEFT(B1053,3)="frg",(_xlfn.XMATCH(B1053,ZZZ_Part_Id_[[#All],[FGCODE]])))</f>
        <v>1</v>
      </c>
    </row>
    <row r="1054" spans="1:14" x14ac:dyDescent="0.3">
      <c r="A1054" s="2" t="s">
        <v>4739</v>
      </c>
      <c r="B1054" s="2" t="s">
        <v>86</v>
      </c>
      <c r="C1054" s="2" t="s">
        <v>4744</v>
      </c>
      <c r="D1054" s="5">
        <v>-224</v>
      </c>
      <c r="E1054" s="5">
        <v>-224</v>
      </c>
      <c r="F1054" s="2" t="s">
        <v>23</v>
      </c>
      <c r="G1054" s="2" t="s">
        <v>4745</v>
      </c>
      <c r="H1054" s="3">
        <v>0</v>
      </c>
      <c r="I1054" s="2" t="s">
        <v>18</v>
      </c>
      <c r="J1054" s="2" t="s">
        <v>4746</v>
      </c>
      <c r="K1054" s="2" t="s">
        <v>23</v>
      </c>
      <c r="L1054" s="2" t="s">
        <v>4747</v>
      </c>
      <c r="M1054" s="6">
        <v>-586.39</v>
      </c>
      <c r="N1054" t="b">
        <f>OR(LEFT(B1054,3)="frg",(_xlfn.XMATCH(B1054,ZZZ_Part_Id_[[#All],[FGCODE]])))</f>
        <v>1</v>
      </c>
    </row>
    <row r="1055" spans="1:14" x14ac:dyDescent="0.3">
      <c r="A1055" s="2" t="s">
        <v>4748</v>
      </c>
      <c r="B1055" s="2" t="s">
        <v>70</v>
      </c>
      <c r="C1055" s="2" t="s">
        <v>4749</v>
      </c>
      <c r="D1055" s="3">
        <v>38016</v>
      </c>
      <c r="E1055" s="3">
        <v>38016</v>
      </c>
      <c r="F1055" s="2" t="s">
        <v>16</v>
      </c>
      <c r="G1055" s="2" t="s">
        <v>4750</v>
      </c>
      <c r="H1055" s="3">
        <v>0</v>
      </c>
      <c r="I1055" s="2" t="s">
        <v>18</v>
      </c>
      <c r="J1055" s="2" t="s">
        <v>4751</v>
      </c>
      <c r="K1055" s="2" t="s">
        <v>16</v>
      </c>
      <c r="L1055" s="2" t="s">
        <v>4752</v>
      </c>
      <c r="M1055" s="4">
        <v>5952.18</v>
      </c>
      <c r="N1055" t="b">
        <f>OR(LEFT(B1055,3)="frg",(_xlfn.XMATCH(B1055,ZZZ_Part_Id_[[#All],[FGCODE]])))</f>
        <v>1</v>
      </c>
    </row>
    <row r="1056" spans="1:14" x14ac:dyDescent="0.3">
      <c r="A1056" s="2" t="s">
        <v>4748</v>
      </c>
      <c r="B1056" s="2" t="s">
        <v>65</v>
      </c>
      <c r="C1056" s="2" t="s">
        <v>4753</v>
      </c>
      <c r="D1056" s="5">
        <v>-228</v>
      </c>
      <c r="E1056" s="5">
        <v>-228</v>
      </c>
      <c r="F1056" s="2" t="s">
        <v>23</v>
      </c>
      <c r="G1056" s="2" t="s">
        <v>4754</v>
      </c>
      <c r="H1056" s="3">
        <v>0</v>
      </c>
      <c r="I1056" s="2" t="s">
        <v>18</v>
      </c>
      <c r="J1056" s="2" t="s">
        <v>4755</v>
      </c>
      <c r="K1056" s="2" t="s">
        <v>23</v>
      </c>
      <c r="L1056" s="2" t="s">
        <v>4756</v>
      </c>
      <c r="M1056" s="6">
        <v>-586.32000000000005</v>
      </c>
      <c r="N1056" t="b">
        <f>OR(LEFT(B1056,3)="frg",(_xlfn.XMATCH(B1056,ZZZ_Part_Id_[[#All],[FGCODE]])))</f>
        <v>1</v>
      </c>
    </row>
    <row r="1057" spans="1:14" x14ac:dyDescent="0.3">
      <c r="A1057" s="2" t="s">
        <v>4757</v>
      </c>
      <c r="B1057" s="2" t="s">
        <v>485</v>
      </c>
      <c r="C1057" s="2" t="s">
        <v>4758</v>
      </c>
      <c r="D1057" s="3">
        <v>211200</v>
      </c>
      <c r="E1057" s="3">
        <v>211200</v>
      </c>
      <c r="F1057" s="2" t="s">
        <v>16</v>
      </c>
      <c r="G1057" s="2" t="s">
        <v>4759</v>
      </c>
      <c r="H1057" s="3">
        <v>0</v>
      </c>
      <c r="I1057" s="2" t="s">
        <v>18</v>
      </c>
      <c r="J1057" s="2" t="s">
        <v>4760</v>
      </c>
      <c r="K1057" s="2" t="s">
        <v>16</v>
      </c>
      <c r="L1057" s="2" t="s">
        <v>4761</v>
      </c>
      <c r="M1057" s="4">
        <v>14188.46</v>
      </c>
      <c r="N1057" t="b">
        <f>OR(LEFT(B1057,3)="frg",(_xlfn.XMATCH(B1057,ZZZ_Part_Id_[[#All],[FGCODE]])))</f>
        <v>1</v>
      </c>
    </row>
    <row r="1058" spans="1:14" x14ac:dyDescent="0.3">
      <c r="A1058" s="2" t="s">
        <v>4757</v>
      </c>
      <c r="B1058" s="2" t="s">
        <v>86</v>
      </c>
      <c r="C1058" s="2" t="s">
        <v>4762</v>
      </c>
      <c r="D1058" s="5">
        <v>-537</v>
      </c>
      <c r="E1058" s="5">
        <v>-537</v>
      </c>
      <c r="F1058" s="2" t="s">
        <v>23</v>
      </c>
      <c r="G1058" s="2" t="s">
        <v>4763</v>
      </c>
      <c r="H1058" s="3">
        <v>0</v>
      </c>
      <c r="I1058" s="2" t="s">
        <v>18</v>
      </c>
      <c r="J1058" s="2" t="s">
        <v>4764</v>
      </c>
      <c r="K1058" s="2" t="s">
        <v>23</v>
      </c>
      <c r="L1058" s="2" t="s">
        <v>4765</v>
      </c>
      <c r="M1058" s="6">
        <v>-1405.76</v>
      </c>
      <c r="N1058" t="b">
        <f>OR(LEFT(B1058,3)="frg",(_xlfn.XMATCH(B1058,ZZZ_Part_Id_[[#All],[FGCODE]])))</f>
        <v>1</v>
      </c>
    </row>
    <row r="1059" spans="1:14" x14ac:dyDescent="0.3">
      <c r="A1059" s="2" t="s">
        <v>4766</v>
      </c>
      <c r="B1059" s="2" t="s">
        <v>27</v>
      </c>
      <c r="C1059" s="2" t="s">
        <v>4767</v>
      </c>
      <c r="D1059" s="3">
        <v>46368</v>
      </c>
      <c r="E1059" s="3">
        <v>0</v>
      </c>
      <c r="F1059" s="2" t="s">
        <v>16</v>
      </c>
      <c r="G1059" s="2" t="s">
        <v>4768</v>
      </c>
      <c r="H1059" s="3">
        <v>0</v>
      </c>
      <c r="I1059" s="2" t="s">
        <v>409</v>
      </c>
      <c r="J1059" s="2" t="s">
        <v>4769</v>
      </c>
      <c r="K1059" s="2" t="s">
        <v>16</v>
      </c>
      <c r="L1059" s="2" t="s">
        <v>4770</v>
      </c>
      <c r="M1059" s="4">
        <v>0</v>
      </c>
      <c r="N1059" t="b">
        <f>OR(LEFT(B1059,3)="frg",(_xlfn.XMATCH(B1059,ZZZ_Part_Id_[[#All],[FGCODE]])))</f>
        <v>1</v>
      </c>
    </row>
    <row r="1060" spans="1:14" x14ac:dyDescent="0.3">
      <c r="A1060" s="2" t="s">
        <v>4766</v>
      </c>
      <c r="B1060" s="2" t="s">
        <v>65</v>
      </c>
      <c r="C1060" s="2" t="s">
        <v>4771</v>
      </c>
      <c r="D1060" s="5">
        <v>-596</v>
      </c>
      <c r="E1060" s="5">
        <v>-596</v>
      </c>
      <c r="F1060" s="2" t="s">
        <v>23</v>
      </c>
      <c r="G1060" s="2" t="s">
        <v>4772</v>
      </c>
      <c r="H1060" s="3">
        <v>0</v>
      </c>
      <c r="I1060" s="2" t="s">
        <v>409</v>
      </c>
      <c r="J1060" s="2" t="s">
        <v>4773</v>
      </c>
      <c r="K1060" s="2" t="s">
        <v>23</v>
      </c>
      <c r="L1060" s="2" t="s">
        <v>4774</v>
      </c>
      <c r="M1060" s="6">
        <v>-1532.67</v>
      </c>
      <c r="N1060" t="b">
        <f>OR(LEFT(B1060,3)="frg",(_xlfn.XMATCH(B1060,ZZZ_Part_Id_[[#All],[FGCODE]])))</f>
        <v>1</v>
      </c>
    </row>
    <row r="1061" spans="1:14" x14ac:dyDescent="0.3">
      <c r="A1061" s="2" t="s">
        <v>4766</v>
      </c>
      <c r="B1061" s="2" t="s">
        <v>14</v>
      </c>
      <c r="C1061" s="2" t="s">
        <v>4775</v>
      </c>
      <c r="D1061" s="3">
        <v>10</v>
      </c>
      <c r="E1061" s="3">
        <v>10</v>
      </c>
      <c r="F1061" s="2" t="s">
        <v>16</v>
      </c>
      <c r="G1061" s="2" t="s">
        <v>4776</v>
      </c>
      <c r="H1061" s="3">
        <v>0</v>
      </c>
      <c r="I1061" s="2" t="s">
        <v>409</v>
      </c>
      <c r="J1061" s="2" t="s">
        <v>4777</v>
      </c>
      <c r="K1061" s="2" t="s">
        <v>16</v>
      </c>
      <c r="L1061" s="2" t="s">
        <v>4778</v>
      </c>
      <c r="M1061" s="4">
        <v>0.77</v>
      </c>
      <c r="N1061" t="e">
        <f>OR(LEFT(B1061,3)="frg",(_xlfn.XMATCH(B1061,ZZZ_Part_Id_[[#All],[FGCODE]])))</f>
        <v>#N/A</v>
      </c>
    </row>
    <row r="1062" spans="1:14" x14ac:dyDescent="0.3">
      <c r="A1062" s="2" t="s">
        <v>4766</v>
      </c>
      <c r="B1062" s="2" t="s">
        <v>140</v>
      </c>
      <c r="C1062" s="2" t="s">
        <v>4779</v>
      </c>
      <c r="D1062" s="3">
        <v>0.2</v>
      </c>
      <c r="E1062" s="3">
        <v>0.2</v>
      </c>
      <c r="F1062" s="2" t="s">
        <v>16</v>
      </c>
      <c r="G1062" s="2" t="s">
        <v>4780</v>
      </c>
      <c r="H1062" s="3">
        <v>0</v>
      </c>
      <c r="I1062" s="2" t="s">
        <v>409</v>
      </c>
      <c r="J1062" s="2" t="s">
        <v>4781</v>
      </c>
      <c r="K1062" s="2" t="s">
        <v>16</v>
      </c>
      <c r="L1062" s="2" t="s">
        <v>4782</v>
      </c>
      <c r="M1062" s="4">
        <v>0.33</v>
      </c>
      <c r="N1062" t="e">
        <f>OR(LEFT(B1062,3)="frg",(_xlfn.XMATCH(B1062,ZZZ_Part_Id_[[#All],[FGCODE]])))</f>
        <v>#N/A</v>
      </c>
    </row>
    <row r="1063" spans="1:14" x14ac:dyDescent="0.3">
      <c r="A1063" s="2" t="s">
        <v>4766</v>
      </c>
      <c r="B1063" s="2" t="s">
        <v>192</v>
      </c>
      <c r="C1063" s="2" t="s">
        <v>4783</v>
      </c>
      <c r="D1063" s="3">
        <v>0.05</v>
      </c>
      <c r="E1063" s="3">
        <v>0.05</v>
      </c>
      <c r="F1063" s="2" t="s">
        <v>194</v>
      </c>
      <c r="G1063" s="2" t="s">
        <v>4784</v>
      </c>
      <c r="H1063" s="3">
        <v>0</v>
      </c>
      <c r="I1063" s="2" t="s">
        <v>409</v>
      </c>
      <c r="J1063" s="2" t="s">
        <v>4785</v>
      </c>
      <c r="K1063" s="2" t="s">
        <v>194</v>
      </c>
      <c r="L1063" s="2" t="s">
        <v>4786</v>
      </c>
      <c r="M1063" s="4">
        <v>0.27</v>
      </c>
      <c r="N1063" t="e">
        <f>OR(LEFT(B1063,3)="frg",(_xlfn.XMATCH(B1063,ZZZ_Part_Id_[[#All],[FGCODE]])))</f>
        <v>#N/A</v>
      </c>
    </row>
    <row r="1064" spans="1:14" x14ac:dyDescent="0.3">
      <c r="A1064" s="2" t="s">
        <v>4766</v>
      </c>
      <c r="B1064" s="2" t="s">
        <v>145</v>
      </c>
      <c r="C1064" s="2" t="s">
        <v>4787</v>
      </c>
      <c r="D1064" s="3">
        <v>0.02</v>
      </c>
      <c r="E1064" s="3">
        <v>0.02</v>
      </c>
      <c r="F1064" s="2" t="s">
        <v>147</v>
      </c>
      <c r="G1064" s="2" t="s">
        <v>4788</v>
      </c>
      <c r="H1064" s="3">
        <v>0</v>
      </c>
      <c r="I1064" s="2" t="s">
        <v>409</v>
      </c>
      <c r="J1064" s="2" t="s">
        <v>4789</v>
      </c>
      <c r="K1064" s="2" t="s">
        <v>147</v>
      </c>
      <c r="L1064" s="2" t="s">
        <v>4790</v>
      </c>
      <c r="M1064" s="4">
        <v>3.13</v>
      </c>
      <c r="N1064" t="e">
        <f>OR(LEFT(B1064,3)="frg",(_xlfn.XMATCH(B1064,ZZZ_Part_Id_[[#All],[FGCODE]])))</f>
        <v>#N/A</v>
      </c>
    </row>
    <row r="1065" spans="1:14" x14ac:dyDescent="0.3">
      <c r="A1065" s="2" t="s">
        <v>4766</v>
      </c>
      <c r="B1065" s="2" t="s">
        <v>4791</v>
      </c>
      <c r="C1065" s="2" t="s">
        <v>4792</v>
      </c>
      <c r="D1065" s="3">
        <v>46368</v>
      </c>
      <c r="E1065" s="3">
        <v>46368</v>
      </c>
      <c r="F1065" s="2" t="s">
        <v>16</v>
      </c>
      <c r="G1065" s="2" t="s">
        <v>131</v>
      </c>
      <c r="H1065" s="3">
        <v>0</v>
      </c>
      <c r="I1065" s="2" t="s">
        <v>409</v>
      </c>
      <c r="J1065" s="2" t="s">
        <v>4793</v>
      </c>
      <c r="K1065" s="2" t="s">
        <v>16</v>
      </c>
      <c r="L1065" s="2" t="s">
        <v>4794</v>
      </c>
      <c r="M1065" s="4">
        <v>8435.2800000000007</v>
      </c>
      <c r="N1065" t="b">
        <f>OR(LEFT(B1065,3)="frg",(_xlfn.XMATCH(B1065,ZZZ_Part_Id_[[#All],[FGCODE]])))</f>
        <v>1</v>
      </c>
    </row>
    <row r="1066" spans="1:14" x14ac:dyDescent="0.3">
      <c r="A1066" s="2" t="s">
        <v>4795</v>
      </c>
      <c r="B1066" s="2" t="s">
        <v>4796</v>
      </c>
      <c r="C1066" s="2" t="s">
        <v>4797</v>
      </c>
      <c r="D1066" s="3">
        <v>77824</v>
      </c>
      <c r="E1066" s="3">
        <v>77824</v>
      </c>
      <c r="F1066" s="2" t="s">
        <v>16</v>
      </c>
      <c r="G1066" s="2" t="s">
        <v>4798</v>
      </c>
      <c r="H1066" s="3">
        <v>0</v>
      </c>
      <c r="I1066" s="2" t="s">
        <v>409</v>
      </c>
      <c r="J1066" s="2" t="s">
        <v>4799</v>
      </c>
      <c r="K1066" s="2" t="s">
        <v>16</v>
      </c>
      <c r="L1066" s="2" t="s">
        <v>4800</v>
      </c>
      <c r="M1066" s="4">
        <v>15637.95</v>
      </c>
      <c r="N1066" t="b">
        <f>OR(LEFT(B1066,3)="frg",(_xlfn.XMATCH(B1066,ZZZ_Part_Id_[[#All],[FGCODE]])))</f>
        <v>1</v>
      </c>
    </row>
    <row r="1067" spans="1:14" x14ac:dyDescent="0.3">
      <c r="A1067" s="2" t="s">
        <v>4795</v>
      </c>
      <c r="B1067" s="2" t="s">
        <v>65</v>
      </c>
      <c r="C1067" s="2" t="s">
        <v>4801</v>
      </c>
      <c r="D1067" s="5">
        <v>-1400</v>
      </c>
      <c r="E1067" s="5">
        <v>-1400</v>
      </c>
      <c r="F1067" s="2" t="s">
        <v>23</v>
      </c>
      <c r="G1067" s="2" t="s">
        <v>4802</v>
      </c>
      <c r="H1067" s="3">
        <v>0</v>
      </c>
      <c r="I1067" s="2" t="s">
        <v>409</v>
      </c>
      <c r="J1067" s="2" t="s">
        <v>4803</v>
      </c>
      <c r="K1067" s="2" t="s">
        <v>23</v>
      </c>
      <c r="L1067" s="2" t="s">
        <v>4804</v>
      </c>
      <c r="M1067" s="6">
        <v>-3600.24</v>
      </c>
      <c r="N1067" t="b">
        <f>OR(LEFT(B1067,3)="frg",(_xlfn.XMATCH(B1067,ZZZ_Part_Id_[[#All],[FGCODE]])))</f>
        <v>1</v>
      </c>
    </row>
    <row r="1068" spans="1:14" x14ac:dyDescent="0.3">
      <c r="A1068" s="2" t="s">
        <v>4795</v>
      </c>
      <c r="B1068" s="2" t="s">
        <v>14</v>
      </c>
      <c r="C1068" s="2" t="s">
        <v>4805</v>
      </c>
      <c r="D1068" s="3">
        <v>10</v>
      </c>
      <c r="E1068" s="3">
        <v>10</v>
      </c>
      <c r="F1068" s="2" t="s">
        <v>16</v>
      </c>
      <c r="G1068" s="2" t="s">
        <v>4806</v>
      </c>
      <c r="H1068" s="3">
        <v>0</v>
      </c>
      <c r="I1068" s="2" t="s">
        <v>409</v>
      </c>
      <c r="J1068" s="2" t="s">
        <v>4807</v>
      </c>
      <c r="K1068" s="2" t="s">
        <v>16</v>
      </c>
      <c r="L1068" s="2" t="s">
        <v>4808</v>
      </c>
      <c r="M1068" s="4">
        <v>0.77</v>
      </c>
      <c r="N1068" t="e">
        <f>OR(LEFT(B1068,3)="frg",(_xlfn.XMATCH(B1068,ZZZ_Part_Id_[[#All],[FGCODE]])))</f>
        <v>#N/A</v>
      </c>
    </row>
    <row r="1069" spans="1:14" x14ac:dyDescent="0.3">
      <c r="A1069" s="2" t="s">
        <v>4795</v>
      </c>
      <c r="B1069" s="2" t="s">
        <v>140</v>
      </c>
      <c r="C1069" s="2" t="s">
        <v>4809</v>
      </c>
      <c r="D1069" s="3">
        <v>0.4</v>
      </c>
      <c r="E1069" s="3">
        <v>0.4</v>
      </c>
      <c r="F1069" s="2" t="s">
        <v>16</v>
      </c>
      <c r="G1069" s="2" t="s">
        <v>4810</v>
      </c>
      <c r="H1069" s="3">
        <v>0</v>
      </c>
      <c r="I1069" s="2" t="s">
        <v>409</v>
      </c>
      <c r="J1069" s="2" t="s">
        <v>4811</v>
      </c>
      <c r="K1069" s="2" t="s">
        <v>16</v>
      </c>
      <c r="L1069" s="2" t="s">
        <v>4812</v>
      </c>
      <c r="M1069" s="4">
        <v>0.66</v>
      </c>
      <c r="N1069" t="e">
        <f>OR(LEFT(B1069,3)="frg",(_xlfn.XMATCH(B1069,ZZZ_Part_Id_[[#All],[FGCODE]])))</f>
        <v>#N/A</v>
      </c>
    </row>
    <row r="1070" spans="1:14" x14ac:dyDescent="0.3">
      <c r="A1070" s="2" t="s">
        <v>4795</v>
      </c>
      <c r="B1070" s="2" t="s">
        <v>192</v>
      </c>
      <c r="C1070" s="2" t="s">
        <v>4813</v>
      </c>
      <c r="D1070" s="3">
        <v>0.1</v>
      </c>
      <c r="E1070" s="3">
        <v>0.1</v>
      </c>
      <c r="F1070" s="2" t="s">
        <v>194</v>
      </c>
      <c r="G1070" s="2" t="s">
        <v>4814</v>
      </c>
      <c r="H1070" s="3">
        <v>0</v>
      </c>
      <c r="I1070" s="2" t="s">
        <v>409</v>
      </c>
      <c r="J1070" s="2" t="s">
        <v>4815</v>
      </c>
      <c r="K1070" s="2" t="s">
        <v>194</v>
      </c>
      <c r="L1070" s="2" t="s">
        <v>4816</v>
      </c>
      <c r="M1070" s="4">
        <v>0.54</v>
      </c>
      <c r="N1070" t="e">
        <f>OR(LEFT(B1070,3)="frg",(_xlfn.XMATCH(B1070,ZZZ_Part_Id_[[#All],[FGCODE]])))</f>
        <v>#N/A</v>
      </c>
    </row>
    <row r="1071" spans="1:14" x14ac:dyDescent="0.3">
      <c r="A1071" s="2" t="s">
        <v>4795</v>
      </c>
      <c r="B1071" s="2" t="s">
        <v>145</v>
      </c>
      <c r="C1071" s="2" t="s">
        <v>4817</v>
      </c>
      <c r="D1071" s="3">
        <v>0.04</v>
      </c>
      <c r="E1071" s="3">
        <v>0.04</v>
      </c>
      <c r="F1071" s="2" t="s">
        <v>147</v>
      </c>
      <c r="G1071" s="2" t="s">
        <v>4818</v>
      </c>
      <c r="H1071" s="3">
        <v>0</v>
      </c>
      <c r="I1071" s="2" t="s">
        <v>409</v>
      </c>
      <c r="J1071" s="2" t="s">
        <v>4819</v>
      </c>
      <c r="K1071" s="2" t="s">
        <v>147</v>
      </c>
      <c r="L1071" s="2" t="s">
        <v>4820</v>
      </c>
      <c r="M1071" s="4">
        <v>6.26</v>
      </c>
      <c r="N1071" t="e">
        <f>OR(LEFT(B1071,3)="frg",(_xlfn.XMATCH(B1071,ZZZ_Part_Id_[[#All],[FGCODE]])))</f>
        <v>#N/A</v>
      </c>
    </row>
    <row r="1072" spans="1:14" x14ac:dyDescent="0.3">
      <c r="A1072" s="2" t="s">
        <v>4821</v>
      </c>
      <c r="B1072" s="2" t="s">
        <v>1027</v>
      </c>
      <c r="C1072" s="2" t="s">
        <v>4822</v>
      </c>
      <c r="D1072" s="3">
        <v>21240</v>
      </c>
      <c r="E1072" s="3">
        <v>21240</v>
      </c>
      <c r="F1072" s="2" t="s">
        <v>16</v>
      </c>
      <c r="G1072" s="2" t="s">
        <v>4823</v>
      </c>
      <c r="H1072" s="3">
        <v>0</v>
      </c>
      <c r="I1072" s="2" t="s">
        <v>409</v>
      </c>
      <c r="J1072" s="2" t="s">
        <v>4824</v>
      </c>
      <c r="K1072" s="2" t="s">
        <v>16</v>
      </c>
      <c r="L1072" s="2" t="s">
        <v>4825</v>
      </c>
      <c r="M1072" s="4">
        <v>2669.44</v>
      </c>
      <c r="N1072" t="b">
        <f>OR(LEFT(B1072,3)="frg",(_xlfn.XMATCH(B1072,ZZZ_Part_Id_[[#All],[FGCODE]])))</f>
        <v>1</v>
      </c>
    </row>
    <row r="1073" spans="1:14" x14ac:dyDescent="0.3">
      <c r="A1073" s="2" t="s">
        <v>4826</v>
      </c>
      <c r="B1073" s="2" t="s">
        <v>1093</v>
      </c>
      <c r="C1073" s="2" t="s">
        <v>4827</v>
      </c>
      <c r="D1073" s="3">
        <v>41760</v>
      </c>
      <c r="E1073" s="3">
        <v>41760</v>
      </c>
      <c r="F1073" s="2" t="s">
        <v>16</v>
      </c>
      <c r="G1073" s="2" t="s">
        <v>4828</v>
      </c>
      <c r="H1073" s="3">
        <v>0</v>
      </c>
      <c r="I1073" s="2" t="s">
        <v>409</v>
      </c>
      <c r="J1073" s="2" t="s">
        <v>4829</v>
      </c>
      <c r="K1073" s="2" t="s">
        <v>16</v>
      </c>
      <c r="L1073" s="2" t="s">
        <v>4830</v>
      </c>
      <c r="M1073" s="4">
        <v>2277.1799999999998</v>
      </c>
      <c r="N1073" t="b">
        <f>OR(LEFT(B1073,3)="frg",(_xlfn.XMATCH(B1073,ZZZ_Part_Id_[[#All],[FGCODE]])))</f>
        <v>1</v>
      </c>
    </row>
    <row r="1074" spans="1:14" x14ac:dyDescent="0.3">
      <c r="A1074" s="2" t="s">
        <v>4831</v>
      </c>
      <c r="B1074" s="2" t="s">
        <v>517</v>
      </c>
      <c r="C1074" s="2" t="s">
        <v>4832</v>
      </c>
      <c r="D1074" s="3">
        <v>241920</v>
      </c>
      <c r="E1074" s="3">
        <v>241920</v>
      </c>
      <c r="F1074" s="2" t="s">
        <v>16</v>
      </c>
      <c r="G1074" s="2" t="s">
        <v>4833</v>
      </c>
      <c r="H1074" s="3">
        <v>0</v>
      </c>
      <c r="I1074" s="2" t="s">
        <v>409</v>
      </c>
      <c r="J1074" s="2" t="s">
        <v>4834</v>
      </c>
      <c r="K1074" s="2" t="s">
        <v>16</v>
      </c>
      <c r="L1074" s="2" t="s">
        <v>4835</v>
      </c>
      <c r="M1074" s="4">
        <v>28077.119999999999</v>
      </c>
      <c r="N1074" t="b">
        <f>OR(LEFT(B1074,3)="frg",(_xlfn.XMATCH(B1074,ZZZ_Part_Id_[[#All],[FGCODE]])))</f>
        <v>1</v>
      </c>
    </row>
    <row r="1075" spans="1:14" x14ac:dyDescent="0.3">
      <c r="A1075" s="2" t="s">
        <v>4836</v>
      </c>
      <c r="B1075" s="2" t="s">
        <v>97</v>
      </c>
      <c r="C1075" s="2" t="s">
        <v>4837</v>
      </c>
      <c r="D1075" s="3">
        <v>211200</v>
      </c>
      <c r="E1075" s="3">
        <v>211200</v>
      </c>
      <c r="F1075" s="2" t="s">
        <v>16</v>
      </c>
      <c r="G1075" s="2" t="s">
        <v>4838</v>
      </c>
      <c r="H1075" s="3">
        <v>0</v>
      </c>
      <c r="I1075" s="2" t="s">
        <v>409</v>
      </c>
      <c r="J1075" s="2" t="s">
        <v>4839</v>
      </c>
      <c r="K1075" s="2" t="s">
        <v>16</v>
      </c>
      <c r="L1075" s="2" t="s">
        <v>4840</v>
      </c>
      <c r="M1075" s="4">
        <v>45127.28</v>
      </c>
      <c r="N1075" t="b">
        <f>OR(LEFT(B1075,3)="frg",(_xlfn.XMATCH(B1075,ZZZ_Part_Id_[[#All],[FGCODE]])))</f>
        <v>1</v>
      </c>
    </row>
    <row r="1076" spans="1:14" x14ac:dyDescent="0.3">
      <c r="A1076" s="2" t="s">
        <v>4841</v>
      </c>
      <c r="B1076" s="2" t="s">
        <v>27</v>
      </c>
      <c r="C1076" s="2" t="s">
        <v>4842</v>
      </c>
      <c r="D1076" s="3">
        <v>258336</v>
      </c>
      <c r="E1076" s="3">
        <v>258336</v>
      </c>
      <c r="F1076" s="2" t="s">
        <v>16</v>
      </c>
      <c r="G1076" s="2" t="s">
        <v>4843</v>
      </c>
      <c r="H1076" s="3">
        <v>0</v>
      </c>
      <c r="I1076" s="2" t="s">
        <v>409</v>
      </c>
      <c r="J1076" s="2" t="s">
        <v>4844</v>
      </c>
      <c r="K1076" s="2" t="s">
        <v>16</v>
      </c>
      <c r="L1076" s="2" t="s">
        <v>4845</v>
      </c>
      <c r="M1076" s="4">
        <v>47978.19</v>
      </c>
      <c r="N1076" t="b">
        <f>OR(LEFT(B1076,3)="frg",(_xlfn.XMATCH(B1076,ZZZ_Part_Id_[[#All],[FGCODE]])))</f>
        <v>1</v>
      </c>
    </row>
    <row r="1077" spans="1:14" x14ac:dyDescent="0.3">
      <c r="A1077" s="2" t="s">
        <v>4846</v>
      </c>
      <c r="B1077" s="2" t="s">
        <v>4791</v>
      </c>
      <c r="C1077" s="2" t="s">
        <v>4847</v>
      </c>
      <c r="D1077" s="3">
        <v>616032</v>
      </c>
      <c r="E1077" s="3">
        <v>616032</v>
      </c>
      <c r="F1077" s="2" t="s">
        <v>16</v>
      </c>
      <c r="G1077" s="2" t="s">
        <v>4848</v>
      </c>
      <c r="H1077" s="3">
        <v>0</v>
      </c>
      <c r="I1077" s="2" t="s">
        <v>409</v>
      </c>
      <c r="J1077" s="2" t="s">
        <v>4849</v>
      </c>
      <c r="K1077" s="2" t="s">
        <v>16</v>
      </c>
      <c r="L1077" s="2" t="s">
        <v>4850</v>
      </c>
      <c r="M1077" s="4">
        <v>112068.72</v>
      </c>
      <c r="N1077" t="b">
        <f>OR(LEFT(B1077,3)="frg",(_xlfn.XMATCH(B1077,ZZZ_Part_Id_[[#All],[FGCODE]])))</f>
        <v>1</v>
      </c>
    </row>
    <row r="1078" spans="1:14" x14ac:dyDescent="0.3">
      <c r="A1078" s="2" t="s">
        <v>4846</v>
      </c>
      <c r="B1078" s="2" t="s">
        <v>65</v>
      </c>
      <c r="C1078" s="2" t="s">
        <v>4851</v>
      </c>
      <c r="D1078" s="5">
        <v>-596</v>
      </c>
      <c r="E1078" s="5">
        <v>-596</v>
      </c>
      <c r="F1078" s="2" t="s">
        <v>23</v>
      </c>
      <c r="G1078" s="2" t="s">
        <v>4852</v>
      </c>
      <c r="H1078" s="3">
        <v>0</v>
      </c>
      <c r="I1078" s="2" t="s">
        <v>409</v>
      </c>
      <c r="J1078" s="2" t="s">
        <v>4853</v>
      </c>
      <c r="K1078" s="2" t="s">
        <v>23</v>
      </c>
      <c r="L1078" s="2" t="s">
        <v>4854</v>
      </c>
      <c r="M1078" s="6">
        <v>-1532.67</v>
      </c>
      <c r="N1078" t="b">
        <f>OR(LEFT(B1078,3)="frg",(_xlfn.XMATCH(B1078,ZZZ_Part_Id_[[#All],[FGCODE]])))</f>
        <v>1</v>
      </c>
    </row>
    <row r="1079" spans="1:14" x14ac:dyDescent="0.3">
      <c r="A1079" s="2" t="s">
        <v>4855</v>
      </c>
      <c r="B1079" s="2" t="s">
        <v>1027</v>
      </c>
      <c r="C1079" s="2" t="s">
        <v>4856</v>
      </c>
      <c r="D1079" s="3">
        <v>63720</v>
      </c>
      <c r="E1079" s="3">
        <v>63720</v>
      </c>
      <c r="F1079" s="2" t="s">
        <v>16</v>
      </c>
      <c r="G1079" s="2" t="s">
        <v>4857</v>
      </c>
      <c r="H1079" s="3">
        <v>0</v>
      </c>
      <c r="I1079" s="2" t="s">
        <v>409</v>
      </c>
      <c r="J1079" s="2" t="s">
        <v>4858</v>
      </c>
      <c r="K1079" s="2" t="s">
        <v>16</v>
      </c>
      <c r="L1079" s="2" t="s">
        <v>4859</v>
      </c>
      <c r="M1079" s="4">
        <v>8008.32</v>
      </c>
      <c r="N1079" t="b">
        <f>OR(LEFT(B1079,3)="frg",(_xlfn.XMATCH(B1079,ZZZ_Part_Id_[[#All],[FGCODE]])))</f>
        <v>1</v>
      </c>
    </row>
    <row r="1080" spans="1:14" x14ac:dyDescent="0.3">
      <c r="A1080" s="2" t="s">
        <v>4855</v>
      </c>
      <c r="B1080" s="2" t="s">
        <v>21</v>
      </c>
      <c r="C1080" s="2" t="s">
        <v>4860</v>
      </c>
      <c r="D1080" s="5">
        <v>-323</v>
      </c>
      <c r="E1080" s="5">
        <v>-323</v>
      </c>
      <c r="F1080" s="2" t="s">
        <v>23</v>
      </c>
      <c r="G1080" s="2" t="s">
        <v>4861</v>
      </c>
      <c r="H1080" s="3">
        <v>0</v>
      </c>
      <c r="I1080" s="2" t="s">
        <v>409</v>
      </c>
      <c r="J1080" s="2" t="s">
        <v>4862</v>
      </c>
      <c r="K1080" s="2" t="s">
        <v>23</v>
      </c>
      <c r="L1080" s="2" t="s">
        <v>4863</v>
      </c>
      <c r="M1080" s="6">
        <v>-611.6</v>
      </c>
      <c r="N1080" t="b">
        <f>OR(LEFT(B1080,3)="frg",(_xlfn.XMATCH(B1080,ZZZ_Part_Id_[[#All],[FGCODE]])))</f>
        <v>1</v>
      </c>
    </row>
    <row r="1081" spans="1:14" x14ac:dyDescent="0.3">
      <c r="A1081" s="2" t="s">
        <v>4864</v>
      </c>
      <c r="B1081" s="2" t="s">
        <v>121</v>
      </c>
      <c r="C1081" s="2" t="s">
        <v>4865</v>
      </c>
      <c r="D1081" s="3">
        <v>39744</v>
      </c>
      <c r="E1081" s="3">
        <v>39744</v>
      </c>
      <c r="F1081" s="2" t="s">
        <v>16</v>
      </c>
      <c r="G1081" s="2" t="s">
        <v>4866</v>
      </c>
      <c r="H1081" s="3">
        <v>0</v>
      </c>
      <c r="I1081" s="2" t="s">
        <v>409</v>
      </c>
      <c r="J1081" s="2" t="s">
        <v>4867</v>
      </c>
      <c r="K1081" s="2" t="s">
        <v>16</v>
      </c>
      <c r="L1081" s="2" t="s">
        <v>4868</v>
      </c>
      <c r="M1081" s="4">
        <v>7385.64</v>
      </c>
      <c r="N1081" t="b">
        <f>OR(LEFT(B1081,3)="frg",(_xlfn.XMATCH(B1081,ZZZ_Part_Id_[[#All],[FGCODE]])))</f>
        <v>1</v>
      </c>
    </row>
    <row r="1082" spans="1:14" x14ac:dyDescent="0.3">
      <c r="A1082" s="2" t="s">
        <v>4864</v>
      </c>
      <c r="B1082" s="2" t="s">
        <v>21</v>
      </c>
      <c r="C1082" s="2" t="s">
        <v>4869</v>
      </c>
      <c r="D1082" s="5">
        <v>-298</v>
      </c>
      <c r="E1082" s="5">
        <v>-298</v>
      </c>
      <c r="F1082" s="2" t="s">
        <v>23</v>
      </c>
      <c r="G1082" s="2" t="s">
        <v>4870</v>
      </c>
      <c r="H1082" s="3">
        <v>0</v>
      </c>
      <c r="I1082" s="2" t="s">
        <v>409</v>
      </c>
      <c r="J1082" s="2" t="s">
        <v>4871</v>
      </c>
      <c r="K1082" s="2" t="s">
        <v>23</v>
      </c>
      <c r="L1082" s="2" t="s">
        <v>4872</v>
      </c>
      <c r="M1082" s="6">
        <v>-564.26</v>
      </c>
      <c r="N1082" t="b">
        <f>OR(LEFT(B1082,3)="frg",(_xlfn.XMATCH(B1082,ZZZ_Part_Id_[[#All],[FGCODE]])))</f>
        <v>1</v>
      </c>
    </row>
    <row r="1083" spans="1:14" x14ac:dyDescent="0.3">
      <c r="A1083" s="2" t="s">
        <v>4873</v>
      </c>
      <c r="B1083" s="2" t="s">
        <v>4874</v>
      </c>
      <c r="C1083" s="2" t="s">
        <v>4875</v>
      </c>
      <c r="D1083" s="3">
        <v>1170</v>
      </c>
      <c r="E1083" s="3">
        <v>0</v>
      </c>
      <c r="F1083" s="2" t="s">
        <v>23</v>
      </c>
      <c r="G1083" s="2" t="s">
        <v>4876</v>
      </c>
      <c r="H1083" s="3">
        <v>0</v>
      </c>
      <c r="I1083" s="2" t="s">
        <v>18</v>
      </c>
      <c r="J1083" s="2" t="s">
        <v>35</v>
      </c>
      <c r="K1083" s="2" t="s">
        <v>23</v>
      </c>
      <c r="L1083" s="2" t="s">
        <v>4877</v>
      </c>
      <c r="M1083" s="4">
        <v>0</v>
      </c>
      <c r="N1083" t="e">
        <f>OR(LEFT(B1083,3)="frg",(_xlfn.XMATCH(B1083,ZZZ_Part_Id_[[#All],[FGCODE]])))</f>
        <v>#N/A</v>
      </c>
    </row>
    <row r="1084" spans="1:14" x14ac:dyDescent="0.3">
      <c r="A1084" s="2" t="s">
        <v>4878</v>
      </c>
      <c r="B1084" s="2" t="s">
        <v>14</v>
      </c>
      <c r="C1084" s="2" t="s">
        <v>4879</v>
      </c>
      <c r="D1084" s="3">
        <v>95.457999999999998</v>
      </c>
      <c r="E1084" s="3">
        <v>0</v>
      </c>
      <c r="F1084" s="2" t="s">
        <v>16</v>
      </c>
      <c r="G1084" s="2" t="s">
        <v>4880</v>
      </c>
      <c r="H1084" s="3">
        <v>0</v>
      </c>
      <c r="I1084" s="2" t="s">
        <v>18</v>
      </c>
      <c r="J1084" s="2" t="s">
        <v>4881</v>
      </c>
      <c r="K1084" s="2" t="s">
        <v>16</v>
      </c>
      <c r="L1084" s="2" t="s">
        <v>4882</v>
      </c>
      <c r="M1084" s="4">
        <v>0</v>
      </c>
      <c r="N1084" t="e">
        <f>OR(LEFT(B1084,3)="frg",(_xlfn.XMATCH(B1084,ZZZ_Part_Id_[[#All],[FGCODE]])))</f>
        <v>#N/A</v>
      </c>
    </row>
    <row r="1085" spans="1:14" x14ac:dyDescent="0.3">
      <c r="A1085" s="2" t="s">
        <v>4878</v>
      </c>
      <c r="B1085" s="2" t="s">
        <v>264</v>
      </c>
      <c r="C1085" s="2" t="s">
        <v>4883</v>
      </c>
      <c r="D1085" s="3">
        <v>4.8000000000000001E-2</v>
      </c>
      <c r="E1085" s="3">
        <v>0</v>
      </c>
      <c r="F1085" s="2" t="s">
        <v>16</v>
      </c>
      <c r="G1085" s="2" t="s">
        <v>4884</v>
      </c>
      <c r="H1085" s="3">
        <v>0</v>
      </c>
      <c r="I1085" s="2" t="s">
        <v>18</v>
      </c>
      <c r="J1085" s="2" t="s">
        <v>4885</v>
      </c>
      <c r="K1085" s="2" t="s">
        <v>16</v>
      </c>
      <c r="L1085" s="2" t="s">
        <v>4886</v>
      </c>
      <c r="M1085" s="4">
        <v>0</v>
      </c>
      <c r="N1085" t="e">
        <f>OR(LEFT(B1085,3)="frg",(_xlfn.XMATCH(B1085,ZZZ_Part_Id_[[#All],[FGCODE]])))</f>
        <v>#N/A</v>
      </c>
    </row>
    <row r="1086" spans="1:14" x14ac:dyDescent="0.3">
      <c r="A1086" s="2" t="s">
        <v>4878</v>
      </c>
      <c r="B1086" s="2" t="s">
        <v>1512</v>
      </c>
      <c r="C1086" s="2" t="s">
        <v>4887</v>
      </c>
      <c r="D1086" s="3">
        <v>506880</v>
      </c>
      <c r="E1086" s="3">
        <v>0</v>
      </c>
      <c r="F1086" s="2" t="s">
        <v>16</v>
      </c>
      <c r="G1086" s="2" t="s">
        <v>4888</v>
      </c>
      <c r="H1086" s="3">
        <v>0</v>
      </c>
      <c r="I1086" s="2" t="s">
        <v>18</v>
      </c>
      <c r="J1086" s="2" t="s">
        <v>4889</v>
      </c>
      <c r="K1086" s="2" t="s">
        <v>16</v>
      </c>
      <c r="L1086" s="2" t="s">
        <v>4890</v>
      </c>
      <c r="M1086" s="4">
        <v>0</v>
      </c>
      <c r="N1086" t="b">
        <f>OR(LEFT(B1086,3)="frg",(_xlfn.XMATCH(B1086,ZZZ_Part_Id_[[#All],[FGCODE]])))</f>
        <v>1</v>
      </c>
    </row>
    <row r="1087" spans="1:14" x14ac:dyDescent="0.3">
      <c r="A1087" s="2" t="s">
        <v>4891</v>
      </c>
      <c r="B1087" s="2" t="s">
        <v>3028</v>
      </c>
      <c r="C1087" s="2" t="s">
        <v>4892</v>
      </c>
      <c r="D1087" s="3">
        <v>50760</v>
      </c>
      <c r="E1087" s="3">
        <v>0</v>
      </c>
      <c r="F1087" s="2" t="s">
        <v>16</v>
      </c>
      <c r="G1087" s="2" t="s">
        <v>4893</v>
      </c>
      <c r="H1087" s="3">
        <v>0</v>
      </c>
      <c r="I1087" s="2" t="s">
        <v>409</v>
      </c>
      <c r="J1087" s="2" t="s">
        <v>4894</v>
      </c>
      <c r="K1087" s="2" t="s">
        <v>16</v>
      </c>
      <c r="L1087" s="2" t="s">
        <v>4895</v>
      </c>
      <c r="M1087" s="4">
        <v>0</v>
      </c>
      <c r="N1087" t="b">
        <f>OR(LEFT(B1087,3)="frg",(_xlfn.XMATCH(B1087,ZZZ_Part_Id_[[#All],[FGCODE]])))</f>
        <v>1</v>
      </c>
    </row>
    <row r="1088" spans="1:14" x14ac:dyDescent="0.3">
      <c r="A1088" s="2" t="s">
        <v>4896</v>
      </c>
      <c r="B1088" s="2" t="s">
        <v>947</v>
      </c>
      <c r="C1088" s="2" t="s">
        <v>4897</v>
      </c>
      <c r="D1088" s="3">
        <v>123840</v>
      </c>
      <c r="E1088" s="3">
        <v>123840</v>
      </c>
      <c r="F1088" s="2" t="s">
        <v>16</v>
      </c>
      <c r="G1088" s="2" t="s">
        <v>4898</v>
      </c>
      <c r="H1088" s="3">
        <v>0</v>
      </c>
      <c r="I1088" s="2" t="s">
        <v>409</v>
      </c>
      <c r="J1088" s="2" t="s">
        <v>4899</v>
      </c>
      <c r="K1088" s="2" t="s">
        <v>16</v>
      </c>
      <c r="L1088" s="2" t="s">
        <v>4900</v>
      </c>
      <c r="M1088" s="4">
        <v>7832.88</v>
      </c>
      <c r="N1088" t="b">
        <f>OR(LEFT(B1088,3)="frg",(_xlfn.XMATCH(B1088,ZZZ_Part_Id_[[#All],[FGCODE]])))</f>
        <v>1</v>
      </c>
    </row>
    <row r="1089" spans="1:14" x14ac:dyDescent="0.3">
      <c r="A1089" s="2" t="s">
        <v>4896</v>
      </c>
      <c r="B1089" s="2" t="s">
        <v>65</v>
      </c>
      <c r="C1089" s="2" t="s">
        <v>4901</v>
      </c>
      <c r="D1089" s="5">
        <v>-866</v>
      </c>
      <c r="E1089" s="5">
        <v>-866</v>
      </c>
      <c r="F1089" s="2" t="s">
        <v>23</v>
      </c>
      <c r="G1089" s="2" t="s">
        <v>4902</v>
      </c>
      <c r="H1089" s="3">
        <v>0</v>
      </c>
      <c r="I1089" s="2" t="s">
        <v>409</v>
      </c>
      <c r="J1089" s="2" t="s">
        <v>4903</v>
      </c>
      <c r="K1089" s="2" t="s">
        <v>23</v>
      </c>
      <c r="L1089" s="2" t="s">
        <v>4904</v>
      </c>
      <c r="M1089" s="6">
        <v>-2227.0100000000002</v>
      </c>
      <c r="N1089" t="b">
        <f>OR(LEFT(B1089,3)="frg",(_xlfn.XMATCH(B1089,ZZZ_Part_Id_[[#All],[FGCODE]])))</f>
        <v>1</v>
      </c>
    </row>
    <row r="1090" spans="1:14" x14ac:dyDescent="0.3">
      <c r="A1090" s="2" t="s">
        <v>4905</v>
      </c>
      <c r="B1090" s="2" t="s">
        <v>76</v>
      </c>
      <c r="C1090" s="2" t="s">
        <v>4906</v>
      </c>
      <c r="D1090" s="3">
        <v>279180</v>
      </c>
      <c r="E1090" s="3">
        <v>279180</v>
      </c>
      <c r="F1090" s="2" t="s">
        <v>16</v>
      </c>
      <c r="G1090" s="2" t="s">
        <v>4907</v>
      </c>
      <c r="H1090" s="3">
        <v>0</v>
      </c>
      <c r="I1090" s="2" t="s">
        <v>409</v>
      </c>
      <c r="J1090" s="2" t="s">
        <v>4908</v>
      </c>
      <c r="K1090" s="2" t="s">
        <v>16</v>
      </c>
      <c r="L1090" s="2" t="s">
        <v>4909</v>
      </c>
      <c r="M1090" s="4">
        <v>2292.0700000000002</v>
      </c>
      <c r="N1090" t="b">
        <f>OR(LEFT(B1090,3)="frg",(_xlfn.XMATCH(B1090,ZZZ_Part_Id_[[#All],[FGCODE]])))</f>
        <v>1</v>
      </c>
    </row>
    <row r="1091" spans="1:14" x14ac:dyDescent="0.3">
      <c r="A1091" s="2" t="s">
        <v>4905</v>
      </c>
      <c r="B1091" s="2" t="s">
        <v>86</v>
      </c>
      <c r="C1091" s="2" t="s">
        <v>4910</v>
      </c>
      <c r="D1091" s="5">
        <v>-725</v>
      </c>
      <c r="E1091" s="5">
        <v>-725</v>
      </c>
      <c r="F1091" s="2" t="s">
        <v>23</v>
      </c>
      <c r="G1091" s="2" t="s">
        <v>4911</v>
      </c>
      <c r="H1091" s="3">
        <v>0</v>
      </c>
      <c r="I1091" s="2" t="s">
        <v>409</v>
      </c>
      <c r="J1091" s="2" t="s">
        <v>4912</v>
      </c>
      <c r="K1091" s="2" t="s">
        <v>23</v>
      </c>
      <c r="L1091" s="2" t="s">
        <v>4913</v>
      </c>
      <c r="M1091" s="6">
        <v>-1897.91</v>
      </c>
      <c r="N1091" t="b">
        <f>OR(LEFT(B1091,3)="frg",(_xlfn.XMATCH(B1091,ZZZ_Part_Id_[[#All],[FGCODE]])))</f>
        <v>1</v>
      </c>
    </row>
    <row r="1092" spans="1:14" x14ac:dyDescent="0.3">
      <c r="A1092" s="2" t="s">
        <v>4914</v>
      </c>
      <c r="B1092" s="2" t="s">
        <v>97</v>
      </c>
      <c r="C1092" s="2" t="s">
        <v>4915</v>
      </c>
      <c r="D1092" s="3">
        <v>230400</v>
      </c>
      <c r="E1092" s="3">
        <v>230400</v>
      </c>
      <c r="F1092" s="2" t="s">
        <v>16</v>
      </c>
      <c r="G1092" s="2" t="s">
        <v>4916</v>
      </c>
      <c r="H1092" s="3">
        <v>0</v>
      </c>
      <c r="I1092" s="2" t="s">
        <v>409</v>
      </c>
      <c r="J1092" s="2" t="s">
        <v>4917</v>
      </c>
      <c r="K1092" s="2" t="s">
        <v>16</v>
      </c>
      <c r="L1092" s="2" t="s">
        <v>4918</v>
      </c>
      <c r="M1092" s="4">
        <v>49229.760000000002</v>
      </c>
      <c r="N1092" t="b">
        <f>OR(LEFT(B1092,3)="frg",(_xlfn.XMATCH(B1092,ZZZ_Part_Id_[[#All],[FGCODE]])))</f>
        <v>1</v>
      </c>
    </row>
    <row r="1093" spans="1:14" x14ac:dyDescent="0.3">
      <c r="A1093" s="2" t="s">
        <v>4919</v>
      </c>
      <c r="B1093" s="2" t="s">
        <v>517</v>
      </c>
      <c r="C1093" s="2" t="s">
        <v>4920</v>
      </c>
      <c r="D1093" s="3">
        <v>221760</v>
      </c>
      <c r="E1093" s="3">
        <v>221760</v>
      </c>
      <c r="F1093" s="2" t="s">
        <v>16</v>
      </c>
      <c r="G1093" s="2" t="s">
        <v>4921</v>
      </c>
      <c r="H1093" s="3">
        <v>0</v>
      </c>
      <c r="I1093" s="2" t="s">
        <v>409</v>
      </c>
      <c r="J1093" s="2" t="s">
        <v>4922</v>
      </c>
      <c r="K1093" s="2" t="s">
        <v>16</v>
      </c>
      <c r="L1093" s="2" t="s">
        <v>4923</v>
      </c>
      <c r="M1093" s="4">
        <v>25737.360000000001</v>
      </c>
      <c r="N1093" t="b">
        <f>OR(LEFT(B1093,3)="frg",(_xlfn.XMATCH(B1093,ZZZ_Part_Id_[[#All],[FGCODE]])))</f>
        <v>1</v>
      </c>
    </row>
    <row r="1094" spans="1:14" x14ac:dyDescent="0.3">
      <c r="A1094" s="2" t="s">
        <v>4924</v>
      </c>
      <c r="B1094" s="2" t="s">
        <v>1512</v>
      </c>
      <c r="C1094" s="2" t="s">
        <v>4925</v>
      </c>
      <c r="D1094" s="3">
        <v>509760</v>
      </c>
      <c r="E1094" s="3">
        <v>509760</v>
      </c>
      <c r="F1094" s="2" t="s">
        <v>16</v>
      </c>
      <c r="G1094" s="2" t="s">
        <v>4926</v>
      </c>
      <c r="H1094" s="3">
        <v>0</v>
      </c>
      <c r="I1094" s="2" t="s">
        <v>409</v>
      </c>
      <c r="J1094" s="2" t="s">
        <v>4927</v>
      </c>
      <c r="K1094" s="2" t="s">
        <v>16</v>
      </c>
      <c r="L1094" s="2" t="s">
        <v>4928</v>
      </c>
      <c r="M1094" s="4">
        <v>64066.559999999998</v>
      </c>
      <c r="N1094" t="b">
        <f>OR(LEFT(B1094,3)="frg",(_xlfn.XMATCH(B1094,ZZZ_Part_Id_[[#All],[FGCODE]])))</f>
        <v>1</v>
      </c>
    </row>
    <row r="1095" spans="1:14" x14ac:dyDescent="0.3">
      <c r="A1095" s="2" t="s">
        <v>4924</v>
      </c>
      <c r="B1095" s="2" t="s">
        <v>14</v>
      </c>
      <c r="C1095" s="2" t="s">
        <v>4929</v>
      </c>
      <c r="D1095" s="3">
        <v>48</v>
      </c>
      <c r="E1095" s="3">
        <v>48</v>
      </c>
      <c r="F1095" s="2" t="s">
        <v>16</v>
      </c>
      <c r="G1095" s="2" t="s">
        <v>4930</v>
      </c>
      <c r="H1095" s="3">
        <v>0</v>
      </c>
      <c r="I1095" s="2" t="s">
        <v>409</v>
      </c>
      <c r="J1095" s="2" t="s">
        <v>4931</v>
      </c>
      <c r="K1095" s="2" t="s">
        <v>16</v>
      </c>
      <c r="L1095" s="2" t="s">
        <v>4932</v>
      </c>
      <c r="M1095" s="4">
        <v>3.69</v>
      </c>
      <c r="N1095" t="e">
        <f>OR(LEFT(B1095,3)="frg",(_xlfn.XMATCH(B1095,ZZZ_Part_Id_[[#All],[FGCODE]])))</f>
        <v>#N/A</v>
      </c>
    </row>
    <row r="1096" spans="1:14" x14ac:dyDescent="0.3">
      <c r="A1096" s="2" t="s">
        <v>4933</v>
      </c>
      <c r="B1096" s="2" t="s">
        <v>2663</v>
      </c>
      <c r="C1096" s="2" t="s">
        <v>4934</v>
      </c>
      <c r="D1096" s="3">
        <v>672</v>
      </c>
      <c r="E1096" s="3">
        <v>672</v>
      </c>
      <c r="F1096" s="2" t="s">
        <v>16</v>
      </c>
      <c r="G1096" s="2" t="s">
        <v>131</v>
      </c>
      <c r="H1096" s="3">
        <v>0</v>
      </c>
      <c r="I1096" s="2" t="s">
        <v>18</v>
      </c>
      <c r="J1096" s="2" t="s">
        <v>35</v>
      </c>
      <c r="K1096" s="2" t="s">
        <v>16</v>
      </c>
      <c r="L1096" s="2" t="s">
        <v>4935</v>
      </c>
      <c r="M1096" s="4">
        <v>336.81</v>
      </c>
      <c r="N1096" t="b">
        <f>OR(LEFT(B1096,3)="frg",(_xlfn.XMATCH(B1096,ZZZ_Part_Id_[[#All],[FGCODE]])))</f>
        <v>1</v>
      </c>
    </row>
    <row r="1097" spans="1:14" x14ac:dyDescent="0.3">
      <c r="A1097" s="2" t="s">
        <v>4933</v>
      </c>
      <c r="B1097" s="2" t="s">
        <v>2218</v>
      </c>
      <c r="C1097" s="2" t="s">
        <v>4936</v>
      </c>
      <c r="D1097" s="3">
        <v>1344</v>
      </c>
      <c r="E1097" s="3">
        <v>1344</v>
      </c>
      <c r="F1097" s="2" t="s">
        <v>16</v>
      </c>
      <c r="G1097" s="2" t="s">
        <v>131</v>
      </c>
      <c r="H1097" s="3">
        <v>0</v>
      </c>
      <c r="I1097" s="2" t="s">
        <v>18</v>
      </c>
      <c r="J1097" s="2" t="s">
        <v>35</v>
      </c>
      <c r="K1097" s="2" t="s">
        <v>16</v>
      </c>
      <c r="L1097" s="2" t="s">
        <v>4937</v>
      </c>
      <c r="M1097" s="4">
        <v>674.12</v>
      </c>
      <c r="N1097" t="b">
        <f>OR(LEFT(B1097,3)="frg",(_xlfn.XMATCH(B1097,ZZZ_Part_Id_[[#All],[FGCODE]])))</f>
        <v>1</v>
      </c>
    </row>
    <row r="1098" spans="1:14" x14ac:dyDescent="0.3">
      <c r="A1098" s="2" t="s">
        <v>4933</v>
      </c>
      <c r="B1098" s="2" t="s">
        <v>140</v>
      </c>
      <c r="C1098" s="2" t="s">
        <v>4938</v>
      </c>
      <c r="D1098" s="3">
        <v>11</v>
      </c>
      <c r="E1098" s="3">
        <v>11</v>
      </c>
      <c r="F1098" s="2" t="s">
        <v>16</v>
      </c>
      <c r="G1098" s="2" t="s">
        <v>131</v>
      </c>
      <c r="H1098" s="3">
        <v>0</v>
      </c>
      <c r="I1098" s="2" t="s">
        <v>18</v>
      </c>
      <c r="J1098" s="2" t="s">
        <v>35</v>
      </c>
      <c r="K1098" s="2" t="s">
        <v>16</v>
      </c>
      <c r="L1098" s="2" t="s">
        <v>4939</v>
      </c>
      <c r="M1098" s="4">
        <v>18.16</v>
      </c>
      <c r="N1098" t="e">
        <f>OR(LEFT(B1098,3)="frg",(_xlfn.XMATCH(B1098,ZZZ_Part_Id_[[#All],[FGCODE]])))</f>
        <v>#N/A</v>
      </c>
    </row>
    <row r="1099" spans="1:14" x14ac:dyDescent="0.3">
      <c r="A1099" s="2" t="s">
        <v>4933</v>
      </c>
      <c r="B1099" s="2" t="s">
        <v>14</v>
      </c>
      <c r="C1099" s="2" t="s">
        <v>4940</v>
      </c>
      <c r="D1099" s="3">
        <v>50</v>
      </c>
      <c r="E1099" s="3">
        <v>50</v>
      </c>
      <c r="F1099" s="2" t="s">
        <v>16</v>
      </c>
      <c r="G1099" s="2" t="s">
        <v>131</v>
      </c>
      <c r="H1099" s="3">
        <v>0</v>
      </c>
      <c r="I1099" s="2" t="s">
        <v>18</v>
      </c>
      <c r="J1099" s="2" t="s">
        <v>35</v>
      </c>
      <c r="K1099" s="2" t="s">
        <v>16</v>
      </c>
      <c r="L1099" s="2" t="s">
        <v>4941</v>
      </c>
      <c r="M1099" s="4">
        <v>3.85</v>
      </c>
      <c r="N1099" t="e">
        <f>OR(LEFT(B1099,3)="frg",(_xlfn.XMATCH(B1099,ZZZ_Part_Id_[[#All],[FGCODE]])))</f>
        <v>#N/A</v>
      </c>
    </row>
    <row r="1100" spans="1:14" x14ac:dyDescent="0.3">
      <c r="A1100" s="2" t="s">
        <v>4933</v>
      </c>
      <c r="B1100" s="2" t="s">
        <v>45</v>
      </c>
      <c r="C1100" s="2" t="s">
        <v>4942</v>
      </c>
      <c r="D1100" s="3">
        <v>2.8</v>
      </c>
      <c r="E1100" s="3">
        <v>2.8</v>
      </c>
      <c r="F1100" s="2" t="s">
        <v>47</v>
      </c>
      <c r="G1100" s="2" t="s">
        <v>131</v>
      </c>
      <c r="H1100" s="3">
        <v>0</v>
      </c>
      <c r="I1100" s="2" t="s">
        <v>18</v>
      </c>
      <c r="J1100" s="2" t="s">
        <v>35</v>
      </c>
      <c r="K1100" s="2" t="s">
        <v>47</v>
      </c>
      <c r="L1100" s="2" t="s">
        <v>4943</v>
      </c>
      <c r="M1100" s="4">
        <v>170.1</v>
      </c>
      <c r="N1100" t="e">
        <f>OR(LEFT(B1100,3)="frg",(_xlfn.XMATCH(B1100,ZZZ_Part_Id_[[#All],[FGCODE]])))</f>
        <v>#N/A</v>
      </c>
    </row>
    <row r="1101" spans="1:14" x14ac:dyDescent="0.3">
      <c r="A1101" s="2" t="s">
        <v>4933</v>
      </c>
      <c r="B1101" s="2" t="s">
        <v>2196</v>
      </c>
      <c r="C1101" s="2" t="s">
        <v>4944</v>
      </c>
      <c r="D1101" s="3">
        <v>42</v>
      </c>
      <c r="E1101" s="3">
        <v>42</v>
      </c>
      <c r="F1101" s="2" t="s">
        <v>23</v>
      </c>
      <c r="G1101" s="2" t="s">
        <v>131</v>
      </c>
      <c r="H1101" s="3">
        <v>0</v>
      </c>
      <c r="I1101" s="2" t="s">
        <v>18</v>
      </c>
      <c r="J1101" s="2" t="s">
        <v>35</v>
      </c>
      <c r="K1101" s="2" t="s">
        <v>23</v>
      </c>
      <c r="L1101" s="2" t="s">
        <v>4945</v>
      </c>
      <c r="M1101" s="4">
        <v>273</v>
      </c>
      <c r="N1101" t="e">
        <f>OR(LEFT(B1101,3)="frg",(_xlfn.XMATCH(B1101,ZZZ_Part_Id_[[#All],[FGCODE]])))</f>
        <v>#N/A</v>
      </c>
    </row>
    <row r="1102" spans="1:14" x14ac:dyDescent="0.3">
      <c r="A1102" s="2" t="s">
        <v>4946</v>
      </c>
      <c r="B1102" s="2" t="s">
        <v>1119</v>
      </c>
      <c r="C1102" s="2" t="s">
        <v>4947</v>
      </c>
      <c r="D1102" s="3">
        <v>50760</v>
      </c>
      <c r="E1102" s="3">
        <v>50760</v>
      </c>
      <c r="F1102" s="2" t="s">
        <v>16</v>
      </c>
      <c r="G1102" s="2" t="s">
        <v>4948</v>
      </c>
      <c r="H1102" s="3">
        <v>0</v>
      </c>
      <c r="I1102" s="2" t="s">
        <v>409</v>
      </c>
      <c r="J1102" s="2" t="s">
        <v>4949</v>
      </c>
      <c r="K1102" s="2" t="s">
        <v>16</v>
      </c>
      <c r="L1102" s="2" t="s">
        <v>4950</v>
      </c>
      <c r="M1102" s="4">
        <v>2339.02</v>
      </c>
      <c r="N1102" t="b">
        <f>OR(LEFT(B1102,3)="frg",(_xlfn.XMATCH(B1102,ZZZ_Part_Id_[[#All],[FGCODE]])))</f>
        <v>1</v>
      </c>
    </row>
    <row r="1103" spans="1:14" x14ac:dyDescent="0.3">
      <c r="A1103" s="2" t="s">
        <v>4946</v>
      </c>
      <c r="B1103" s="2" t="s">
        <v>86</v>
      </c>
      <c r="C1103" s="2" t="s">
        <v>4951</v>
      </c>
      <c r="D1103" s="5">
        <v>-139.06800000000001</v>
      </c>
      <c r="E1103" s="5">
        <v>-139.06800000000001</v>
      </c>
      <c r="F1103" s="2" t="s">
        <v>23</v>
      </c>
      <c r="G1103" s="2" t="s">
        <v>131</v>
      </c>
      <c r="H1103" s="3">
        <v>0</v>
      </c>
      <c r="I1103" s="2" t="s">
        <v>409</v>
      </c>
      <c r="J1103" s="2" t="s">
        <v>4952</v>
      </c>
      <c r="K1103" s="2" t="s">
        <v>23</v>
      </c>
      <c r="L1103" s="2" t="s">
        <v>4953</v>
      </c>
      <c r="M1103" s="6">
        <v>-364.05</v>
      </c>
      <c r="N1103" t="b">
        <f>OR(LEFT(B1103,3)="frg",(_xlfn.XMATCH(B1103,ZZZ_Part_Id_[[#All],[FGCODE]])))</f>
        <v>1</v>
      </c>
    </row>
    <row r="1104" spans="1:14" x14ac:dyDescent="0.3">
      <c r="A1104" s="2" t="s">
        <v>4954</v>
      </c>
      <c r="B1104" s="2" t="s">
        <v>4955</v>
      </c>
      <c r="C1104" s="2" t="s">
        <v>4956</v>
      </c>
      <c r="D1104" s="3">
        <v>74592</v>
      </c>
      <c r="E1104" s="3">
        <v>74592</v>
      </c>
      <c r="F1104" s="2" t="s">
        <v>16</v>
      </c>
      <c r="G1104" s="2" t="s">
        <v>4957</v>
      </c>
      <c r="H1104" s="3">
        <v>0</v>
      </c>
      <c r="I1104" s="2" t="s">
        <v>409</v>
      </c>
      <c r="J1104" s="2" t="s">
        <v>4958</v>
      </c>
      <c r="K1104" s="2" t="s">
        <v>16</v>
      </c>
      <c r="L1104" s="2" t="s">
        <v>4959</v>
      </c>
      <c r="M1104" s="4">
        <v>4415.88</v>
      </c>
      <c r="N1104" t="b">
        <f>OR(LEFT(B1104,3)="frg",(_xlfn.XMATCH(B1104,ZZZ_Part_Id_[[#All],[FGCODE]])))</f>
        <v>1</v>
      </c>
    </row>
    <row r="1105" spans="1:14" x14ac:dyDescent="0.3">
      <c r="A1105" s="2" t="s">
        <v>4954</v>
      </c>
      <c r="B1105" s="2" t="s">
        <v>65</v>
      </c>
      <c r="C1105" s="2" t="s">
        <v>4960</v>
      </c>
      <c r="D1105" s="5">
        <v>-144</v>
      </c>
      <c r="E1105" s="5">
        <v>-144</v>
      </c>
      <c r="F1105" s="2" t="s">
        <v>23</v>
      </c>
      <c r="G1105" s="2" t="s">
        <v>4961</v>
      </c>
      <c r="H1105" s="3">
        <v>0</v>
      </c>
      <c r="I1105" s="2" t="s">
        <v>409</v>
      </c>
      <c r="J1105" s="2" t="s">
        <v>4962</v>
      </c>
      <c r="K1105" s="2" t="s">
        <v>23</v>
      </c>
      <c r="L1105" s="2" t="s">
        <v>4963</v>
      </c>
      <c r="M1105" s="6">
        <v>-370.31</v>
      </c>
      <c r="N1105" t="b">
        <f>OR(LEFT(B1105,3)="frg",(_xlfn.XMATCH(B1105,ZZZ_Part_Id_[[#All],[FGCODE]])))</f>
        <v>1</v>
      </c>
    </row>
    <row r="1106" spans="1:14" x14ac:dyDescent="0.3">
      <c r="A1106" s="2" t="s">
        <v>4964</v>
      </c>
      <c r="B1106" s="2" t="s">
        <v>2115</v>
      </c>
      <c r="C1106" s="2" t="s">
        <v>4965</v>
      </c>
      <c r="D1106" s="3">
        <v>39600</v>
      </c>
      <c r="E1106" s="3">
        <v>39600</v>
      </c>
      <c r="F1106" s="2" t="s">
        <v>16</v>
      </c>
      <c r="G1106" s="2" t="s">
        <v>4966</v>
      </c>
      <c r="H1106" s="3">
        <v>0</v>
      </c>
      <c r="I1106" s="2" t="s">
        <v>409</v>
      </c>
      <c r="J1106" s="2" t="s">
        <v>4967</v>
      </c>
      <c r="K1106" s="2" t="s">
        <v>16</v>
      </c>
      <c r="L1106" s="2" t="s">
        <v>4968</v>
      </c>
      <c r="M1106" s="4">
        <v>8175.86</v>
      </c>
      <c r="N1106" t="b">
        <f>OR(LEFT(B1106,3)="frg",(_xlfn.XMATCH(B1106,ZZZ_Part_Id_[[#All],[FGCODE]])))</f>
        <v>1</v>
      </c>
    </row>
    <row r="1107" spans="1:14" x14ac:dyDescent="0.3">
      <c r="A1107" s="2" t="s">
        <v>4964</v>
      </c>
      <c r="B1107" s="2" t="s">
        <v>65</v>
      </c>
      <c r="C1107" s="2" t="s">
        <v>4969</v>
      </c>
      <c r="D1107" s="5">
        <v>-183</v>
      </c>
      <c r="E1107" s="5">
        <v>-183</v>
      </c>
      <c r="F1107" s="2" t="s">
        <v>23</v>
      </c>
      <c r="G1107" s="2" t="s">
        <v>4970</v>
      </c>
      <c r="H1107" s="3">
        <v>0</v>
      </c>
      <c r="I1107" s="2" t="s">
        <v>409</v>
      </c>
      <c r="J1107" s="2" t="s">
        <v>4971</v>
      </c>
      <c r="K1107" s="2" t="s">
        <v>23</v>
      </c>
      <c r="L1107" s="2" t="s">
        <v>4972</v>
      </c>
      <c r="M1107" s="6">
        <v>-470.6</v>
      </c>
      <c r="N1107" t="b">
        <f>OR(LEFT(B1107,3)="frg",(_xlfn.XMATCH(B1107,ZZZ_Part_Id_[[#All],[FGCODE]])))</f>
        <v>1</v>
      </c>
    </row>
    <row r="1108" spans="1:14" x14ac:dyDescent="0.3">
      <c r="A1108" s="2" t="s">
        <v>4973</v>
      </c>
      <c r="B1108" s="2" t="s">
        <v>97</v>
      </c>
      <c r="C1108" s="2" t="s">
        <v>4974</v>
      </c>
      <c r="D1108" s="3">
        <v>19200</v>
      </c>
      <c r="E1108" s="3">
        <v>19200</v>
      </c>
      <c r="F1108" s="2" t="s">
        <v>16</v>
      </c>
      <c r="G1108" s="2" t="s">
        <v>4975</v>
      </c>
      <c r="H1108" s="3">
        <v>0</v>
      </c>
      <c r="I1108" s="2" t="s">
        <v>409</v>
      </c>
      <c r="J1108" s="2" t="s">
        <v>4976</v>
      </c>
      <c r="K1108" s="2" t="s">
        <v>16</v>
      </c>
      <c r="L1108" s="2" t="s">
        <v>4977</v>
      </c>
      <c r="M1108" s="4">
        <v>4102.4799999999996</v>
      </c>
      <c r="N1108" t="b">
        <f>OR(LEFT(B1108,3)="frg",(_xlfn.XMATCH(B1108,ZZZ_Part_Id_[[#All],[FGCODE]])))</f>
        <v>1</v>
      </c>
    </row>
    <row r="1109" spans="1:14" x14ac:dyDescent="0.3">
      <c r="A1109" s="2" t="s">
        <v>4973</v>
      </c>
      <c r="B1109" s="2" t="s">
        <v>65</v>
      </c>
      <c r="C1109" s="2" t="s">
        <v>4978</v>
      </c>
      <c r="D1109" s="5">
        <v>-249</v>
      </c>
      <c r="E1109" s="5">
        <v>-249</v>
      </c>
      <c r="F1109" s="2" t="s">
        <v>23</v>
      </c>
      <c r="G1109" s="2" t="s">
        <v>4979</v>
      </c>
      <c r="H1109" s="3">
        <v>0</v>
      </c>
      <c r="I1109" s="2" t="s">
        <v>409</v>
      </c>
      <c r="J1109" s="2" t="s">
        <v>4980</v>
      </c>
      <c r="K1109" s="2" t="s">
        <v>23</v>
      </c>
      <c r="L1109" s="2" t="s">
        <v>4981</v>
      </c>
      <c r="M1109" s="6">
        <v>-640.33000000000004</v>
      </c>
      <c r="N1109" t="b">
        <f>OR(LEFT(B1109,3)="frg",(_xlfn.XMATCH(B1109,ZZZ_Part_Id_[[#All],[FGCODE]])))</f>
        <v>1</v>
      </c>
    </row>
    <row r="1110" spans="1:14" x14ac:dyDescent="0.3">
      <c r="A1110" s="2" t="s">
        <v>4982</v>
      </c>
      <c r="B1110" s="2" t="s">
        <v>1027</v>
      </c>
      <c r="C1110" s="2" t="s">
        <v>4983</v>
      </c>
      <c r="D1110" s="3">
        <v>467280</v>
      </c>
      <c r="E1110" s="3">
        <v>467280</v>
      </c>
      <c r="F1110" s="2" t="s">
        <v>16</v>
      </c>
      <c r="G1110" s="2" t="s">
        <v>4984</v>
      </c>
      <c r="H1110" s="3">
        <v>0</v>
      </c>
      <c r="I1110" s="2" t="s">
        <v>18</v>
      </c>
      <c r="J1110" s="2" t="s">
        <v>4985</v>
      </c>
      <c r="K1110" s="2" t="s">
        <v>16</v>
      </c>
      <c r="L1110" s="2" t="s">
        <v>4986</v>
      </c>
      <c r="M1110" s="4">
        <v>58727.68</v>
      </c>
      <c r="N1110" t="b">
        <f>OR(LEFT(B1110,3)="frg",(_xlfn.XMATCH(B1110,ZZZ_Part_Id_[[#All],[FGCODE]])))</f>
        <v>1</v>
      </c>
    </row>
    <row r="1111" spans="1:14" x14ac:dyDescent="0.3">
      <c r="A1111" s="2" t="s">
        <v>4987</v>
      </c>
      <c r="B1111" s="2" t="s">
        <v>4988</v>
      </c>
      <c r="C1111" s="2" t="s">
        <v>4989</v>
      </c>
      <c r="D1111" s="3">
        <v>50400</v>
      </c>
      <c r="E1111" s="3">
        <v>50400</v>
      </c>
      <c r="F1111" s="2" t="s">
        <v>16</v>
      </c>
      <c r="G1111" s="2" t="s">
        <v>4990</v>
      </c>
      <c r="H1111" s="3">
        <v>0</v>
      </c>
      <c r="I1111" s="2" t="s">
        <v>409</v>
      </c>
      <c r="J1111" s="2" t="s">
        <v>4991</v>
      </c>
      <c r="K1111" s="2" t="s">
        <v>16</v>
      </c>
      <c r="L1111" s="2" t="s">
        <v>4992</v>
      </c>
      <c r="M1111" s="4">
        <v>1250.4000000000001</v>
      </c>
      <c r="N1111" t="b">
        <f>OR(LEFT(B1111,3)="frg",(_xlfn.XMATCH(B1111,ZZZ_Part_Id_[[#All],[FGCODE]])))</f>
        <v>1</v>
      </c>
    </row>
    <row r="1112" spans="1:14" x14ac:dyDescent="0.3">
      <c r="A1112" s="2" t="s">
        <v>4987</v>
      </c>
      <c r="B1112" s="2" t="s">
        <v>86</v>
      </c>
      <c r="C1112" s="2" t="s">
        <v>4993</v>
      </c>
      <c r="D1112" s="5">
        <v>-268</v>
      </c>
      <c r="E1112" s="5">
        <v>-268</v>
      </c>
      <c r="F1112" s="2" t="s">
        <v>23</v>
      </c>
      <c r="G1112" s="2" t="s">
        <v>4994</v>
      </c>
      <c r="H1112" s="3">
        <v>0</v>
      </c>
      <c r="I1112" s="2" t="s">
        <v>409</v>
      </c>
      <c r="J1112" s="2" t="s">
        <v>4995</v>
      </c>
      <c r="K1112" s="2" t="s">
        <v>23</v>
      </c>
      <c r="L1112" s="2" t="s">
        <v>4996</v>
      </c>
      <c r="M1112" s="6">
        <v>-701.57</v>
      </c>
      <c r="N1112" t="b">
        <f>OR(LEFT(B1112,3)="frg",(_xlfn.XMATCH(B1112,ZZZ_Part_Id_[[#All],[FGCODE]])))</f>
        <v>1</v>
      </c>
    </row>
    <row r="1113" spans="1:14" x14ac:dyDescent="0.3">
      <c r="A1113" s="2" t="s">
        <v>4987</v>
      </c>
      <c r="B1113" s="2" t="s">
        <v>14</v>
      </c>
      <c r="C1113" s="2" t="s">
        <v>4997</v>
      </c>
      <c r="D1113" s="3">
        <v>8</v>
      </c>
      <c r="E1113" s="3">
        <v>8</v>
      </c>
      <c r="F1113" s="2" t="s">
        <v>16</v>
      </c>
      <c r="G1113" s="2" t="s">
        <v>4998</v>
      </c>
      <c r="H1113" s="3">
        <v>0</v>
      </c>
      <c r="I1113" s="2" t="s">
        <v>409</v>
      </c>
      <c r="J1113" s="2" t="s">
        <v>4999</v>
      </c>
      <c r="K1113" s="2" t="s">
        <v>16</v>
      </c>
      <c r="L1113" s="2" t="s">
        <v>5000</v>
      </c>
      <c r="M1113" s="4">
        <v>0.62</v>
      </c>
      <c r="N1113" t="e">
        <f>OR(LEFT(B1113,3)="frg",(_xlfn.XMATCH(B1113,ZZZ_Part_Id_[[#All],[FGCODE]])))</f>
        <v>#N/A</v>
      </c>
    </row>
    <row r="1114" spans="1:14" x14ac:dyDescent="0.3">
      <c r="A1114" s="2" t="s">
        <v>4987</v>
      </c>
      <c r="B1114" s="2" t="s">
        <v>140</v>
      </c>
      <c r="C1114" s="2" t="s">
        <v>5001</v>
      </c>
      <c r="D1114" s="3">
        <v>0.16</v>
      </c>
      <c r="E1114" s="3">
        <v>0.16</v>
      </c>
      <c r="F1114" s="2" t="s">
        <v>16</v>
      </c>
      <c r="G1114" s="2" t="s">
        <v>5002</v>
      </c>
      <c r="H1114" s="3">
        <v>0</v>
      </c>
      <c r="I1114" s="2" t="s">
        <v>409</v>
      </c>
      <c r="J1114" s="2" t="s">
        <v>5003</v>
      </c>
      <c r="K1114" s="2" t="s">
        <v>16</v>
      </c>
      <c r="L1114" s="2" t="s">
        <v>5004</v>
      </c>
      <c r="M1114" s="4">
        <v>0.26</v>
      </c>
      <c r="N1114" t="e">
        <f>OR(LEFT(B1114,3)="frg",(_xlfn.XMATCH(B1114,ZZZ_Part_Id_[[#All],[FGCODE]])))</f>
        <v>#N/A</v>
      </c>
    </row>
    <row r="1115" spans="1:14" x14ac:dyDescent="0.3">
      <c r="A1115" s="2" t="s">
        <v>4987</v>
      </c>
      <c r="B1115" s="2" t="s">
        <v>192</v>
      </c>
      <c r="C1115" s="2" t="s">
        <v>5005</v>
      </c>
      <c r="D1115" s="3">
        <v>0.04</v>
      </c>
      <c r="E1115" s="3">
        <v>0.04</v>
      </c>
      <c r="F1115" s="2" t="s">
        <v>194</v>
      </c>
      <c r="G1115" s="2" t="s">
        <v>5006</v>
      </c>
      <c r="H1115" s="3">
        <v>0</v>
      </c>
      <c r="I1115" s="2" t="s">
        <v>409</v>
      </c>
      <c r="J1115" s="2" t="s">
        <v>5007</v>
      </c>
      <c r="K1115" s="2" t="s">
        <v>194</v>
      </c>
      <c r="L1115" s="2" t="s">
        <v>5008</v>
      </c>
      <c r="M1115" s="4">
        <v>0.21</v>
      </c>
      <c r="N1115" t="e">
        <f>OR(LEFT(B1115,3)="frg",(_xlfn.XMATCH(B1115,ZZZ_Part_Id_[[#All],[FGCODE]])))</f>
        <v>#N/A</v>
      </c>
    </row>
    <row r="1116" spans="1:14" x14ac:dyDescent="0.3">
      <c r="A1116" s="2" t="s">
        <v>5009</v>
      </c>
      <c r="B1116" s="2" t="s">
        <v>2168</v>
      </c>
      <c r="C1116" s="2" t="s">
        <v>5010</v>
      </c>
      <c r="D1116" s="3">
        <v>21240</v>
      </c>
      <c r="E1116" s="3">
        <v>21240</v>
      </c>
      <c r="F1116" s="2" t="s">
        <v>16</v>
      </c>
      <c r="G1116" s="2" t="s">
        <v>5011</v>
      </c>
      <c r="H1116" s="3">
        <v>0</v>
      </c>
      <c r="I1116" s="2" t="s">
        <v>409</v>
      </c>
      <c r="J1116" s="2" t="s">
        <v>5012</v>
      </c>
      <c r="K1116" s="2" t="s">
        <v>16</v>
      </c>
      <c r="L1116" s="2" t="s">
        <v>5013</v>
      </c>
      <c r="M1116" s="4">
        <v>2701.3</v>
      </c>
      <c r="N1116" t="b">
        <f>OR(LEFT(B1116,3)="frg",(_xlfn.XMATCH(B1116,ZZZ_Part_Id_[[#All],[FGCODE]])))</f>
        <v>1</v>
      </c>
    </row>
    <row r="1117" spans="1:14" x14ac:dyDescent="0.3">
      <c r="A1117" s="2" t="s">
        <v>5014</v>
      </c>
      <c r="B1117" s="2" t="s">
        <v>2238</v>
      </c>
      <c r="C1117" s="2" t="s">
        <v>5015</v>
      </c>
      <c r="D1117" s="3">
        <v>211200</v>
      </c>
      <c r="E1117" s="3">
        <v>211200</v>
      </c>
      <c r="F1117" s="2" t="s">
        <v>16</v>
      </c>
      <c r="G1117" s="2" t="s">
        <v>5016</v>
      </c>
      <c r="H1117" s="3">
        <v>0</v>
      </c>
      <c r="I1117" s="2" t="s">
        <v>409</v>
      </c>
      <c r="J1117" s="2" t="s">
        <v>5017</v>
      </c>
      <c r="K1117" s="2" t="s">
        <v>16</v>
      </c>
      <c r="L1117" s="2" t="s">
        <v>5018</v>
      </c>
      <c r="M1117" s="4">
        <v>3349.61</v>
      </c>
      <c r="N1117" t="b">
        <f>OR(LEFT(B1117,3)="frg",(_xlfn.XMATCH(B1117,ZZZ_Part_Id_[[#All],[FGCODE]])))</f>
        <v>1</v>
      </c>
    </row>
    <row r="1118" spans="1:14" x14ac:dyDescent="0.3">
      <c r="A1118" s="2" t="s">
        <v>5014</v>
      </c>
      <c r="B1118" s="2" t="s">
        <v>86</v>
      </c>
      <c r="C1118" s="2" t="s">
        <v>5019</v>
      </c>
      <c r="D1118" s="5">
        <v>-259</v>
      </c>
      <c r="E1118" s="5">
        <v>-259</v>
      </c>
      <c r="F1118" s="2" t="s">
        <v>23</v>
      </c>
      <c r="G1118" s="2" t="s">
        <v>5020</v>
      </c>
      <c r="H1118" s="3">
        <v>0</v>
      </c>
      <c r="I1118" s="2" t="s">
        <v>409</v>
      </c>
      <c r="J1118" s="2" t="s">
        <v>5021</v>
      </c>
      <c r="K1118" s="2" t="s">
        <v>23</v>
      </c>
      <c r="L1118" s="2" t="s">
        <v>5022</v>
      </c>
      <c r="M1118" s="6">
        <v>-678.01</v>
      </c>
      <c r="N1118" t="b">
        <f>OR(LEFT(B1118,3)="frg",(_xlfn.XMATCH(B1118,ZZZ_Part_Id_[[#All],[FGCODE]])))</f>
        <v>1</v>
      </c>
    </row>
    <row r="1119" spans="1:14" x14ac:dyDescent="0.3">
      <c r="A1119" s="2" t="s">
        <v>5014</v>
      </c>
      <c r="B1119" s="2" t="s">
        <v>14</v>
      </c>
      <c r="C1119" s="2" t="s">
        <v>5023</v>
      </c>
      <c r="D1119" s="3">
        <v>10</v>
      </c>
      <c r="E1119" s="3">
        <v>10</v>
      </c>
      <c r="F1119" s="2" t="s">
        <v>16</v>
      </c>
      <c r="G1119" s="2" t="s">
        <v>5024</v>
      </c>
      <c r="H1119" s="3">
        <v>0</v>
      </c>
      <c r="I1119" s="2" t="s">
        <v>409</v>
      </c>
      <c r="J1119" s="2" t="s">
        <v>5025</v>
      </c>
      <c r="K1119" s="2" t="s">
        <v>16</v>
      </c>
      <c r="L1119" s="2" t="s">
        <v>5026</v>
      </c>
      <c r="M1119" s="4">
        <v>0.77</v>
      </c>
      <c r="N1119" t="e">
        <f>OR(LEFT(B1119,3)="frg",(_xlfn.XMATCH(B1119,ZZZ_Part_Id_[[#All],[FGCODE]])))</f>
        <v>#N/A</v>
      </c>
    </row>
    <row r="1120" spans="1:14" x14ac:dyDescent="0.3">
      <c r="A1120" s="2" t="s">
        <v>5014</v>
      </c>
      <c r="B1120" s="2" t="s">
        <v>140</v>
      </c>
      <c r="C1120" s="2" t="s">
        <v>5027</v>
      </c>
      <c r="D1120" s="3">
        <v>0.4</v>
      </c>
      <c r="E1120" s="3">
        <v>0.4</v>
      </c>
      <c r="F1120" s="2" t="s">
        <v>16</v>
      </c>
      <c r="G1120" s="2" t="s">
        <v>5028</v>
      </c>
      <c r="H1120" s="3">
        <v>0</v>
      </c>
      <c r="I1120" s="2" t="s">
        <v>409</v>
      </c>
      <c r="J1120" s="2" t="s">
        <v>5029</v>
      </c>
      <c r="K1120" s="2" t="s">
        <v>16</v>
      </c>
      <c r="L1120" s="2" t="s">
        <v>5030</v>
      </c>
      <c r="M1120" s="4">
        <v>0.66</v>
      </c>
      <c r="N1120" t="e">
        <f>OR(LEFT(B1120,3)="frg",(_xlfn.XMATCH(B1120,ZZZ_Part_Id_[[#All],[FGCODE]])))</f>
        <v>#N/A</v>
      </c>
    </row>
    <row r="1121" spans="1:14" x14ac:dyDescent="0.3">
      <c r="A1121" s="2" t="s">
        <v>5014</v>
      </c>
      <c r="B1121" s="2" t="s">
        <v>192</v>
      </c>
      <c r="C1121" s="2" t="s">
        <v>5031</v>
      </c>
      <c r="D1121" s="3">
        <v>0.1</v>
      </c>
      <c r="E1121" s="3">
        <v>0.1</v>
      </c>
      <c r="F1121" s="2" t="s">
        <v>194</v>
      </c>
      <c r="G1121" s="2" t="s">
        <v>5032</v>
      </c>
      <c r="H1121" s="3">
        <v>0</v>
      </c>
      <c r="I1121" s="2" t="s">
        <v>409</v>
      </c>
      <c r="J1121" s="2" t="s">
        <v>5033</v>
      </c>
      <c r="K1121" s="2" t="s">
        <v>194</v>
      </c>
      <c r="L1121" s="2" t="s">
        <v>5034</v>
      </c>
      <c r="M1121" s="4">
        <v>0.52</v>
      </c>
      <c r="N1121" t="e">
        <f>OR(LEFT(B1121,3)="frg",(_xlfn.XMATCH(B1121,ZZZ_Part_Id_[[#All],[FGCODE]])))</f>
        <v>#N/A</v>
      </c>
    </row>
    <row r="1122" spans="1:14" x14ac:dyDescent="0.3">
      <c r="A1122" s="2" t="s">
        <v>5014</v>
      </c>
      <c r="B1122" s="2" t="s">
        <v>145</v>
      </c>
      <c r="C1122" s="2" t="s">
        <v>5035</v>
      </c>
      <c r="D1122" s="3">
        <v>0.04</v>
      </c>
      <c r="E1122" s="3">
        <v>0.04</v>
      </c>
      <c r="F1122" s="2" t="s">
        <v>147</v>
      </c>
      <c r="G1122" s="2" t="s">
        <v>5036</v>
      </c>
      <c r="H1122" s="3">
        <v>0</v>
      </c>
      <c r="I1122" s="2" t="s">
        <v>409</v>
      </c>
      <c r="J1122" s="2" t="s">
        <v>5037</v>
      </c>
      <c r="K1122" s="2" t="s">
        <v>147</v>
      </c>
      <c r="L1122" s="2" t="s">
        <v>5038</v>
      </c>
      <c r="M1122" s="4">
        <v>6.26</v>
      </c>
      <c r="N1122" t="e">
        <f>OR(LEFT(B1122,3)="frg",(_xlfn.XMATCH(B1122,ZZZ_Part_Id_[[#All],[FGCODE]])))</f>
        <v>#N/A</v>
      </c>
    </row>
    <row r="1123" spans="1:14" x14ac:dyDescent="0.3">
      <c r="A1123" s="2" t="s">
        <v>5039</v>
      </c>
      <c r="B1123" s="2" t="s">
        <v>4791</v>
      </c>
      <c r="C1123" s="2" t="s">
        <v>5040</v>
      </c>
      <c r="D1123" s="3">
        <v>13248</v>
      </c>
      <c r="E1123" s="3">
        <v>13248</v>
      </c>
      <c r="F1123" s="2" t="s">
        <v>16</v>
      </c>
      <c r="G1123" s="2" t="s">
        <v>5041</v>
      </c>
      <c r="H1123" s="3">
        <v>0</v>
      </c>
      <c r="I1123" s="2" t="s">
        <v>409</v>
      </c>
      <c r="J1123" s="2" t="s">
        <v>5042</v>
      </c>
      <c r="K1123" s="2" t="s">
        <v>16</v>
      </c>
      <c r="L1123" s="2" t="s">
        <v>5043</v>
      </c>
      <c r="M1123" s="4">
        <v>2410.08</v>
      </c>
      <c r="N1123" t="b">
        <f>OR(LEFT(B1123,3)="frg",(_xlfn.XMATCH(B1123,ZZZ_Part_Id_[[#All],[FGCODE]])))</f>
        <v>1</v>
      </c>
    </row>
    <row r="1124" spans="1:14" x14ac:dyDescent="0.3">
      <c r="A1124" s="2" t="s">
        <v>5044</v>
      </c>
      <c r="B1124" s="2" t="s">
        <v>14</v>
      </c>
      <c r="C1124" s="2" t="s">
        <v>5045</v>
      </c>
      <c r="D1124" s="3">
        <v>1E-3</v>
      </c>
      <c r="E1124" s="3">
        <v>0</v>
      </c>
      <c r="F1124" s="2" t="s">
        <v>16</v>
      </c>
      <c r="G1124" s="2" t="s">
        <v>5046</v>
      </c>
      <c r="H1124" s="3">
        <v>0</v>
      </c>
      <c r="I1124" s="2" t="s">
        <v>18</v>
      </c>
      <c r="J1124" s="2" t="s">
        <v>5047</v>
      </c>
      <c r="K1124" s="2" t="s">
        <v>16</v>
      </c>
      <c r="L1124" s="2" t="s">
        <v>5048</v>
      </c>
      <c r="M1124" s="4">
        <v>0</v>
      </c>
      <c r="N1124" t="e">
        <f>OR(LEFT(B1124,3)="frg",(_xlfn.XMATCH(B1124,ZZZ_Part_Id_[[#All],[FGCODE]])))</f>
        <v>#N/A</v>
      </c>
    </row>
    <row r="1125" spans="1:14" x14ac:dyDescent="0.3">
      <c r="A1125" s="2" t="s">
        <v>5044</v>
      </c>
      <c r="B1125" s="2" t="s">
        <v>187</v>
      </c>
      <c r="C1125" s="2" t="s">
        <v>5049</v>
      </c>
      <c r="D1125" s="3">
        <v>1E-3</v>
      </c>
      <c r="E1125" s="3">
        <v>0</v>
      </c>
      <c r="F1125" s="2" t="s">
        <v>16</v>
      </c>
      <c r="G1125" s="2" t="s">
        <v>5050</v>
      </c>
      <c r="H1125" s="3">
        <v>0</v>
      </c>
      <c r="I1125" s="2" t="s">
        <v>18</v>
      </c>
      <c r="J1125" s="2" t="s">
        <v>5051</v>
      </c>
      <c r="K1125" s="2" t="s">
        <v>16</v>
      </c>
      <c r="L1125" s="2" t="s">
        <v>5052</v>
      </c>
      <c r="M1125" s="4">
        <v>0</v>
      </c>
      <c r="N1125" t="e">
        <f>OR(LEFT(B1125,3)="frg",(_xlfn.XMATCH(B1125,ZZZ_Part_Id_[[#All],[FGCODE]])))</f>
        <v>#N/A</v>
      </c>
    </row>
    <row r="1126" spans="1:14" x14ac:dyDescent="0.3">
      <c r="A1126" s="2" t="s">
        <v>5044</v>
      </c>
      <c r="B1126" s="2" t="s">
        <v>177</v>
      </c>
      <c r="C1126" s="2" t="s">
        <v>5053</v>
      </c>
      <c r="D1126" s="3">
        <v>1E-3</v>
      </c>
      <c r="E1126" s="3">
        <v>0</v>
      </c>
      <c r="F1126" s="2" t="s">
        <v>16</v>
      </c>
      <c r="G1126" s="2" t="s">
        <v>5054</v>
      </c>
      <c r="H1126" s="3">
        <v>0</v>
      </c>
      <c r="I1126" s="2" t="s">
        <v>18</v>
      </c>
      <c r="J1126" s="2" t="s">
        <v>5055</v>
      </c>
      <c r="K1126" s="2" t="s">
        <v>16</v>
      </c>
      <c r="L1126" s="2" t="s">
        <v>5056</v>
      </c>
      <c r="M1126" s="4">
        <v>0</v>
      </c>
      <c r="N1126" t="e">
        <f>OR(LEFT(B1126,3)="frg",(_xlfn.XMATCH(B1126,ZZZ_Part_Id_[[#All],[FGCODE]])))</f>
        <v>#N/A</v>
      </c>
    </row>
    <row r="1127" spans="1:14" x14ac:dyDescent="0.3">
      <c r="A1127" s="2" t="s">
        <v>5044</v>
      </c>
      <c r="B1127" s="2" t="s">
        <v>161</v>
      </c>
      <c r="C1127" s="2" t="s">
        <v>5057</v>
      </c>
      <c r="D1127" s="3">
        <v>1E-3</v>
      </c>
      <c r="E1127" s="3">
        <v>0</v>
      </c>
      <c r="F1127" s="2" t="s">
        <v>163</v>
      </c>
      <c r="G1127" s="2" t="s">
        <v>5058</v>
      </c>
      <c r="H1127" s="3">
        <v>0</v>
      </c>
      <c r="I1127" s="2" t="s">
        <v>18</v>
      </c>
      <c r="J1127" s="2" t="s">
        <v>5059</v>
      </c>
      <c r="K1127" s="2" t="s">
        <v>163</v>
      </c>
      <c r="L1127" s="2" t="s">
        <v>5060</v>
      </c>
      <c r="M1127" s="4">
        <v>0</v>
      </c>
      <c r="N1127" t="e">
        <f>OR(LEFT(B1127,3)="frg",(_xlfn.XMATCH(B1127,ZZZ_Part_Id_[[#All],[FGCODE]])))</f>
        <v>#N/A</v>
      </c>
    </row>
    <row r="1128" spans="1:14" x14ac:dyDescent="0.3">
      <c r="A1128" s="2" t="s">
        <v>5044</v>
      </c>
      <c r="B1128" s="2" t="s">
        <v>182</v>
      </c>
      <c r="C1128" s="2" t="s">
        <v>5061</v>
      </c>
      <c r="D1128" s="3">
        <v>1E-3</v>
      </c>
      <c r="E1128" s="3">
        <v>0</v>
      </c>
      <c r="F1128" s="2" t="s">
        <v>16</v>
      </c>
      <c r="G1128" s="2" t="s">
        <v>5062</v>
      </c>
      <c r="H1128" s="3">
        <v>0</v>
      </c>
      <c r="I1128" s="2" t="s">
        <v>18</v>
      </c>
      <c r="J1128" s="2" t="s">
        <v>5063</v>
      </c>
      <c r="K1128" s="2" t="s">
        <v>16</v>
      </c>
      <c r="L1128" s="2" t="s">
        <v>5064</v>
      </c>
      <c r="M1128" s="4">
        <v>0</v>
      </c>
      <c r="N1128" t="e">
        <f>OR(LEFT(B1128,3)="frg",(_xlfn.XMATCH(B1128,ZZZ_Part_Id_[[#All],[FGCODE]])))</f>
        <v>#N/A</v>
      </c>
    </row>
    <row r="1129" spans="1:14" x14ac:dyDescent="0.3">
      <c r="A1129" s="2" t="s">
        <v>5044</v>
      </c>
      <c r="B1129" s="2" t="s">
        <v>140</v>
      </c>
      <c r="C1129" s="2" t="s">
        <v>5065</v>
      </c>
      <c r="D1129" s="3">
        <v>1E-3</v>
      </c>
      <c r="E1129" s="3">
        <v>0</v>
      </c>
      <c r="F1129" s="2" t="s">
        <v>16</v>
      </c>
      <c r="G1129" s="2" t="s">
        <v>5066</v>
      </c>
      <c r="H1129" s="3">
        <v>0</v>
      </c>
      <c r="I1129" s="2" t="s">
        <v>18</v>
      </c>
      <c r="J1129" s="2" t="s">
        <v>5067</v>
      </c>
      <c r="K1129" s="2" t="s">
        <v>16</v>
      </c>
      <c r="L1129" s="2" t="s">
        <v>5068</v>
      </c>
      <c r="M1129" s="4">
        <v>0</v>
      </c>
      <c r="N1129" t="e">
        <f>OR(LEFT(B1129,3)="frg",(_xlfn.XMATCH(B1129,ZZZ_Part_Id_[[#All],[FGCODE]])))</f>
        <v>#N/A</v>
      </c>
    </row>
    <row r="1130" spans="1:14" x14ac:dyDescent="0.3">
      <c r="A1130" s="2" t="s">
        <v>5044</v>
      </c>
      <c r="B1130" s="2" t="s">
        <v>145</v>
      </c>
      <c r="C1130" s="2" t="s">
        <v>5069</v>
      </c>
      <c r="D1130" s="3">
        <v>0</v>
      </c>
      <c r="E1130" s="3">
        <v>0</v>
      </c>
      <c r="F1130" s="2" t="s">
        <v>147</v>
      </c>
      <c r="G1130" s="2" t="s">
        <v>5070</v>
      </c>
      <c r="H1130" s="3">
        <v>0</v>
      </c>
      <c r="I1130" s="2" t="s">
        <v>18</v>
      </c>
      <c r="J1130" s="2" t="s">
        <v>5071</v>
      </c>
      <c r="K1130" s="2" t="s">
        <v>147</v>
      </c>
      <c r="L1130" s="2" t="s">
        <v>5072</v>
      </c>
      <c r="M1130" s="4">
        <v>0</v>
      </c>
      <c r="N1130" t="e">
        <f>OR(LEFT(B1130,3)="frg",(_xlfn.XMATCH(B1130,ZZZ_Part_Id_[[#All],[FGCODE]])))</f>
        <v>#N/A</v>
      </c>
    </row>
    <row r="1131" spans="1:14" x14ac:dyDescent="0.3">
      <c r="A1131" s="2" t="s">
        <v>5044</v>
      </c>
      <c r="B1131" s="2" t="s">
        <v>151</v>
      </c>
      <c r="C1131" s="2" t="s">
        <v>5073</v>
      </c>
      <c r="D1131" s="3">
        <v>1E-3</v>
      </c>
      <c r="E1131" s="3">
        <v>0</v>
      </c>
      <c r="F1131" s="2" t="s">
        <v>16</v>
      </c>
      <c r="G1131" s="2" t="s">
        <v>5074</v>
      </c>
      <c r="H1131" s="3">
        <v>0</v>
      </c>
      <c r="I1131" s="2" t="s">
        <v>18</v>
      </c>
      <c r="J1131" s="2" t="s">
        <v>5075</v>
      </c>
      <c r="K1131" s="2" t="s">
        <v>16</v>
      </c>
      <c r="L1131" s="2" t="s">
        <v>5076</v>
      </c>
      <c r="M1131" s="4">
        <v>0</v>
      </c>
      <c r="N1131" t="e">
        <f>OR(LEFT(B1131,3)="frg",(_xlfn.XMATCH(B1131,ZZZ_Part_Id_[[#All],[FGCODE]])))</f>
        <v>#N/A</v>
      </c>
    </row>
    <row r="1132" spans="1:14" x14ac:dyDescent="0.3">
      <c r="A1132" s="2" t="s">
        <v>5044</v>
      </c>
      <c r="B1132" s="2" t="s">
        <v>167</v>
      </c>
      <c r="C1132" s="2" t="s">
        <v>5077</v>
      </c>
      <c r="D1132" s="3">
        <v>1E-3</v>
      </c>
      <c r="E1132" s="3">
        <v>0</v>
      </c>
      <c r="F1132" s="2" t="s">
        <v>23</v>
      </c>
      <c r="G1132" s="2" t="s">
        <v>5078</v>
      </c>
      <c r="H1132" s="3">
        <v>0</v>
      </c>
      <c r="I1132" s="2" t="s">
        <v>18</v>
      </c>
      <c r="J1132" s="2" t="s">
        <v>5079</v>
      </c>
      <c r="K1132" s="2" t="s">
        <v>23</v>
      </c>
      <c r="L1132" s="2" t="s">
        <v>5080</v>
      </c>
      <c r="M1132" s="4">
        <v>0</v>
      </c>
      <c r="N1132" t="e">
        <f>OR(LEFT(B1132,3)="frg",(_xlfn.XMATCH(B1132,ZZZ_Part_Id_[[#All],[FGCODE]])))</f>
        <v>#N/A</v>
      </c>
    </row>
    <row r="1133" spans="1:14" x14ac:dyDescent="0.3">
      <c r="A1133" s="2" t="s">
        <v>5044</v>
      </c>
      <c r="B1133" s="2" t="s">
        <v>835</v>
      </c>
      <c r="C1133" s="2" t="s">
        <v>5081</v>
      </c>
      <c r="D1133" s="3">
        <v>0</v>
      </c>
      <c r="E1133" s="3">
        <v>0</v>
      </c>
      <c r="F1133" s="2" t="s">
        <v>23</v>
      </c>
      <c r="G1133" s="2" t="s">
        <v>5082</v>
      </c>
      <c r="H1133" s="3">
        <v>0</v>
      </c>
      <c r="I1133" s="2" t="s">
        <v>18</v>
      </c>
      <c r="J1133" s="2" t="s">
        <v>5083</v>
      </c>
      <c r="K1133" s="2" t="s">
        <v>23</v>
      </c>
      <c r="L1133" s="2" t="s">
        <v>5084</v>
      </c>
      <c r="M1133" s="4">
        <v>0</v>
      </c>
      <c r="N1133" t="e">
        <f>OR(LEFT(B1133,3)="frg",(_xlfn.XMATCH(B1133,ZZZ_Part_Id_[[#All],[FGCODE]])))</f>
        <v>#N/A</v>
      </c>
    </row>
    <row r="1134" spans="1:14" x14ac:dyDescent="0.3">
      <c r="A1134" s="2" t="s">
        <v>5044</v>
      </c>
      <c r="B1134" s="2" t="s">
        <v>192</v>
      </c>
      <c r="C1134" s="2" t="s">
        <v>5085</v>
      </c>
      <c r="D1134" s="3">
        <v>1E-3</v>
      </c>
      <c r="E1134" s="3">
        <v>0</v>
      </c>
      <c r="F1134" s="2" t="s">
        <v>194</v>
      </c>
      <c r="G1134" s="2" t="s">
        <v>5086</v>
      </c>
      <c r="H1134" s="3">
        <v>0</v>
      </c>
      <c r="I1134" s="2" t="s">
        <v>18</v>
      </c>
      <c r="J1134" s="2" t="s">
        <v>5087</v>
      </c>
      <c r="K1134" s="2" t="s">
        <v>194</v>
      </c>
      <c r="L1134" s="2" t="s">
        <v>5088</v>
      </c>
      <c r="M1134" s="4">
        <v>0</v>
      </c>
      <c r="N1134" t="e">
        <f>OR(LEFT(B1134,3)="frg",(_xlfn.XMATCH(B1134,ZZZ_Part_Id_[[#All],[FGCODE]])))</f>
        <v>#N/A</v>
      </c>
    </row>
    <row r="1135" spans="1:14" x14ac:dyDescent="0.3">
      <c r="A1135" s="2" t="s">
        <v>5044</v>
      </c>
      <c r="B1135" s="2" t="s">
        <v>213</v>
      </c>
      <c r="C1135" s="2" t="s">
        <v>5089</v>
      </c>
      <c r="D1135" s="3">
        <v>0</v>
      </c>
      <c r="E1135" s="3">
        <v>0</v>
      </c>
      <c r="F1135" s="2" t="s">
        <v>16</v>
      </c>
      <c r="G1135" s="2" t="s">
        <v>5090</v>
      </c>
      <c r="H1135" s="3">
        <v>0</v>
      </c>
      <c r="I1135" s="2" t="s">
        <v>18</v>
      </c>
      <c r="J1135" s="2" t="s">
        <v>5091</v>
      </c>
      <c r="K1135" s="2" t="s">
        <v>16</v>
      </c>
      <c r="L1135" s="2" t="s">
        <v>5092</v>
      </c>
      <c r="M1135" s="4">
        <v>0</v>
      </c>
      <c r="N1135" t="e">
        <f>OR(LEFT(B1135,3)="frg",(_xlfn.XMATCH(B1135,ZZZ_Part_Id_[[#All],[FGCODE]])))</f>
        <v>#N/A</v>
      </c>
    </row>
    <row r="1136" spans="1:14" x14ac:dyDescent="0.3">
      <c r="A1136" s="2" t="s">
        <v>5044</v>
      </c>
      <c r="B1136" s="2" t="s">
        <v>218</v>
      </c>
      <c r="C1136" s="2" t="s">
        <v>5093</v>
      </c>
      <c r="D1136" s="3">
        <v>0</v>
      </c>
      <c r="E1136" s="3">
        <v>0</v>
      </c>
      <c r="F1136" s="2" t="s">
        <v>16</v>
      </c>
      <c r="G1136" s="2" t="s">
        <v>5094</v>
      </c>
      <c r="H1136" s="3">
        <v>0</v>
      </c>
      <c r="I1136" s="2" t="s">
        <v>18</v>
      </c>
      <c r="J1136" s="2" t="s">
        <v>5095</v>
      </c>
      <c r="K1136" s="2" t="s">
        <v>16</v>
      </c>
      <c r="L1136" s="2" t="s">
        <v>5096</v>
      </c>
      <c r="M1136" s="4">
        <v>0</v>
      </c>
      <c r="N1136" t="e">
        <f>OR(LEFT(B1136,3)="frg",(_xlfn.XMATCH(B1136,ZZZ_Part_Id_[[#All],[FGCODE]])))</f>
        <v>#N/A</v>
      </c>
    </row>
    <row r="1137" spans="1:14" x14ac:dyDescent="0.3">
      <c r="A1137" s="2" t="s">
        <v>5044</v>
      </c>
      <c r="B1137" s="2" t="s">
        <v>172</v>
      </c>
      <c r="C1137" s="2" t="s">
        <v>5097</v>
      </c>
      <c r="D1137" s="3">
        <v>1E-3</v>
      </c>
      <c r="E1137" s="3">
        <v>0</v>
      </c>
      <c r="F1137" s="2" t="s">
        <v>23</v>
      </c>
      <c r="G1137" s="2" t="s">
        <v>5098</v>
      </c>
      <c r="H1137" s="3">
        <v>0</v>
      </c>
      <c r="I1137" s="2" t="s">
        <v>18</v>
      </c>
      <c r="J1137" s="2" t="s">
        <v>5099</v>
      </c>
      <c r="K1137" s="2" t="s">
        <v>23</v>
      </c>
      <c r="L1137" s="2" t="s">
        <v>5100</v>
      </c>
      <c r="M1137" s="4">
        <v>0</v>
      </c>
      <c r="N1137" t="e">
        <f>OR(LEFT(B1137,3)="frg",(_xlfn.XMATCH(B1137,ZZZ_Part_Id_[[#All],[FGCODE]])))</f>
        <v>#N/A</v>
      </c>
    </row>
    <row r="1138" spans="1:14" x14ac:dyDescent="0.3">
      <c r="A1138" s="2" t="s">
        <v>5044</v>
      </c>
      <c r="B1138" s="2" t="s">
        <v>223</v>
      </c>
      <c r="C1138" s="2" t="s">
        <v>5101</v>
      </c>
      <c r="D1138" s="3">
        <v>0</v>
      </c>
      <c r="E1138" s="3">
        <v>0</v>
      </c>
      <c r="F1138" s="2" t="s">
        <v>23</v>
      </c>
      <c r="G1138" s="2" t="s">
        <v>5102</v>
      </c>
      <c r="H1138" s="3">
        <v>0</v>
      </c>
      <c r="I1138" s="2" t="s">
        <v>18</v>
      </c>
      <c r="J1138" s="2" t="s">
        <v>5103</v>
      </c>
      <c r="K1138" s="2" t="s">
        <v>23</v>
      </c>
      <c r="L1138" s="2" t="s">
        <v>5104</v>
      </c>
      <c r="M1138" s="4">
        <v>0</v>
      </c>
      <c r="N1138" t="e">
        <f>OR(LEFT(B1138,3)="frg",(_xlfn.XMATCH(B1138,ZZZ_Part_Id_[[#All],[FGCODE]])))</f>
        <v>#N/A</v>
      </c>
    </row>
    <row r="1139" spans="1:14" x14ac:dyDescent="0.3">
      <c r="A1139" s="2" t="s">
        <v>5044</v>
      </c>
      <c r="B1139" s="2" t="s">
        <v>65</v>
      </c>
      <c r="C1139" s="2" t="s">
        <v>5105</v>
      </c>
      <c r="D1139" s="3">
        <v>0</v>
      </c>
      <c r="E1139" s="3">
        <v>0</v>
      </c>
      <c r="F1139" s="2" t="s">
        <v>23</v>
      </c>
      <c r="G1139" s="2" t="s">
        <v>5106</v>
      </c>
      <c r="H1139" s="3">
        <v>0</v>
      </c>
      <c r="I1139" s="2" t="s">
        <v>18</v>
      </c>
      <c r="J1139" s="2" t="s">
        <v>5107</v>
      </c>
      <c r="K1139" s="2" t="s">
        <v>23</v>
      </c>
      <c r="L1139" s="2" t="s">
        <v>5108</v>
      </c>
      <c r="M1139" s="4">
        <v>0</v>
      </c>
      <c r="N1139" t="b">
        <f>OR(LEFT(B1139,3)="frg",(_xlfn.XMATCH(B1139,ZZZ_Part_Id_[[#All],[FGCODE]])))</f>
        <v>1</v>
      </c>
    </row>
    <row r="1140" spans="1:14" x14ac:dyDescent="0.3">
      <c r="A1140" s="2" t="s">
        <v>5044</v>
      </c>
      <c r="B1140" s="2" t="s">
        <v>232</v>
      </c>
      <c r="C1140" s="2" t="s">
        <v>5109</v>
      </c>
      <c r="D1140" s="3">
        <v>0</v>
      </c>
      <c r="E1140" s="3">
        <v>0</v>
      </c>
      <c r="F1140" s="2" t="s">
        <v>23</v>
      </c>
      <c r="G1140" s="2" t="s">
        <v>5110</v>
      </c>
      <c r="H1140" s="3">
        <v>0</v>
      </c>
      <c r="I1140" s="2" t="s">
        <v>18</v>
      </c>
      <c r="J1140" s="2" t="s">
        <v>5111</v>
      </c>
      <c r="K1140" s="2" t="s">
        <v>23</v>
      </c>
      <c r="L1140" s="2" t="s">
        <v>5112</v>
      </c>
      <c r="M1140" s="4">
        <v>0</v>
      </c>
      <c r="N1140" t="e">
        <f>OR(LEFT(B1140,3)="frg",(_xlfn.XMATCH(B1140,ZZZ_Part_Id_[[#All],[FGCODE]])))</f>
        <v>#N/A</v>
      </c>
    </row>
    <row r="1141" spans="1:14" x14ac:dyDescent="0.3">
      <c r="A1141" s="2" t="s">
        <v>5044</v>
      </c>
      <c r="B1141" s="2" t="s">
        <v>5113</v>
      </c>
      <c r="C1141" s="2" t="s">
        <v>5114</v>
      </c>
      <c r="D1141" s="3">
        <v>0.01</v>
      </c>
      <c r="E1141" s="7">
        <v>0</v>
      </c>
      <c r="F1141" s="2" t="s">
        <v>3987</v>
      </c>
      <c r="G1141" s="2" t="s">
        <v>5115</v>
      </c>
      <c r="H1141" s="7">
        <v>0</v>
      </c>
      <c r="I1141" s="2" t="s">
        <v>18</v>
      </c>
      <c r="J1141" s="2" t="s">
        <v>5116</v>
      </c>
      <c r="K1141" s="2" t="s">
        <v>3987</v>
      </c>
      <c r="L1141" s="2" t="s">
        <v>5117</v>
      </c>
      <c r="M1141" s="4">
        <v>0</v>
      </c>
      <c r="N1141" t="e">
        <f>OR(LEFT(B1141,3)="frg",(_xlfn.XMATCH(B1141,ZZZ_Part_Id_[[#All],[FGCODE]])))</f>
        <v>#N/A</v>
      </c>
    </row>
    <row r="1142" spans="1:14" x14ac:dyDescent="0.3">
      <c r="A1142" s="2" t="s">
        <v>5044</v>
      </c>
      <c r="B1142" s="2" t="s">
        <v>5118</v>
      </c>
      <c r="C1142" s="2" t="s">
        <v>5119</v>
      </c>
      <c r="D1142" s="7">
        <v>0</v>
      </c>
      <c r="E1142" s="7">
        <v>0</v>
      </c>
      <c r="F1142" s="2" t="s">
        <v>3987</v>
      </c>
      <c r="G1142" s="2" t="s">
        <v>5120</v>
      </c>
      <c r="H1142" s="7">
        <v>0</v>
      </c>
      <c r="I1142" s="2" t="s">
        <v>18</v>
      </c>
      <c r="J1142" s="2" t="s">
        <v>5121</v>
      </c>
      <c r="K1142" s="2" t="s">
        <v>3987</v>
      </c>
      <c r="L1142" s="2" t="s">
        <v>5122</v>
      </c>
      <c r="M1142" s="4">
        <v>0</v>
      </c>
      <c r="N1142" t="e">
        <f>OR(LEFT(B1142,3)="frg",(_xlfn.XMATCH(B1142,ZZZ_Part_Id_[[#All],[FGCODE]])))</f>
        <v>#N/A</v>
      </c>
    </row>
    <row r="1143" spans="1:14" x14ac:dyDescent="0.3">
      <c r="A1143" s="2" t="s">
        <v>5044</v>
      </c>
      <c r="B1143" s="2" t="s">
        <v>237</v>
      </c>
      <c r="C1143" s="2" t="s">
        <v>5123</v>
      </c>
      <c r="D1143" s="3">
        <v>0</v>
      </c>
      <c r="E1143" s="3">
        <v>0</v>
      </c>
      <c r="F1143" s="2" t="s">
        <v>16</v>
      </c>
      <c r="G1143" s="2" t="s">
        <v>5124</v>
      </c>
      <c r="H1143" s="3">
        <v>0</v>
      </c>
      <c r="I1143" s="2" t="s">
        <v>18</v>
      </c>
      <c r="J1143" s="2" t="s">
        <v>5125</v>
      </c>
      <c r="K1143" s="2" t="s">
        <v>16</v>
      </c>
      <c r="L1143" s="2" t="s">
        <v>5126</v>
      </c>
      <c r="M1143" s="4">
        <v>0</v>
      </c>
      <c r="N1143" t="e">
        <f>OR(LEFT(B1143,3)="frg",(_xlfn.XMATCH(B1143,ZZZ_Part_Id_[[#All],[FGCODE]])))</f>
        <v>#N/A</v>
      </c>
    </row>
    <row r="1144" spans="1:14" x14ac:dyDescent="0.3">
      <c r="A1144" s="2" t="s">
        <v>5044</v>
      </c>
      <c r="B1144" s="2" t="s">
        <v>242</v>
      </c>
      <c r="C1144" s="2" t="s">
        <v>5127</v>
      </c>
      <c r="D1144" s="3">
        <v>0</v>
      </c>
      <c r="E1144" s="3">
        <v>0</v>
      </c>
      <c r="F1144" s="2" t="s">
        <v>16</v>
      </c>
      <c r="G1144" s="2" t="s">
        <v>5128</v>
      </c>
      <c r="H1144" s="3">
        <v>0</v>
      </c>
      <c r="I1144" s="2" t="s">
        <v>18</v>
      </c>
      <c r="J1144" s="2" t="s">
        <v>5129</v>
      </c>
      <c r="K1144" s="2" t="s">
        <v>16</v>
      </c>
      <c r="L1144" s="2" t="s">
        <v>5130</v>
      </c>
      <c r="M1144" s="4">
        <v>0</v>
      </c>
      <c r="N1144" t="e">
        <f>OR(LEFT(B1144,3)="frg",(_xlfn.XMATCH(B1144,ZZZ_Part_Id_[[#All],[FGCODE]])))</f>
        <v>#N/A</v>
      </c>
    </row>
    <row r="1145" spans="1:14" x14ac:dyDescent="0.3">
      <c r="A1145" s="2" t="s">
        <v>5044</v>
      </c>
      <c r="B1145" s="2" t="s">
        <v>264</v>
      </c>
      <c r="C1145" s="2" t="s">
        <v>5131</v>
      </c>
      <c r="D1145" s="3">
        <v>0</v>
      </c>
      <c r="E1145" s="3">
        <v>0</v>
      </c>
      <c r="F1145" s="2" t="s">
        <v>16</v>
      </c>
      <c r="G1145" s="2" t="s">
        <v>5132</v>
      </c>
      <c r="H1145" s="3">
        <v>0</v>
      </c>
      <c r="I1145" s="2" t="s">
        <v>18</v>
      </c>
      <c r="J1145" s="2" t="s">
        <v>5133</v>
      </c>
      <c r="K1145" s="2" t="s">
        <v>16</v>
      </c>
      <c r="L1145" s="2" t="s">
        <v>5134</v>
      </c>
      <c r="M1145" s="4">
        <v>0</v>
      </c>
      <c r="N1145" t="e">
        <f>OR(LEFT(B1145,3)="frg",(_xlfn.XMATCH(B1145,ZZZ_Part_Id_[[#All],[FGCODE]])))</f>
        <v>#N/A</v>
      </c>
    </row>
    <row r="1146" spans="1:14" x14ac:dyDescent="0.3">
      <c r="A1146" s="2" t="s">
        <v>5044</v>
      </c>
      <c r="B1146" s="2" t="s">
        <v>203</v>
      </c>
      <c r="C1146" s="2" t="s">
        <v>5135</v>
      </c>
      <c r="D1146" s="3">
        <v>0</v>
      </c>
      <c r="E1146" s="3">
        <v>0</v>
      </c>
      <c r="F1146" s="2" t="s">
        <v>23</v>
      </c>
      <c r="G1146" s="2" t="s">
        <v>5136</v>
      </c>
      <c r="H1146" s="3">
        <v>0</v>
      </c>
      <c r="I1146" s="2" t="s">
        <v>18</v>
      </c>
      <c r="J1146" s="2" t="s">
        <v>5137</v>
      </c>
      <c r="K1146" s="2" t="s">
        <v>23</v>
      </c>
      <c r="L1146" s="2" t="s">
        <v>5138</v>
      </c>
      <c r="M1146" s="4">
        <v>0</v>
      </c>
      <c r="N1146" t="e">
        <f>OR(LEFT(B1146,3)="frg",(_xlfn.XMATCH(B1146,ZZZ_Part_Id_[[#All],[FGCODE]])))</f>
        <v>#N/A</v>
      </c>
    </row>
    <row r="1147" spans="1:14" x14ac:dyDescent="0.3">
      <c r="A1147" s="2" t="s">
        <v>5044</v>
      </c>
      <c r="B1147" s="2" t="s">
        <v>198</v>
      </c>
      <c r="C1147" s="2" t="s">
        <v>5139</v>
      </c>
      <c r="D1147" s="3">
        <v>0</v>
      </c>
      <c r="E1147" s="3">
        <v>0</v>
      </c>
      <c r="F1147" s="2" t="s">
        <v>23</v>
      </c>
      <c r="G1147" s="2" t="s">
        <v>5140</v>
      </c>
      <c r="H1147" s="3">
        <v>0</v>
      </c>
      <c r="I1147" s="2" t="s">
        <v>18</v>
      </c>
      <c r="J1147" s="2" t="s">
        <v>5141</v>
      </c>
      <c r="K1147" s="2" t="s">
        <v>23</v>
      </c>
      <c r="L1147" s="2" t="s">
        <v>5142</v>
      </c>
      <c r="M1147" s="4">
        <v>0</v>
      </c>
      <c r="N1147" t="e">
        <f>OR(LEFT(B1147,3)="frg",(_xlfn.XMATCH(B1147,ZZZ_Part_Id_[[#All],[FGCODE]])))</f>
        <v>#N/A</v>
      </c>
    </row>
    <row r="1148" spans="1:14" x14ac:dyDescent="0.3">
      <c r="A1148" s="2" t="s">
        <v>5044</v>
      </c>
      <c r="B1148" s="2" t="s">
        <v>208</v>
      </c>
      <c r="C1148" s="2" t="s">
        <v>5143</v>
      </c>
      <c r="D1148" s="3">
        <v>0</v>
      </c>
      <c r="E1148" s="3">
        <v>0</v>
      </c>
      <c r="F1148" s="2" t="s">
        <v>23</v>
      </c>
      <c r="G1148" s="2" t="s">
        <v>5144</v>
      </c>
      <c r="H1148" s="3">
        <v>0</v>
      </c>
      <c r="I1148" s="2" t="s">
        <v>18</v>
      </c>
      <c r="J1148" s="2" t="s">
        <v>5145</v>
      </c>
      <c r="K1148" s="2" t="s">
        <v>23</v>
      </c>
      <c r="L1148" s="2" t="s">
        <v>5146</v>
      </c>
      <c r="M1148" s="4">
        <v>0</v>
      </c>
      <c r="N1148" t="e">
        <f>OR(LEFT(B1148,3)="frg",(_xlfn.XMATCH(B1148,ZZZ_Part_Id_[[#All],[FGCODE]])))</f>
        <v>#N/A</v>
      </c>
    </row>
    <row r="1149" spans="1:14" x14ac:dyDescent="0.3">
      <c r="A1149" s="2" t="s">
        <v>5044</v>
      </c>
      <c r="B1149" s="2" t="s">
        <v>5147</v>
      </c>
      <c r="C1149" s="2" t="s">
        <v>5148</v>
      </c>
      <c r="D1149" s="3">
        <v>2.7E-2</v>
      </c>
      <c r="E1149" s="3">
        <v>0</v>
      </c>
      <c r="F1149" s="2" t="s">
        <v>23</v>
      </c>
      <c r="G1149" s="2" t="s">
        <v>5149</v>
      </c>
      <c r="H1149" s="3">
        <v>0</v>
      </c>
      <c r="I1149" s="2" t="s">
        <v>18</v>
      </c>
      <c r="J1149" s="2" t="s">
        <v>5150</v>
      </c>
      <c r="K1149" s="2" t="s">
        <v>23</v>
      </c>
      <c r="L1149" s="2" t="s">
        <v>5151</v>
      </c>
      <c r="M1149" s="4">
        <v>0</v>
      </c>
      <c r="N1149" t="e">
        <f>OR(LEFT(B1149,3)="frg",(_xlfn.XMATCH(B1149,ZZZ_Part_Id_[[#All],[FGCODE]])))</f>
        <v>#N/A</v>
      </c>
    </row>
    <row r="1150" spans="1:14" x14ac:dyDescent="0.3">
      <c r="A1150" s="2" t="s">
        <v>5044</v>
      </c>
      <c r="B1150" s="2" t="s">
        <v>4019</v>
      </c>
      <c r="C1150" s="2" t="s">
        <v>5152</v>
      </c>
      <c r="D1150" s="3">
        <v>0</v>
      </c>
      <c r="E1150" s="3">
        <v>0</v>
      </c>
      <c r="F1150" s="2" t="s">
        <v>23</v>
      </c>
      <c r="G1150" s="2" t="s">
        <v>5153</v>
      </c>
      <c r="H1150" s="3">
        <v>0</v>
      </c>
      <c r="I1150" s="2" t="s">
        <v>18</v>
      </c>
      <c r="J1150" s="2" t="s">
        <v>5154</v>
      </c>
      <c r="K1150" s="2" t="s">
        <v>23</v>
      </c>
      <c r="L1150" s="2" t="s">
        <v>5155</v>
      </c>
      <c r="M1150" s="4">
        <v>0</v>
      </c>
      <c r="N1150" t="e">
        <f>OR(LEFT(B1150,3)="frg",(_xlfn.XMATCH(B1150,ZZZ_Part_Id_[[#All],[FGCODE]])))</f>
        <v>#N/A</v>
      </c>
    </row>
    <row r="1151" spans="1:14" x14ac:dyDescent="0.3">
      <c r="A1151" s="2" t="s">
        <v>5044</v>
      </c>
      <c r="B1151" s="2" t="s">
        <v>5156</v>
      </c>
      <c r="C1151" s="2" t="s">
        <v>5157</v>
      </c>
      <c r="D1151" s="3">
        <v>0</v>
      </c>
      <c r="E1151" s="3">
        <v>0</v>
      </c>
      <c r="F1151" s="2" t="s">
        <v>23</v>
      </c>
      <c r="G1151" s="2" t="s">
        <v>5158</v>
      </c>
      <c r="H1151" s="3">
        <v>0</v>
      </c>
      <c r="I1151" s="2" t="s">
        <v>18</v>
      </c>
      <c r="J1151" s="2" t="s">
        <v>5159</v>
      </c>
      <c r="K1151" s="2" t="s">
        <v>23</v>
      </c>
      <c r="L1151" s="2" t="s">
        <v>5160</v>
      </c>
      <c r="M1151" s="4">
        <v>0</v>
      </c>
      <c r="N1151" t="e">
        <f>OR(LEFT(B1151,3)="frg",(_xlfn.XMATCH(B1151,ZZZ_Part_Id_[[#All],[FGCODE]])))</f>
        <v>#N/A</v>
      </c>
    </row>
    <row r="1152" spans="1:14" x14ac:dyDescent="0.3">
      <c r="A1152" s="2" t="s">
        <v>5044</v>
      </c>
      <c r="B1152" s="2" t="s">
        <v>5161</v>
      </c>
      <c r="C1152" s="2" t="s">
        <v>5162</v>
      </c>
      <c r="D1152" s="3">
        <v>0</v>
      </c>
      <c r="E1152" s="3">
        <v>0</v>
      </c>
      <c r="F1152" s="2" t="s">
        <v>23</v>
      </c>
      <c r="G1152" s="2" t="s">
        <v>5163</v>
      </c>
      <c r="H1152" s="3">
        <v>0</v>
      </c>
      <c r="I1152" s="2" t="s">
        <v>18</v>
      </c>
      <c r="J1152" s="2" t="s">
        <v>5164</v>
      </c>
      <c r="K1152" s="2" t="s">
        <v>23</v>
      </c>
      <c r="L1152" s="2" t="s">
        <v>5165</v>
      </c>
      <c r="M1152" s="4">
        <v>0</v>
      </c>
      <c r="N1152" t="e">
        <f>OR(LEFT(B1152,3)="frg",(_xlfn.XMATCH(B1152,ZZZ_Part_Id_[[#All],[FGCODE]])))</f>
        <v>#N/A</v>
      </c>
    </row>
    <row r="1153" spans="1:14" x14ac:dyDescent="0.3">
      <c r="A1153" s="2" t="s">
        <v>5044</v>
      </c>
      <c r="B1153" s="2" t="s">
        <v>5166</v>
      </c>
      <c r="C1153" s="2" t="s">
        <v>5167</v>
      </c>
      <c r="D1153" s="3">
        <v>0</v>
      </c>
      <c r="E1153" s="3">
        <v>0</v>
      </c>
      <c r="F1153" s="2" t="s">
        <v>23</v>
      </c>
      <c r="G1153" s="2" t="s">
        <v>5168</v>
      </c>
      <c r="H1153" s="3">
        <v>0</v>
      </c>
      <c r="I1153" s="2" t="s">
        <v>18</v>
      </c>
      <c r="J1153" s="2" t="s">
        <v>5169</v>
      </c>
      <c r="K1153" s="2" t="s">
        <v>23</v>
      </c>
      <c r="L1153" s="2" t="s">
        <v>5170</v>
      </c>
      <c r="M1153" s="4">
        <v>0</v>
      </c>
      <c r="N1153" t="e">
        <f>OR(LEFT(B1153,3)="frg",(_xlfn.XMATCH(B1153,ZZZ_Part_Id_[[#All],[FGCODE]])))</f>
        <v>#N/A</v>
      </c>
    </row>
    <row r="1154" spans="1:14" x14ac:dyDescent="0.3">
      <c r="A1154" s="2" t="s">
        <v>5044</v>
      </c>
      <c r="B1154" s="2" t="s">
        <v>5171</v>
      </c>
      <c r="C1154" s="2" t="s">
        <v>5172</v>
      </c>
      <c r="D1154" s="3">
        <v>0</v>
      </c>
      <c r="E1154" s="3">
        <v>0</v>
      </c>
      <c r="F1154" s="2" t="s">
        <v>23</v>
      </c>
      <c r="G1154" s="2" t="s">
        <v>5173</v>
      </c>
      <c r="H1154" s="3">
        <v>0</v>
      </c>
      <c r="I1154" s="2" t="s">
        <v>18</v>
      </c>
      <c r="J1154" s="2" t="s">
        <v>5174</v>
      </c>
      <c r="K1154" s="2" t="s">
        <v>23</v>
      </c>
      <c r="L1154" s="2" t="s">
        <v>5175</v>
      </c>
      <c r="M1154" s="4">
        <v>0</v>
      </c>
      <c r="N1154" t="e">
        <f>OR(LEFT(B1154,3)="frg",(_xlfn.XMATCH(B1154,ZZZ_Part_Id_[[#All],[FGCODE]])))</f>
        <v>#N/A</v>
      </c>
    </row>
    <row r="1155" spans="1:14" x14ac:dyDescent="0.3">
      <c r="A1155" s="2" t="s">
        <v>5044</v>
      </c>
      <c r="B1155" s="2" t="s">
        <v>5176</v>
      </c>
      <c r="C1155" s="2" t="s">
        <v>5177</v>
      </c>
      <c r="D1155" s="3">
        <v>0</v>
      </c>
      <c r="E1155" s="3">
        <v>0</v>
      </c>
      <c r="F1155" s="2" t="s">
        <v>23</v>
      </c>
      <c r="G1155" s="2" t="s">
        <v>5178</v>
      </c>
      <c r="H1155" s="3">
        <v>0</v>
      </c>
      <c r="I1155" s="2" t="s">
        <v>18</v>
      </c>
      <c r="J1155" s="2" t="s">
        <v>5179</v>
      </c>
      <c r="K1155" s="2" t="s">
        <v>23</v>
      </c>
      <c r="L1155" s="2" t="s">
        <v>5180</v>
      </c>
      <c r="M1155" s="4">
        <v>0</v>
      </c>
      <c r="N1155" t="e">
        <f>OR(LEFT(B1155,3)="frg",(_xlfn.XMATCH(B1155,ZZZ_Part_Id_[[#All],[FGCODE]])))</f>
        <v>#N/A</v>
      </c>
    </row>
    <row r="1156" spans="1:14" x14ac:dyDescent="0.3">
      <c r="A1156" s="2" t="s">
        <v>5044</v>
      </c>
      <c r="B1156" s="2" t="s">
        <v>517</v>
      </c>
      <c r="C1156" s="2" t="s">
        <v>5181</v>
      </c>
      <c r="D1156" s="3">
        <v>1</v>
      </c>
      <c r="E1156" s="3">
        <v>0</v>
      </c>
      <c r="F1156" s="2" t="s">
        <v>16</v>
      </c>
      <c r="G1156" s="2" t="s">
        <v>131</v>
      </c>
      <c r="H1156" s="3">
        <v>0</v>
      </c>
      <c r="I1156" s="2" t="s">
        <v>18</v>
      </c>
      <c r="J1156" s="2" t="s">
        <v>5182</v>
      </c>
      <c r="K1156" s="2" t="s">
        <v>16</v>
      </c>
      <c r="L1156" s="2" t="s">
        <v>5183</v>
      </c>
      <c r="M1156" s="4">
        <v>0</v>
      </c>
      <c r="N1156" t="b">
        <f>OR(LEFT(B1156,3)="frg",(_xlfn.XMATCH(B1156,ZZZ_Part_Id_[[#All],[FGCODE]])))</f>
        <v>1</v>
      </c>
    </row>
    <row r="1157" spans="1:14" x14ac:dyDescent="0.3">
      <c r="A1157" s="2" t="s">
        <v>5184</v>
      </c>
      <c r="B1157" s="2" t="s">
        <v>517</v>
      </c>
      <c r="C1157" s="2" t="s">
        <v>5185</v>
      </c>
      <c r="D1157" s="3">
        <v>483840</v>
      </c>
      <c r="E1157" s="3">
        <v>483840</v>
      </c>
      <c r="F1157" s="2" t="s">
        <v>16</v>
      </c>
      <c r="G1157" s="2" t="s">
        <v>5186</v>
      </c>
      <c r="H1157" s="3">
        <v>0</v>
      </c>
      <c r="I1157" s="2" t="s">
        <v>18</v>
      </c>
      <c r="J1157" s="2" t="s">
        <v>5187</v>
      </c>
      <c r="K1157" s="2" t="s">
        <v>16</v>
      </c>
      <c r="L1157" s="2" t="s">
        <v>5188</v>
      </c>
      <c r="M1157" s="4">
        <v>56290.080000000002</v>
      </c>
      <c r="N1157" t="b">
        <f>OR(LEFT(B1157,3)="frg",(_xlfn.XMATCH(B1157,ZZZ_Part_Id_[[#All],[FGCODE]])))</f>
        <v>1</v>
      </c>
    </row>
    <row r="1158" spans="1:14" x14ac:dyDescent="0.3">
      <c r="A1158" s="2" t="s">
        <v>5189</v>
      </c>
      <c r="B1158" s="2" t="s">
        <v>947</v>
      </c>
      <c r="C1158" s="2" t="s">
        <v>5190</v>
      </c>
      <c r="D1158" s="3">
        <v>20640</v>
      </c>
      <c r="E1158" s="3">
        <v>20640</v>
      </c>
      <c r="F1158" s="2" t="s">
        <v>16</v>
      </c>
      <c r="G1158" s="2" t="s">
        <v>5191</v>
      </c>
      <c r="H1158" s="3">
        <v>0</v>
      </c>
      <c r="I1158" s="2" t="s">
        <v>409</v>
      </c>
      <c r="J1158" s="2" t="s">
        <v>5192</v>
      </c>
      <c r="K1158" s="2" t="s">
        <v>16</v>
      </c>
      <c r="L1158" s="2" t="s">
        <v>5193</v>
      </c>
      <c r="M1158" s="4">
        <v>2022.1</v>
      </c>
      <c r="N1158" t="b">
        <f>OR(LEFT(B1158,3)="frg",(_xlfn.XMATCH(B1158,ZZZ_Part_Id_[[#All],[FGCODE]])))</f>
        <v>1</v>
      </c>
    </row>
    <row r="1159" spans="1:14" x14ac:dyDescent="0.3">
      <c r="A1159" s="2" t="s">
        <v>5194</v>
      </c>
      <c r="B1159" s="2" t="s">
        <v>3749</v>
      </c>
      <c r="C1159" s="2" t="s">
        <v>5195</v>
      </c>
      <c r="D1159" s="3">
        <v>20880</v>
      </c>
      <c r="E1159" s="3">
        <v>20880</v>
      </c>
      <c r="F1159" s="2" t="s">
        <v>16</v>
      </c>
      <c r="G1159" s="2" t="s">
        <v>5196</v>
      </c>
      <c r="H1159" s="3">
        <v>0</v>
      </c>
      <c r="I1159" s="2" t="s">
        <v>18</v>
      </c>
      <c r="J1159" s="2" t="s">
        <v>5197</v>
      </c>
      <c r="K1159" s="2" t="s">
        <v>16</v>
      </c>
      <c r="L1159" s="2" t="s">
        <v>5198</v>
      </c>
      <c r="M1159" s="4">
        <v>1141.3</v>
      </c>
      <c r="N1159" t="b">
        <f>OR(LEFT(B1159,3)="frg",(_xlfn.XMATCH(B1159,ZZZ_Part_Id_[[#All],[FGCODE]])))</f>
        <v>1</v>
      </c>
    </row>
    <row r="1160" spans="1:14" x14ac:dyDescent="0.3">
      <c r="A1160" s="2" t="s">
        <v>5199</v>
      </c>
      <c r="B1160" s="2" t="s">
        <v>2539</v>
      </c>
      <c r="C1160" s="2" t="s">
        <v>5200</v>
      </c>
      <c r="D1160" s="3">
        <v>20880</v>
      </c>
      <c r="E1160" s="3">
        <v>20880</v>
      </c>
      <c r="F1160" s="2" t="s">
        <v>16</v>
      </c>
      <c r="G1160" s="2" t="s">
        <v>5201</v>
      </c>
      <c r="H1160" s="3">
        <v>0</v>
      </c>
      <c r="I1160" s="2" t="s">
        <v>18</v>
      </c>
      <c r="J1160" s="2" t="s">
        <v>5202</v>
      </c>
      <c r="K1160" s="2" t="s">
        <v>16</v>
      </c>
      <c r="L1160" s="2" t="s">
        <v>5203</v>
      </c>
      <c r="M1160" s="4">
        <v>1178.68</v>
      </c>
      <c r="N1160" t="b">
        <f>OR(LEFT(B1160,3)="frg",(_xlfn.XMATCH(B1160,ZZZ_Part_Id_[[#All],[FGCODE]])))</f>
        <v>1</v>
      </c>
    </row>
    <row r="1161" spans="1:14" x14ac:dyDescent="0.3">
      <c r="A1161" s="2" t="s">
        <v>5204</v>
      </c>
      <c r="B1161" s="2" t="s">
        <v>1027</v>
      </c>
      <c r="C1161" s="2" t="s">
        <v>5205</v>
      </c>
      <c r="D1161" s="3">
        <v>509760</v>
      </c>
      <c r="E1161" s="3">
        <v>509760</v>
      </c>
      <c r="F1161" s="2" t="s">
        <v>16</v>
      </c>
      <c r="G1161" s="2" t="s">
        <v>5206</v>
      </c>
      <c r="H1161" s="3">
        <v>0</v>
      </c>
      <c r="I1161" s="2" t="s">
        <v>409</v>
      </c>
      <c r="J1161" s="2" t="s">
        <v>5207</v>
      </c>
      <c r="K1161" s="2" t="s">
        <v>16</v>
      </c>
      <c r="L1161" s="2" t="s">
        <v>5208</v>
      </c>
      <c r="M1161" s="4">
        <v>102604.4</v>
      </c>
      <c r="N1161" t="b">
        <f>OR(LEFT(B1161,3)="frg",(_xlfn.XMATCH(B1161,ZZZ_Part_Id_[[#All],[FGCODE]])))</f>
        <v>1</v>
      </c>
    </row>
    <row r="1162" spans="1:14" x14ac:dyDescent="0.3">
      <c r="A1162" s="2" t="s">
        <v>5209</v>
      </c>
      <c r="B1162" s="2" t="s">
        <v>4511</v>
      </c>
      <c r="C1162" s="2" t="s">
        <v>5210</v>
      </c>
      <c r="D1162" s="3">
        <v>63940</v>
      </c>
      <c r="E1162" s="3">
        <v>63940</v>
      </c>
      <c r="F1162" s="2" t="s">
        <v>16</v>
      </c>
      <c r="G1162" s="2" t="s">
        <v>5211</v>
      </c>
      <c r="H1162" s="3">
        <v>0</v>
      </c>
      <c r="I1162" s="2" t="s">
        <v>18</v>
      </c>
      <c r="J1162" s="2" t="s">
        <v>5212</v>
      </c>
      <c r="K1162" s="2" t="s">
        <v>16</v>
      </c>
      <c r="L1162" s="2" t="s">
        <v>5213</v>
      </c>
      <c r="M1162" s="4">
        <v>2361.31</v>
      </c>
      <c r="N1162" t="b">
        <f>OR(LEFT(B1162,3)="frg",(_xlfn.XMATCH(B1162,ZZZ_Part_Id_[[#All],[FGCODE]])))</f>
        <v>1</v>
      </c>
    </row>
    <row r="1163" spans="1:14" x14ac:dyDescent="0.3">
      <c r="A1163" s="2" t="s">
        <v>5209</v>
      </c>
      <c r="B1163" s="2" t="s">
        <v>86</v>
      </c>
      <c r="C1163" s="2" t="s">
        <v>5214</v>
      </c>
      <c r="D1163" s="5">
        <v>-31</v>
      </c>
      <c r="E1163" s="5">
        <v>-31</v>
      </c>
      <c r="F1163" s="2" t="s">
        <v>23</v>
      </c>
      <c r="G1163" s="2" t="s">
        <v>5215</v>
      </c>
      <c r="H1163" s="3">
        <v>0</v>
      </c>
      <c r="I1163" s="2" t="s">
        <v>18</v>
      </c>
      <c r="J1163" s="2" t="s">
        <v>5216</v>
      </c>
      <c r="K1163" s="2" t="s">
        <v>23</v>
      </c>
      <c r="L1163" s="2" t="s">
        <v>5217</v>
      </c>
      <c r="M1163" s="6">
        <v>-81.150000000000006</v>
      </c>
      <c r="N1163" t="b">
        <f>OR(LEFT(B1163,3)="frg",(_xlfn.XMATCH(B1163,ZZZ_Part_Id_[[#All],[FGCODE]])))</f>
        <v>1</v>
      </c>
    </row>
    <row r="1164" spans="1:14" x14ac:dyDescent="0.3">
      <c r="A1164" s="2" t="s">
        <v>5218</v>
      </c>
      <c r="B1164" s="2" t="s">
        <v>1989</v>
      </c>
      <c r="C1164" s="2" t="s">
        <v>5219</v>
      </c>
      <c r="D1164" s="3">
        <v>53568</v>
      </c>
      <c r="E1164" s="3">
        <v>53568</v>
      </c>
      <c r="F1164" s="2" t="s">
        <v>16</v>
      </c>
      <c r="G1164" s="2" t="s">
        <v>5220</v>
      </c>
      <c r="H1164" s="3">
        <v>0</v>
      </c>
      <c r="I1164" s="2" t="s">
        <v>409</v>
      </c>
      <c r="J1164" s="2" t="s">
        <v>5221</v>
      </c>
      <c r="K1164" s="2" t="s">
        <v>16</v>
      </c>
      <c r="L1164" s="2" t="s">
        <v>5222</v>
      </c>
      <c r="M1164" s="4">
        <v>5145.75</v>
      </c>
      <c r="N1164" t="b">
        <f>OR(LEFT(B1164,3)="frg",(_xlfn.XMATCH(B1164,ZZZ_Part_Id_[[#All],[FGCODE]])))</f>
        <v>1</v>
      </c>
    </row>
    <row r="1165" spans="1:14" x14ac:dyDescent="0.3">
      <c r="A1165" s="2" t="s">
        <v>5223</v>
      </c>
      <c r="B1165" s="2" t="s">
        <v>59</v>
      </c>
      <c r="C1165" s="2" t="s">
        <v>5224</v>
      </c>
      <c r="D1165" s="3">
        <v>1269000</v>
      </c>
      <c r="E1165" s="3">
        <v>1269000</v>
      </c>
      <c r="F1165" s="2" t="s">
        <v>16</v>
      </c>
      <c r="G1165" s="2" t="s">
        <v>5225</v>
      </c>
      <c r="H1165" s="3">
        <v>0</v>
      </c>
      <c r="I1165" s="2" t="s">
        <v>18</v>
      </c>
      <c r="J1165" s="2" t="s">
        <v>5226</v>
      </c>
      <c r="K1165" s="2" t="s">
        <v>16</v>
      </c>
      <c r="L1165" s="2" t="s">
        <v>5227</v>
      </c>
      <c r="M1165" s="4">
        <v>54389.5</v>
      </c>
      <c r="N1165" t="b">
        <f>OR(LEFT(B1165,3)="frg",(_xlfn.XMATCH(B1165,ZZZ_Part_Id_[[#All],[FGCODE]])))</f>
        <v>1</v>
      </c>
    </row>
    <row r="1166" spans="1:14" x14ac:dyDescent="0.3">
      <c r="A1166" s="2" t="s">
        <v>5228</v>
      </c>
      <c r="B1166" s="2" t="s">
        <v>5229</v>
      </c>
      <c r="C1166" s="2" t="s">
        <v>5230</v>
      </c>
      <c r="D1166" s="3">
        <v>40000</v>
      </c>
      <c r="E1166" s="3">
        <v>40000</v>
      </c>
      <c r="F1166" s="2" t="s">
        <v>16</v>
      </c>
      <c r="G1166" s="2" t="s">
        <v>5231</v>
      </c>
      <c r="H1166" s="3">
        <v>0</v>
      </c>
      <c r="I1166" s="2" t="s">
        <v>5232</v>
      </c>
      <c r="J1166" s="2" t="s">
        <v>5233</v>
      </c>
      <c r="K1166" s="2" t="s">
        <v>16</v>
      </c>
      <c r="L1166" s="2" t="s">
        <v>5234</v>
      </c>
      <c r="M1166" s="4">
        <v>378</v>
      </c>
      <c r="N1166" t="b">
        <f>OR(LEFT(B1166,3)="frg",(_xlfn.XMATCH(B1166,ZZZ_Part_Id_[[#All],[FGCODE]])))</f>
        <v>1</v>
      </c>
    </row>
    <row r="1167" spans="1:14" x14ac:dyDescent="0.3">
      <c r="A1167" s="2" t="s">
        <v>5235</v>
      </c>
      <c r="B1167" s="2" t="s">
        <v>517</v>
      </c>
      <c r="C1167" s="2" t="s">
        <v>5236</v>
      </c>
      <c r="D1167" s="3">
        <v>493920</v>
      </c>
      <c r="E1167" s="3">
        <v>493920</v>
      </c>
      <c r="F1167" s="2" t="s">
        <v>16</v>
      </c>
      <c r="G1167" s="2" t="s">
        <v>5237</v>
      </c>
      <c r="H1167" s="3">
        <v>0</v>
      </c>
      <c r="I1167" s="2" t="s">
        <v>18</v>
      </c>
      <c r="J1167" s="2" t="s">
        <v>5238</v>
      </c>
      <c r="K1167" s="2" t="s">
        <v>16</v>
      </c>
      <c r="L1167" s="2" t="s">
        <v>5239</v>
      </c>
      <c r="M1167" s="4">
        <v>57462.79</v>
      </c>
      <c r="N1167" t="b">
        <f>OR(LEFT(B1167,3)="frg",(_xlfn.XMATCH(B1167,ZZZ_Part_Id_[[#All],[FGCODE]])))</f>
        <v>1</v>
      </c>
    </row>
    <row r="1168" spans="1:14" x14ac:dyDescent="0.3">
      <c r="A1168" s="2" t="s">
        <v>5240</v>
      </c>
      <c r="B1168" s="2" t="s">
        <v>5241</v>
      </c>
      <c r="C1168" s="2" t="s">
        <v>5242</v>
      </c>
      <c r="D1168" s="3">
        <v>19200</v>
      </c>
      <c r="E1168" s="3">
        <v>19200</v>
      </c>
      <c r="F1168" s="2" t="s">
        <v>16</v>
      </c>
      <c r="G1168" s="2" t="s">
        <v>5243</v>
      </c>
      <c r="H1168" s="3">
        <v>0</v>
      </c>
      <c r="I1168" s="2" t="s">
        <v>18</v>
      </c>
      <c r="J1168" s="2" t="s">
        <v>5244</v>
      </c>
      <c r="K1168" s="2" t="s">
        <v>16</v>
      </c>
      <c r="L1168" s="2" t="s">
        <v>5245</v>
      </c>
      <c r="M1168" s="4">
        <v>298.75</v>
      </c>
      <c r="N1168" t="b">
        <f>OR(LEFT(B1168,3)="frg",(_xlfn.XMATCH(B1168,ZZZ_Part_Id_[[#All],[FGCODE]])))</f>
        <v>1</v>
      </c>
    </row>
    <row r="1169" spans="1:14" x14ac:dyDescent="0.3">
      <c r="A1169" s="2" t="s">
        <v>5240</v>
      </c>
      <c r="B1169" s="2" t="s">
        <v>14</v>
      </c>
      <c r="C1169" s="2" t="s">
        <v>5246</v>
      </c>
      <c r="D1169" s="3">
        <v>1</v>
      </c>
      <c r="E1169" s="3">
        <v>1</v>
      </c>
      <c r="F1169" s="2" t="s">
        <v>16</v>
      </c>
      <c r="G1169" s="2" t="s">
        <v>5247</v>
      </c>
      <c r="H1169" s="3">
        <v>0</v>
      </c>
      <c r="I1169" s="2" t="s">
        <v>18</v>
      </c>
      <c r="J1169" s="2" t="s">
        <v>5248</v>
      </c>
      <c r="K1169" s="2" t="s">
        <v>16</v>
      </c>
      <c r="L1169" s="2" t="s">
        <v>5249</v>
      </c>
      <c r="M1169" s="4">
        <v>0.08</v>
      </c>
      <c r="N1169" t="e">
        <f>OR(LEFT(B1169,3)="frg",(_xlfn.XMATCH(B1169,ZZZ_Part_Id_[[#All],[FGCODE]])))</f>
        <v>#N/A</v>
      </c>
    </row>
    <row r="1170" spans="1:14" x14ac:dyDescent="0.3">
      <c r="A1170" s="2" t="s">
        <v>5240</v>
      </c>
      <c r="B1170" s="2" t="s">
        <v>140</v>
      </c>
      <c r="C1170" s="2" t="s">
        <v>5250</v>
      </c>
      <c r="D1170" s="3">
        <v>0.04</v>
      </c>
      <c r="E1170" s="3">
        <v>0.04</v>
      </c>
      <c r="F1170" s="2" t="s">
        <v>16</v>
      </c>
      <c r="G1170" s="2" t="s">
        <v>5251</v>
      </c>
      <c r="H1170" s="3">
        <v>0</v>
      </c>
      <c r="I1170" s="2" t="s">
        <v>18</v>
      </c>
      <c r="J1170" s="2" t="s">
        <v>5252</v>
      </c>
      <c r="K1170" s="2" t="s">
        <v>16</v>
      </c>
      <c r="L1170" s="2" t="s">
        <v>5253</v>
      </c>
      <c r="M1170" s="4">
        <v>7.0000000000000007E-2</v>
      </c>
      <c r="N1170" t="e">
        <f>OR(LEFT(B1170,3)="frg",(_xlfn.XMATCH(B1170,ZZZ_Part_Id_[[#All],[FGCODE]])))</f>
        <v>#N/A</v>
      </c>
    </row>
    <row r="1171" spans="1:14" x14ac:dyDescent="0.3">
      <c r="A1171" s="2" t="s">
        <v>5240</v>
      </c>
      <c r="B1171" s="2" t="s">
        <v>192</v>
      </c>
      <c r="C1171" s="2" t="s">
        <v>5254</v>
      </c>
      <c r="D1171" s="3">
        <v>0.01</v>
      </c>
      <c r="E1171" s="3">
        <v>0.01</v>
      </c>
      <c r="F1171" s="2" t="s">
        <v>194</v>
      </c>
      <c r="G1171" s="2" t="s">
        <v>5255</v>
      </c>
      <c r="H1171" s="3">
        <v>0</v>
      </c>
      <c r="I1171" s="2" t="s">
        <v>18</v>
      </c>
      <c r="J1171" s="2" t="s">
        <v>5256</v>
      </c>
      <c r="K1171" s="2" t="s">
        <v>194</v>
      </c>
      <c r="L1171" s="2" t="s">
        <v>5257</v>
      </c>
      <c r="M1171" s="4">
        <v>0.05</v>
      </c>
      <c r="N1171" t="e">
        <f>OR(LEFT(B1171,3)="frg",(_xlfn.XMATCH(B1171,ZZZ_Part_Id_[[#All],[FGCODE]])))</f>
        <v>#N/A</v>
      </c>
    </row>
    <row r="1172" spans="1:14" x14ac:dyDescent="0.3">
      <c r="A1172" s="2" t="s">
        <v>5240</v>
      </c>
      <c r="B1172" s="2" t="s">
        <v>145</v>
      </c>
      <c r="C1172" s="2" t="s">
        <v>5258</v>
      </c>
      <c r="D1172" s="3">
        <v>4.0000000000000001E-3</v>
      </c>
      <c r="E1172" s="3">
        <v>4.0000000000000001E-3</v>
      </c>
      <c r="F1172" s="2" t="s">
        <v>147</v>
      </c>
      <c r="G1172" s="2" t="s">
        <v>5259</v>
      </c>
      <c r="H1172" s="3">
        <v>0</v>
      </c>
      <c r="I1172" s="2" t="s">
        <v>18</v>
      </c>
      <c r="J1172" s="2" t="s">
        <v>5260</v>
      </c>
      <c r="K1172" s="2" t="s">
        <v>147</v>
      </c>
      <c r="L1172" s="2" t="s">
        <v>5261</v>
      </c>
      <c r="M1172" s="4">
        <v>0.63</v>
      </c>
      <c r="N1172" t="e">
        <f>OR(LEFT(B1172,3)="frg",(_xlfn.XMATCH(B1172,ZZZ_Part_Id_[[#All],[FGCODE]])))</f>
        <v>#N/A</v>
      </c>
    </row>
    <row r="1173" spans="1:14" x14ac:dyDescent="0.3">
      <c r="A1173" s="2" t="s">
        <v>5262</v>
      </c>
      <c r="B1173" s="2" t="s">
        <v>1093</v>
      </c>
      <c r="C1173" s="2" t="s">
        <v>5263</v>
      </c>
      <c r="D1173" s="3">
        <v>1983600</v>
      </c>
      <c r="E1173" s="3">
        <v>1983600</v>
      </c>
      <c r="F1173" s="2" t="s">
        <v>16</v>
      </c>
      <c r="G1173" s="2" t="s">
        <v>5264</v>
      </c>
      <c r="H1173" s="3">
        <v>0</v>
      </c>
      <c r="I1173" s="2" t="s">
        <v>409</v>
      </c>
      <c r="J1173" s="2" t="s">
        <v>5265</v>
      </c>
      <c r="K1173" s="2" t="s">
        <v>16</v>
      </c>
      <c r="L1173" s="2" t="s">
        <v>5266</v>
      </c>
      <c r="M1173" s="4">
        <v>108146.1</v>
      </c>
      <c r="N1173" t="b">
        <f>OR(LEFT(B1173,3)="frg",(_xlfn.XMATCH(B1173,ZZZ_Part_Id_[[#All],[FGCODE]])))</f>
        <v>1</v>
      </c>
    </row>
    <row r="1174" spans="1:14" x14ac:dyDescent="0.3">
      <c r="A1174" s="2" t="s">
        <v>5262</v>
      </c>
      <c r="B1174" s="2" t="s">
        <v>65</v>
      </c>
      <c r="C1174" s="2" t="s">
        <v>5267</v>
      </c>
      <c r="D1174" s="5">
        <v>-261</v>
      </c>
      <c r="E1174" s="5">
        <v>-261</v>
      </c>
      <c r="F1174" s="2" t="s">
        <v>23</v>
      </c>
      <c r="G1174" s="2" t="s">
        <v>5268</v>
      </c>
      <c r="H1174" s="3">
        <v>0</v>
      </c>
      <c r="I1174" s="2" t="s">
        <v>409</v>
      </c>
      <c r="J1174" s="2" t="s">
        <v>5269</v>
      </c>
      <c r="K1174" s="2" t="s">
        <v>23</v>
      </c>
      <c r="L1174" s="2" t="s">
        <v>5270</v>
      </c>
      <c r="M1174" s="6">
        <v>-671.19</v>
      </c>
      <c r="N1174" t="b">
        <f>OR(LEFT(B1174,3)="frg",(_xlfn.XMATCH(B1174,ZZZ_Part_Id_[[#All],[FGCODE]])))</f>
        <v>1</v>
      </c>
    </row>
    <row r="1175" spans="1:14" x14ac:dyDescent="0.3">
      <c r="A1175" s="2" t="s">
        <v>5271</v>
      </c>
      <c r="B1175" s="2" t="s">
        <v>115</v>
      </c>
      <c r="C1175" s="2" t="s">
        <v>5272</v>
      </c>
      <c r="D1175" s="3">
        <v>81900</v>
      </c>
      <c r="E1175" s="3">
        <v>81900</v>
      </c>
      <c r="F1175" s="2" t="s">
        <v>16</v>
      </c>
      <c r="G1175" s="2" t="s">
        <v>5273</v>
      </c>
      <c r="H1175" s="3">
        <v>0</v>
      </c>
      <c r="I1175" s="2" t="s">
        <v>18</v>
      </c>
      <c r="J1175" s="2" t="s">
        <v>5274</v>
      </c>
      <c r="K1175" s="2" t="s">
        <v>16</v>
      </c>
      <c r="L1175" s="2" t="s">
        <v>5275</v>
      </c>
      <c r="M1175" s="4">
        <v>11248.15</v>
      </c>
      <c r="N1175" t="b">
        <f>OR(LEFT(B1175,3)="frg",(_xlfn.XMATCH(B1175,ZZZ_Part_Id_[[#All],[FGCODE]])))</f>
        <v>1</v>
      </c>
    </row>
    <row r="1176" spans="1:14" x14ac:dyDescent="0.3">
      <c r="A1176" s="2" t="s">
        <v>5276</v>
      </c>
      <c r="B1176" s="2" t="s">
        <v>797</v>
      </c>
      <c r="C1176" s="2" t="s">
        <v>5277</v>
      </c>
      <c r="D1176" s="3">
        <v>149400</v>
      </c>
      <c r="E1176" s="3">
        <v>149400</v>
      </c>
      <c r="F1176" s="2" t="s">
        <v>16</v>
      </c>
      <c r="G1176" s="2" t="s">
        <v>5278</v>
      </c>
      <c r="H1176" s="3">
        <v>0</v>
      </c>
      <c r="I1176" s="2" t="s">
        <v>409</v>
      </c>
      <c r="J1176" s="2" t="s">
        <v>5279</v>
      </c>
      <c r="K1176" s="2" t="s">
        <v>16</v>
      </c>
      <c r="L1176" s="2" t="s">
        <v>5280</v>
      </c>
      <c r="M1176" s="4">
        <v>5327.6</v>
      </c>
      <c r="N1176" t="b">
        <f>OR(LEFT(B1176,3)="frg",(_xlfn.XMATCH(B1176,ZZZ_Part_Id_[[#All],[FGCODE]])))</f>
        <v>1</v>
      </c>
    </row>
    <row r="1177" spans="1:14" x14ac:dyDescent="0.3">
      <c r="A1177" s="2" t="s">
        <v>5281</v>
      </c>
      <c r="B1177" s="2" t="s">
        <v>59</v>
      </c>
      <c r="C1177" s="2" t="s">
        <v>5282</v>
      </c>
      <c r="D1177" s="3">
        <v>2233440</v>
      </c>
      <c r="E1177" s="3">
        <v>2233440</v>
      </c>
      <c r="F1177" s="2" t="s">
        <v>16</v>
      </c>
      <c r="G1177" s="2" t="s">
        <v>5283</v>
      </c>
      <c r="H1177" s="3">
        <v>0</v>
      </c>
      <c r="I1177" s="2" t="s">
        <v>409</v>
      </c>
      <c r="J1177" s="2" t="s">
        <v>5284</v>
      </c>
      <c r="K1177" s="2" t="s">
        <v>16</v>
      </c>
      <c r="L1177" s="2" t="s">
        <v>5285</v>
      </c>
      <c r="M1177" s="4">
        <v>95725.52</v>
      </c>
      <c r="N1177" t="b">
        <f>OR(LEFT(B1177,3)="frg",(_xlfn.XMATCH(B1177,ZZZ_Part_Id_[[#All],[FGCODE]])))</f>
        <v>1</v>
      </c>
    </row>
    <row r="1178" spans="1:14" x14ac:dyDescent="0.3">
      <c r="A1178" s="2" t="s">
        <v>5281</v>
      </c>
      <c r="B1178" s="2" t="s">
        <v>86</v>
      </c>
      <c r="C1178" s="2" t="s">
        <v>5286</v>
      </c>
      <c r="D1178" s="5">
        <v>-246</v>
      </c>
      <c r="E1178" s="5">
        <v>-246</v>
      </c>
      <c r="F1178" s="2" t="s">
        <v>23</v>
      </c>
      <c r="G1178" s="2" t="s">
        <v>5287</v>
      </c>
      <c r="H1178" s="3">
        <v>0</v>
      </c>
      <c r="I1178" s="2" t="s">
        <v>409</v>
      </c>
      <c r="J1178" s="2" t="s">
        <v>5288</v>
      </c>
      <c r="K1178" s="2" t="s">
        <v>23</v>
      </c>
      <c r="L1178" s="2" t="s">
        <v>5289</v>
      </c>
      <c r="M1178" s="6">
        <v>-643.98</v>
      </c>
      <c r="N1178" t="b">
        <f>OR(LEFT(B1178,3)="frg",(_xlfn.XMATCH(B1178,ZZZ_Part_Id_[[#All],[FGCODE]])))</f>
        <v>1</v>
      </c>
    </row>
    <row r="1179" spans="1:14" x14ac:dyDescent="0.3">
      <c r="A1179" s="2" t="s">
        <v>5290</v>
      </c>
      <c r="B1179" s="2" t="s">
        <v>1989</v>
      </c>
      <c r="C1179" s="2" t="s">
        <v>5291</v>
      </c>
      <c r="D1179" s="3">
        <v>35712</v>
      </c>
      <c r="E1179" s="3">
        <v>35712</v>
      </c>
      <c r="F1179" s="2" t="s">
        <v>16</v>
      </c>
      <c r="G1179" s="2" t="s">
        <v>5292</v>
      </c>
      <c r="H1179" s="3">
        <v>0</v>
      </c>
      <c r="I1179" s="2" t="s">
        <v>409</v>
      </c>
      <c r="J1179" s="2" t="s">
        <v>5293</v>
      </c>
      <c r="K1179" s="2" t="s">
        <v>16</v>
      </c>
      <c r="L1179" s="2" t="s">
        <v>5294</v>
      </c>
      <c r="M1179" s="4">
        <v>3430.5</v>
      </c>
      <c r="N1179" t="b">
        <f>OR(LEFT(B1179,3)="frg",(_xlfn.XMATCH(B1179,ZZZ_Part_Id_[[#All],[FGCODE]])))</f>
        <v>1</v>
      </c>
    </row>
    <row r="1180" spans="1:14" x14ac:dyDescent="0.3">
      <c r="A1180" s="2" t="s">
        <v>5295</v>
      </c>
      <c r="B1180" s="2" t="s">
        <v>59</v>
      </c>
      <c r="C1180" s="2" t="s">
        <v>5296</v>
      </c>
      <c r="D1180" s="3">
        <v>2106540</v>
      </c>
      <c r="E1180" s="3">
        <v>2106540</v>
      </c>
      <c r="F1180" s="2" t="s">
        <v>16</v>
      </c>
      <c r="G1180" s="2" t="s">
        <v>5297</v>
      </c>
      <c r="H1180" s="3">
        <v>0</v>
      </c>
      <c r="I1180" s="2" t="s">
        <v>18</v>
      </c>
      <c r="J1180" s="2" t="s">
        <v>5298</v>
      </c>
      <c r="K1180" s="2" t="s">
        <v>16</v>
      </c>
      <c r="L1180" s="2" t="s">
        <v>5299</v>
      </c>
      <c r="M1180" s="4">
        <v>90286.57</v>
      </c>
      <c r="N1180" t="b">
        <f>OR(LEFT(B1180,3)="frg",(_xlfn.XMATCH(B1180,ZZZ_Part_Id_[[#All],[FGCODE]])))</f>
        <v>1</v>
      </c>
    </row>
    <row r="1181" spans="1:14" x14ac:dyDescent="0.3">
      <c r="A1181" s="2" t="s">
        <v>5300</v>
      </c>
      <c r="B1181" s="2" t="s">
        <v>1093</v>
      </c>
      <c r="C1181" s="2" t="s">
        <v>5301</v>
      </c>
      <c r="D1181" s="3">
        <v>2004480</v>
      </c>
      <c r="E1181" s="3">
        <v>2004480</v>
      </c>
      <c r="F1181" s="2" t="s">
        <v>16</v>
      </c>
      <c r="G1181" s="2" t="s">
        <v>5302</v>
      </c>
      <c r="H1181" s="3">
        <v>0</v>
      </c>
      <c r="I1181" s="2" t="s">
        <v>18</v>
      </c>
      <c r="J1181" s="2" t="s">
        <v>5303</v>
      </c>
      <c r="K1181" s="2" t="s">
        <v>16</v>
      </c>
      <c r="L1181" s="2" t="s">
        <v>5304</v>
      </c>
      <c r="M1181" s="4">
        <v>109284.48</v>
      </c>
      <c r="N1181" t="b">
        <f>OR(LEFT(B1181,3)="frg",(_xlfn.XMATCH(B1181,ZZZ_Part_Id_[[#All],[FGCODE]])))</f>
        <v>1</v>
      </c>
    </row>
    <row r="1182" spans="1:14" x14ac:dyDescent="0.3">
      <c r="A1182" s="2" t="s">
        <v>5305</v>
      </c>
      <c r="B1182" s="2" t="s">
        <v>396</v>
      </c>
      <c r="C1182" s="2" t="s">
        <v>5306</v>
      </c>
      <c r="D1182" s="3">
        <v>47500</v>
      </c>
      <c r="E1182" s="3">
        <v>47500</v>
      </c>
      <c r="F1182" s="2" t="s">
        <v>16</v>
      </c>
      <c r="G1182" s="2" t="s">
        <v>5307</v>
      </c>
      <c r="H1182" s="3">
        <v>0</v>
      </c>
      <c r="I1182" s="2" t="s">
        <v>409</v>
      </c>
      <c r="J1182" s="2" t="s">
        <v>5308</v>
      </c>
      <c r="K1182" s="2" t="s">
        <v>16</v>
      </c>
      <c r="L1182" s="2" t="s">
        <v>5309</v>
      </c>
      <c r="M1182" s="4">
        <v>1726.15</v>
      </c>
      <c r="N1182" t="b">
        <f>OR(LEFT(B1182,3)="frg",(_xlfn.XMATCH(B1182,ZZZ_Part_Id_[[#All],[FGCODE]])))</f>
        <v>1</v>
      </c>
    </row>
    <row r="1183" spans="1:14" x14ac:dyDescent="0.3">
      <c r="A1183" s="2" t="s">
        <v>5305</v>
      </c>
      <c r="B1183" s="2" t="s">
        <v>65</v>
      </c>
      <c r="C1183" s="2" t="s">
        <v>5310</v>
      </c>
      <c r="D1183" s="5">
        <v>-170</v>
      </c>
      <c r="E1183" s="5">
        <v>-170</v>
      </c>
      <c r="F1183" s="2" t="s">
        <v>23</v>
      </c>
      <c r="G1183" s="2" t="s">
        <v>5311</v>
      </c>
      <c r="H1183" s="3">
        <v>0</v>
      </c>
      <c r="I1183" s="2" t="s">
        <v>409</v>
      </c>
      <c r="J1183" s="2" t="s">
        <v>5312</v>
      </c>
      <c r="K1183" s="2" t="s">
        <v>23</v>
      </c>
      <c r="L1183" s="2" t="s">
        <v>5313</v>
      </c>
      <c r="M1183" s="6">
        <v>-437.17</v>
      </c>
      <c r="N1183" t="b">
        <f>OR(LEFT(B1183,3)="frg",(_xlfn.XMATCH(B1183,ZZZ_Part_Id_[[#All],[FGCODE]])))</f>
        <v>1</v>
      </c>
    </row>
    <row r="1184" spans="1:14" x14ac:dyDescent="0.3">
      <c r="A1184" s="2" t="s">
        <v>5314</v>
      </c>
      <c r="B1184" s="2" t="s">
        <v>4511</v>
      </c>
      <c r="C1184" s="2" t="s">
        <v>5315</v>
      </c>
      <c r="D1184" s="3">
        <v>93040</v>
      </c>
      <c r="E1184" s="3">
        <v>93040</v>
      </c>
      <c r="F1184" s="2" t="s">
        <v>16</v>
      </c>
      <c r="G1184" s="2" t="s">
        <v>5316</v>
      </c>
      <c r="H1184" s="3">
        <v>0</v>
      </c>
      <c r="I1184" s="2" t="s">
        <v>18</v>
      </c>
      <c r="J1184" s="2" t="s">
        <v>5317</v>
      </c>
      <c r="K1184" s="2" t="s">
        <v>16</v>
      </c>
      <c r="L1184" s="2" t="s">
        <v>5318</v>
      </c>
      <c r="M1184" s="4">
        <v>3435.97</v>
      </c>
      <c r="N1184" t="b">
        <f>OR(LEFT(B1184,3)="frg",(_xlfn.XMATCH(B1184,ZZZ_Part_Id_[[#All],[FGCODE]])))</f>
        <v>1</v>
      </c>
    </row>
    <row r="1185" spans="1:14" x14ac:dyDescent="0.3">
      <c r="A1185" s="2" t="s">
        <v>5314</v>
      </c>
      <c r="B1185" s="2" t="s">
        <v>86</v>
      </c>
      <c r="C1185" s="2" t="s">
        <v>5319</v>
      </c>
      <c r="D1185" s="5">
        <v>-26</v>
      </c>
      <c r="E1185" s="5">
        <v>-26</v>
      </c>
      <c r="F1185" s="2" t="s">
        <v>23</v>
      </c>
      <c r="G1185" s="2" t="s">
        <v>5320</v>
      </c>
      <c r="H1185" s="3">
        <v>0</v>
      </c>
      <c r="I1185" s="2" t="s">
        <v>18</v>
      </c>
      <c r="J1185" s="2" t="s">
        <v>5321</v>
      </c>
      <c r="K1185" s="2" t="s">
        <v>23</v>
      </c>
      <c r="L1185" s="2" t="s">
        <v>5322</v>
      </c>
      <c r="M1185" s="6">
        <v>-68.06</v>
      </c>
      <c r="N1185" t="b">
        <f>OR(LEFT(B1185,3)="frg",(_xlfn.XMATCH(B1185,ZZZ_Part_Id_[[#All],[FGCODE]])))</f>
        <v>1</v>
      </c>
    </row>
    <row r="1186" spans="1:14" x14ac:dyDescent="0.3">
      <c r="A1186" s="2" t="s">
        <v>5323</v>
      </c>
      <c r="B1186" s="2" t="s">
        <v>2238</v>
      </c>
      <c r="C1186" s="2" t="s">
        <v>5324</v>
      </c>
      <c r="D1186" s="3">
        <v>96000</v>
      </c>
      <c r="E1186" s="3">
        <v>96000</v>
      </c>
      <c r="F1186" s="2" t="s">
        <v>16</v>
      </c>
      <c r="G1186" s="2" t="s">
        <v>5325</v>
      </c>
      <c r="H1186" s="3">
        <v>0</v>
      </c>
      <c r="I1186" s="2" t="s">
        <v>409</v>
      </c>
      <c r="J1186" s="2" t="s">
        <v>5326</v>
      </c>
      <c r="K1186" s="2" t="s">
        <v>16</v>
      </c>
      <c r="L1186" s="2" t="s">
        <v>5327</v>
      </c>
      <c r="M1186" s="4">
        <v>1536.95</v>
      </c>
      <c r="N1186" t="b">
        <f>OR(LEFT(B1186,3)="frg",(_xlfn.XMATCH(B1186,ZZZ_Part_Id_[[#All],[FGCODE]])))</f>
        <v>1</v>
      </c>
    </row>
    <row r="1187" spans="1:14" x14ac:dyDescent="0.3">
      <c r="A1187" s="2" t="s">
        <v>5328</v>
      </c>
      <c r="B1187" s="2" t="s">
        <v>3759</v>
      </c>
      <c r="C1187" s="2" t="s">
        <v>5329</v>
      </c>
      <c r="D1187" s="3">
        <v>29880</v>
      </c>
      <c r="E1187" s="3">
        <v>29880</v>
      </c>
      <c r="F1187" s="2" t="s">
        <v>16</v>
      </c>
      <c r="G1187" s="2" t="s">
        <v>5330</v>
      </c>
      <c r="H1187" s="3">
        <v>0</v>
      </c>
      <c r="I1187" s="2" t="s">
        <v>409</v>
      </c>
      <c r="J1187" s="2" t="s">
        <v>5331</v>
      </c>
      <c r="K1187" s="2" t="s">
        <v>16</v>
      </c>
      <c r="L1187" s="2" t="s">
        <v>5332</v>
      </c>
      <c r="M1187" s="4">
        <v>1090.92</v>
      </c>
      <c r="N1187" t="b">
        <f>OR(LEFT(B1187,3)="frg",(_xlfn.XMATCH(B1187,ZZZ_Part_Id_[[#All],[FGCODE]])))</f>
        <v>1</v>
      </c>
    </row>
    <row r="1188" spans="1:14" x14ac:dyDescent="0.3">
      <c r="A1188" s="2" t="s">
        <v>5333</v>
      </c>
      <c r="B1188" s="2" t="s">
        <v>797</v>
      </c>
      <c r="C1188" s="2" t="s">
        <v>5334</v>
      </c>
      <c r="D1188" s="3">
        <v>29880</v>
      </c>
      <c r="E1188" s="3">
        <v>29880</v>
      </c>
      <c r="F1188" s="2" t="s">
        <v>16</v>
      </c>
      <c r="G1188" s="2" t="s">
        <v>5335</v>
      </c>
      <c r="H1188" s="3">
        <v>0</v>
      </c>
      <c r="I1188" s="2" t="s">
        <v>409</v>
      </c>
      <c r="J1188" s="2" t="s">
        <v>5336</v>
      </c>
      <c r="K1188" s="2" t="s">
        <v>16</v>
      </c>
      <c r="L1188" s="2" t="s">
        <v>5337</v>
      </c>
      <c r="M1188" s="4">
        <v>1065.52</v>
      </c>
      <c r="N1188" t="b">
        <f>OR(LEFT(B1188,3)="frg",(_xlfn.XMATCH(B1188,ZZZ_Part_Id_[[#All],[FGCODE]])))</f>
        <v>1</v>
      </c>
    </row>
    <row r="1189" spans="1:14" x14ac:dyDescent="0.3">
      <c r="A1189" s="2" t="s">
        <v>5338</v>
      </c>
      <c r="B1189" s="2" t="s">
        <v>14</v>
      </c>
      <c r="C1189" s="2" t="s">
        <v>5339</v>
      </c>
      <c r="D1189" s="3">
        <v>48</v>
      </c>
      <c r="E1189" s="3">
        <v>48</v>
      </c>
      <c r="F1189" s="2" t="s">
        <v>16</v>
      </c>
      <c r="G1189" s="2" t="s">
        <v>5340</v>
      </c>
      <c r="H1189" s="3">
        <v>0</v>
      </c>
      <c r="I1189" s="2" t="s">
        <v>18</v>
      </c>
      <c r="J1189" s="2" t="s">
        <v>5341</v>
      </c>
      <c r="K1189" s="2" t="s">
        <v>16</v>
      </c>
      <c r="L1189" s="2" t="s">
        <v>5342</v>
      </c>
      <c r="M1189" s="4">
        <v>3.69</v>
      </c>
      <c r="N1189" t="e">
        <f>OR(LEFT(B1189,3)="frg",(_xlfn.XMATCH(B1189,ZZZ_Part_Id_[[#All],[FGCODE]])))</f>
        <v>#N/A</v>
      </c>
    </row>
    <row r="1190" spans="1:14" x14ac:dyDescent="0.3">
      <c r="A1190" s="2" t="s">
        <v>5338</v>
      </c>
      <c r="B1190" s="2" t="s">
        <v>264</v>
      </c>
      <c r="C1190" s="2" t="s">
        <v>5343</v>
      </c>
      <c r="D1190" s="3">
        <v>4.8000000000000001E-2</v>
      </c>
      <c r="E1190" s="3">
        <v>4.8000000000000001E-2</v>
      </c>
      <c r="F1190" s="2" t="s">
        <v>16</v>
      </c>
      <c r="G1190" s="2" t="s">
        <v>5344</v>
      </c>
      <c r="H1190" s="3">
        <v>0</v>
      </c>
      <c r="I1190" s="2" t="s">
        <v>18</v>
      </c>
      <c r="J1190" s="2" t="s">
        <v>5345</v>
      </c>
      <c r="K1190" s="2" t="s">
        <v>16</v>
      </c>
      <c r="L1190" s="2" t="s">
        <v>5346</v>
      </c>
      <c r="M1190" s="4">
        <v>1.46</v>
      </c>
      <c r="N1190" t="e">
        <f>OR(LEFT(B1190,3)="frg",(_xlfn.XMATCH(B1190,ZZZ_Part_Id_[[#All],[FGCODE]])))</f>
        <v>#N/A</v>
      </c>
    </row>
    <row r="1191" spans="1:14" x14ac:dyDescent="0.3">
      <c r="A1191" s="2" t="s">
        <v>5338</v>
      </c>
      <c r="B1191" s="2" t="s">
        <v>5347</v>
      </c>
      <c r="C1191" s="2" t="s">
        <v>5348</v>
      </c>
      <c r="D1191" s="3">
        <v>317952</v>
      </c>
      <c r="E1191" s="3">
        <v>317952</v>
      </c>
      <c r="F1191" s="2" t="s">
        <v>16</v>
      </c>
      <c r="G1191" s="2" t="s">
        <v>5349</v>
      </c>
      <c r="H1191" s="3">
        <v>0</v>
      </c>
      <c r="I1191" s="2" t="s">
        <v>18</v>
      </c>
      <c r="J1191" s="2" t="s">
        <v>5350</v>
      </c>
      <c r="K1191" s="2" t="s">
        <v>16</v>
      </c>
      <c r="L1191" s="2" t="s">
        <v>5351</v>
      </c>
      <c r="M1191" s="4">
        <v>93312.48</v>
      </c>
      <c r="N1191" t="b">
        <f>OR(LEFT(B1191,3)="frg",(_xlfn.XMATCH(B1191,ZZZ_Part_Id_[[#All],[FGCODE]])))</f>
        <v>1</v>
      </c>
    </row>
    <row r="1192" spans="1:14" x14ac:dyDescent="0.3">
      <c r="A1192" s="2" t="s">
        <v>5352</v>
      </c>
      <c r="B1192" s="2" t="s">
        <v>5347</v>
      </c>
      <c r="C1192" s="2" t="s">
        <v>5353</v>
      </c>
      <c r="D1192" s="3">
        <v>443808</v>
      </c>
      <c r="E1192" s="3">
        <v>0</v>
      </c>
      <c r="F1192" s="2" t="s">
        <v>16</v>
      </c>
      <c r="G1192" s="2" t="s">
        <v>5354</v>
      </c>
      <c r="H1192" s="3">
        <v>0</v>
      </c>
      <c r="I1192" s="2" t="s">
        <v>409</v>
      </c>
      <c r="J1192" s="2" t="s">
        <v>5355</v>
      </c>
      <c r="K1192" s="2" t="s">
        <v>16</v>
      </c>
      <c r="L1192" s="2" t="s">
        <v>5356</v>
      </c>
      <c r="M1192" s="4">
        <v>0</v>
      </c>
      <c r="N1192" t="b">
        <f>OR(LEFT(B1192,3)="frg",(_xlfn.XMATCH(B1192,ZZZ_Part_Id_[[#All],[FGCODE]])))</f>
        <v>1</v>
      </c>
    </row>
    <row r="1193" spans="1:14" x14ac:dyDescent="0.3">
      <c r="A1193" s="2" t="s">
        <v>5352</v>
      </c>
      <c r="B1193" s="2" t="s">
        <v>5357</v>
      </c>
      <c r="C1193" s="2" t="s">
        <v>5358</v>
      </c>
      <c r="D1193" s="3">
        <v>443808</v>
      </c>
      <c r="E1193" s="3">
        <v>443808</v>
      </c>
      <c r="F1193" s="2" t="s">
        <v>16</v>
      </c>
      <c r="G1193" s="2" t="s">
        <v>131</v>
      </c>
      <c r="H1193" s="3">
        <v>0</v>
      </c>
      <c r="I1193" s="2" t="s">
        <v>409</v>
      </c>
      <c r="J1193" s="2" t="s">
        <v>5359</v>
      </c>
      <c r="K1193" s="2" t="s">
        <v>16</v>
      </c>
      <c r="L1193" s="2" t="s">
        <v>5360</v>
      </c>
      <c r="M1193" s="4">
        <v>131864.04</v>
      </c>
      <c r="N1193" t="b">
        <f>OR(LEFT(B1193,3)="frg",(_xlfn.XMATCH(B1193,ZZZ_Part_Id_[[#All],[FGCODE]])))</f>
        <v>1</v>
      </c>
    </row>
    <row r="1194" spans="1:14" x14ac:dyDescent="0.3">
      <c r="A1194" s="2" t="s">
        <v>5361</v>
      </c>
      <c r="B1194" s="2" t="s">
        <v>97</v>
      </c>
      <c r="C1194" s="2" t="s">
        <v>5362</v>
      </c>
      <c r="D1194" s="3">
        <v>134400</v>
      </c>
      <c r="E1194" s="3">
        <v>134400</v>
      </c>
      <c r="F1194" s="2" t="s">
        <v>16</v>
      </c>
      <c r="G1194" s="2" t="s">
        <v>5363</v>
      </c>
      <c r="H1194" s="3">
        <v>0</v>
      </c>
      <c r="I1194" s="2" t="s">
        <v>409</v>
      </c>
      <c r="J1194" s="2" t="s">
        <v>5364</v>
      </c>
      <c r="K1194" s="2" t="s">
        <v>16</v>
      </c>
      <c r="L1194" s="2" t="s">
        <v>5365</v>
      </c>
      <c r="M1194" s="4">
        <v>46058.879999999997</v>
      </c>
      <c r="N1194" t="b">
        <f>OR(LEFT(B1194,3)="frg",(_xlfn.XMATCH(B1194,ZZZ_Part_Id_[[#All],[FGCODE]])))</f>
        <v>1</v>
      </c>
    </row>
    <row r="1195" spans="1:14" x14ac:dyDescent="0.3">
      <c r="A1195" s="2" t="s">
        <v>5366</v>
      </c>
      <c r="B1195" s="2" t="s">
        <v>4988</v>
      </c>
      <c r="C1195" s="2" t="s">
        <v>5367</v>
      </c>
      <c r="D1195" s="3">
        <v>20160</v>
      </c>
      <c r="E1195" s="3">
        <v>20160</v>
      </c>
      <c r="F1195" s="2" t="s">
        <v>16</v>
      </c>
      <c r="G1195" s="2" t="s">
        <v>5368</v>
      </c>
      <c r="H1195" s="3">
        <v>0</v>
      </c>
      <c r="I1195" s="2" t="s">
        <v>18</v>
      </c>
      <c r="J1195" s="2" t="s">
        <v>5369</v>
      </c>
      <c r="K1195" s="2" t="s">
        <v>16</v>
      </c>
      <c r="L1195" s="2" t="s">
        <v>5370</v>
      </c>
      <c r="M1195" s="4">
        <v>2806.88</v>
      </c>
      <c r="N1195" t="b">
        <f>OR(LEFT(B1195,3)="frg",(_xlfn.XMATCH(B1195,ZZZ_Part_Id_[[#All],[FGCODE]])))</f>
        <v>1</v>
      </c>
    </row>
    <row r="1196" spans="1:14" x14ac:dyDescent="0.3">
      <c r="A1196" s="2" t="s">
        <v>5371</v>
      </c>
      <c r="B1196" s="2" t="s">
        <v>2840</v>
      </c>
      <c r="C1196" s="2" t="s">
        <v>5372</v>
      </c>
      <c r="D1196" s="3">
        <v>10080</v>
      </c>
      <c r="E1196" s="3">
        <v>10080</v>
      </c>
      <c r="F1196" s="2" t="s">
        <v>16</v>
      </c>
      <c r="G1196" s="2" t="s">
        <v>5373</v>
      </c>
      <c r="H1196" s="3">
        <v>0</v>
      </c>
      <c r="I1196" s="2" t="s">
        <v>18</v>
      </c>
      <c r="J1196" s="2" t="s">
        <v>5374</v>
      </c>
      <c r="K1196" s="2" t="s">
        <v>16</v>
      </c>
      <c r="L1196" s="2" t="s">
        <v>5375</v>
      </c>
      <c r="M1196" s="4">
        <v>1191.1500000000001</v>
      </c>
      <c r="N1196" t="b">
        <f>OR(LEFT(B1196,3)="frg",(_xlfn.XMATCH(B1196,ZZZ_Part_Id_[[#All],[FGCODE]])))</f>
        <v>1</v>
      </c>
    </row>
    <row r="1197" spans="1:14" x14ac:dyDescent="0.3">
      <c r="A1197" s="2" t="s">
        <v>5376</v>
      </c>
      <c r="B1197" s="2" t="s">
        <v>5347</v>
      </c>
      <c r="C1197" s="2" t="s">
        <v>5377</v>
      </c>
      <c r="D1197" s="3">
        <v>46368</v>
      </c>
      <c r="E1197" s="3">
        <v>46368</v>
      </c>
      <c r="F1197" s="2" t="s">
        <v>16</v>
      </c>
      <c r="G1197" s="2" t="s">
        <v>5378</v>
      </c>
      <c r="H1197" s="3">
        <v>0</v>
      </c>
      <c r="I1197" s="2" t="s">
        <v>18</v>
      </c>
      <c r="J1197" s="2" t="s">
        <v>5379</v>
      </c>
      <c r="K1197" s="2" t="s">
        <v>16</v>
      </c>
      <c r="L1197" s="2" t="s">
        <v>5380</v>
      </c>
      <c r="M1197" s="4">
        <v>13608.07</v>
      </c>
      <c r="N1197" t="b">
        <f>OR(LEFT(B1197,3)="frg",(_xlfn.XMATCH(B1197,ZZZ_Part_Id_[[#All],[FGCODE]])))</f>
        <v>1</v>
      </c>
    </row>
    <row r="1198" spans="1:14" x14ac:dyDescent="0.3">
      <c r="A1198" s="2" t="s">
        <v>5376</v>
      </c>
      <c r="B1198" s="2" t="s">
        <v>65</v>
      </c>
      <c r="C1198" s="2" t="s">
        <v>5381</v>
      </c>
      <c r="D1198" s="5">
        <v>-298</v>
      </c>
      <c r="E1198" s="5">
        <v>-298</v>
      </c>
      <c r="F1198" s="2" t="s">
        <v>23</v>
      </c>
      <c r="G1198" s="2" t="s">
        <v>5382</v>
      </c>
      <c r="H1198" s="3">
        <v>0</v>
      </c>
      <c r="I1198" s="2" t="s">
        <v>18</v>
      </c>
      <c r="J1198" s="2" t="s">
        <v>5383</v>
      </c>
      <c r="K1198" s="2" t="s">
        <v>23</v>
      </c>
      <c r="L1198" s="2" t="s">
        <v>5384</v>
      </c>
      <c r="M1198" s="6">
        <v>-766.34</v>
      </c>
      <c r="N1198" t="b">
        <f>OR(LEFT(B1198,3)="frg",(_xlfn.XMATCH(B1198,ZZZ_Part_Id_[[#All],[FGCODE]])))</f>
        <v>1</v>
      </c>
    </row>
    <row r="1199" spans="1:14" x14ac:dyDescent="0.3">
      <c r="A1199" s="2" t="s">
        <v>5385</v>
      </c>
      <c r="B1199" s="2" t="s">
        <v>91</v>
      </c>
      <c r="C1199" s="2" t="s">
        <v>5386</v>
      </c>
      <c r="D1199" s="3">
        <v>54000</v>
      </c>
      <c r="E1199" s="3">
        <v>54000</v>
      </c>
      <c r="F1199" s="2" t="s">
        <v>16</v>
      </c>
      <c r="G1199" s="2" t="s">
        <v>5387</v>
      </c>
      <c r="H1199" s="3">
        <v>0</v>
      </c>
      <c r="I1199" s="2" t="s">
        <v>18</v>
      </c>
      <c r="J1199" s="2" t="s">
        <v>5388</v>
      </c>
      <c r="K1199" s="2" t="s">
        <v>16</v>
      </c>
      <c r="L1199" s="2" t="s">
        <v>5389</v>
      </c>
      <c r="M1199" s="4">
        <v>2030.4</v>
      </c>
      <c r="N1199" t="b">
        <f>OR(LEFT(B1199,3)="frg",(_xlfn.XMATCH(B1199,ZZZ_Part_Id_[[#All],[FGCODE]])))</f>
        <v>1</v>
      </c>
    </row>
    <row r="1200" spans="1:14" x14ac:dyDescent="0.3">
      <c r="A1200" s="2" t="s">
        <v>5390</v>
      </c>
      <c r="B1200" s="2" t="s">
        <v>1093</v>
      </c>
      <c r="C1200" s="2" t="s">
        <v>5391</v>
      </c>
      <c r="D1200" s="3">
        <v>1983600</v>
      </c>
      <c r="E1200" s="3">
        <v>1983600</v>
      </c>
      <c r="F1200" s="2" t="s">
        <v>16</v>
      </c>
      <c r="G1200" s="2" t="s">
        <v>5392</v>
      </c>
      <c r="H1200" s="3">
        <v>0</v>
      </c>
      <c r="I1200" s="2" t="s">
        <v>18</v>
      </c>
      <c r="J1200" s="2" t="s">
        <v>5393</v>
      </c>
      <c r="K1200" s="2" t="s">
        <v>16</v>
      </c>
      <c r="L1200" s="2" t="s">
        <v>5394</v>
      </c>
      <c r="M1200" s="4">
        <v>108146.1</v>
      </c>
      <c r="N1200" t="b">
        <f>OR(LEFT(B1200,3)="frg",(_xlfn.XMATCH(B1200,ZZZ_Part_Id_[[#All],[FGCODE]])))</f>
        <v>1</v>
      </c>
    </row>
    <row r="1201" spans="1:14" x14ac:dyDescent="0.3">
      <c r="A1201" s="2" t="s">
        <v>5395</v>
      </c>
      <c r="B1201" s="2" t="s">
        <v>59</v>
      </c>
      <c r="C1201" s="2" t="s">
        <v>5396</v>
      </c>
      <c r="D1201" s="3">
        <v>2106540</v>
      </c>
      <c r="E1201" s="3">
        <v>2106540</v>
      </c>
      <c r="F1201" s="2" t="s">
        <v>16</v>
      </c>
      <c r="G1201" s="2" t="s">
        <v>5397</v>
      </c>
      <c r="H1201" s="3">
        <v>0</v>
      </c>
      <c r="I1201" s="2" t="s">
        <v>409</v>
      </c>
      <c r="J1201" s="2" t="s">
        <v>5398</v>
      </c>
      <c r="K1201" s="2" t="s">
        <v>16</v>
      </c>
      <c r="L1201" s="2" t="s">
        <v>5399</v>
      </c>
      <c r="M1201" s="4">
        <v>90286.57</v>
      </c>
      <c r="N1201" t="b">
        <f>OR(LEFT(B1201,3)="frg",(_xlfn.XMATCH(B1201,ZZZ_Part_Id_[[#All],[FGCODE]])))</f>
        <v>1</v>
      </c>
    </row>
    <row r="1202" spans="1:14" x14ac:dyDescent="0.3">
      <c r="A1202" s="2" t="s">
        <v>5400</v>
      </c>
      <c r="B1202" s="2" t="s">
        <v>797</v>
      </c>
      <c r="C1202" s="2" t="s">
        <v>5401</v>
      </c>
      <c r="D1202" s="3">
        <v>59760</v>
      </c>
      <c r="E1202" s="3">
        <v>59760</v>
      </c>
      <c r="F1202" s="2" t="s">
        <v>16</v>
      </c>
      <c r="G1202" s="2" t="s">
        <v>5402</v>
      </c>
      <c r="H1202" s="3">
        <v>0</v>
      </c>
      <c r="I1202" s="2" t="s">
        <v>18</v>
      </c>
      <c r="J1202" s="2" t="s">
        <v>5403</v>
      </c>
      <c r="K1202" s="2" t="s">
        <v>16</v>
      </c>
      <c r="L1202" s="2" t="s">
        <v>5404</v>
      </c>
      <c r="M1202" s="4">
        <v>2131.04</v>
      </c>
      <c r="N1202" t="b">
        <f>OR(LEFT(B1202,3)="frg",(_xlfn.XMATCH(B1202,ZZZ_Part_Id_[[#All],[FGCODE]])))</f>
        <v>1</v>
      </c>
    </row>
    <row r="1203" spans="1:14" x14ac:dyDescent="0.3">
      <c r="A1203" s="2" t="s">
        <v>5405</v>
      </c>
      <c r="B1203" s="2" t="s">
        <v>5357</v>
      </c>
      <c r="C1203" s="2" t="s">
        <v>5406</v>
      </c>
      <c r="D1203" s="3">
        <v>192096</v>
      </c>
      <c r="E1203" s="3">
        <v>192096</v>
      </c>
      <c r="F1203" s="2" t="s">
        <v>16</v>
      </c>
      <c r="G1203" s="2" t="s">
        <v>5407</v>
      </c>
      <c r="H1203" s="3">
        <v>0</v>
      </c>
      <c r="I1203" s="2" t="s">
        <v>18</v>
      </c>
      <c r="J1203" s="2" t="s">
        <v>5408</v>
      </c>
      <c r="K1203" s="2" t="s">
        <v>16</v>
      </c>
      <c r="L1203" s="2" t="s">
        <v>5409</v>
      </c>
      <c r="M1203" s="4">
        <v>57075.48</v>
      </c>
      <c r="N1203" t="b">
        <f>OR(LEFT(B1203,3)="frg",(_xlfn.XMATCH(B1203,ZZZ_Part_Id_[[#All],[FGCODE]])))</f>
        <v>1</v>
      </c>
    </row>
    <row r="1204" spans="1:14" x14ac:dyDescent="0.3">
      <c r="A1204" s="2" t="s">
        <v>5410</v>
      </c>
      <c r="B1204" s="2" t="s">
        <v>1093</v>
      </c>
      <c r="C1204" s="2" t="s">
        <v>5411</v>
      </c>
      <c r="D1204" s="3">
        <v>1106640</v>
      </c>
      <c r="E1204" s="3">
        <v>1106640</v>
      </c>
      <c r="F1204" s="2" t="s">
        <v>16</v>
      </c>
      <c r="G1204" s="2" t="s">
        <v>5412</v>
      </c>
      <c r="H1204" s="3">
        <v>0</v>
      </c>
      <c r="I1204" s="2" t="s">
        <v>409</v>
      </c>
      <c r="J1204" s="2" t="s">
        <v>5413</v>
      </c>
      <c r="K1204" s="2" t="s">
        <v>16</v>
      </c>
      <c r="L1204" s="2" t="s">
        <v>5414</v>
      </c>
      <c r="M1204" s="4">
        <v>60334.14</v>
      </c>
      <c r="N1204" t="b">
        <f>OR(LEFT(B1204,3)="frg",(_xlfn.XMATCH(B1204,ZZZ_Part_Id_[[#All],[FGCODE]])))</f>
        <v>1</v>
      </c>
    </row>
    <row r="1205" spans="1:14" x14ac:dyDescent="0.3">
      <c r="A1205" s="2" t="s">
        <v>5415</v>
      </c>
      <c r="B1205" s="2" t="s">
        <v>70</v>
      </c>
      <c r="C1205" s="2" t="s">
        <v>5416</v>
      </c>
      <c r="D1205" s="3">
        <v>25344</v>
      </c>
      <c r="E1205" s="3">
        <v>25344</v>
      </c>
      <c r="F1205" s="2" t="s">
        <v>16</v>
      </c>
      <c r="G1205" s="2" t="s">
        <v>5417</v>
      </c>
      <c r="H1205" s="3">
        <v>0</v>
      </c>
      <c r="I1205" s="2" t="s">
        <v>409</v>
      </c>
      <c r="J1205" s="2" t="s">
        <v>5418</v>
      </c>
      <c r="K1205" s="2" t="s">
        <v>16</v>
      </c>
      <c r="L1205" s="2" t="s">
        <v>5419</v>
      </c>
      <c r="M1205" s="4">
        <v>6233.12</v>
      </c>
      <c r="N1205" t="b">
        <f>OR(LEFT(B1205,3)="frg",(_xlfn.XMATCH(B1205,ZZZ_Part_Id_[[#All],[FGCODE]])))</f>
        <v>1</v>
      </c>
    </row>
    <row r="1206" spans="1:14" x14ac:dyDescent="0.3">
      <c r="A1206" s="2" t="s">
        <v>5415</v>
      </c>
      <c r="B1206" s="2" t="s">
        <v>65</v>
      </c>
      <c r="C1206" s="2" t="s">
        <v>5420</v>
      </c>
      <c r="D1206" s="5">
        <v>-228</v>
      </c>
      <c r="E1206" s="5">
        <v>-228</v>
      </c>
      <c r="F1206" s="2" t="s">
        <v>23</v>
      </c>
      <c r="G1206" s="2" t="s">
        <v>5421</v>
      </c>
      <c r="H1206" s="3">
        <v>0</v>
      </c>
      <c r="I1206" s="2" t="s">
        <v>409</v>
      </c>
      <c r="J1206" s="2" t="s">
        <v>5422</v>
      </c>
      <c r="K1206" s="2" t="s">
        <v>23</v>
      </c>
      <c r="L1206" s="2" t="s">
        <v>5423</v>
      </c>
      <c r="M1206" s="6">
        <v>-586.32000000000005</v>
      </c>
      <c r="N1206" t="b">
        <f>OR(LEFT(B1206,3)="frg",(_xlfn.XMATCH(B1206,ZZZ_Part_Id_[[#All],[FGCODE]])))</f>
        <v>1</v>
      </c>
    </row>
    <row r="1207" spans="1:14" x14ac:dyDescent="0.3">
      <c r="A1207" s="2" t="s">
        <v>5424</v>
      </c>
      <c r="B1207" s="2" t="s">
        <v>115</v>
      </c>
      <c r="C1207" s="2" t="s">
        <v>5425</v>
      </c>
      <c r="D1207" s="3">
        <v>16380</v>
      </c>
      <c r="E1207" s="3">
        <v>16380</v>
      </c>
      <c r="F1207" s="2" t="s">
        <v>16</v>
      </c>
      <c r="G1207" s="2" t="s">
        <v>5426</v>
      </c>
      <c r="H1207" s="3">
        <v>0</v>
      </c>
      <c r="I1207" s="2" t="s">
        <v>409</v>
      </c>
      <c r="J1207" s="2" t="s">
        <v>5427</v>
      </c>
      <c r="K1207" s="2" t="s">
        <v>16</v>
      </c>
      <c r="L1207" s="2" t="s">
        <v>5428</v>
      </c>
      <c r="M1207" s="4">
        <v>2249.63</v>
      </c>
      <c r="N1207" t="b">
        <f>OR(LEFT(B1207,3)="frg",(_xlfn.XMATCH(B1207,ZZZ_Part_Id_[[#All],[FGCODE]])))</f>
        <v>1</v>
      </c>
    </row>
    <row r="1208" spans="1:14" x14ac:dyDescent="0.3">
      <c r="A1208" s="2" t="s">
        <v>5429</v>
      </c>
      <c r="B1208" s="2" t="s">
        <v>947</v>
      </c>
      <c r="C1208" s="2" t="s">
        <v>5430</v>
      </c>
      <c r="D1208" s="3">
        <v>71528</v>
      </c>
      <c r="E1208" s="3">
        <v>71528</v>
      </c>
      <c r="F1208" s="2" t="s">
        <v>16</v>
      </c>
      <c r="G1208" s="2" t="s">
        <v>5431</v>
      </c>
      <c r="H1208" s="3">
        <v>0</v>
      </c>
      <c r="I1208" s="2" t="s">
        <v>409</v>
      </c>
      <c r="J1208" s="2" t="s">
        <v>5432</v>
      </c>
      <c r="K1208" s="2" t="s">
        <v>16</v>
      </c>
      <c r="L1208" s="2" t="s">
        <v>5433</v>
      </c>
      <c r="M1208" s="4">
        <v>7007.6</v>
      </c>
      <c r="N1208" t="b">
        <f>OR(LEFT(B1208,3)="frg",(_xlfn.XMATCH(B1208,ZZZ_Part_Id_[[#All],[FGCODE]])))</f>
        <v>1</v>
      </c>
    </row>
    <row r="1209" spans="1:14" x14ac:dyDescent="0.3">
      <c r="A1209" s="2" t="s">
        <v>5429</v>
      </c>
      <c r="B1209" s="2" t="s">
        <v>65</v>
      </c>
      <c r="C1209" s="2" t="s">
        <v>5434</v>
      </c>
      <c r="D1209" s="5">
        <v>-135</v>
      </c>
      <c r="E1209" s="5">
        <v>-135</v>
      </c>
      <c r="F1209" s="2" t="s">
        <v>23</v>
      </c>
      <c r="G1209" s="2" t="s">
        <v>5435</v>
      </c>
      <c r="H1209" s="3">
        <v>0</v>
      </c>
      <c r="I1209" s="2" t="s">
        <v>409</v>
      </c>
      <c r="J1209" s="2" t="s">
        <v>5436</v>
      </c>
      <c r="K1209" s="2" t="s">
        <v>23</v>
      </c>
      <c r="L1209" s="2" t="s">
        <v>5437</v>
      </c>
      <c r="M1209" s="6">
        <v>-347.17</v>
      </c>
      <c r="N1209" t="b">
        <f>OR(LEFT(B1209,3)="frg",(_xlfn.XMATCH(B1209,ZZZ_Part_Id_[[#All],[FGCODE]])))</f>
        <v>1</v>
      </c>
    </row>
    <row r="1210" spans="1:14" x14ac:dyDescent="0.3">
      <c r="A1210" s="2" t="s">
        <v>5438</v>
      </c>
      <c r="B1210" s="2" t="s">
        <v>97</v>
      </c>
      <c r="C1210" s="2" t="s">
        <v>5439</v>
      </c>
      <c r="D1210" s="3">
        <v>345600</v>
      </c>
      <c r="E1210" s="3">
        <v>345600</v>
      </c>
      <c r="F1210" s="2" t="s">
        <v>16</v>
      </c>
      <c r="G1210" s="2" t="s">
        <v>5440</v>
      </c>
      <c r="H1210" s="3">
        <v>0</v>
      </c>
      <c r="I1210" s="2" t="s">
        <v>409</v>
      </c>
      <c r="J1210" s="2" t="s">
        <v>5441</v>
      </c>
      <c r="K1210" s="2" t="s">
        <v>16</v>
      </c>
      <c r="L1210" s="2" t="s">
        <v>5442</v>
      </c>
      <c r="M1210" s="4">
        <v>118437.12</v>
      </c>
      <c r="N1210" t="b">
        <f>OR(LEFT(B1210,3)="frg",(_xlfn.XMATCH(B1210,ZZZ_Part_Id_[[#All],[FGCODE]])))</f>
        <v>1</v>
      </c>
    </row>
    <row r="1211" spans="1:14" x14ac:dyDescent="0.3">
      <c r="A1211" s="2" t="s">
        <v>5443</v>
      </c>
      <c r="B1211" s="2" t="s">
        <v>5357</v>
      </c>
      <c r="C1211" s="2" t="s">
        <v>5444</v>
      </c>
      <c r="D1211" s="3">
        <v>258336</v>
      </c>
      <c r="E1211" s="3">
        <v>258336</v>
      </c>
      <c r="F1211" s="2" t="s">
        <v>16</v>
      </c>
      <c r="G1211" s="2" t="s">
        <v>5445</v>
      </c>
      <c r="H1211" s="3">
        <v>0</v>
      </c>
      <c r="I1211" s="2" t="s">
        <v>409</v>
      </c>
      <c r="J1211" s="2" t="s">
        <v>5446</v>
      </c>
      <c r="K1211" s="2" t="s">
        <v>16</v>
      </c>
      <c r="L1211" s="2" t="s">
        <v>5447</v>
      </c>
      <c r="M1211" s="4">
        <v>76756.679999999993</v>
      </c>
      <c r="N1211" t="b">
        <f>OR(LEFT(B1211,3)="frg",(_xlfn.XMATCH(B1211,ZZZ_Part_Id_[[#All],[FGCODE]])))</f>
        <v>1</v>
      </c>
    </row>
    <row r="1212" spans="1:14" x14ac:dyDescent="0.3">
      <c r="A1212" s="2" t="s">
        <v>5448</v>
      </c>
      <c r="B1212" s="2" t="s">
        <v>91</v>
      </c>
      <c r="C1212" s="2" t="s">
        <v>5449</v>
      </c>
      <c r="D1212" s="3">
        <v>1296000</v>
      </c>
      <c r="E1212" s="3">
        <v>1296000</v>
      </c>
      <c r="F1212" s="2" t="s">
        <v>16</v>
      </c>
      <c r="G1212" s="2" t="s">
        <v>5450</v>
      </c>
      <c r="H1212" s="3">
        <v>0</v>
      </c>
      <c r="I1212" s="2" t="s">
        <v>409</v>
      </c>
      <c r="J1212" s="2" t="s">
        <v>5451</v>
      </c>
      <c r="K1212" s="2" t="s">
        <v>16</v>
      </c>
      <c r="L1212" s="2" t="s">
        <v>5452</v>
      </c>
      <c r="M1212" s="4">
        <v>48729.599999999999</v>
      </c>
      <c r="N1212" t="b">
        <f>OR(LEFT(B1212,3)="frg",(_xlfn.XMATCH(B1212,ZZZ_Part_Id_[[#All],[FGCODE]])))</f>
        <v>1</v>
      </c>
    </row>
    <row r="1213" spans="1:14" x14ac:dyDescent="0.3">
      <c r="A1213" s="2" t="s">
        <v>5448</v>
      </c>
      <c r="B1213" s="2" t="s">
        <v>14</v>
      </c>
      <c r="C1213" s="2" t="s">
        <v>5453</v>
      </c>
      <c r="D1213" s="3">
        <v>96</v>
      </c>
      <c r="E1213" s="3">
        <v>96</v>
      </c>
      <c r="F1213" s="2" t="s">
        <v>16</v>
      </c>
      <c r="G1213" s="2" t="s">
        <v>5454</v>
      </c>
      <c r="H1213" s="3">
        <v>0</v>
      </c>
      <c r="I1213" s="2" t="s">
        <v>409</v>
      </c>
      <c r="J1213" s="2" t="s">
        <v>5455</v>
      </c>
      <c r="K1213" s="2" t="s">
        <v>16</v>
      </c>
      <c r="L1213" s="2" t="s">
        <v>5456</v>
      </c>
      <c r="M1213" s="4">
        <v>7.39</v>
      </c>
      <c r="N1213" t="e">
        <f>OR(LEFT(B1213,3)="frg",(_xlfn.XMATCH(B1213,ZZZ_Part_Id_[[#All],[FGCODE]])))</f>
        <v>#N/A</v>
      </c>
    </row>
    <row r="1214" spans="1:14" x14ac:dyDescent="0.3">
      <c r="A1214" s="2" t="s">
        <v>5457</v>
      </c>
      <c r="B1214" s="2" t="s">
        <v>5357</v>
      </c>
      <c r="C1214" s="2" t="s">
        <v>5458</v>
      </c>
      <c r="D1214" s="3">
        <v>59616</v>
      </c>
      <c r="E1214" s="3">
        <v>59616</v>
      </c>
      <c r="F1214" s="2" t="s">
        <v>16</v>
      </c>
      <c r="G1214" s="2" t="s">
        <v>5459</v>
      </c>
      <c r="H1214" s="3">
        <v>0</v>
      </c>
      <c r="I1214" s="2" t="s">
        <v>409</v>
      </c>
      <c r="J1214" s="2" t="s">
        <v>5460</v>
      </c>
      <c r="K1214" s="2" t="s">
        <v>16</v>
      </c>
      <c r="L1214" s="2" t="s">
        <v>5461</v>
      </c>
      <c r="M1214" s="4">
        <v>17713.080000000002</v>
      </c>
      <c r="N1214" t="b">
        <f>OR(LEFT(B1214,3)="frg",(_xlfn.XMATCH(B1214,ZZZ_Part_Id_[[#All],[FGCODE]])))</f>
        <v>1</v>
      </c>
    </row>
    <row r="1215" spans="1:14" x14ac:dyDescent="0.3">
      <c r="A1215" s="2" t="s">
        <v>5462</v>
      </c>
      <c r="B1215" s="2" t="s">
        <v>5463</v>
      </c>
      <c r="C1215" s="2" t="s">
        <v>5464</v>
      </c>
      <c r="D1215" s="3">
        <v>1</v>
      </c>
      <c r="E1215" s="3">
        <v>0</v>
      </c>
      <c r="F1215" s="2" t="s">
        <v>16</v>
      </c>
      <c r="G1215" s="2" t="s">
        <v>5465</v>
      </c>
      <c r="H1215" s="3">
        <v>0</v>
      </c>
      <c r="I1215" s="2" t="s">
        <v>18</v>
      </c>
      <c r="J1215" s="2" t="s">
        <v>5466</v>
      </c>
      <c r="K1215" s="2" t="s">
        <v>16</v>
      </c>
      <c r="L1215" s="2" t="s">
        <v>5467</v>
      </c>
      <c r="M1215" s="4">
        <v>0</v>
      </c>
      <c r="N1215" t="b">
        <f>OR(LEFT(B1215,3)="frg",(_xlfn.XMATCH(B1215,ZZZ_Part_Id_[[#All],[FGCODE]])))</f>
        <v>1</v>
      </c>
    </row>
    <row r="1216" spans="1:14" x14ac:dyDescent="0.3">
      <c r="A1216" s="2" t="s">
        <v>5468</v>
      </c>
      <c r="B1216" s="2" t="s">
        <v>14</v>
      </c>
      <c r="C1216" s="2" t="s">
        <v>5469</v>
      </c>
      <c r="D1216" s="3">
        <v>96</v>
      </c>
      <c r="E1216" s="3">
        <v>96</v>
      </c>
      <c r="F1216" s="2" t="s">
        <v>16</v>
      </c>
      <c r="G1216" s="2" t="s">
        <v>5470</v>
      </c>
      <c r="H1216" s="3">
        <v>0</v>
      </c>
      <c r="I1216" s="2" t="s">
        <v>18</v>
      </c>
      <c r="J1216" s="2" t="s">
        <v>5471</v>
      </c>
      <c r="K1216" s="2" t="s">
        <v>16</v>
      </c>
      <c r="L1216" s="2" t="s">
        <v>5472</v>
      </c>
      <c r="M1216" s="4">
        <v>7.39</v>
      </c>
      <c r="N1216" t="e">
        <f>OR(LEFT(B1216,3)="frg",(_xlfn.XMATCH(B1216,ZZZ_Part_Id_[[#All],[FGCODE]])))</f>
        <v>#N/A</v>
      </c>
    </row>
    <row r="1217" spans="1:14" x14ac:dyDescent="0.3">
      <c r="A1217" s="2" t="s">
        <v>5468</v>
      </c>
      <c r="B1217" s="2" t="s">
        <v>264</v>
      </c>
      <c r="C1217" s="2" t="s">
        <v>5473</v>
      </c>
      <c r="D1217" s="3">
        <v>4.8000000000000001E-2</v>
      </c>
      <c r="E1217" s="3">
        <v>4.8000000000000001E-2</v>
      </c>
      <c r="F1217" s="2" t="s">
        <v>16</v>
      </c>
      <c r="G1217" s="2" t="s">
        <v>5474</v>
      </c>
      <c r="H1217" s="3">
        <v>0</v>
      </c>
      <c r="I1217" s="2" t="s">
        <v>18</v>
      </c>
      <c r="J1217" s="2" t="s">
        <v>5475</v>
      </c>
      <c r="K1217" s="2" t="s">
        <v>16</v>
      </c>
      <c r="L1217" s="2" t="s">
        <v>5476</v>
      </c>
      <c r="M1217" s="4">
        <v>1.46</v>
      </c>
      <c r="N1217" t="e">
        <f>OR(LEFT(B1217,3)="frg",(_xlfn.XMATCH(B1217,ZZZ_Part_Id_[[#All],[FGCODE]])))</f>
        <v>#N/A</v>
      </c>
    </row>
    <row r="1218" spans="1:14" x14ac:dyDescent="0.3">
      <c r="A1218" s="2" t="s">
        <v>5468</v>
      </c>
      <c r="B1218" s="2" t="s">
        <v>5477</v>
      </c>
      <c r="C1218" s="2" t="s">
        <v>5478</v>
      </c>
      <c r="D1218" s="3">
        <v>317952</v>
      </c>
      <c r="E1218" s="3">
        <v>317952</v>
      </c>
      <c r="F1218" s="2" t="s">
        <v>16</v>
      </c>
      <c r="G1218" s="2" t="s">
        <v>5479</v>
      </c>
      <c r="H1218" s="3">
        <v>0</v>
      </c>
      <c r="I1218" s="2" t="s">
        <v>18</v>
      </c>
      <c r="J1218" s="2" t="s">
        <v>5480</v>
      </c>
      <c r="K1218" s="2" t="s">
        <v>16</v>
      </c>
      <c r="L1218" s="2" t="s">
        <v>5481</v>
      </c>
      <c r="M1218" s="4">
        <v>94469.759999999995</v>
      </c>
      <c r="N1218" t="b">
        <f>OR(LEFT(B1218,3)="frg",(_xlfn.XMATCH(B1218,ZZZ_Part_Id_[[#All],[FGCODE]])))</f>
        <v>1</v>
      </c>
    </row>
    <row r="1219" spans="1:14" x14ac:dyDescent="0.3">
      <c r="A1219" s="2" t="s">
        <v>5482</v>
      </c>
      <c r="B1219" s="2" t="s">
        <v>2238</v>
      </c>
      <c r="C1219" s="2" t="s">
        <v>5483</v>
      </c>
      <c r="D1219" s="3">
        <v>115200</v>
      </c>
      <c r="E1219" s="3">
        <v>0</v>
      </c>
      <c r="F1219" s="2" t="s">
        <v>16</v>
      </c>
      <c r="G1219" s="2" t="s">
        <v>5484</v>
      </c>
      <c r="H1219" s="3">
        <v>0</v>
      </c>
      <c r="I1219" s="2" t="s">
        <v>409</v>
      </c>
      <c r="J1219" s="2" t="s">
        <v>5485</v>
      </c>
      <c r="K1219" s="2" t="s">
        <v>16</v>
      </c>
      <c r="L1219" s="2" t="s">
        <v>5486</v>
      </c>
      <c r="M1219" s="4">
        <v>0</v>
      </c>
      <c r="N1219" t="b">
        <f>OR(LEFT(B1219,3)="frg",(_xlfn.XMATCH(B1219,ZZZ_Part_Id_[[#All],[FGCODE]])))</f>
        <v>1</v>
      </c>
    </row>
    <row r="1220" spans="1:14" x14ac:dyDescent="0.3">
      <c r="A1220" s="2" t="s">
        <v>5482</v>
      </c>
      <c r="B1220" s="2" t="s">
        <v>86</v>
      </c>
      <c r="C1220" s="2" t="s">
        <v>5487</v>
      </c>
      <c r="D1220" s="5">
        <v>-259</v>
      </c>
      <c r="E1220" s="3">
        <v>0</v>
      </c>
      <c r="F1220" s="2" t="s">
        <v>23</v>
      </c>
      <c r="G1220" s="2" t="s">
        <v>5488</v>
      </c>
      <c r="H1220" s="3">
        <v>0</v>
      </c>
      <c r="I1220" s="2" t="s">
        <v>409</v>
      </c>
      <c r="J1220" s="2" t="s">
        <v>5489</v>
      </c>
      <c r="K1220" s="2" t="s">
        <v>23</v>
      </c>
      <c r="L1220" s="2" t="s">
        <v>5490</v>
      </c>
      <c r="M1220" s="4">
        <v>0</v>
      </c>
      <c r="N1220" t="b">
        <f>OR(LEFT(B1220,3)="frg",(_xlfn.XMATCH(B1220,ZZZ_Part_Id_[[#All],[FGCODE]])))</f>
        <v>1</v>
      </c>
    </row>
    <row r="1221" spans="1:14" x14ac:dyDescent="0.3">
      <c r="A1221" s="2" t="s">
        <v>5491</v>
      </c>
      <c r="B1221" s="2" t="s">
        <v>517</v>
      </c>
      <c r="C1221" s="2" t="s">
        <v>5492</v>
      </c>
      <c r="D1221" s="3">
        <v>483840</v>
      </c>
      <c r="E1221" s="3">
        <v>483840</v>
      </c>
      <c r="F1221" s="2" t="s">
        <v>16</v>
      </c>
      <c r="G1221" s="2" t="s">
        <v>5493</v>
      </c>
      <c r="H1221" s="3">
        <v>0</v>
      </c>
      <c r="I1221" s="2" t="s">
        <v>409</v>
      </c>
      <c r="J1221" s="2" t="s">
        <v>5494</v>
      </c>
      <c r="K1221" s="2" t="s">
        <v>16</v>
      </c>
      <c r="L1221" s="2" t="s">
        <v>5495</v>
      </c>
      <c r="M1221" s="4">
        <v>56290.080000000002</v>
      </c>
      <c r="N1221" t="b">
        <f>OR(LEFT(B1221,3)="frg",(_xlfn.XMATCH(B1221,ZZZ_Part_Id_[[#All],[FGCODE]])))</f>
        <v>1</v>
      </c>
    </row>
    <row r="1222" spans="1:14" x14ac:dyDescent="0.3">
      <c r="A1222" s="2" t="s">
        <v>5496</v>
      </c>
      <c r="B1222" s="2" t="s">
        <v>59</v>
      </c>
      <c r="C1222" s="2" t="s">
        <v>5497</v>
      </c>
      <c r="D1222" s="3">
        <v>2106540</v>
      </c>
      <c r="E1222" s="3">
        <v>20433.437999999998</v>
      </c>
      <c r="F1222" s="2" t="s">
        <v>23</v>
      </c>
      <c r="G1222" s="2" t="s">
        <v>5498</v>
      </c>
      <c r="H1222" s="3">
        <v>0</v>
      </c>
      <c r="I1222" s="2" t="s">
        <v>409</v>
      </c>
      <c r="J1222" s="2" t="s">
        <v>5499</v>
      </c>
      <c r="K1222" s="2" t="s">
        <v>23</v>
      </c>
      <c r="L1222" s="2" t="s">
        <v>5500</v>
      </c>
      <c r="M1222" s="4">
        <v>90286.57</v>
      </c>
      <c r="N1222" t="b">
        <f>OR(LEFT(B1222,3)="frg",(_xlfn.XMATCH(B1222,ZZZ_Part_Id_[[#All],[FGCODE]])))</f>
        <v>1</v>
      </c>
    </row>
    <row r="1223" spans="1:14" x14ac:dyDescent="0.3">
      <c r="A1223" s="2" t="s">
        <v>5501</v>
      </c>
      <c r="B1223" s="2" t="s">
        <v>97</v>
      </c>
      <c r="C1223" s="2" t="s">
        <v>5502</v>
      </c>
      <c r="D1223" s="3">
        <v>201600</v>
      </c>
      <c r="E1223" s="3">
        <v>201600</v>
      </c>
      <c r="F1223" s="2" t="s">
        <v>16</v>
      </c>
      <c r="G1223" s="2" t="s">
        <v>5503</v>
      </c>
      <c r="H1223" s="3">
        <v>0</v>
      </c>
      <c r="I1223" s="2" t="s">
        <v>409</v>
      </c>
      <c r="J1223" s="2" t="s">
        <v>5504</v>
      </c>
      <c r="K1223" s="2" t="s">
        <v>16</v>
      </c>
      <c r="L1223" s="2" t="s">
        <v>5505</v>
      </c>
      <c r="M1223" s="4">
        <v>69088.320000000007</v>
      </c>
      <c r="N1223" t="b">
        <f>OR(LEFT(B1223,3)="frg",(_xlfn.XMATCH(B1223,ZZZ_Part_Id_[[#All],[FGCODE]])))</f>
        <v>1</v>
      </c>
    </row>
    <row r="1224" spans="1:14" x14ac:dyDescent="0.3">
      <c r="A1224" s="2" t="s">
        <v>5506</v>
      </c>
      <c r="B1224" s="2" t="s">
        <v>5507</v>
      </c>
      <c r="C1224" s="2" t="s">
        <v>5508</v>
      </c>
      <c r="D1224" s="3">
        <v>115200</v>
      </c>
      <c r="E1224" s="3">
        <v>115200</v>
      </c>
      <c r="F1224" s="2" t="s">
        <v>16</v>
      </c>
      <c r="G1224" s="2" t="s">
        <v>5509</v>
      </c>
      <c r="H1224" s="3">
        <v>0</v>
      </c>
      <c r="I1224" s="2" t="s">
        <v>409</v>
      </c>
      <c r="J1224" s="2" t="s">
        <v>5510</v>
      </c>
      <c r="K1224" s="2" t="s">
        <v>16</v>
      </c>
      <c r="L1224" s="2" t="s">
        <v>5511</v>
      </c>
      <c r="M1224" s="4">
        <v>7342.86</v>
      </c>
      <c r="N1224" t="b">
        <f>OR(LEFT(B1224,3)="frg",(_xlfn.XMATCH(B1224,ZZZ_Part_Id_[[#All],[FGCODE]])))</f>
        <v>1</v>
      </c>
    </row>
    <row r="1225" spans="1:14" x14ac:dyDescent="0.3">
      <c r="A1225" s="2" t="s">
        <v>5506</v>
      </c>
      <c r="B1225" s="2" t="s">
        <v>86</v>
      </c>
      <c r="C1225" s="2" t="s">
        <v>5512</v>
      </c>
      <c r="D1225" s="5">
        <v>-259</v>
      </c>
      <c r="E1225" s="5">
        <v>-259</v>
      </c>
      <c r="F1225" s="2" t="s">
        <v>23</v>
      </c>
      <c r="G1225" s="2" t="s">
        <v>5513</v>
      </c>
      <c r="H1225" s="3">
        <v>0</v>
      </c>
      <c r="I1225" s="2" t="s">
        <v>409</v>
      </c>
      <c r="J1225" s="2" t="s">
        <v>5514</v>
      </c>
      <c r="K1225" s="2" t="s">
        <v>23</v>
      </c>
      <c r="L1225" s="2" t="s">
        <v>5515</v>
      </c>
      <c r="M1225" s="6">
        <v>-678.01</v>
      </c>
      <c r="N1225" t="b">
        <f>OR(LEFT(B1225,3)="frg",(_xlfn.XMATCH(B1225,ZZZ_Part_Id_[[#All],[FGCODE]])))</f>
        <v>1</v>
      </c>
    </row>
    <row r="1226" spans="1:14" x14ac:dyDescent="0.3">
      <c r="A1226" s="2" t="s">
        <v>5516</v>
      </c>
      <c r="B1226" s="2" t="s">
        <v>14</v>
      </c>
      <c r="C1226" s="2" t="s">
        <v>5517</v>
      </c>
      <c r="D1226" s="3">
        <v>48</v>
      </c>
      <c r="E1226" s="3">
        <v>48</v>
      </c>
      <c r="F1226" s="2" t="s">
        <v>16</v>
      </c>
      <c r="G1226" s="2" t="s">
        <v>5518</v>
      </c>
      <c r="H1226" s="3">
        <v>0</v>
      </c>
      <c r="I1226" s="2" t="s">
        <v>18</v>
      </c>
      <c r="J1226" s="2" t="s">
        <v>5519</v>
      </c>
      <c r="K1226" s="2" t="s">
        <v>16</v>
      </c>
      <c r="L1226" s="2" t="s">
        <v>5520</v>
      </c>
      <c r="M1226" s="4">
        <v>3.69</v>
      </c>
      <c r="N1226" t="e">
        <f>OR(LEFT(B1226,3)="frg",(_xlfn.XMATCH(B1226,ZZZ_Part_Id_[[#All],[FGCODE]])))</f>
        <v>#N/A</v>
      </c>
    </row>
    <row r="1227" spans="1:14" x14ac:dyDescent="0.3">
      <c r="A1227" s="2" t="s">
        <v>5516</v>
      </c>
      <c r="B1227" s="2" t="s">
        <v>140</v>
      </c>
      <c r="C1227" s="2" t="s">
        <v>5521</v>
      </c>
      <c r="D1227" s="3">
        <v>1.92</v>
      </c>
      <c r="E1227" s="3">
        <v>0</v>
      </c>
      <c r="F1227" s="2" t="s">
        <v>16</v>
      </c>
      <c r="G1227" s="2" t="s">
        <v>5522</v>
      </c>
      <c r="H1227" s="3">
        <v>0</v>
      </c>
      <c r="I1227" s="2" t="s">
        <v>18</v>
      </c>
      <c r="J1227" s="2" t="s">
        <v>5523</v>
      </c>
      <c r="K1227" s="2" t="s">
        <v>16</v>
      </c>
      <c r="L1227" s="2" t="s">
        <v>5524</v>
      </c>
      <c r="M1227" s="4">
        <v>0</v>
      </c>
      <c r="N1227" t="e">
        <f>OR(LEFT(B1227,3)="frg",(_xlfn.XMATCH(B1227,ZZZ_Part_Id_[[#All],[FGCODE]])))</f>
        <v>#N/A</v>
      </c>
    </row>
    <row r="1228" spans="1:14" x14ac:dyDescent="0.3">
      <c r="A1228" s="2" t="s">
        <v>5516</v>
      </c>
      <c r="B1228" s="2" t="s">
        <v>145</v>
      </c>
      <c r="C1228" s="2" t="s">
        <v>5525</v>
      </c>
      <c r="D1228" s="3">
        <v>0.192</v>
      </c>
      <c r="E1228" s="3">
        <v>0</v>
      </c>
      <c r="F1228" s="2" t="s">
        <v>147</v>
      </c>
      <c r="G1228" s="2" t="s">
        <v>5526</v>
      </c>
      <c r="H1228" s="3">
        <v>0</v>
      </c>
      <c r="I1228" s="2" t="s">
        <v>18</v>
      </c>
      <c r="J1228" s="2" t="s">
        <v>5527</v>
      </c>
      <c r="K1228" s="2" t="s">
        <v>147</v>
      </c>
      <c r="L1228" s="2" t="s">
        <v>5528</v>
      </c>
      <c r="M1228" s="4">
        <v>0</v>
      </c>
      <c r="N1228" t="e">
        <f>OR(LEFT(B1228,3)="frg",(_xlfn.XMATCH(B1228,ZZZ_Part_Id_[[#All],[FGCODE]])))</f>
        <v>#N/A</v>
      </c>
    </row>
    <row r="1229" spans="1:14" x14ac:dyDescent="0.3">
      <c r="A1229" s="2" t="s">
        <v>5516</v>
      </c>
      <c r="B1229" s="2" t="s">
        <v>151</v>
      </c>
      <c r="C1229" s="2" t="s">
        <v>5529</v>
      </c>
      <c r="D1229" s="3">
        <v>192</v>
      </c>
      <c r="E1229" s="3">
        <v>0</v>
      </c>
      <c r="F1229" s="2" t="s">
        <v>16</v>
      </c>
      <c r="G1229" s="2" t="s">
        <v>5530</v>
      </c>
      <c r="H1229" s="3">
        <v>0</v>
      </c>
      <c r="I1229" s="2" t="s">
        <v>18</v>
      </c>
      <c r="J1229" s="2" t="s">
        <v>5531</v>
      </c>
      <c r="K1229" s="2" t="s">
        <v>16</v>
      </c>
      <c r="L1229" s="2" t="s">
        <v>5532</v>
      </c>
      <c r="M1229" s="4">
        <v>0</v>
      </c>
      <c r="N1229" t="e">
        <f>OR(LEFT(B1229,3)="frg",(_xlfn.XMATCH(B1229,ZZZ_Part_Id_[[#All],[FGCODE]])))</f>
        <v>#N/A</v>
      </c>
    </row>
    <row r="1230" spans="1:14" x14ac:dyDescent="0.3">
      <c r="A1230" s="2" t="s">
        <v>5516</v>
      </c>
      <c r="B1230" s="2" t="s">
        <v>156</v>
      </c>
      <c r="C1230" s="2" t="s">
        <v>5533</v>
      </c>
      <c r="D1230" s="5">
        <v>-23.856000000000002</v>
      </c>
      <c r="E1230" s="3">
        <v>0</v>
      </c>
      <c r="F1230" s="2" t="s">
        <v>23</v>
      </c>
      <c r="G1230" s="2" t="s">
        <v>5534</v>
      </c>
      <c r="H1230" s="3">
        <v>0</v>
      </c>
      <c r="I1230" s="2" t="s">
        <v>18</v>
      </c>
      <c r="J1230" s="2" t="s">
        <v>5535</v>
      </c>
      <c r="K1230" s="2" t="s">
        <v>23</v>
      </c>
      <c r="L1230" s="2" t="s">
        <v>5536</v>
      </c>
      <c r="M1230" s="4">
        <v>0</v>
      </c>
      <c r="N1230" t="e">
        <f>OR(LEFT(B1230,3)="frg",(_xlfn.XMATCH(B1230,ZZZ_Part_Id_[[#All],[FGCODE]])))</f>
        <v>#N/A</v>
      </c>
    </row>
    <row r="1231" spans="1:14" x14ac:dyDescent="0.3">
      <c r="A1231" s="2" t="s">
        <v>5516</v>
      </c>
      <c r="B1231" s="2" t="s">
        <v>161</v>
      </c>
      <c r="C1231" s="2" t="s">
        <v>5537</v>
      </c>
      <c r="D1231" s="3">
        <v>1.92</v>
      </c>
      <c r="E1231" s="3">
        <v>0</v>
      </c>
      <c r="F1231" s="2" t="s">
        <v>163</v>
      </c>
      <c r="G1231" s="2" t="s">
        <v>5538</v>
      </c>
      <c r="H1231" s="3">
        <v>0</v>
      </c>
      <c r="I1231" s="2" t="s">
        <v>18</v>
      </c>
      <c r="J1231" s="2" t="s">
        <v>5539</v>
      </c>
      <c r="K1231" s="2" t="s">
        <v>163</v>
      </c>
      <c r="L1231" s="2" t="s">
        <v>5540</v>
      </c>
      <c r="M1231" s="4">
        <v>0</v>
      </c>
      <c r="N1231" t="e">
        <f>OR(LEFT(B1231,3)="frg",(_xlfn.XMATCH(B1231,ZZZ_Part_Id_[[#All],[FGCODE]])))</f>
        <v>#N/A</v>
      </c>
    </row>
    <row r="1232" spans="1:14" x14ac:dyDescent="0.3">
      <c r="A1232" s="2" t="s">
        <v>5516</v>
      </c>
      <c r="B1232" s="2" t="s">
        <v>167</v>
      </c>
      <c r="C1232" s="2" t="s">
        <v>5541</v>
      </c>
      <c r="D1232" s="3">
        <v>24.143999999999998</v>
      </c>
      <c r="E1232" s="3">
        <v>0</v>
      </c>
      <c r="F1232" s="2" t="s">
        <v>23</v>
      </c>
      <c r="G1232" s="2" t="s">
        <v>5542</v>
      </c>
      <c r="H1232" s="3">
        <v>0</v>
      </c>
      <c r="I1232" s="2" t="s">
        <v>18</v>
      </c>
      <c r="J1232" s="2" t="s">
        <v>5543</v>
      </c>
      <c r="K1232" s="2" t="s">
        <v>23</v>
      </c>
      <c r="L1232" s="2" t="s">
        <v>5544</v>
      </c>
      <c r="M1232" s="4">
        <v>0</v>
      </c>
      <c r="N1232" t="e">
        <f>OR(LEFT(B1232,3)="frg",(_xlfn.XMATCH(B1232,ZZZ_Part_Id_[[#All],[FGCODE]])))</f>
        <v>#N/A</v>
      </c>
    </row>
    <row r="1233" spans="1:14" x14ac:dyDescent="0.3">
      <c r="A1233" s="2" t="s">
        <v>5516</v>
      </c>
      <c r="B1233" s="2" t="s">
        <v>177</v>
      </c>
      <c r="C1233" s="2" t="s">
        <v>5545</v>
      </c>
      <c r="D1233" s="3">
        <v>48</v>
      </c>
      <c r="E1233" s="3">
        <v>0</v>
      </c>
      <c r="F1233" s="2" t="s">
        <v>16</v>
      </c>
      <c r="G1233" s="2" t="s">
        <v>5546</v>
      </c>
      <c r="H1233" s="3">
        <v>0</v>
      </c>
      <c r="I1233" s="2" t="s">
        <v>18</v>
      </c>
      <c r="J1233" s="2" t="s">
        <v>5547</v>
      </c>
      <c r="K1233" s="2" t="s">
        <v>16</v>
      </c>
      <c r="L1233" s="2" t="s">
        <v>5548</v>
      </c>
      <c r="M1233" s="4">
        <v>0</v>
      </c>
      <c r="N1233" t="e">
        <f>OR(LEFT(B1233,3)="frg",(_xlfn.XMATCH(B1233,ZZZ_Part_Id_[[#All],[FGCODE]])))</f>
        <v>#N/A</v>
      </c>
    </row>
    <row r="1234" spans="1:14" x14ac:dyDescent="0.3">
      <c r="A1234" s="2" t="s">
        <v>5516</v>
      </c>
      <c r="B1234" s="2" t="s">
        <v>182</v>
      </c>
      <c r="C1234" s="2" t="s">
        <v>5549</v>
      </c>
      <c r="D1234" s="3">
        <v>48</v>
      </c>
      <c r="E1234" s="3">
        <v>0</v>
      </c>
      <c r="F1234" s="2" t="s">
        <v>16</v>
      </c>
      <c r="G1234" s="2" t="s">
        <v>5550</v>
      </c>
      <c r="H1234" s="3">
        <v>0</v>
      </c>
      <c r="I1234" s="2" t="s">
        <v>18</v>
      </c>
      <c r="J1234" s="2" t="s">
        <v>5551</v>
      </c>
      <c r="K1234" s="2" t="s">
        <v>16</v>
      </c>
      <c r="L1234" s="2" t="s">
        <v>5552</v>
      </c>
      <c r="M1234" s="4">
        <v>0</v>
      </c>
      <c r="N1234" t="e">
        <f>OR(LEFT(B1234,3)="frg",(_xlfn.XMATCH(B1234,ZZZ_Part_Id_[[#All],[FGCODE]])))</f>
        <v>#N/A</v>
      </c>
    </row>
    <row r="1235" spans="1:14" x14ac:dyDescent="0.3">
      <c r="A1235" s="2" t="s">
        <v>5516</v>
      </c>
      <c r="B1235" s="2" t="s">
        <v>187</v>
      </c>
      <c r="C1235" s="2" t="s">
        <v>5553</v>
      </c>
      <c r="D1235" s="3">
        <v>48</v>
      </c>
      <c r="E1235" s="3">
        <v>0</v>
      </c>
      <c r="F1235" s="2" t="s">
        <v>16</v>
      </c>
      <c r="G1235" s="2" t="s">
        <v>5554</v>
      </c>
      <c r="H1235" s="3">
        <v>0</v>
      </c>
      <c r="I1235" s="2" t="s">
        <v>18</v>
      </c>
      <c r="J1235" s="2" t="s">
        <v>5555</v>
      </c>
      <c r="K1235" s="2" t="s">
        <v>16</v>
      </c>
      <c r="L1235" s="2" t="s">
        <v>5556</v>
      </c>
      <c r="M1235" s="4">
        <v>0</v>
      </c>
      <c r="N1235" t="e">
        <f>OR(LEFT(B1235,3)="frg",(_xlfn.XMATCH(B1235,ZZZ_Part_Id_[[#All],[FGCODE]])))</f>
        <v>#N/A</v>
      </c>
    </row>
    <row r="1236" spans="1:14" x14ac:dyDescent="0.3">
      <c r="A1236" s="2" t="s">
        <v>5516</v>
      </c>
      <c r="B1236" s="2" t="s">
        <v>192</v>
      </c>
      <c r="C1236" s="2" t="s">
        <v>5557</v>
      </c>
      <c r="D1236" s="3">
        <v>0.48</v>
      </c>
      <c r="E1236" s="3">
        <v>0</v>
      </c>
      <c r="F1236" s="2" t="s">
        <v>194</v>
      </c>
      <c r="G1236" s="2" t="s">
        <v>5558</v>
      </c>
      <c r="H1236" s="3">
        <v>0</v>
      </c>
      <c r="I1236" s="2" t="s">
        <v>18</v>
      </c>
      <c r="J1236" s="2" t="s">
        <v>5559</v>
      </c>
      <c r="K1236" s="2" t="s">
        <v>194</v>
      </c>
      <c r="L1236" s="2" t="s">
        <v>5560</v>
      </c>
      <c r="M1236" s="4">
        <v>0</v>
      </c>
      <c r="N1236" t="e">
        <f>OR(LEFT(B1236,3)="frg",(_xlfn.XMATCH(B1236,ZZZ_Part_Id_[[#All],[FGCODE]])))</f>
        <v>#N/A</v>
      </c>
    </row>
    <row r="1237" spans="1:14" x14ac:dyDescent="0.3">
      <c r="A1237" s="2" t="s">
        <v>5516</v>
      </c>
      <c r="B1237" s="2" t="s">
        <v>198</v>
      </c>
      <c r="C1237" s="2" t="s">
        <v>5561</v>
      </c>
      <c r="D1237" s="5">
        <v>-4.8000000000000001E-2</v>
      </c>
      <c r="E1237" s="3">
        <v>0</v>
      </c>
      <c r="F1237" s="2" t="s">
        <v>23</v>
      </c>
      <c r="G1237" s="2" t="s">
        <v>5562</v>
      </c>
      <c r="H1237" s="3">
        <v>0</v>
      </c>
      <c r="I1237" s="2" t="s">
        <v>18</v>
      </c>
      <c r="J1237" s="2" t="s">
        <v>5563</v>
      </c>
      <c r="K1237" s="2" t="s">
        <v>23</v>
      </c>
      <c r="L1237" s="2" t="s">
        <v>5564</v>
      </c>
      <c r="M1237" s="4">
        <v>0</v>
      </c>
      <c r="N1237" t="e">
        <f>OR(LEFT(B1237,3)="frg",(_xlfn.XMATCH(B1237,ZZZ_Part_Id_[[#All],[FGCODE]])))</f>
        <v>#N/A</v>
      </c>
    </row>
    <row r="1238" spans="1:14" x14ac:dyDescent="0.3">
      <c r="A1238" s="2" t="s">
        <v>5516</v>
      </c>
      <c r="B1238" s="2" t="s">
        <v>203</v>
      </c>
      <c r="C1238" s="2" t="s">
        <v>5565</v>
      </c>
      <c r="D1238" s="5">
        <v>-4.8000000000000001E-2</v>
      </c>
      <c r="E1238" s="3">
        <v>0</v>
      </c>
      <c r="F1238" s="2" t="s">
        <v>23</v>
      </c>
      <c r="G1238" s="2" t="s">
        <v>5566</v>
      </c>
      <c r="H1238" s="3">
        <v>0</v>
      </c>
      <c r="I1238" s="2" t="s">
        <v>18</v>
      </c>
      <c r="J1238" s="2" t="s">
        <v>5567</v>
      </c>
      <c r="K1238" s="2" t="s">
        <v>23</v>
      </c>
      <c r="L1238" s="2" t="s">
        <v>5568</v>
      </c>
      <c r="M1238" s="4">
        <v>0</v>
      </c>
      <c r="N1238" t="e">
        <f>OR(LEFT(B1238,3)="frg",(_xlfn.XMATCH(B1238,ZZZ_Part_Id_[[#All],[FGCODE]])))</f>
        <v>#N/A</v>
      </c>
    </row>
    <row r="1239" spans="1:14" x14ac:dyDescent="0.3">
      <c r="A1239" s="2" t="s">
        <v>5516</v>
      </c>
      <c r="B1239" s="2" t="s">
        <v>208</v>
      </c>
      <c r="C1239" s="2" t="s">
        <v>5569</v>
      </c>
      <c r="D1239" s="5">
        <v>-4.8000000000000001E-2</v>
      </c>
      <c r="E1239" s="3">
        <v>0</v>
      </c>
      <c r="F1239" s="2" t="s">
        <v>23</v>
      </c>
      <c r="G1239" s="2" t="s">
        <v>5570</v>
      </c>
      <c r="H1239" s="3">
        <v>0</v>
      </c>
      <c r="I1239" s="2" t="s">
        <v>18</v>
      </c>
      <c r="J1239" s="2" t="s">
        <v>5571</v>
      </c>
      <c r="K1239" s="2" t="s">
        <v>23</v>
      </c>
      <c r="L1239" s="2" t="s">
        <v>5572</v>
      </c>
      <c r="M1239" s="4">
        <v>0</v>
      </c>
      <c r="N1239" t="e">
        <f>OR(LEFT(B1239,3)="frg",(_xlfn.XMATCH(B1239,ZZZ_Part_Id_[[#All],[FGCODE]])))</f>
        <v>#N/A</v>
      </c>
    </row>
    <row r="1240" spans="1:14" x14ac:dyDescent="0.3">
      <c r="A1240" s="2" t="s">
        <v>5516</v>
      </c>
      <c r="B1240" s="2" t="s">
        <v>213</v>
      </c>
      <c r="C1240" s="2" t="s">
        <v>5573</v>
      </c>
      <c r="D1240" s="3">
        <v>0</v>
      </c>
      <c r="E1240" s="3">
        <v>0</v>
      </c>
      <c r="F1240" s="2" t="s">
        <v>16</v>
      </c>
      <c r="G1240" s="2" t="s">
        <v>5574</v>
      </c>
      <c r="H1240" s="3">
        <v>0</v>
      </c>
      <c r="I1240" s="2" t="s">
        <v>18</v>
      </c>
      <c r="J1240" s="2" t="s">
        <v>5575</v>
      </c>
      <c r="K1240" s="2" t="s">
        <v>16</v>
      </c>
      <c r="L1240" s="2" t="s">
        <v>5576</v>
      </c>
      <c r="M1240" s="4">
        <v>0</v>
      </c>
      <c r="N1240" t="e">
        <f>OR(LEFT(B1240,3)="frg",(_xlfn.XMATCH(B1240,ZZZ_Part_Id_[[#All],[FGCODE]])))</f>
        <v>#N/A</v>
      </c>
    </row>
    <row r="1241" spans="1:14" x14ac:dyDescent="0.3">
      <c r="A1241" s="2" t="s">
        <v>5516</v>
      </c>
      <c r="B1241" s="2" t="s">
        <v>218</v>
      </c>
      <c r="C1241" s="2" t="s">
        <v>5577</v>
      </c>
      <c r="D1241" s="3">
        <v>0</v>
      </c>
      <c r="E1241" s="3">
        <v>0</v>
      </c>
      <c r="F1241" s="2" t="s">
        <v>16</v>
      </c>
      <c r="G1241" s="2" t="s">
        <v>5578</v>
      </c>
      <c r="H1241" s="3">
        <v>0</v>
      </c>
      <c r="I1241" s="2" t="s">
        <v>18</v>
      </c>
      <c r="J1241" s="2" t="s">
        <v>5579</v>
      </c>
      <c r="K1241" s="2" t="s">
        <v>16</v>
      </c>
      <c r="L1241" s="2" t="s">
        <v>5580</v>
      </c>
      <c r="M1241" s="4">
        <v>0</v>
      </c>
      <c r="N1241" t="e">
        <f>OR(LEFT(B1241,3)="frg",(_xlfn.XMATCH(B1241,ZZZ_Part_Id_[[#All],[FGCODE]])))</f>
        <v>#N/A</v>
      </c>
    </row>
    <row r="1242" spans="1:14" x14ac:dyDescent="0.3">
      <c r="A1242" s="2" t="s">
        <v>5516</v>
      </c>
      <c r="B1242" s="2" t="s">
        <v>223</v>
      </c>
      <c r="C1242" s="2" t="s">
        <v>5581</v>
      </c>
      <c r="D1242" s="5">
        <v>-23.856000000000002</v>
      </c>
      <c r="E1242" s="3">
        <v>0</v>
      </c>
      <c r="F1242" s="2" t="s">
        <v>23</v>
      </c>
      <c r="G1242" s="2" t="s">
        <v>5582</v>
      </c>
      <c r="H1242" s="3">
        <v>0</v>
      </c>
      <c r="I1242" s="2" t="s">
        <v>18</v>
      </c>
      <c r="J1242" s="2" t="s">
        <v>5583</v>
      </c>
      <c r="K1242" s="2" t="s">
        <v>23</v>
      </c>
      <c r="L1242" s="2" t="s">
        <v>5584</v>
      </c>
      <c r="M1242" s="4">
        <v>0</v>
      </c>
      <c r="N1242" t="e">
        <f>OR(LEFT(B1242,3)="frg",(_xlfn.XMATCH(B1242,ZZZ_Part_Id_[[#All],[FGCODE]])))</f>
        <v>#N/A</v>
      </c>
    </row>
    <row r="1243" spans="1:14" x14ac:dyDescent="0.3">
      <c r="A1243" s="2" t="s">
        <v>5516</v>
      </c>
      <c r="B1243" s="2" t="s">
        <v>21</v>
      </c>
      <c r="C1243" s="2" t="s">
        <v>5585</v>
      </c>
      <c r="D1243" s="5">
        <v>-71.760000000000005</v>
      </c>
      <c r="E1243" s="3">
        <v>0</v>
      </c>
      <c r="F1243" s="2" t="s">
        <v>23</v>
      </c>
      <c r="G1243" s="2" t="s">
        <v>5586</v>
      </c>
      <c r="H1243" s="3">
        <v>0</v>
      </c>
      <c r="I1243" s="2" t="s">
        <v>18</v>
      </c>
      <c r="J1243" s="2" t="s">
        <v>5587</v>
      </c>
      <c r="K1243" s="2" t="s">
        <v>23</v>
      </c>
      <c r="L1243" s="2" t="s">
        <v>5588</v>
      </c>
      <c r="M1243" s="4">
        <v>0</v>
      </c>
      <c r="N1243" t="b">
        <f>OR(LEFT(B1243,3)="frg",(_xlfn.XMATCH(B1243,ZZZ_Part_Id_[[#All],[FGCODE]])))</f>
        <v>1</v>
      </c>
    </row>
    <row r="1244" spans="1:14" x14ac:dyDescent="0.3">
      <c r="A1244" s="2" t="s">
        <v>5516</v>
      </c>
      <c r="B1244" s="2" t="s">
        <v>232</v>
      </c>
      <c r="C1244" s="2" t="s">
        <v>5589</v>
      </c>
      <c r="D1244" s="5">
        <v>-23.856000000000002</v>
      </c>
      <c r="E1244" s="3">
        <v>0</v>
      </c>
      <c r="F1244" s="2" t="s">
        <v>23</v>
      </c>
      <c r="G1244" s="2" t="s">
        <v>5590</v>
      </c>
      <c r="H1244" s="3">
        <v>0</v>
      </c>
      <c r="I1244" s="2" t="s">
        <v>18</v>
      </c>
      <c r="J1244" s="2" t="s">
        <v>5591</v>
      </c>
      <c r="K1244" s="2" t="s">
        <v>23</v>
      </c>
      <c r="L1244" s="2" t="s">
        <v>5592</v>
      </c>
      <c r="M1244" s="4">
        <v>0</v>
      </c>
      <c r="N1244" t="e">
        <f>OR(LEFT(B1244,3)="frg",(_xlfn.XMATCH(B1244,ZZZ_Part_Id_[[#All],[FGCODE]])))</f>
        <v>#N/A</v>
      </c>
    </row>
    <row r="1245" spans="1:14" x14ac:dyDescent="0.3">
      <c r="A1245" s="2" t="s">
        <v>5516</v>
      </c>
      <c r="B1245" s="2" t="s">
        <v>237</v>
      </c>
      <c r="C1245" s="2" t="s">
        <v>5593</v>
      </c>
      <c r="D1245" s="3">
        <v>0</v>
      </c>
      <c r="E1245" s="3">
        <v>0</v>
      </c>
      <c r="F1245" s="2" t="s">
        <v>16</v>
      </c>
      <c r="G1245" s="2" t="s">
        <v>5594</v>
      </c>
      <c r="H1245" s="3">
        <v>0</v>
      </c>
      <c r="I1245" s="2" t="s">
        <v>18</v>
      </c>
      <c r="J1245" s="2" t="s">
        <v>5595</v>
      </c>
      <c r="K1245" s="2" t="s">
        <v>16</v>
      </c>
      <c r="L1245" s="2" t="s">
        <v>5596</v>
      </c>
      <c r="M1245" s="4">
        <v>0</v>
      </c>
      <c r="N1245" t="e">
        <f>OR(LEFT(B1245,3)="frg",(_xlfn.XMATCH(B1245,ZZZ_Part_Id_[[#All],[FGCODE]])))</f>
        <v>#N/A</v>
      </c>
    </row>
    <row r="1246" spans="1:14" x14ac:dyDescent="0.3">
      <c r="A1246" s="2" t="s">
        <v>5516</v>
      </c>
      <c r="B1246" s="2" t="s">
        <v>242</v>
      </c>
      <c r="C1246" s="2" t="s">
        <v>5597</v>
      </c>
      <c r="D1246" s="3">
        <v>0</v>
      </c>
      <c r="E1246" s="3">
        <v>0</v>
      </c>
      <c r="F1246" s="2" t="s">
        <v>16</v>
      </c>
      <c r="G1246" s="2" t="s">
        <v>5598</v>
      </c>
      <c r="H1246" s="3">
        <v>0</v>
      </c>
      <c r="I1246" s="2" t="s">
        <v>18</v>
      </c>
      <c r="J1246" s="2" t="s">
        <v>5599</v>
      </c>
      <c r="K1246" s="2" t="s">
        <v>16</v>
      </c>
      <c r="L1246" s="2" t="s">
        <v>5600</v>
      </c>
      <c r="M1246" s="4">
        <v>0</v>
      </c>
      <c r="N1246" t="e">
        <f>OR(LEFT(B1246,3)="frg",(_xlfn.XMATCH(B1246,ZZZ_Part_Id_[[#All],[FGCODE]])))</f>
        <v>#N/A</v>
      </c>
    </row>
    <row r="1247" spans="1:14" x14ac:dyDescent="0.3">
      <c r="A1247" s="2" t="s">
        <v>5516</v>
      </c>
      <c r="B1247" s="2" t="s">
        <v>264</v>
      </c>
      <c r="C1247" s="2" t="s">
        <v>5601</v>
      </c>
      <c r="D1247" s="3">
        <v>4.8000000000000001E-2</v>
      </c>
      <c r="E1247" s="3">
        <v>4.8000000000000001E-2</v>
      </c>
      <c r="F1247" s="2" t="s">
        <v>16</v>
      </c>
      <c r="G1247" s="2" t="s">
        <v>5602</v>
      </c>
      <c r="H1247" s="3">
        <v>0</v>
      </c>
      <c r="I1247" s="2" t="s">
        <v>18</v>
      </c>
      <c r="J1247" s="2" t="s">
        <v>5603</v>
      </c>
      <c r="K1247" s="2" t="s">
        <v>16</v>
      </c>
      <c r="L1247" s="2" t="s">
        <v>5604</v>
      </c>
      <c r="M1247" s="4">
        <v>1.46</v>
      </c>
      <c r="N1247" t="e">
        <f>OR(LEFT(B1247,3)="frg",(_xlfn.XMATCH(B1247,ZZZ_Part_Id_[[#All],[FGCODE]])))</f>
        <v>#N/A</v>
      </c>
    </row>
    <row r="1248" spans="1:14" x14ac:dyDescent="0.3">
      <c r="A1248" s="2" t="s">
        <v>5516</v>
      </c>
      <c r="B1248" s="2" t="s">
        <v>274</v>
      </c>
      <c r="C1248" s="2" t="s">
        <v>5605</v>
      </c>
      <c r="D1248" s="3">
        <v>14448</v>
      </c>
      <c r="E1248" s="3">
        <v>0</v>
      </c>
      <c r="F1248" s="2" t="s">
        <v>23</v>
      </c>
      <c r="G1248" s="2" t="s">
        <v>5606</v>
      </c>
      <c r="H1248" s="3">
        <v>0</v>
      </c>
      <c r="I1248" s="2" t="s">
        <v>18</v>
      </c>
      <c r="J1248" s="2" t="s">
        <v>5607</v>
      </c>
      <c r="K1248" s="2" t="s">
        <v>23</v>
      </c>
      <c r="L1248" s="2" t="s">
        <v>5608</v>
      </c>
      <c r="M1248" s="4">
        <v>0</v>
      </c>
      <c r="N1248" t="e">
        <f>OR(LEFT(B1248,3)="frg",(_xlfn.XMATCH(B1248,ZZZ_Part_Id_[[#All],[FGCODE]])))</f>
        <v>#N/A</v>
      </c>
    </row>
    <row r="1249" spans="1:14" x14ac:dyDescent="0.3">
      <c r="A1249" s="2" t="s">
        <v>5516</v>
      </c>
      <c r="B1249" s="2" t="s">
        <v>279</v>
      </c>
      <c r="C1249" s="2" t="s">
        <v>5609</v>
      </c>
      <c r="D1249" s="3">
        <v>0</v>
      </c>
      <c r="E1249" s="3">
        <v>0</v>
      </c>
      <c r="F1249" s="2" t="s">
        <v>23</v>
      </c>
      <c r="G1249" s="2" t="s">
        <v>5610</v>
      </c>
      <c r="H1249" s="3">
        <v>0</v>
      </c>
      <c r="I1249" s="2" t="s">
        <v>18</v>
      </c>
      <c r="J1249" s="2" t="s">
        <v>5611</v>
      </c>
      <c r="K1249" s="2" t="s">
        <v>23</v>
      </c>
      <c r="L1249" s="2" t="s">
        <v>5612</v>
      </c>
      <c r="M1249" s="4">
        <v>0</v>
      </c>
      <c r="N1249" t="e">
        <f>OR(LEFT(B1249,3)="frg",(_xlfn.XMATCH(B1249,ZZZ_Part_Id_[[#All],[FGCODE]])))</f>
        <v>#N/A</v>
      </c>
    </row>
    <row r="1250" spans="1:14" x14ac:dyDescent="0.3">
      <c r="A1250" s="2" t="s">
        <v>5516</v>
      </c>
      <c r="B1250" s="2" t="s">
        <v>892</v>
      </c>
      <c r="C1250" s="2" t="s">
        <v>5613</v>
      </c>
      <c r="D1250" s="3">
        <v>0</v>
      </c>
      <c r="E1250" s="3">
        <v>0</v>
      </c>
      <c r="F1250" s="2" t="s">
        <v>23</v>
      </c>
      <c r="G1250" s="2" t="s">
        <v>5614</v>
      </c>
      <c r="H1250" s="3">
        <v>0</v>
      </c>
      <c r="I1250" s="2" t="s">
        <v>18</v>
      </c>
      <c r="J1250" s="2" t="s">
        <v>5615</v>
      </c>
      <c r="K1250" s="2" t="s">
        <v>23</v>
      </c>
      <c r="L1250" s="2" t="s">
        <v>5616</v>
      </c>
      <c r="M1250" s="4">
        <v>0</v>
      </c>
      <c r="N1250" t="e">
        <f>OR(LEFT(B1250,3)="frg",(_xlfn.XMATCH(B1250,ZZZ_Part_Id_[[#All],[FGCODE]])))</f>
        <v>#N/A</v>
      </c>
    </row>
    <row r="1251" spans="1:14" x14ac:dyDescent="0.3">
      <c r="A1251" s="2" t="s">
        <v>5516</v>
      </c>
      <c r="B1251" s="2" t="s">
        <v>897</v>
      </c>
      <c r="C1251" s="2" t="s">
        <v>5617</v>
      </c>
      <c r="D1251" s="3">
        <v>0</v>
      </c>
      <c r="E1251" s="3">
        <v>0</v>
      </c>
      <c r="F1251" s="2" t="s">
        <v>23</v>
      </c>
      <c r="G1251" s="2" t="s">
        <v>5618</v>
      </c>
      <c r="H1251" s="3">
        <v>0</v>
      </c>
      <c r="I1251" s="2" t="s">
        <v>18</v>
      </c>
      <c r="J1251" s="2" t="s">
        <v>5619</v>
      </c>
      <c r="K1251" s="2" t="s">
        <v>23</v>
      </c>
      <c r="L1251" s="2" t="s">
        <v>5620</v>
      </c>
      <c r="M1251" s="4">
        <v>0</v>
      </c>
      <c r="N1251" t="e">
        <f>OR(LEFT(B1251,3)="frg",(_xlfn.XMATCH(B1251,ZZZ_Part_Id_[[#All],[FGCODE]])))</f>
        <v>#N/A</v>
      </c>
    </row>
    <row r="1252" spans="1:14" x14ac:dyDescent="0.3">
      <c r="A1252" s="2" t="s">
        <v>5516</v>
      </c>
      <c r="B1252" s="2" t="s">
        <v>924</v>
      </c>
      <c r="C1252" s="2" t="s">
        <v>5621</v>
      </c>
      <c r="D1252" s="3">
        <v>0</v>
      </c>
      <c r="E1252" s="3">
        <v>0</v>
      </c>
      <c r="F1252" s="2" t="s">
        <v>23</v>
      </c>
      <c r="G1252" s="2" t="s">
        <v>5622</v>
      </c>
      <c r="H1252" s="3">
        <v>0</v>
      </c>
      <c r="I1252" s="2" t="s">
        <v>18</v>
      </c>
      <c r="J1252" s="2" t="s">
        <v>5623</v>
      </c>
      <c r="K1252" s="2" t="s">
        <v>23</v>
      </c>
      <c r="L1252" s="2" t="s">
        <v>5624</v>
      </c>
      <c r="M1252" s="4">
        <v>0</v>
      </c>
      <c r="N1252" t="e">
        <f>OR(LEFT(B1252,3)="frg",(_xlfn.XMATCH(B1252,ZZZ_Part_Id_[[#All],[FGCODE]])))</f>
        <v>#N/A</v>
      </c>
    </row>
    <row r="1253" spans="1:14" x14ac:dyDescent="0.3">
      <c r="A1253" s="2" t="s">
        <v>5516</v>
      </c>
      <c r="B1253" s="2" t="s">
        <v>919</v>
      </c>
      <c r="C1253" s="2" t="s">
        <v>5625</v>
      </c>
      <c r="D1253" s="3">
        <v>0</v>
      </c>
      <c r="E1253" s="3">
        <v>0</v>
      </c>
      <c r="F1253" s="2" t="s">
        <v>23</v>
      </c>
      <c r="G1253" s="2" t="s">
        <v>5626</v>
      </c>
      <c r="H1253" s="3">
        <v>0</v>
      </c>
      <c r="I1253" s="2" t="s">
        <v>18</v>
      </c>
      <c r="J1253" s="2" t="s">
        <v>5627</v>
      </c>
      <c r="K1253" s="2" t="s">
        <v>23</v>
      </c>
      <c r="L1253" s="2" t="s">
        <v>5628</v>
      </c>
      <c r="M1253" s="4">
        <v>0</v>
      </c>
      <c r="N1253" t="e">
        <f>OR(LEFT(B1253,3)="frg",(_xlfn.XMATCH(B1253,ZZZ_Part_Id_[[#All],[FGCODE]])))</f>
        <v>#N/A</v>
      </c>
    </row>
    <row r="1254" spans="1:14" x14ac:dyDescent="0.3">
      <c r="A1254" s="2" t="s">
        <v>5516</v>
      </c>
      <c r="B1254" s="2" t="s">
        <v>929</v>
      </c>
      <c r="C1254" s="2" t="s">
        <v>5629</v>
      </c>
      <c r="D1254" s="3">
        <v>0</v>
      </c>
      <c r="E1254" s="3">
        <v>0</v>
      </c>
      <c r="F1254" s="2" t="s">
        <v>23</v>
      </c>
      <c r="G1254" s="2" t="s">
        <v>5630</v>
      </c>
      <c r="H1254" s="3">
        <v>0</v>
      </c>
      <c r="I1254" s="2" t="s">
        <v>18</v>
      </c>
      <c r="J1254" s="2" t="s">
        <v>5631</v>
      </c>
      <c r="K1254" s="2" t="s">
        <v>23</v>
      </c>
      <c r="L1254" s="2" t="s">
        <v>5632</v>
      </c>
      <c r="M1254" s="4">
        <v>0</v>
      </c>
      <c r="N1254" t="e">
        <f>OR(LEFT(B1254,3)="frg",(_xlfn.XMATCH(B1254,ZZZ_Part_Id_[[#All],[FGCODE]])))</f>
        <v>#N/A</v>
      </c>
    </row>
    <row r="1255" spans="1:14" x14ac:dyDescent="0.3">
      <c r="A1255" s="2" t="s">
        <v>5516</v>
      </c>
      <c r="B1255" s="2" t="s">
        <v>284</v>
      </c>
      <c r="C1255" s="2" t="s">
        <v>5633</v>
      </c>
      <c r="D1255" s="7">
        <v>10560</v>
      </c>
      <c r="E1255" s="7">
        <v>0</v>
      </c>
      <c r="F1255" s="2" t="s">
        <v>3987</v>
      </c>
      <c r="G1255" s="2" t="s">
        <v>5634</v>
      </c>
      <c r="H1255" s="7">
        <v>0</v>
      </c>
      <c r="I1255" s="2" t="s">
        <v>18</v>
      </c>
      <c r="J1255" s="2" t="s">
        <v>5635</v>
      </c>
      <c r="K1255" s="2" t="s">
        <v>3987</v>
      </c>
      <c r="L1255" s="2" t="s">
        <v>5636</v>
      </c>
      <c r="M1255" s="4">
        <v>0</v>
      </c>
      <c r="N1255" t="e">
        <f>OR(LEFT(B1255,3)="frg",(_xlfn.XMATCH(B1255,ZZZ_Part_Id_[[#All],[FGCODE]])))</f>
        <v>#N/A</v>
      </c>
    </row>
    <row r="1256" spans="1:14" x14ac:dyDescent="0.3">
      <c r="A1256" s="2" t="s">
        <v>5516</v>
      </c>
      <c r="B1256" s="2" t="s">
        <v>5477</v>
      </c>
      <c r="C1256" s="2" t="s">
        <v>5637</v>
      </c>
      <c r="D1256" s="3">
        <v>317952</v>
      </c>
      <c r="E1256" s="3">
        <v>317952</v>
      </c>
      <c r="F1256" s="2" t="s">
        <v>16</v>
      </c>
      <c r="G1256" s="2" t="s">
        <v>131</v>
      </c>
      <c r="H1256" s="3">
        <v>0</v>
      </c>
      <c r="I1256" s="2" t="s">
        <v>18</v>
      </c>
      <c r="J1256" s="2" t="s">
        <v>5638</v>
      </c>
      <c r="K1256" s="2" t="s">
        <v>16</v>
      </c>
      <c r="L1256" s="2" t="s">
        <v>5639</v>
      </c>
      <c r="M1256" s="4">
        <v>94469.759999999995</v>
      </c>
      <c r="N1256" t="b">
        <f>OR(LEFT(B1256,3)="frg",(_xlfn.XMATCH(B1256,ZZZ_Part_Id_[[#All],[FGCODE]])))</f>
        <v>1</v>
      </c>
    </row>
    <row r="1257" spans="1:14" x14ac:dyDescent="0.3">
      <c r="A1257" s="2" t="s">
        <v>5640</v>
      </c>
      <c r="B1257" s="2" t="s">
        <v>5641</v>
      </c>
      <c r="C1257" s="2" t="s">
        <v>5642</v>
      </c>
      <c r="D1257" s="3">
        <v>981360</v>
      </c>
      <c r="E1257" s="3">
        <v>981360</v>
      </c>
      <c r="F1257" s="2" t="s">
        <v>16</v>
      </c>
      <c r="G1257" s="2" t="s">
        <v>5643</v>
      </c>
      <c r="H1257" s="3">
        <v>0</v>
      </c>
      <c r="I1257" s="2" t="s">
        <v>18</v>
      </c>
      <c r="J1257" s="2" t="s">
        <v>5644</v>
      </c>
      <c r="K1257" s="2" t="s">
        <v>16</v>
      </c>
      <c r="L1257" s="2" t="s">
        <v>5645</v>
      </c>
      <c r="M1257" s="4">
        <v>56487.08</v>
      </c>
      <c r="N1257" t="b">
        <f>OR(LEFT(B1257,3)="frg",(_xlfn.XMATCH(B1257,ZZZ_Part_Id_[[#All],[FGCODE]])))</f>
        <v>1</v>
      </c>
    </row>
    <row r="1258" spans="1:14" x14ac:dyDescent="0.3">
      <c r="A1258" s="2" t="s">
        <v>5640</v>
      </c>
      <c r="B1258" s="2" t="s">
        <v>14</v>
      </c>
      <c r="C1258" s="2" t="s">
        <v>5646</v>
      </c>
      <c r="D1258" s="3">
        <v>45</v>
      </c>
      <c r="E1258" s="3">
        <v>45</v>
      </c>
      <c r="F1258" s="2" t="s">
        <v>16</v>
      </c>
      <c r="G1258" s="2" t="s">
        <v>5647</v>
      </c>
      <c r="H1258" s="3">
        <v>0</v>
      </c>
      <c r="I1258" s="2" t="s">
        <v>18</v>
      </c>
      <c r="J1258" s="2" t="s">
        <v>5648</v>
      </c>
      <c r="K1258" s="2" t="s">
        <v>16</v>
      </c>
      <c r="L1258" s="2" t="s">
        <v>5649</v>
      </c>
      <c r="M1258" s="4">
        <v>3.46</v>
      </c>
      <c r="N1258" t="e">
        <f>OR(LEFT(B1258,3)="frg",(_xlfn.XMATCH(B1258,ZZZ_Part_Id_[[#All],[FGCODE]])))</f>
        <v>#N/A</v>
      </c>
    </row>
    <row r="1259" spans="1:14" x14ac:dyDescent="0.3">
      <c r="A1259" s="2" t="s">
        <v>5640</v>
      </c>
      <c r="B1259" s="2" t="s">
        <v>140</v>
      </c>
      <c r="C1259" s="2" t="s">
        <v>5650</v>
      </c>
      <c r="D1259" s="3">
        <v>1.8</v>
      </c>
      <c r="E1259" s="3">
        <v>1.8</v>
      </c>
      <c r="F1259" s="2" t="s">
        <v>16</v>
      </c>
      <c r="G1259" s="2" t="s">
        <v>5651</v>
      </c>
      <c r="H1259" s="3">
        <v>0</v>
      </c>
      <c r="I1259" s="2" t="s">
        <v>18</v>
      </c>
      <c r="J1259" s="2" t="s">
        <v>5652</v>
      </c>
      <c r="K1259" s="2" t="s">
        <v>16</v>
      </c>
      <c r="L1259" s="2" t="s">
        <v>5653</v>
      </c>
      <c r="M1259" s="4">
        <v>2.97</v>
      </c>
      <c r="N1259" t="e">
        <f>OR(LEFT(B1259,3)="frg",(_xlfn.XMATCH(B1259,ZZZ_Part_Id_[[#All],[FGCODE]])))</f>
        <v>#N/A</v>
      </c>
    </row>
    <row r="1260" spans="1:14" x14ac:dyDescent="0.3">
      <c r="A1260" s="2" t="s">
        <v>5640</v>
      </c>
      <c r="B1260" s="2" t="s">
        <v>192</v>
      </c>
      <c r="C1260" s="2" t="s">
        <v>5654</v>
      </c>
      <c r="D1260" s="3">
        <v>0.45</v>
      </c>
      <c r="E1260" s="3">
        <v>0.45</v>
      </c>
      <c r="F1260" s="2" t="s">
        <v>194</v>
      </c>
      <c r="G1260" s="2" t="s">
        <v>5655</v>
      </c>
      <c r="H1260" s="3">
        <v>0</v>
      </c>
      <c r="I1260" s="2" t="s">
        <v>18</v>
      </c>
      <c r="J1260" s="2" t="s">
        <v>5656</v>
      </c>
      <c r="K1260" s="2" t="s">
        <v>194</v>
      </c>
      <c r="L1260" s="2" t="s">
        <v>5657</v>
      </c>
      <c r="M1260" s="4">
        <v>2.35</v>
      </c>
      <c r="N1260" t="e">
        <f>OR(LEFT(B1260,3)="frg",(_xlfn.XMATCH(B1260,ZZZ_Part_Id_[[#All],[FGCODE]])))</f>
        <v>#N/A</v>
      </c>
    </row>
    <row r="1261" spans="1:14" x14ac:dyDescent="0.3">
      <c r="A1261" s="2" t="s">
        <v>5640</v>
      </c>
      <c r="B1261" s="2" t="s">
        <v>145</v>
      </c>
      <c r="C1261" s="2" t="s">
        <v>5658</v>
      </c>
      <c r="D1261" s="3">
        <v>0.18</v>
      </c>
      <c r="E1261" s="3">
        <v>0.18</v>
      </c>
      <c r="F1261" s="2" t="s">
        <v>147</v>
      </c>
      <c r="G1261" s="2" t="s">
        <v>5659</v>
      </c>
      <c r="H1261" s="3">
        <v>0</v>
      </c>
      <c r="I1261" s="2" t="s">
        <v>18</v>
      </c>
      <c r="J1261" s="2" t="s">
        <v>5660</v>
      </c>
      <c r="K1261" s="2" t="s">
        <v>147</v>
      </c>
      <c r="L1261" s="2" t="s">
        <v>5661</v>
      </c>
      <c r="M1261" s="4">
        <v>28.15</v>
      </c>
      <c r="N1261" t="e">
        <f>OR(LEFT(B1261,3)="frg",(_xlfn.XMATCH(B1261,ZZZ_Part_Id_[[#All],[FGCODE]])))</f>
        <v>#N/A</v>
      </c>
    </row>
    <row r="1262" spans="1:14" x14ac:dyDescent="0.3">
      <c r="A1262" s="2" t="s">
        <v>5640</v>
      </c>
      <c r="B1262" s="2" t="s">
        <v>172</v>
      </c>
      <c r="C1262" s="2" t="s">
        <v>5662</v>
      </c>
      <c r="D1262" s="3">
        <v>12.69</v>
      </c>
      <c r="E1262" s="3">
        <v>12.69</v>
      </c>
      <c r="F1262" s="2" t="s">
        <v>23</v>
      </c>
      <c r="G1262" s="2" t="s">
        <v>5663</v>
      </c>
      <c r="H1262" s="3">
        <v>0</v>
      </c>
      <c r="I1262" s="2" t="s">
        <v>18</v>
      </c>
      <c r="J1262" s="2" t="s">
        <v>5664</v>
      </c>
      <c r="K1262" s="2" t="s">
        <v>23</v>
      </c>
      <c r="L1262" s="2" t="s">
        <v>5665</v>
      </c>
      <c r="M1262" s="4">
        <v>82.49</v>
      </c>
      <c r="N1262" t="e">
        <f>OR(LEFT(B1262,3)="frg",(_xlfn.XMATCH(B1262,ZZZ_Part_Id_[[#All],[FGCODE]])))</f>
        <v>#N/A</v>
      </c>
    </row>
    <row r="1263" spans="1:14" x14ac:dyDescent="0.3">
      <c r="A1263" s="2" t="s">
        <v>5640</v>
      </c>
      <c r="B1263" s="2" t="s">
        <v>187</v>
      </c>
      <c r="C1263" s="2" t="s">
        <v>5666</v>
      </c>
      <c r="D1263" s="3">
        <v>9.5749999999999993</v>
      </c>
      <c r="E1263" s="3">
        <v>9.5749999999999993</v>
      </c>
      <c r="F1263" s="2" t="s">
        <v>16</v>
      </c>
      <c r="G1263" s="2" t="s">
        <v>5667</v>
      </c>
      <c r="H1263" s="3">
        <v>0</v>
      </c>
      <c r="I1263" s="2" t="s">
        <v>18</v>
      </c>
      <c r="J1263" s="2" t="s">
        <v>5668</v>
      </c>
      <c r="K1263" s="2" t="s">
        <v>16</v>
      </c>
      <c r="L1263" s="2" t="s">
        <v>5669</v>
      </c>
      <c r="M1263" s="4">
        <v>41.31</v>
      </c>
      <c r="N1263" t="e">
        <f>OR(LEFT(B1263,3)="frg",(_xlfn.XMATCH(B1263,ZZZ_Part_Id_[[#All],[FGCODE]])))</f>
        <v>#N/A</v>
      </c>
    </row>
    <row r="1264" spans="1:14" x14ac:dyDescent="0.3">
      <c r="A1264" s="2" t="s">
        <v>5640</v>
      </c>
      <c r="B1264" s="2" t="s">
        <v>177</v>
      </c>
      <c r="C1264" s="2" t="s">
        <v>5670</v>
      </c>
      <c r="D1264" s="3">
        <v>4.7880000000000003</v>
      </c>
      <c r="E1264" s="3">
        <v>4.7880000000000003</v>
      </c>
      <c r="F1264" s="2" t="s">
        <v>16</v>
      </c>
      <c r="G1264" s="2" t="s">
        <v>5671</v>
      </c>
      <c r="H1264" s="3">
        <v>0</v>
      </c>
      <c r="I1264" s="2" t="s">
        <v>18</v>
      </c>
      <c r="J1264" s="2" t="s">
        <v>5672</v>
      </c>
      <c r="K1264" s="2" t="s">
        <v>16</v>
      </c>
      <c r="L1264" s="2" t="s">
        <v>5673</v>
      </c>
      <c r="M1264" s="4">
        <v>136.96</v>
      </c>
      <c r="N1264" t="e">
        <f>OR(LEFT(B1264,3)="frg",(_xlfn.XMATCH(B1264,ZZZ_Part_Id_[[#All],[FGCODE]])))</f>
        <v>#N/A</v>
      </c>
    </row>
    <row r="1265" spans="1:14" x14ac:dyDescent="0.3">
      <c r="A1265" s="2" t="s">
        <v>5640</v>
      </c>
      <c r="B1265" s="2" t="s">
        <v>86</v>
      </c>
      <c r="C1265" s="2" t="s">
        <v>5674</v>
      </c>
      <c r="D1265" s="5">
        <v>-522</v>
      </c>
      <c r="E1265" s="5">
        <v>-522</v>
      </c>
      <c r="F1265" s="2" t="s">
        <v>23</v>
      </c>
      <c r="G1265" s="2" t="s">
        <v>131</v>
      </c>
      <c r="H1265" s="3">
        <v>0</v>
      </c>
      <c r="I1265" s="2" t="s">
        <v>18</v>
      </c>
      <c r="J1265" s="2" t="s">
        <v>5675</v>
      </c>
      <c r="K1265" s="2" t="s">
        <v>23</v>
      </c>
      <c r="L1265" s="2" t="s">
        <v>5676</v>
      </c>
      <c r="M1265" s="6">
        <v>-1366.49</v>
      </c>
      <c r="N1265" t="b">
        <f>OR(LEFT(B1265,3)="frg",(_xlfn.XMATCH(B1265,ZZZ_Part_Id_[[#All],[FGCODE]])))</f>
        <v>1</v>
      </c>
    </row>
    <row r="1266" spans="1:14" x14ac:dyDescent="0.3">
      <c r="A1266" s="2" t="s">
        <v>5677</v>
      </c>
      <c r="B1266" s="2" t="s">
        <v>97</v>
      </c>
      <c r="C1266" s="2" t="s">
        <v>5678</v>
      </c>
      <c r="D1266" s="3">
        <v>38400</v>
      </c>
      <c r="E1266" s="3">
        <v>38400</v>
      </c>
      <c r="F1266" s="2" t="s">
        <v>16</v>
      </c>
      <c r="G1266" s="2" t="s">
        <v>5679</v>
      </c>
      <c r="H1266" s="3">
        <v>0</v>
      </c>
      <c r="I1266" s="2" t="s">
        <v>409</v>
      </c>
      <c r="J1266" s="2" t="s">
        <v>5680</v>
      </c>
      <c r="K1266" s="2" t="s">
        <v>16</v>
      </c>
      <c r="L1266" s="2" t="s">
        <v>5681</v>
      </c>
      <c r="M1266" s="4">
        <v>13159.68</v>
      </c>
      <c r="N1266" t="b">
        <f>OR(LEFT(B1266,3)="frg",(_xlfn.XMATCH(B1266,ZZZ_Part_Id_[[#All],[FGCODE]])))</f>
        <v>1</v>
      </c>
    </row>
    <row r="1267" spans="1:14" x14ac:dyDescent="0.3">
      <c r="A1267" s="2" t="s">
        <v>5677</v>
      </c>
      <c r="B1267" s="2" t="s">
        <v>86</v>
      </c>
      <c r="C1267" s="2" t="s">
        <v>5682</v>
      </c>
      <c r="D1267" s="5">
        <v>-498</v>
      </c>
      <c r="E1267" s="5">
        <v>-498</v>
      </c>
      <c r="F1267" s="2" t="s">
        <v>23</v>
      </c>
      <c r="G1267" s="2" t="s">
        <v>5683</v>
      </c>
      <c r="H1267" s="3">
        <v>0</v>
      </c>
      <c r="I1267" s="2" t="s">
        <v>409</v>
      </c>
      <c r="J1267" s="2" t="s">
        <v>5684</v>
      </c>
      <c r="K1267" s="2" t="s">
        <v>23</v>
      </c>
      <c r="L1267" s="2" t="s">
        <v>5685</v>
      </c>
      <c r="M1267" s="6">
        <v>-1303.6600000000001</v>
      </c>
      <c r="N1267" t="b">
        <f>OR(LEFT(B1267,3)="frg",(_xlfn.XMATCH(B1267,ZZZ_Part_Id_[[#All],[FGCODE]])))</f>
        <v>1</v>
      </c>
    </row>
    <row r="1268" spans="1:14" x14ac:dyDescent="0.3">
      <c r="A1268" s="2" t="s">
        <v>5677</v>
      </c>
      <c r="B1268" s="2" t="s">
        <v>14</v>
      </c>
      <c r="C1268" s="2" t="s">
        <v>5686</v>
      </c>
      <c r="D1268" s="3">
        <v>6</v>
      </c>
      <c r="E1268" s="3">
        <v>6</v>
      </c>
      <c r="F1268" s="2" t="s">
        <v>16</v>
      </c>
      <c r="G1268" s="2" t="s">
        <v>5687</v>
      </c>
      <c r="H1268" s="3">
        <v>0</v>
      </c>
      <c r="I1268" s="2" t="s">
        <v>409</v>
      </c>
      <c r="J1268" s="2" t="s">
        <v>5688</v>
      </c>
      <c r="K1268" s="2" t="s">
        <v>16</v>
      </c>
      <c r="L1268" s="2" t="s">
        <v>5689</v>
      </c>
      <c r="M1268" s="4">
        <v>0.46</v>
      </c>
      <c r="N1268" t="e">
        <f>OR(LEFT(B1268,3)="frg",(_xlfn.XMATCH(B1268,ZZZ_Part_Id_[[#All],[FGCODE]])))</f>
        <v>#N/A</v>
      </c>
    </row>
    <row r="1269" spans="1:14" x14ac:dyDescent="0.3">
      <c r="A1269" s="2" t="s">
        <v>5677</v>
      </c>
      <c r="B1269" s="2" t="s">
        <v>140</v>
      </c>
      <c r="C1269" s="2" t="s">
        <v>5690</v>
      </c>
      <c r="D1269" s="3">
        <v>0.24</v>
      </c>
      <c r="E1269" s="3">
        <v>0.24</v>
      </c>
      <c r="F1269" s="2" t="s">
        <v>16</v>
      </c>
      <c r="G1269" s="2" t="s">
        <v>5691</v>
      </c>
      <c r="H1269" s="3">
        <v>0</v>
      </c>
      <c r="I1269" s="2" t="s">
        <v>409</v>
      </c>
      <c r="J1269" s="2" t="s">
        <v>5692</v>
      </c>
      <c r="K1269" s="2" t="s">
        <v>16</v>
      </c>
      <c r="L1269" s="2" t="s">
        <v>5693</v>
      </c>
      <c r="M1269" s="4">
        <v>0.4</v>
      </c>
      <c r="N1269" t="e">
        <f>OR(LEFT(B1269,3)="frg",(_xlfn.XMATCH(B1269,ZZZ_Part_Id_[[#All],[FGCODE]])))</f>
        <v>#N/A</v>
      </c>
    </row>
    <row r="1270" spans="1:14" x14ac:dyDescent="0.3">
      <c r="A1270" s="2" t="s">
        <v>5677</v>
      </c>
      <c r="B1270" s="2" t="s">
        <v>192</v>
      </c>
      <c r="C1270" s="2" t="s">
        <v>5694</v>
      </c>
      <c r="D1270" s="3">
        <v>0.06</v>
      </c>
      <c r="E1270" s="3">
        <v>0.06</v>
      </c>
      <c r="F1270" s="2" t="s">
        <v>194</v>
      </c>
      <c r="G1270" s="2" t="s">
        <v>5695</v>
      </c>
      <c r="H1270" s="3">
        <v>0</v>
      </c>
      <c r="I1270" s="2" t="s">
        <v>409</v>
      </c>
      <c r="J1270" s="2" t="s">
        <v>5696</v>
      </c>
      <c r="K1270" s="2" t="s">
        <v>194</v>
      </c>
      <c r="L1270" s="2" t="s">
        <v>5697</v>
      </c>
      <c r="M1270" s="4">
        <v>0.31</v>
      </c>
      <c r="N1270" t="e">
        <f>OR(LEFT(B1270,3)="frg",(_xlfn.XMATCH(B1270,ZZZ_Part_Id_[[#All],[FGCODE]])))</f>
        <v>#N/A</v>
      </c>
    </row>
    <row r="1271" spans="1:14" x14ac:dyDescent="0.3">
      <c r="A1271" s="2" t="s">
        <v>5677</v>
      </c>
      <c r="B1271" s="2" t="s">
        <v>145</v>
      </c>
      <c r="C1271" s="2" t="s">
        <v>5698</v>
      </c>
      <c r="D1271" s="3">
        <v>2.4E-2</v>
      </c>
      <c r="E1271" s="3">
        <v>2.4E-2</v>
      </c>
      <c r="F1271" s="2" t="s">
        <v>147</v>
      </c>
      <c r="G1271" s="2" t="s">
        <v>5699</v>
      </c>
      <c r="H1271" s="3">
        <v>0</v>
      </c>
      <c r="I1271" s="2" t="s">
        <v>409</v>
      </c>
      <c r="J1271" s="2" t="s">
        <v>5700</v>
      </c>
      <c r="K1271" s="2" t="s">
        <v>147</v>
      </c>
      <c r="L1271" s="2" t="s">
        <v>5701</v>
      </c>
      <c r="M1271" s="4">
        <v>3.75</v>
      </c>
      <c r="N1271" t="e">
        <f>OR(LEFT(B1271,3)="frg",(_xlfn.XMATCH(B1271,ZZZ_Part_Id_[[#All],[FGCODE]])))</f>
        <v>#N/A</v>
      </c>
    </row>
    <row r="1272" spans="1:14" x14ac:dyDescent="0.3">
      <c r="A1272" s="2" t="s">
        <v>5702</v>
      </c>
      <c r="B1272" s="2" t="s">
        <v>1327</v>
      </c>
      <c r="C1272" s="2" t="s">
        <v>5703</v>
      </c>
      <c r="D1272" s="3">
        <v>62640</v>
      </c>
      <c r="E1272" s="3">
        <v>62640</v>
      </c>
      <c r="F1272" s="2" t="s">
        <v>16</v>
      </c>
      <c r="G1272" s="2" t="s">
        <v>5704</v>
      </c>
      <c r="H1272" s="3">
        <v>0</v>
      </c>
      <c r="I1272" s="2" t="s">
        <v>409</v>
      </c>
      <c r="J1272" s="2" t="s">
        <v>5705</v>
      </c>
      <c r="K1272" s="2" t="s">
        <v>16</v>
      </c>
      <c r="L1272" s="2" t="s">
        <v>5706</v>
      </c>
      <c r="M1272" s="4">
        <v>3633.12</v>
      </c>
      <c r="N1272" t="b">
        <f>OR(LEFT(B1272,3)="frg",(_xlfn.XMATCH(B1272,ZZZ_Part_Id_[[#All],[FGCODE]])))</f>
        <v>1</v>
      </c>
    </row>
    <row r="1273" spans="1:14" x14ac:dyDescent="0.3">
      <c r="A1273" s="2" t="s">
        <v>5707</v>
      </c>
      <c r="B1273" s="2" t="s">
        <v>2238</v>
      </c>
      <c r="C1273" s="2" t="s">
        <v>5708</v>
      </c>
      <c r="D1273" s="3">
        <v>24576</v>
      </c>
      <c r="E1273" s="3">
        <v>24576</v>
      </c>
      <c r="F1273" s="2" t="s">
        <v>16</v>
      </c>
      <c r="G1273" s="2" t="s">
        <v>5709</v>
      </c>
      <c r="H1273" s="3">
        <v>0</v>
      </c>
      <c r="I1273" s="2" t="s">
        <v>409</v>
      </c>
      <c r="J1273" s="2" t="s">
        <v>5710</v>
      </c>
      <c r="K1273" s="2" t="s">
        <v>16</v>
      </c>
      <c r="L1273" s="2" t="s">
        <v>5711</v>
      </c>
      <c r="M1273" s="4">
        <v>393.46</v>
      </c>
      <c r="N1273" t="b">
        <f>OR(LEFT(B1273,3)="frg",(_xlfn.XMATCH(B1273,ZZZ_Part_Id_[[#All],[FGCODE]])))</f>
        <v>1</v>
      </c>
    </row>
    <row r="1274" spans="1:14" x14ac:dyDescent="0.3">
      <c r="A1274" s="2" t="s">
        <v>5707</v>
      </c>
      <c r="B1274" s="2" t="s">
        <v>86</v>
      </c>
      <c r="C1274" s="2" t="s">
        <v>5712</v>
      </c>
      <c r="D1274" s="5">
        <v>-73</v>
      </c>
      <c r="E1274" s="5">
        <v>-73</v>
      </c>
      <c r="F1274" s="2" t="s">
        <v>23</v>
      </c>
      <c r="G1274" s="2" t="s">
        <v>5713</v>
      </c>
      <c r="H1274" s="3">
        <v>0</v>
      </c>
      <c r="I1274" s="2" t="s">
        <v>409</v>
      </c>
      <c r="J1274" s="2" t="s">
        <v>5714</v>
      </c>
      <c r="K1274" s="2" t="s">
        <v>23</v>
      </c>
      <c r="L1274" s="2" t="s">
        <v>5715</v>
      </c>
      <c r="M1274" s="6">
        <v>-191.1</v>
      </c>
      <c r="N1274" t="b">
        <f>OR(LEFT(B1274,3)="frg",(_xlfn.XMATCH(B1274,ZZZ_Part_Id_[[#All],[FGCODE]])))</f>
        <v>1</v>
      </c>
    </row>
    <row r="1275" spans="1:14" x14ac:dyDescent="0.3">
      <c r="A1275" s="2" t="s">
        <v>5716</v>
      </c>
      <c r="B1275" s="2" t="s">
        <v>76</v>
      </c>
      <c r="C1275" s="2" t="s">
        <v>5717</v>
      </c>
      <c r="D1275" s="3">
        <v>304560</v>
      </c>
      <c r="E1275" s="3">
        <v>304560</v>
      </c>
      <c r="F1275" s="2" t="s">
        <v>16</v>
      </c>
      <c r="G1275" s="2" t="s">
        <v>5718</v>
      </c>
      <c r="H1275" s="3">
        <v>0</v>
      </c>
      <c r="I1275" s="2" t="s">
        <v>409</v>
      </c>
      <c r="J1275" s="2" t="s">
        <v>5719</v>
      </c>
      <c r="K1275" s="2" t="s">
        <v>16</v>
      </c>
      <c r="L1275" s="2" t="s">
        <v>5720</v>
      </c>
      <c r="M1275" s="4">
        <v>2533.92</v>
      </c>
      <c r="N1275" t="b">
        <f>OR(LEFT(B1275,3)="frg",(_xlfn.XMATCH(B1275,ZZZ_Part_Id_[[#All],[FGCODE]])))</f>
        <v>1</v>
      </c>
    </row>
    <row r="1276" spans="1:14" x14ac:dyDescent="0.3">
      <c r="A1276" s="2" t="s">
        <v>5716</v>
      </c>
      <c r="B1276" s="2" t="s">
        <v>86</v>
      </c>
      <c r="C1276" s="2" t="s">
        <v>5721</v>
      </c>
      <c r="D1276" s="5">
        <v>-238</v>
      </c>
      <c r="E1276" s="5">
        <v>-238</v>
      </c>
      <c r="F1276" s="2" t="s">
        <v>23</v>
      </c>
      <c r="G1276" s="2" t="s">
        <v>5722</v>
      </c>
      <c r="H1276" s="3">
        <v>0</v>
      </c>
      <c r="I1276" s="2" t="s">
        <v>409</v>
      </c>
      <c r="J1276" s="2" t="s">
        <v>5723</v>
      </c>
      <c r="K1276" s="2" t="s">
        <v>23</v>
      </c>
      <c r="L1276" s="2" t="s">
        <v>5724</v>
      </c>
      <c r="M1276" s="6">
        <v>-623.04</v>
      </c>
      <c r="N1276" t="b">
        <f>OR(LEFT(B1276,3)="frg",(_xlfn.XMATCH(B1276,ZZZ_Part_Id_[[#All],[FGCODE]])))</f>
        <v>1</v>
      </c>
    </row>
    <row r="1277" spans="1:14" x14ac:dyDescent="0.3">
      <c r="A1277" s="2" t="s">
        <v>5716</v>
      </c>
      <c r="B1277" s="2" t="s">
        <v>14</v>
      </c>
      <c r="C1277" s="2" t="s">
        <v>5725</v>
      </c>
      <c r="D1277" s="3">
        <v>11</v>
      </c>
      <c r="E1277" s="3">
        <v>11</v>
      </c>
      <c r="F1277" s="2" t="s">
        <v>16</v>
      </c>
      <c r="G1277" s="2" t="s">
        <v>5726</v>
      </c>
      <c r="H1277" s="3">
        <v>0</v>
      </c>
      <c r="I1277" s="2" t="s">
        <v>409</v>
      </c>
      <c r="J1277" s="2" t="s">
        <v>5727</v>
      </c>
      <c r="K1277" s="2" t="s">
        <v>16</v>
      </c>
      <c r="L1277" s="2" t="s">
        <v>5728</v>
      </c>
      <c r="M1277" s="4">
        <v>0.85</v>
      </c>
      <c r="N1277" t="e">
        <f>OR(LEFT(B1277,3)="frg",(_xlfn.XMATCH(B1277,ZZZ_Part_Id_[[#All],[FGCODE]])))</f>
        <v>#N/A</v>
      </c>
    </row>
    <row r="1278" spans="1:14" x14ac:dyDescent="0.3">
      <c r="A1278" s="2" t="s">
        <v>5716</v>
      </c>
      <c r="B1278" s="2" t="s">
        <v>140</v>
      </c>
      <c r="C1278" s="2" t="s">
        <v>5729</v>
      </c>
      <c r="D1278" s="3">
        <v>0.44</v>
      </c>
      <c r="E1278" s="3">
        <v>0.44</v>
      </c>
      <c r="F1278" s="2" t="s">
        <v>16</v>
      </c>
      <c r="G1278" s="2" t="s">
        <v>5730</v>
      </c>
      <c r="H1278" s="3">
        <v>0</v>
      </c>
      <c r="I1278" s="2" t="s">
        <v>409</v>
      </c>
      <c r="J1278" s="2" t="s">
        <v>5731</v>
      </c>
      <c r="K1278" s="2" t="s">
        <v>16</v>
      </c>
      <c r="L1278" s="2" t="s">
        <v>5732</v>
      </c>
      <c r="M1278" s="4">
        <v>0.73</v>
      </c>
      <c r="N1278" t="e">
        <f>OR(LEFT(B1278,3)="frg",(_xlfn.XMATCH(B1278,ZZZ_Part_Id_[[#All],[FGCODE]])))</f>
        <v>#N/A</v>
      </c>
    </row>
    <row r="1279" spans="1:14" x14ac:dyDescent="0.3">
      <c r="A1279" s="2" t="s">
        <v>5716</v>
      </c>
      <c r="B1279" s="2" t="s">
        <v>192</v>
      </c>
      <c r="C1279" s="2" t="s">
        <v>5733</v>
      </c>
      <c r="D1279" s="3">
        <v>0.11</v>
      </c>
      <c r="E1279" s="3">
        <v>0.11</v>
      </c>
      <c r="F1279" s="2" t="s">
        <v>194</v>
      </c>
      <c r="G1279" s="2" t="s">
        <v>5734</v>
      </c>
      <c r="H1279" s="3">
        <v>0</v>
      </c>
      <c r="I1279" s="2" t="s">
        <v>409</v>
      </c>
      <c r="J1279" s="2" t="s">
        <v>5735</v>
      </c>
      <c r="K1279" s="2" t="s">
        <v>194</v>
      </c>
      <c r="L1279" s="2" t="s">
        <v>5736</v>
      </c>
      <c r="M1279" s="4">
        <v>0.57999999999999996</v>
      </c>
      <c r="N1279" t="e">
        <f>OR(LEFT(B1279,3)="frg",(_xlfn.XMATCH(B1279,ZZZ_Part_Id_[[#All],[FGCODE]])))</f>
        <v>#N/A</v>
      </c>
    </row>
    <row r="1280" spans="1:14" x14ac:dyDescent="0.3">
      <c r="A1280" s="2" t="s">
        <v>5716</v>
      </c>
      <c r="B1280" s="2" t="s">
        <v>145</v>
      </c>
      <c r="C1280" s="2" t="s">
        <v>5737</v>
      </c>
      <c r="D1280" s="3">
        <v>4.3999999999999997E-2</v>
      </c>
      <c r="E1280" s="3">
        <v>4.3999999999999997E-2</v>
      </c>
      <c r="F1280" s="2" t="s">
        <v>147</v>
      </c>
      <c r="G1280" s="2" t="s">
        <v>5738</v>
      </c>
      <c r="H1280" s="3">
        <v>0</v>
      </c>
      <c r="I1280" s="2" t="s">
        <v>409</v>
      </c>
      <c r="J1280" s="2" t="s">
        <v>5739</v>
      </c>
      <c r="K1280" s="2" t="s">
        <v>147</v>
      </c>
      <c r="L1280" s="2" t="s">
        <v>5740</v>
      </c>
      <c r="M1280" s="4">
        <v>6.88</v>
      </c>
      <c r="N1280" t="e">
        <f>OR(LEFT(B1280,3)="frg",(_xlfn.XMATCH(B1280,ZZZ_Part_Id_[[#All],[FGCODE]])))</f>
        <v>#N/A</v>
      </c>
    </row>
    <row r="1281" spans="1:14" x14ac:dyDescent="0.3">
      <c r="A1281" s="2" t="s">
        <v>5741</v>
      </c>
      <c r="B1281" s="2" t="s">
        <v>59</v>
      </c>
      <c r="C1281" s="2" t="s">
        <v>5742</v>
      </c>
      <c r="D1281" s="3">
        <v>76140</v>
      </c>
      <c r="E1281" s="3">
        <v>76140</v>
      </c>
      <c r="F1281" s="2" t="s">
        <v>16</v>
      </c>
      <c r="G1281" s="2" t="s">
        <v>5743</v>
      </c>
      <c r="H1281" s="3">
        <v>0</v>
      </c>
      <c r="I1281" s="2" t="s">
        <v>409</v>
      </c>
      <c r="J1281" s="2" t="s">
        <v>5744</v>
      </c>
      <c r="K1281" s="2" t="s">
        <v>16</v>
      </c>
      <c r="L1281" s="2" t="s">
        <v>5745</v>
      </c>
      <c r="M1281" s="4">
        <v>3263.37</v>
      </c>
      <c r="N1281" t="b">
        <f>OR(LEFT(B1281,3)="frg",(_xlfn.XMATCH(B1281,ZZZ_Part_Id_[[#All],[FGCODE]])))</f>
        <v>1</v>
      </c>
    </row>
    <row r="1282" spans="1:14" x14ac:dyDescent="0.3">
      <c r="A1282" s="2" t="s">
        <v>5746</v>
      </c>
      <c r="B1282" s="2" t="s">
        <v>517</v>
      </c>
      <c r="C1282" s="2" t="s">
        <v>5747</v>
      </c>
      <c r="D1282" s="3">
        <v>393120</v>
      </c>
      <c r="E1282" s="3">
        <v>393120</v>
      </c>
      <c r="F1282" s="2" t="s">
        <v>16</v>
      </c>
      <c r="G1282" s="2" t="s">
        <v>5748</v>
      </c>
      <c r="H1282" s="3">
        <v>0</v>
      </c>
      <c r="I1282" s="2" t="s">
        <v>409</v>
      </c>
      <c r="J1282" s="2" t="s">
        <v>5749</v>
      </c>
      <c r="K1282" s="2" t="s">
        <v>16</v>
      </c>
      <c r="L1282" s="2" t="s">
        <v>5750</v>
      </c>
      <c r="M1282" s="4">
        <v>45735.69</v>
      </c>
      <c r="N1282" t="b">
        <f>OR(LEFT(B1282,3)="frg",(_xlfn.XMATCH(B1282,ZZZ_Part_Id_[[#All],[FGCODE]])))</f>
        <v>1</v>
      </c>
    </row>
    <row r="1283" spans="1:14" x14ac:dyDescent="0.3">
      <c r="A1283" s="2" t="s">
        <v>5751</v>
      </c>
      <c r="B1283" s="2" t="s">
        <v>517</v>
      </c>
      <c r="C1283" s="2" t="s">
        <v>5752</v>
      </c>
      <c r="D1283" s="3">
        <v>564480</v>
      </c>
      <c r="E1283" s="3">
        <v>564480</v>
      </c>
      <c r="F1283" s="2" t="s">
        <v>16</v>
      </c>
      <c r="G1283" s="2" t="s">
        <v>5753</v>
      </c>
      <c r="H1283" s="3">
        <v>0</v>
      </c>
      <c r="I1283" s="2" t="s">
        <v>409</v>
      </c>
      <c r="J1283" s="2" t="s">
        <v>5754</v>
      </c>
      <c r="K1283" s="2" t="s">
        <v>16</v>
      </c>
      <c r="L1283" s="2" t="s">
        <v>5755</v>
      </c>
      <c r="M1283" s="4">
        <v>65671.759999999995</v>
      </c>
      <c r="N1283" t="b">
        <f>OR(LEFT(B1283,3)="frg",(_xlfn.XMATCH(B1283,ZZZ_Part_Id_[[#All],[FGCODE]])))</f>
        <v>1</v>
      </c>
    </row>
    <row r="1284" spans="1:14" x14ac:dyDescent="0.3">
      <c r="A1284" s="2" t="s">
        <v>5756</v>
      </c>
      <c r="B1284" s="2" t="s">
        <v>5477</v>
      </c>
      <c r="C1284" s="2" t="s">
        <v>5757</v>
      </c>
      <c r="D1284" s="3">
        <v>19872</v>
      </c>
      <c r="E1284" s="3">
        <v>19872</v>
      </c>
      <c r="F1284" s="2" t="s">
        <v>16</v>
      </c>
      <c r="G1284" s="2" t="s">
        <v>5758</v>
      </c>
      <c r="H1284" s="3">
        <v>0</v>
      </c>
      <c r="I1284" s="2" t="s">
        <v>409</v>
      </c>
      <c r="J1284" s="2" t="s">
        <v>5759</v>
      </c>
      <c r="K1284" s="2" t="s">
        <v>16</v>
      </c>
      <c r="L1284" s="2" t="s">
        <v>5760</v>
      </c>
      <c r="M1284" s="4">
        <v>5904.36</v>
      </c>
      <c r="N1284" t="b">
        <f>OR(LEFT(B1284,3)="frg",(_xlfn.XMATCH(B1284,ZZZ_Part_Id_[[#All],[FGCODE]])))</f>
        <v>1</v>
      </c>
    </row>
    <row r="1285" spans="1:14" x14ac:dyDescent="0.3">
      <c r="A1285" s="2" t="s">
        <v>5756</v>
      </c>
      <c r="B1285" s="2" t="s">
        <v>14</v>
      </c>
      <c r="C1285" s="2" t="s">
        <v>5761</v>
      </c>
      <c r="D1285" s="3">
        <v>3</v>
      </c>
      <c r="E1285" s="3">
        <v>3</v>
      </c>
      <c r="F1285" s="2" t="s">
        <v>16</v>
      </c>
      <c r="G1285" s="2" t="s">
        <v>5762</v>
      </c>
      <c r="H1285" s="3">
        <v>0</v>
      </c>
      <c r="I1285" s="2" t="s">
        <v>409</v>
      </c>
      <c r="J1285" s="2" t="s">
        <v>5763</v>
      </c>
      <c r="K1285" s="2" t="s">
        <v>16</v>
      </c>
      <c r="L1285" s="2" t="s">
        <v>5764</v>
      </c>
      <c r="M1285" s="4">
        <v>0.23</v>
      </c>
      <c r="N1285" t="e">
        <f>OR(LEFT(B1285,3)="frg",(_xlfn.XMATCH(B1285,ZZZ_Part_Id_[[#All],[FGCODE]])))</f>
        <v>#N/A</v>
      </c>
    </row>
    <row r="1286" spans="1:14" x14ac:dyDescent="0.3">
      <c r="A1286" s="2" t="s">
        <v>5756</v>
      </c>
      <c r="B1286" s="2" t="s">
        <v>140</v>
      </c>
      <c r="C1286" s="2" t="s">
        <v>5765</v>
      </c>
      <c r="D1286" s="3">
        <v>0.12</v>
      </c>
      <c r="E1286" s="3">
        <v>0.12</v>
      </c>
      <c r="F1286" s="2" t="s">
        <v>16</v>
      </c>
      <c r="G1286" s="2" t="s">
        <v>5766</v>
      </c>
      <c r="H1286" s="3">
        <v>0</v>
      </c>
      <c r="I1286" s="2" t="s">
        <v>409</v>
      </c>
      <c r="J1286" s="2" t="s">
        <v>5767</v>
      </c>
      <c r="K1286" s="2" t="s">
        <v>16</v>
      </c>
      <c r="L1286" s="2" t="s">
        <v>5768</v>
      </c>
      <c r="M1286" s="4">
        <v>0.2</v>
      </c>
      <c r="N1286" t="e">
        <f>OR(LEFT(B1286,3)="frg",(_xlfn.XMATCH(B1286,ZZZ_Part_Id_[[#All],[FGCODE]])))</f>
        <v>#N/A</v>
      </c>
    </row>
    <row r="1287" spans="1:14" x14ac:dyDescent="0.3">
      <c r="A1287" s="2" t="s">
        <v>5756</v>
      </c>
      <c r="B1287" s="2" t="s">
        <v>192</v>
      </c>
      <c r="C1287" s="2" t="s">
        <v>5769</v>
      </c>
      <c r="D1287" s="3">
        <v>0.03</v>
      </c>
      <c r="E1287" s="3">
        <v>0.03</v>
      </c>
      <c r="F1287" s="2" t="s">
        <v>194</v>
      </c>
      <c r="G1287" s="2" t="s">
        <v>5770</v>
      </c>
      <c r="H1287" s="3">
        <v>0</v>
      </c>
      <c r="I1287" s="2" t="s">
        <v>409</v>
      </c>
      <c r="J1287" s="2" t="s">
        <v>5771</v>
      </c>
      <c r="K1287" s="2" t="s">
        <v>194</v>
      </c>
      <c r="L1287" s="2" t="s">
        <v>5772</v>
      </c>
      <c r="M1287" s="4">
        <v>0.16</v>
      </c>
      <c r="N1287" t="e">
        <f>OR(LEFT(B1287,3)="frg",(_xlfn.XMATCH(B1287,ZZZ_Part_Id_[[#All],[FGCODE]])))</f>
        <v>#N/A</v>
      </c>
    </row>
    <row r="1288" spans="1:14" x14ac:dyDescent="0.3">
      <c r="A1288" s="2" t="s">
        <v>5756</v>
      </c>
      <c r="B1288" s="2" t="s">
        <v>145</v>
      </c>
      <c r="C1288" s="2" t="s">
        <v>5773</v>
      </c>
      <c r="D1288" s="3">
        <v>1.2E-2</v>
      </c>
      <c r="E1288" s="3">
        <v>1.2E-2</v>
      </c>
      <c r="F1288" s="2" t="s">
        <v>147</v>
      </c>
      <c r="G1288" s="2" t="s">
        <v>5774</v>
      </c>
      <c r="H1288" s="3">
        <v>0</v>
      </c>
      <c r="I1288" s="2" t="s">
        <v>409</v>
      </c>
      <c r="J1288" s="2" t="s">
        <v>5775</v>
      </c>
      <c r="K1288" s="2" t="s">
        <v>147</v>
      </c>
      <c r="L1288" s="2" t="s">
        <v>5776</v>
      </c>
      <c r="M1288" s="4">
        <v>1.88</v>
      </c>
      <c r="N1288" t="e">
        <f>OR(LEFT(B1288,3)="frg",(_xlfn.XMATCH(B1288,ZZZ_Part_Id_[[#All],[FGCODE]])))</f>
        <v>#N/A</v>
      </c>
    </row>
    <row r="1289" spans="1:14" x14ac:dyDescent="0.3">
      <c r="A1289" s="2" t="s">
        <v>5777</v>
      </c>
      <c r="B1289" s="2" t="s">
        <v>517</v>
      </c>
      <c r="C1289" s="2" t="s">
        <v>5778</v>
      </c>
      <c r="D1289" s="3">
        <v>40320</v>
      </c>
      <c r="E1289" s="3">
        <v>40320</v>
      </c>
      <c r="F1289" s="2" t="s">
        <v>16</v>
      </c>
      <c r="G1289" s="2" t="s">
        <v>5779</v>
      </c>
      <c r="H1289" s="3">
        <v>0</v>
      </c>
      <c r="I1289" s="2" t="s">
        <v>409</v>
      </c>
      <c r="J1289" s="2" t="s">
        <v>5780</v>
      </c>
      <c r="K1289" s="2" t="s">
        <v>16</v>
      </c>
      <c r="L1289" s="2" t="s">
        <v>5781</v>
      </c>
      <c r="M1289" s="4">
        <v>4690.84</v>
      </c>
      <c r="N1289" t="b">
        <f>OR(LEFT(B1289,3)="frg",(_xlfn.XMATCH(B1289,ZZZ_Part_Id_[[#All],[FGCODE]])))</f>
        <v>1</v>
      </c>
    </row>
    <row r="1290" spans="1:14" x14ac:dyDescent="0.3">
      <c r="A1290" s="2" t="s">
        <v>5777</v>
      </c>
      <c r="B1290" s="2" t="s">
        <v>65</v>
      </c>
      <c r="C1290" s="2" t="s">
        <v>5782</v>
      </c>
      <c r="D1290" s="5">
        <v>-268</v>
      </c>
      <c r="E1290" s="5">
        <v>-268</v>
      </c>
      <c r="F1290" s="2" t="s">
        <v>23</v>
      </c>
      <c r="G1290" s="2" t="s">
        <v>5783</v>
      </c>
      <c r="H1290" s="3">
        <v>0</v>
      </c>
      <c r="I1290" s="2" t="s">
        <v>409</v>
      </c>
      <c r="J1290" s="2" t="s">
        <v>5784</v>
      </c>
      <c r="K1290" s="2" t="s">
        <v>23</v>
      </c>
      <c r="L1290" s="2" t="s">
        <v>5785</v>
      </c>
      <c r="M1290" s="6">
        <v>-689.19</v>
      </c>
      <c r="N1290" t="b">
        <f>OR(LEFT(B1290,3)="frg",(_xlfn.XMATCH(B1290,ZZZ_Part_Id_[[#All],[FGCODE]])))</f>
        <v>1</v>
      </c>
    </row>
    <row r="1291" spans="1:14" x14ac:dyDescent="0.3">
      <c r="A1291" s="2" t="s">
        <v>5777</v>
      </c>
      <c r="B1291" s="2" t="s">
        <v>14</v>
      </c>
      <c r="C1291" s="2" t="s">
        <v>5786</v>
      </c>
      <c r="D1291" s="3">
        <v>3</v>
      </c>
      <c r="E1291" s="3">
        <v>3</v>
      </c>
      <c r="F1291" s="2" t="s">
        <v>16</v>
      </c>
      <c r="G1291" s="2" t="s">
        <v>5787</v>
      </c>
      <c r="H1291" s="3">
        <v>0</v>
      </c>
      <c r="I1291" s="2" t="s">
        <v>409</v>
      </c>
      <c r="J1291" s="2" t="s">
        <v>5788</v>
      </c>
      <c r="K1291" s="2" t="s">
        <v>16</v>
      </c>
      <c r="L1291" s="2" t="s">
        <v>5789</v>
      </c>
      <c r="M1291" s="4">
        <v>0.23</v>
      </c>
      <c r="N1291" t="e">
        <f>OR(LEFT(B1291,3)="frg",(_xlfn.XMATCH(B1291,ZZZ_Part_Id_[[#All],[FGCODE]])))</f>
        <v>#N/A</v>
      </c>
    </row>
    <row r="1292" spans="1:14" x14ac:dyDescent="0.3">
      <c r="A1292" s="2" t="s">
        <v>5777</v>
      </c>
      <c r="B1292" s="2" t="s">
        <v>140</v>
      </c>
      <c r="C1292" s="2" t="s">
        <v>5790</v>
      </c>
      <c r="D1292" s="3">
        <v>0.12</v>
      </c>
      <c r="E1292" s="3">
        <v>0.12</v>
      </c>
      <c r="F1292" s="2" t="s">
        <v>16</v>
      </c>
      <c r="G1292" s="2" t="s">
        <v>5791</v>
      </c>
      <c r="H1292" s="3">
        <v>0</v>
      </c>
      <c r="I1292" s="2" t="s">
        <v>409</v>
      </c>
      <c r="J1292" s="2" t="s">
        <v>5792</v>
      </c>
      <c r="K1292" s="2" t="s">
        <v>16</v>
      </c>
      <c r="L1292" s="2" t="s">
        <v>5793</v>
      </c>
      <c r="M1292" s="4">
        <v>0.2</v>
      </c>
      <c r="N1292" t="e">
        <f>OR(LEFT(B1292,3)="frg",(_xlfn.XMATCH(B1292,ZZZ_Part_Id_[[#All],[FGCODE]])))</f>
        <v>#N/A</v>
      </c>
    </row>
    <row r="1293" spans="1:14" x14ac:dyDescent="0.3">
      <c r="A1293" s="2" t="s">
        <v>5777</v>
      </c>
      <c r="B1293" s="2" t="s">
        <v>192</v>
      </c>
      <c r="C1293" s="2" t="s">
        <v>5794</v>
      </c>
      <c r="D1293" s="3">
        <v>0.03</v>
      </c>
      <c r="E1293" s="3">
        <v>0.03</v>
      </c>
      <c r="F1293" s="2" t="s">
        <v>194</v>
      </c>
      <c r="G1293" s="2" t="s">
        <v>5795</v>
      </c>
      <c r="H1293" s="3">
        <v>0</v>
      </c>
      <c r="I1293" s="2" t="s">
        <v>409</v>
      </c>
      <c r="J1293" s="2" t="s">
        <v>5796</v>
      </c>
      <c r="K1293" s="2" t="s">
        <v>194</v>
      </c>
      <c r="L1293" s="2" t="s">
        <v>5797</v>
      </c>
      <c r="M1293" s="4">
        <v>0.16</v>
      </c>
      <c r="N1293" t="e">
        <f>OR(LEFT(B1293,3)="frg",(_xlfn.XMATCH(B1293,ZZZ_Part_Id_[[#All],[FGCODE]])))</f>
        <v>#N/A</v>
      </c>
    </row>
    <row r="1294" spans="1:14" x14ac:dyDescent="0.3">
      <c r="A1294" s="2" t="s">
        <v>5777</v>
      </c>
      <c r="B1294" s="2" t="s">
        <v>145</v>
      </c>
      <c r="C1294" s="2" t="s">
        <v>5798</v>
      </c>
      <c r="D1294" s="3">
        <v>1.2E-2</v>
      </c>
      <c r="E1294" s="3">
        <v>1.2E-2</v>
      </c>
      <c r="F1294" s="2" t="s">
        <v>147</v>
      </c>
      <c r="G1294" s="2" t="s">
        <v>5799</v>
      </c>
      <c r="H1294" s="3">
        <v>0</v>
      </c>
      <c r="I1294" s="2" t="s">
        <v>409</v>
      </c>
      <c r="J1294" s="2" t="s">
        <v>5800</v>
      </c>
      <c r="K1294" s="2" t="s">
        <v>147</v>
      </c>
      <c r="L1294" s="2" t="s">
        <v>5801</v>
      </c>
      <c r="M1294" s="4">
        <v>1.88</v>
      </c>
      <c r="N1294" t="e">
        <f>OR(LEFT(B1294,3)="frg",(_xlfn.XMATCH(B1294,ZZZ_Part_Id_[[#All],[FGCODE]])))</f>
        <v>#N/A</v>
      </c>
    </row>
    <row r="1295" spans="1:14" x14ac:dyDescent="0.3">
      <c r="A1295" s="2" t="s">
        <v>5802</v>
      </c>
      <c r="B1295" s="2" t="s">
        <v>4424</v>
      </c>
      <c r="C1295" s="2" t="s">
        <v>5803</v>
      </c>
      <c r="D1295" s="3">
        <v>65757</v>
      </c>
      <c r="E1295" s="3">
        <v>65757</v>
      </c>
      <c r="F1295" s="2" t="s">
        <v>16</v>
      </c>
      <c r="G1295" s="2" t="s">
        <v>5804</v>
      </c>
      <c r="H1295" s="3">
        <v>0</v>
      </c>
      <c r="I1295" s="2" t="s">
        <v>409</v>
      </c>
      <c r="J1295" s="2" t="s">
        <v>5805</v>
      </c>
      <c r="K1295" s="2" t="s">
        <v>16</v>
      </c>
      <c r="L1295" s="2" t="s">
        <v>5806</v>
      </c>
      <c r="M1295" s="4">
        <v>2726.94</v>
      </c>
      <c r="N1295" t="b">
        <f>OR(LEFT(B1295,3)="frg",(_xlfn.XMATCH(B1295,ZZZ_Part_Id_[[#All],[FGCODE]])))</f>
        <v>1</v>
      </c>
    </row>
    <row r="1296" spans="1:14" x14ac:dyDescent="0.3">
      <c r="A1296" s="2" t="s">
        <v>5802</v>
      </c>
      <c r="B1296" s="2" t="s">
        <v>65</v>
      </c>
      <c r="C1296" s="2" t="s">
        <v>5807</v>
      </c>
      <c r="D1296" s="5">
        <v>-141</v>
      </c>
      <c r="E1296" s="5">
        <v>-141</v>
      </c>
      <c r="F1296" s="2" t="s">
        <v>23</v>
      </c>
      <c r="G1296" s="2" t="s">
        <v>5808</v>
      </c>
      <c r="H1296" s="3">
        <v>0</v>
      </c>
      <c r="I1296" s="2" t="s">
        <v>409</v>
      </c>
      <c r="J1296" s="2" t="s">
        <v>5809</v>
      </c>
      <c r="K1296" s="2" t="s">
        <v>23</v>
      </c>
      <c r="L1296" s="2" t="s">
        <v>5810</v>
      </c>
      <c r="M1296" s="6">
        <v>-362.6</v>
      </c>
      <c r="N1296" t="b">
        <f>OR(LEFT(B1296,3)="frg",(_xlfn.XMATCH(B1296,ZZZ_Part_Id_[[#All],[FGCODE]])))</f>
        <v>1</v>
      </c>
    </row>
    <row r="1297" spans="1:14" x14ac:dyDescent="0.3">
      <c r="A1297" s="2" t="s">
        <v>5802</v>
      </c>
      <c r="B1297" s="2" t="s">
        <v>14</v>
      </c>
      <c r="C1297" s="2" t="s">
        <v>5811</v>
      </c>
      <c r="D1297" s="3">
        <v>2</v>
      </c>
      <c r="E1297" s="3">
        <v>2</v>
      </c>
      <c r="F1297" s="2" t="s">
        <v>16</v>
      </c>
      <c r="G1297" s="2" t="s">
        <v>5812</v>
      </c>
      <c r="H1297" s="3">
        <v>0</v>
      </c>
      <c r="I1297" s="2" t="s">
        <v>409</v>
      </c>
      <c r="J1297" s="2" t="s">
        <v>5813</v>
      </c>
      <c r="K1297" s="2" t="s">
        <v>16</v>
      </c>
      <c r="L1297" s="2" t="s">
        <v>5814</v>
      </c>
      <c r="M1297" s="4">
        <v>0.15</v>
      </c>
      <c r="N1297" t="e">
        <f>OR(LEFT(B1297,3)="frg",(_xlfn.XMATCH(B1297,ZZZ_Part_Id_[[#All],[FGCODE]])))</f>
        <v>#N/A</v>
      </c>
    </row>
    <row r="1298" spans="1:14" x14ac:dyDescent="0.3">
      <c r="A1298" s="2" t="s">
        <v>5802</v>
      </c>
      <c r="B1298" s="2" t="s">
        <v>140</v>
      </c>
      <c r="C1298" s="2" t="s">
        <v>5815</v>
      </c>
      <c r="D1298" s="3">
        <v>0.08</v>
      </c>
      <c r="E1298" s="3">
        <v>0.08</v>
      </c>
      <c r="F1298" s="2" t="s">
        <v>16</v>
      </c>
      <c r="G1298" s="2" t="s">
        <v>5816</v>
      </c>
      <c r="H1298" s="3">
        <v>0</v>
      </c>
      <c r="I1298" s="2" t="s">
        <v>409</v>
      </c>
      <c r="J1298" s="2" t="s">
        <v>5817</v>
      </c>
      <c r="K1298" s="2" t="s">
        <v>16</v>
      </c>
      <c r="L1298" s="2" t="s">
        <v>5818</v>
      </c>
      <c r="M1298" s="4">
        <v>0.13</v>
      </c>
      <c r="N1298" t="e">
        <f>OR(LEFT(B1298,3)="frg",(_xlfn.XMATCH(B1298,ZZZ_Part_Id_[[#All],[FGCODE]])))</f>
        <v>#N/A</v>
      </c>
    </row>
    <row r="1299" spans="1:14" x14ac:dyDescent="0.3">
      <c r="A1299" s="2" t="s">
        <v>5802</v>
      </c>
      <c r="B1299" s="2" t="s">
        <v>192</v>
      </c>
      <c r="C1299" s="2" t="s">
        <v>5819</v>
      </c>
      <c r="D1299" s="3">
        <v>0.02</v>
      </c>
      <c r="E1299" s="3">
        <v>0.02</v>
      </c>
      <c r="F1299" s="2" t="s">
        <v>194</v>
      </c>
      <c r="G1299" s="2" t="s">
        <v>5820</v>
      </c>
      <c r="H1299" s="3">
        <v>0</v>
      </c>
      <c r="I1299" s="2" t="s">
        <v>409</v>
      </c>
      <c r="J1299" s="2" t="s">
        <v>5821</v>
      </c>
      <c r="K1299" s="2" t="s">
        <v>194</v>
      </c>
      <c r="L1299" s="2" t="s">
        <v>5822</v>
      </c>
      <c r="M1299" s="4">
        <v>0.1</v>
      </c>
      <c r="N1299" t="e">
        <f>OR(LEFT(B1299,3)="frg",(_xlfn.XMATCH(B1299,ZZZ_Part_Id_[[#All],[FGCODE]])))</f>
        <v>#N/A</v>
      </c>
    </row>
    <row r="1300" spans="1:14" x14ac:dyDescent="0.3">
      <c r="A1300" s="2" t="s">
        <v>5802</v>
      </c>
      <c r="B1300" s="2" t="s">
        <v>145</v>
      </c>
      <c r="C1300" s="2" t="s">
        <v>5823</v>
      </c>
      <c r="D1300" s="3">
        <v>8.0000000000000002E-3</v>
      </c>
      <c r="E1300" s="3">
        <v>8.0000000000000002E-3</v>
      </c>
      <c r="F1300" s="2" t="s">
        <v>147</v>
      </c>
      <c r="G1300" s="2" t="s">
        <v>5824</v>
      </c>
      <c r="H1300" s="3">
        <v>0</v>
      </c>
      <c r="I1300" s="2" t="s">
        <v>409</v>
      </c>
      <c r="J1300" s="2" t="s">
        <v>5825</v>
      </c>
      <c r="K1300" s="2" t="s">
        <v>147</v>
      </c>
      <c r="L1300" s="2" t="s">
        <v>5826</v>
      </c>
      <c r="M1300" s="4">
        <v>1.25</v>
      </c>
      <c r="N1300" t="e">
        <f>OR(LEFT(B1300,3)="frg",(_xlfn.XMATCH(B1300,ZZZ_Part_Id_[[#All],[FGCODE]])))</f>
        <v>#N/A</v>
      </c>
    </row>
    <row r="1301" spans="1:14" x14ac:dyDescent="0.3">
      <c r="A1301" s="2" t="s">
        <v>5827</v>
      </c>
      <c r="B1301" s="2" t="s">
        <v>91</v>
      </c>
      <c r="C1301" s="2" t="s">
        <v>5828</v>
      </c>
      <c r="D1301" s="3">
        <v>108000</v>
      </c>
      <c r="E1301" s="3">
        <v>108000</v>
      </c>
      <c r="F1301" s="2" t="s">
        <v>16</v>
      </c>
      <c r="G1301" s="2" t="s">
        <v>5829</v>
      </c>
      <c r="H1301" s="3">
        <v>0</v>
      </c>
      <c r="I1301" s="2" t="s">
        <v>409</v>
      </c>
      <c r="J1301" s="2" t="s">
        <v>5830</v>
      </c>
      <c r="K1301" s="2" t="s">
        <v>16</v>
      </c>
      <c r="L1301" s="2" t="s">
        <v>5831</v>
      </c>
      <c r="M1301" s="4">
        <v>4060.8</v>
      </c>
      <c r="N1301" t="b">
        <f>OR(LEFT(B1301,3)="frg",(_xlfn.XMATCH(B1301,ZZZ_Part_Id_[[#All],[FGCODE]])))</f>
        <v>1</v>
      </c>
    </row>
    <row r="1302" spans="1:14" x14ac:dyDescent="0.3">
      <c r="A1302" s="2" t="s">
        <v>5827</v>
      </c>
      <c r="B1302" s="2" t="s">
        <v>14</v>
      </c>
      <c r="C1302" s="2" t="s">
        <v>5832</v>
      </c>
      <c r="D1302" s="3">
        <v>4</v>
      </c>
      <c r="E1302" s="3">
        <v>4</v>
      </c>
      <c r="F1302" s="2" t="s">
        <v>16</v>
      </c>
      <c r="G1302" s="2" t="s">
        <v>5833</v>
      </c>
      <c r="H1302" s="3">
        <v>0</v>
      </c>
      <c r="I1302" s="2" t="s">
        <v>409</v>
      </c>
      <c r="J1302" s="2" t="s">
        <v>5834</v>
      </c>
      <c r="K1302" s="2" t="s">
        <v>16</v>
      </c>
      <c r="L1302" s="2" t="s">
        <v>5835</v>
      </c>
      <c r="M1302" s="4">
        <v>0.31</v>
      </c>
      <c r="N1302" t="e">
        <f>OR(LEFT(B1302,3)="frg",(_xlfn.XMATCH(B1302,ZZZ_Part_Id_[[#All],[FGCODE]])))</f>
        <v>#N/A</v>
      </c>
    </row>
    <row r="1303" spans="1:14" x14ac:dyDescent="0.3">
      <c r="A1303" s="2" t="s">
        <v>5827</v>
      </c>
      <c r="B1303" s="2" t="s">
        <v>140</v>
      </c>
      <c r="C1303" s="2" t="s">
        <v>5836</v>
      </c>
      <c r="D1303" s="3">
        <v>0.16</v>
      </c>
      <c r="E1303" s="3">
        <v>0.16</v>
      </c>
      <c r="F1303" s="2" t="s">
        <v>16</v>
      </c>
      <c r="G1303" s="2" t="s">
        <v>5837</v>
      </c>
      <c r="H1303" s="3">
        <v>0</v>
      </c>
      <c r="I1303" s="2" t="s">
        <v>409</v>
      </c>
      <c r="J1303" s="2" t="s">
        <v>5838</v>
      </c>
      <c r="K1303" s="2" t="s">
        <v>16</v>
      </c>
      <c r="L1303" s="2" t="s">
        <v>5839</v>
      </c>
      <c r="M1303" s="4">
        <v>0.26</v>
      </c>
      <c r="N1303" t="e">
        <f>OR(LEFT(B1303,3)="frg",(_xlfn.XMATCH(B1303,ZZZ_Part_Id_[[#All],[FGCODE]])))</f>
        <v>#N/A</v>
      </c>
    </row>
    <row r="1304" spans="1:14" x14ac:dyDescent="0.3">
      <c r="A1304" s="2" t="s">
        <v>5827</v>
      </c>
      <c r="B1304" s="2" t="s">
        <v>192</v>
      </c>
      <c r="C1304" s="2" t="s">
        <v>5840</v>
      </c>
      <c r="D1304" s="3">
        <v>0.04</v>
      </c>
      <c r="E1304" s="3">
        <v>0.04</v>
      </c>
      <c r="F1304" s="2" t="s">
        <v>194</v>
      </c>
      <c r="G1304" s="2" t="s">
        <v>5841</v>
      </c>
      <c r="H1304" s="3">
        <v>0</v>
      </c>
      <c r="I1304" s="2" t="s">
        <v>409</v>
      </c>
      <c r="J1304" s="2" t="s">
        <v>5842</v>
      </c>
      <c r="K1304" s="2" t="s">
        <v>194</v>
      </c>
      <c r="L1304" s="2" t="s">
        <v>5843</v>
      </c>
      <c r="M1304" s="4">
        <v>0.21</v>
      </c>
      <c r="N1304" t="e">
        <f>OR(LEFT(B1304,3)="frg",(_xlfn.XMATCH(B1304,ZZZ_Part_Id_[[#All],[FGCODE]])))</f>
        <v>#N/A</v>
      </c>
    </row>
    <row r="1305" spans="1:14" x14ac:dyDescent="0.3">
      <c r="A1305" s="2" t="s">
        <v>5827</v>
      </c>
      <c r="B1305" s="2" t="s">
        <v>145</v>
      </c>
      <c r="C1305" s="2" t="s">
        <v>5844</v>
      </c>
      <c r="D1305" s="3">
        <v>1.6E-2</v>
      </c>
      <c r="E1305" s="3">
        <v>1.6E-2</v>
      </c>
      <c r="F1305" s="2" t="s">
        <v>147</v>
      </c>
      <c r="G1305" s="2" t="s">
        <v>5845</v>
      </c>
      <c r="H1305" s="3">
        <v>0</v>
      </c>
      <c r="I1305" s="2" t="s">
        <v>409</v>
      </c>
      <c r="J1305" s="2" t="s">
        <v>5846</v>
      </c>
      <c r="K1305" s="2" t="s">
        <v>147</v>
      </c>
      <c r="L1305" s="2" t="s">
        <v>5847</v>
      </c>
      <c r="M1305" s="4">
        <v>2.5</v>
      </c>
      <c r="N1305" t="e">
        <f>OR(LEFT(B1305,3)="frg",(_xlfn.XMATCH(B1305,ZZZ_Part_Id_[[#All],[FGCODE]])))</f>
        <v>#N/A</v>
      </c>
    </row>
    <row r="1306" spans="1:14" x14ac:dyDescent="0.3">
      <c r="A1306" s="2" t="s">
        <v>5848</v>
      </c>
      <c r="B1306" s="2" t="s">
        <v>76</v>
      </c>
      <c r="C1306" s="2" t="s">
        <v>5849</v>
      </c>
      <c r="D1306" s="3">
        <v>228420</v>
      </c>
      <c r="E1306" s="3">
        <v>228420</v>
      </c>
      <c r="F1306" s="2" t="s">
        <v>16</v>
      </c>
      <c r="G1306" s="2" t="s">
        <v>5850</v>
      </c>
      <c r="H1306" s="3">
        <v>0</v>
      </c>
      <c r="I1306" s="2" t="s">
        <v>18</v>
      </c>
      <c r="J1306" s="2" t="s">
        <v>5851</v>
      </c>
      <c r="K1306" s="2" t="s">
        <v>16</v>
      </c>
      <c r="L1306" s="2" t="s">
        <v>5852</v>
      </c>
      <c r="M1306" s="4">
        <v>1900.44</v>
      </c>
      <c r="N1306" t="b">
        <f>OR(LEFT(B1306,3)="frg",(_xlfn.XMATCH(B1306,ZZZ_Part_Id_[[#All],[FGCODE]])))</f>
        <v>1</v>
      </c>
    </row>
    <row r="1307" spans="1:14" x14ac:dyDescent="0.3">
      <c r="A1307" s="2" t="s">
        <v>5848</v>
      </c>
      <c r="B1307" s="2" t="s">
        <v>65</v>
      </c>
      <c r="C1307" s="2" t="s">
        <v>5853</v>
      </c>
      <c r="D1307" s="5">
        <v>-1192</v>
      </c>
      <c r="E1307" s="5">
        <v>-1192</v>
      </c>
      <c r="F1307" s="2" t="s">
        <v>23</v>
      </c>
      <c r="G1307" s="2" t="s">
        <v>5854</v>
      </c>
      <c r="H1307" s="3">
        <v>0</v>
      </c>
      <c r="I1307" s="2" t="s">
        <v>18</v>
      </c>
      <c r="J1307" s="2" t="s">
        <v>5855</v>
      </c>
      <c r="K1307" s="2" t="s">
        <v>23</v>
      </c>
      <c r="L1307" s="2" t="s">
        <v>5856</v>
      </c>
      <c r="M1307" s="6">
        <v>-3065.35</v>
      </c>
      <c r="N1307" t="b">
        <f>OR(LEFT(B1307,3)="frg",(_xlfn.XMATCH(B1307,ZZZ_Part_Id_[[#All],[FGCODE]])))</f>
        <v>1</v>
      </c>
    </row>
    <row r="1308" spans="1:14" x14ac:dyDescent="0.3">
      <c r="A1308" s="2" t="s">
        <v>5848</v>
      </c>
      <c r="B1308" s="2" t="s">
        <v>14</v>
      </c>
      <c r="C1308" s="2" t="s">
        <v>5857</v>
      </c>
      <c r="D1308" s="3">
        <v>4</v>
      </c>
      <c r="E1308" s="3">
        <v>4</v>
      </c>
      <c r="F1308" s="2" t="s">
        <v>16</v>
      </c>
      <c r="G1308" s="2" t="s">
        <v>5858</v>
      </c>
      <c r="H1308" s="3">
        <v>0</v>
      </c>
      <c r="I1308" s="2" t="s">
        <v>18</v>
      </c>
      <c r="J1308" s="2" t="s">
        <v>5859</v>
      </c>
      <c r="K1308" s="2" t="s">
        <v>16</v>
      </c>
      <c r="L1308" s="2" t="s">
        <v>5860</v>
      </c>
      <c r="M1308" s="4">
        <v>0.31</v>
      </c>
      <c r="N1308" t="e">
        <f>OR(LEFT(B1308,3)="frg",(_xlfn.XMATCH(B1308,ZZZ_Part_Id_[[#All],[FGCODE]])))</f>
        <v>#N/A</v>
      </c>
    </row>
    <row r="1309" spans="1:14" x14ac:dyDescent="0.3">
      <c r="A1309" s="2" t="s">
        <v>5848</v>
      </c>
      <c r="B1309" s="2" t="s">
        <v>140</v>
      </c>
      <c r="C1309" s="2" t="s">
        <v>5861</v>
      </c>
      <c r="D1309" s="3">
        <v>0.16</v>
      </c>
      <c r="E1309" s="3">
        <v>0.16</v>
      </c>
      <c r="F1309" s="2" t="s">
        <v>16</v>
      </c>
      <c r="G1309" s="2" t="s">
        <v>5862</v>
      </c>
      <c r="H1309" s="3">
        <v>0</v>
      </c>
      <c r="I1309" s="2" t="s">
        <v>18</v>
      </c>
      <c r="J1309" s="2" t="s">
        <v>5863</v>
      </c>
      <c r="K1309" s="2" t="s">
        <v>16</v>
      </c>
      <c r="L1309" s="2" t="s">
        <v>5864</v>
      </c>
      <c r="M1309" s="4">
        <v>0.26</v>
      </c>
      <c r="N1309" t="e">
        <f>OR(LEFT(B1309,3)="frg",(_xlfn.XMATCH(B1309,ZZZ_Part_Id_[[#All],[FGCODE]])))</f>
        <v>#N/A</v>
      </c>
    </row>
    <row r="1310" spans="1:14" x14ac:dyDescent="0.3">
      <c r="A1310" s="2" t="s">
        <v>5848</v>
      </c>
      <c r="B1310" s="2" t="s">
        <v>192</v>
      </c>
      <c r="C1310" s="2" t="s">
        <v>5865</v>
      </c>
      <c r="D1310" s="3">
        <v>0.04</v>
      </c>
      <c r="E1310" s="3">
        <v>0.04</v>
      </c>
      <c r="F1310" s="2" t="s">
        <v>194</v>
      </c>
      <c r="G1310" s="2" t="s">
        <v>5866</v>
      </c>
      <c r="H1310" s="3">
        <v>0</v>
      </c>
      <c r="I1310" s="2" t="s">
        <v>18</v>
      </c>
      <c r="J1310" s="2" t="s">
        <v>5867</v>
      </c>
      <c r="K1310" s="2" t="s">
        <v>194</v>
      </c>
      <c r="L1310" s="2" t="s">
        <v>5868</v>
      </c>
      <c r="M1310" s="4">
        <v>0.21</v>
      </c>
      <c r="N1310" t="e">
        <f>OR(LEFT(B1310,3)="frg",(_xlfn.XMATCH(B1310,ZZZ_Part_Id_[[#All],[FGCODE]])))</f>
        <v>#N/A</v>
      </c>
    </row>
    <row r="1311" spans="1:14" x14ac:dyDescent="0.3">
      <c r="A1311" s="2" t="s">
        <v>5848</v>
      </c>
      <c r="B1311" s="2" t="s">
        <v>145</v>
      </c>
      <c r="C1311" s="2" t="s">
        <v>5869</v>
      </c>
      <c r="D1311" s="3">
        <v>1.6E-2</v>
      </c>
      <c r="E1311" s="3">
        <v>1.6E-2</v>
      </c>
      <c r="F1311" s="2" t="s">
        <v>147</v>
      </c>
      <c r="G1311" s="2" t="s">
        <v>5870</v>
      </c>
      <c r="H1311" s="3">
        <v>0</v>
      </c>
      <c r="I1311" s="2" t="s">
        <v>18</v>
      </c>
      <c r="J1311" s="2" t="s">
        <v>5871</v>
      </c>
      <c r="K1311" s="2" t="s">
        <v>147</v>
      </c>
      <c r="L1311" s="2" t="s">
        <v>5872</v>
      </c>
      <c r="M1311" s="4">
        <v>2.5</v>
      </c>
      <c r="N1311" t="e">
        <f>OR(LEFT(B1311,3)="frg",(_xlfn.XMATCH(B1311,ZZZ_Part_Id_[[#All],[FGCODE]])))</f>
        <v>#N/A</v>
      </c>
    </row>
    <row r="1312" spans="1:14" x14ac:dyDescent="0.3">
      <c r="A1312" s="2" t="s">
        <v>5873</v>
      </c>
      <c r="B1312" s="2" t="s">
        <v>76</v>
      </c>
      <c r="C1312" s="2" t="s">
        <v>5874</v>
      </c>
      <c r="D1312" s="3">
        <v>177660</v>
      </c>
      <c r="E1312" s="3">
        <v>177660</v>
      </c>
      <c r="F1312" s="2" t="s">
        <v>16</v>
      </c>
      <c r="G1312" s="2" t="s">
        <v>5875</v>
      </c>
      <c r="H1312" s="3">
        <v>0</v>
      </c>
      <c r="I1312" s="2" t="s">
        <v>409</v>
      </c>
      <c r="J1312" s="2" t="s">
        <v>5876</v>
      </c>
      <c r="K1312" s="2" t="s">
        <v>16</v>
      </c>
      <c r="L1312" s="2" t="s">
        <v>5877</v>
      </c>
      <c r="M1312" s="4">
        <v>1478.12</v>
      </c>
      <c r="N1312" t="b">
        <f>OR(LEFT(B1312,3)="frg",(_xlfn.XMATCH(B1312,ZZZ_Part_Id_[[#All],[FGCODE]])))</f>
        <v>1</v>
      </c>
    </row>
    <row r="1313" spans="1:14" x14ac:dyDescent="0.3">
      <c r="A1313" s="2" t="s">
        <v>5873</v>
      </c>
      <c r="B1313" s="2" t="s">
        <v>86</v>
      </c>
      <c r="C1313" s="2" t="s">
        <v>5878</v>
      </c>
      <c r="D1313" s="5">
        <v>-238</v>
      </c>
      <c r="E1313" s="3">
        <v>0</v>
      </c>
      <c r="F1313" s="2" t="s">
        <v>23</v>
      </c>
      <c r="G1313" s="2" t="s">
        <v>5879</v>
      </c>
      <c r="H1313" s="3">
        <v>0</v>
      </c>
      <c r="I1313" s="2" t="s">
        <v>409</v>
      </c>
      <c r="J1313" s="2" t="s">
        <v>5880</v>
      </c>
      <c r="K1313" s="2" t="s">
        <v>23</v>
      </c>
      <c r="L1313" s="2" t="s">
        <v>5881</v>
      </c>
      <c r="M1313" s="4">
        <v>0</v>
      </c>
      <c r="N1313" t="b">
        <f>OR(LEFT(B1313,3)="frg",(_xlfn.XMATCH(B1313,ZZZ_Part_Id_[[#All],[FGCODE]])))</f>
        <v>1</v>
      </c>
    </row>
    <row r="1314" spans="1:14" x14ac:dyDescent="0.3">
      <c r="A1314" s="2" t="s">
        <v>5873</v>
      </c>
      <c r="B1314" s="2" t="s">
        <v>14</v>
      </c>
      <c r="C1314" s="2" t="s">
        <v>5882</v>
      </c>
      <c r="D1314" s="3">
        <v>7</v>
      </c>
      <c r="E1314" s="3">
        <v>7</v>
      </c>
      <c r="F1314" s="2" t="s">
        <v>16</v>
      </c>
      <c r="G1314" s="2" t="s">
        <v>5883</v>
      </c>
      <c r="H1314" s="3">
        <v>0</v>
      </c>
      <c r="I1314" s="2" t="s">
        <v>409</v>
      </c>
      <c r="J1314" s="2" t="s">
        <v>5884</v>
      </c>
      <c r="K1314" s="2" t="s">
        <v>16</v>
      </c>
      <c r="L1314" s="2" t="s">
        <v>5885</v>
      </c>
      <c r="M1314" s="4">
        <v>0.54</v>
      </c>
      <c r="N1314" t="e">
        <f>OR(LEFT(B1314,3)="frg",(_xlfn.XMATCH(B1314,ZZZ_Part_Id_[[#All],[FGCODE]])))</f>
        <v>#N/A</v>
      </c>
    </row>
    <row r="1315" spans="1:14" x14ac:dyDescent="0.3">
      <c r="A1315" s="2" t="s">
        <v>5873</v>
      </c>
      <c r="B1315" s="2" t="s">
        <v>140</v>
      </c>
      <c r="C1315" s="2" t="s">
        <v>5886</v>
      </c>
      <c r="D1315" s="3">
        <v>0.28000000000000003</v>
      </c>
      <c r="E1315" s="3">
        <v>0.28000000000000003</v>
      </c>
      <c r="F1315" s="2" t="s">
        <v>16</v>
      </c>
      <c r="G1315" s="2" t="s">
        <v>5887</v>
      </c>
      <c r="H1315" s="3">
        <v>0</v>
      </c>
      <c r="I1315" s="2" t="s">
        <v>409</v>
      </c>
      <c r="J1315" s="2" t="s">
        <v>5888</v>
      </c>
      <c r="K1315" s="2" t="s">
        <v>16</v>
      </c>
      <c r="L1315" s="2" t="s">
        <v>5889</v>
      </c>
      <c r="M1315" s="4">
        <v>0.46</v>
      </c>
      <c r="N1315" t="e">
        <f>OR(LEFT(B1315,3)="frg",(_xlfn.XMATCH(B1315,ZZZ_Part_Id_[[#All],[FGCODE]])))</f>
        <v>#N/A</v>
      </c>
    </row>
    <row r="1316" spans="1:14" x14ac:dyDescent="0.3">
      <c r="A1316" s="2" t="s">
        <v>5873</v>
      </c>
      <c r="B1316" s="2" t="s">
        <v>192</v>
      </c>
      <c r="C1316" s="2" t="s">
        <v>5890</v>
      </c>
      <c r="D1316" s="3">
        <v>7.0000000000000007E-2</v>
      </c>
      <c r="E1316" s="3">
        <v>7.0000000000000007E-2</v>
      </c>
      <c r="F1316" s="2" t="s">
        <v>194</v>
      </c>
      <c r="G1316" s="2" t="s">
        <v>5891</v>
      </c>
      <c r="H1316" s="3">
        <v>0</v>
      </c>
      <c r="I1316" s="2" t="s">
        <v>409</v>
      </c>
      <c r="J1316" s="2" t="s">
        <v>5892</v>
      </c>
      <c r="K1316" s="2" t="s">
        <v>194</v>
      </c>
      <c r="L1316" s="2" t="s">
        <v>5893</v>
      </c>
      <c r="M1316" s="4">
        <v>0.37</v>
      </c>
      <c r="N1316" t="e">
        <f>OR(LEFT(B1316,3)="frg",(_xlfn.XMATCH(B1316,ZZZ_Part_Id_[[#All],[FGCODE]])))</f>
        <v>#N/A</v>
      </c>
    </row>
    <row r="1317" spans="1:14" x14ac:dyDescent="0.3">
      <c r="A1317" s="2" t="s">
        <v>5873</v>
      </c>
      <c r="B1317" s="2" t="s">
        <v>145</v>
      </c>
      <c r="C1317" s="2" t="s">
        <v>5894</v>
      </c>
      <c r="D1317" s="3">
        <v>2.8000000000000001E-2</v>
      </c>
      <c r="E1317" s="3">
        <v>2.8000000000000001E-2</v>
      </c>
      <c r="F1317" s="2" t="s">
        <v>147</v>
      </c>
      <c r="G1317" s="2" t="s">
        <v>5895</v>
      </c>
      <c r="H1317" s="3">
        <v>0</v>
      </c>
      <c r="I1317" s="2" t="s">
        <v>409</v>
      </c>
      <c r="J1317" s="2" t="s">
        <v>5896</v>
      </c>
      <c r="K1317" s="2" t="s">
        <v>147</v>
      </c>
      <c r="L1317" s="2" t="s">
        <v>5897</v>
      </c>
      <c r="M1317" s="4">
        <v>4.38</v>
      </c>
      <c r="N1317" t="e">
        <f>OR(LEFT(B1317,3)="frg",(_xlfn.XMATCH(B1317,ZZZ_Part_Id_[[#All],[FGCODE]])))</f>
        <v>#N/A</v>
      </c>
    </row>
    <row r="1318" spans="1:14" x14ac:dyDescent="0.3">
      <c r="A1318" s="2" t="s">
        <v>5898</v>
      </c>
      <c r="B1318" s="2" t="s">
        <v>1245</v>
      </c>
      <c r="C1318" s="2" t="s">
        <v>5899</v>
      </c>
      <c r="D1318" s="3">
        <v>50400</v>
      </c>
      <c r="E1318" s="3">
        <v>50400</v>
      </c>
      <c r="F1318" s="2" t="s">
        <v>16</v>
      </c>
      <c r="G1318" s="2" t="s">
        <v>5900</v>
      </c>
      <c r="H1318" s="3">
        <v>0</v>
      </c>
      <c r="I1318" s="2" t="s">
        <v>409</v>
      </c>
      <c r="J1318" s="2" t="s">
        <v>5901</v>
      </c>
      <c r="K1318" s="2" t="s">
        <v>16</v>
      </c>
      <c r="L1318" s="2" t="s">
        <v>5902</v>
      </c>
      <c r="M1318" s="4">
        <v>6320.65</v>
      </c>
      <c r="N1318" t="b">
        <f>OR(LEFT(B1318,3)="frg",(_xlfn.XMATCH(B1318,ZZZ_Part_Id_[[#All],[FGCODE]])))</f>
        <v>1</v>
      </c>
    </row>
    <row r="1319" spans="1:14" x14ac:dyDescent="0.3">
      <c r="A1319" s="2" t="s">
        <v>5898</v>
      </c>
      <c r="B1319" s="2" t="s">
        <v>14</v>
      </c>
      <c r="C1319" s="2" t="s">
        <v>5903</v>
      </c>
      <c r="D1319" s="3">
        <v>5</v>
      </c>
      <c r="E1319" s="3">
        <v>5</v>
      </c>
      <c r="F1319" s="2" t="s">
        <v>16</v>
      </c>
      <c r="G1319" s="2" t="s">
        <v>131</v>
      </c>
      <c r="H1319" s="3">
        <v>0</v>
      </c>
      <c r="I1319" s="2" t="s">
        <v>409</v>
      </c>
      <c r="J1319" s="2" t="s">
        <v>5904</v>
      </c>
      <c r="K1319" s="2" t="s">
        <v>16</v>
      </c>
      <c r="L1319" s="2" t="s">
        <v>5905</v>
      </c>
      <c r="M1319" s="4">
        <v>0.38</v>
      </c>
      <c r="N1319" t="e">
        <f>OR(LEFT(B1319,3)="frg",(_xlfn.XMATCH(B1319,ZZZ_Part_Id_[[#All],[FGCODE]])))</f>
        <v>#N/A</v>
      </c>
    </row>
    <row r="1320" spans="1:14" x14ac:dyDescent="0.3">
      <c r="A1320" s="2" t="s">
        <v>5898</v>
      </c>
      <c r="B1320" s="2" t="s">
        <v>140</v>
      </c>
      <c r="C1320" s="2" t="s">
        <v>5906</v>
      </c>
      <c r="D1320" s="3">
        <v>0.2</v>
      </c>
      <c r="E1320" s="3">
        <v>0.2</v>
      </c>
      <c r="F1320" s="2" t="s">
        <v>16</v>
      </c>
      <c r="G1320" s="2" t="s">
        <v>131</v>
      </c>
      <c r="H1320" s="3">
        <v>0</v>
      </c>
      <c r="I1320" s="2" t="s">
        <v>409</v>
      </c>
      <c r="J1320" s="2" t="s">
        <v>5907</v>
      </c>
      <c r="K1320" s="2" t="s">
        <v>16</v>
      </c>
      <c r="L1320" s="2" t="s">
        <v>5908</v>
      </c>
      <c r="M1320" s="4">
        <v>0.33</v>
      </c>
      <c r="N1320" t="e">
        <f>OR(LEFT(B1320,3)="frg",(_xlfn.XMATCH(B1320,ZZZ_Part_Id_[[#All],[FGCODE]])))</f>
        <v>#N/A</v>
      </c>
    </row>
    <row r="1321" spans="1:14" x14ac:dyDescent="0.3">
      <c r="A1321" s="2" t="s">
        <v>5898</v>
      </c>
      <c r="B1321" s="2" t="s">
        <v>192</v>
      </c>
      <c r="C1321" s="2" t="s">
        <v>5909</v>
      </c>
      <c r="D1321" s="3">
        <v>0.05</v>
      </c>
      <c r="E1321" s="3">
        <v>0.05</v>
      </c>
      <c r="F1321" s="2" t="s">
        <v>194</v>
      </c>
      <c r="G1321" s="2" t="s">
        <v>131</v>
      </c>
      <c r="H1321" s="3">
        <v>0</v>
      </c>
      <c r="I1321" s="2" t="s">
        <v>409</v>
      </c>
      <c r="J1321" s="2" t="s">
        <v>5910</v>
      </c>
      <c r="K1321" s="2" t="s">
        <v>194</v>
      </c>
      <c r="L1321" s="2" t="s">
        <v>5911</v>
      </c>
      <c r="M1321" s="4">
        <v>0.26</v>
      </c>
      <c r="N1321" t="e">
        <f>OR(LEFT(B1321,3)="frg",(_xlfn.XMATCH(B1321,ZZZ_Part_Id_[[#All],[FGCODE]])))</f>
        <v>#N/A</v>
      </c>
    </row>
    <row r="1322" spans="1:14" x14ac:dyDescent="0.3">
      <c r="A1322" s="2" t="s">
        <v>5898</v>
      </c>
      <c r="B1322" s="2" t="s">
        <v>145</v>
      </c>
      <c r="C1322" s="2" t="s">
        <v>5912</v>
      </c>
      <c r="D1322" s="3">
        <v>0.02</v>
      </c>
      <c r="E1322" s="3">
        <v>0.02</v>
      </c>
      <c r="F1322" s="2" t="s">
        <v>147</v>
      </c>
      <c r="G1322" s="2" t="s">
        <v>131</v>
      </c>
      <c r="H1322" s="3">
        <v>0</v>
      </c>
      <c r="I1322" s="2" t="s">
        <v>409</v>
      </c>
      <c r="J1322" s="2" t="s">
        <v>5913</v>
      </c>
      <c r="K1322" s="2" t="s">
        <v>147</v>
      </c>
      <c r="L1322" s="2" t="s">
        <v>5914</v>
      </c>
      <c r="M1322" s="4">
        <v>3.13</v>
      </c>
      <c r="N1322" t="e">
        <f>OR(LEFT(B1322,3)="frg",(_xlfn.XMATCH(B1322,ZZZ_Part_Id_[[#All],[FGCODE]])))</f>
        <v>#N/A</v>
      </c>
    </row>
    <row r="1323" spans="1:14" x14ac:dyDescent="0.3">
      <c r="A1323" s="2" t="s">
        <v>5915</v>
      </c>
      <c r="B1323" s="2" t="s">
        <v>3028</v>
      </c>
      <c r="C1323" s="2" t="s">
        <v>5916</v>
      </c>
      <c r="D1323" s="3">
        <v>101520</v>
      </c>
      <c r="E1323" s="3">
        <v>101520</v>
      </c>
      <c r="F1323" s="2" t="s">
        <v>16</v>
      </c>
      <c r="G1323" s="2" t="s">
        <v>5917</v>
      </c>
      <c r="H1323" s="3">
        <v>0</v>
      </c>
      <c r="I1323" s="2" t="s">
        <v>409</v>
      </c>
      <c r="J1323" s="2" t="s">
        <v>5918</v>
      </c>
      <c r="K1323" s="2" t="s">
        <v>16</v>
      </c>
      <c r="L1323" s="2" t="s">
        <v>5919</v>
      </c>
      <c r="M1323" s="4">
        <v>4301.3999999999996</v>
      </c>
      <c r="N1323" t="b">
        <f>OR(LEFT(B1323,3)="frg",(_xlfn.XMATCH(B1323,ZZZ_Part_Id_[[#All],[FGCODE]])))</f>
        <v>1</v>
      </c>
    </row>
    <row r="1324" spans="1:14" x14ac:dyDescent="0.3">
      <c r="A1324" s="2" t="s">
        <v>5915</v>
      </c>
      <c r="B1324" s="2" t="s">
        <v>14</v>
      </c>
      <c r="C1324" s="2" t="s">
        <v>5920</v>
      </c>
      <c r="D1324" s="3">
        <v>4</v>
      </c>
      <c r="E1324" s="3">
        <v>4</v>
      </c>
      <c r="F1324" s="2" t="s">
        <v>16</v>
      </c>
      <c r="G1324" s="2" t="s">
        <v>5921</v>
      </c>
      <c r="H1324" s="3">
        <v>0</v>
      </c>
      <c r="I1324" s="2" t="s">
        <v>409</v>
      </c>
      <c r="J1324" s="2" t="s">
        <v>5922</v>
      </c>
      <c r="K1324" s="2" t="s">
        <v>16</v>
      </c>
      <c r="L1324" s="2" t="s">
        <v>5923</v>
      </c>
      <c r="M1324" s="4">
        <v>0.31</v>
      </c>
      <c r="N1324" t="e">
        <f>OR(LEFT(B1324,3)="frg",(_xlfn.XMATCH(B1324,ZZZ_Part_Id_[[#All],[FGCODE]])))</f>
        <v>#N/A</v>
      </c>
    </row>
    <row r="1325" spans="1:14" x14ac:dyDescent="0.3">
      <c r="A1325" s="2" t="s">
        <v>5915</v>
      </c>
      <c r="B1325" s="2" t="s">
        <v>140</v>
      </c>
      <c r="C1325" s="2" t="s">
        <v>5924</v>
      </c>
      <c r="D1325" s="3">
        <v>0.16</v>
      </c>
      <c r="E1325" s="3">
        <v>0.16</v>
      </c>
      <c r="F1325" s="2" t="s">
        <v>16</v>
      </c>
      <c r="G1325" s="2" t="s">
        <v>5925</v>
      </c>
      <c r="H1325" s="3">
        <v>0</v>
      </c>
      <c r="I1325" s="2" t="s">
        <v>409</v>
      </c>
      <c r="J1325" s="2" t="s">
        <v>5926</v>
      </c>
      <c r="K1325" s="2" t="s">
        <v>16</v>
      </c>
      <c r="L1325" s="2" t="s">
        <v>5927</v>
      </c>
      <c r="M1325" s="4">
        <v>0.26</v>
      </c>
      <c r="N1325" t="e">
        <f>OR(LEFT(B1325,3)="frg",(_xlfn.XMATCH(B1325,ZZZ_Part_Id_[[#All],[FGCODE]])))</f>
        <v>#N/A</v>
      </c>
    </row>
    <row r="1326" spans="1:14" x14ac:dyDescent="0.3">
      <c r="A1326" s="2" t="s">
        <v>5915</v>
      </c>
      <c r="B1326" s="2" t="s">
        <v>192</v>
      </c>
      <c r="C1326" s="2" t="s">
        <v>5928</v>
      </c>
      <c r="D1326" s="3">
        <v>0.04</v>
      </c>
      <c r="E1326" s="3">
        <v>0.04</v>
      </c>
      <c r="F1326" s="2" t="s">
        <v>194</v>
      </c>
      <c r="G1326" s="2" t="s">
        <v>5929</v>
      </c>
      <c r="H1326" s="3">
        <v>0</v>
      </c>
      <c r="I1326" s="2" t="s">
        <v>409</v>
      </c>
      <c r="J1326" s="2" t="s">
        <v>5930</v>
      </c>
      <c r="K1326" s="2" t="s">
        <v>194</v>
      </c>
      <c r="L1326" s="2" t="s">
        <v>5931</v>
      </c>
      <c r="M1326" s="4">
        <v>0.21</v>
      </c>
      <c r="N1326" t="e">
        <f>OR(LEFT(B1326,3)="frg",(_xlfn.XMATCH(B1326,ZZZ_Part_Id_[[#All],[FGCODE]])))</f>
        <v>#N/A</v>
      </c>
    </row>
    <row r="1327" spans="1:14" x14ac:dyDescent="0.3">
      <c r="A1327" s="2" t="s">
        <v>5915</v>
      </c>
      <c r="B1327" s="2" t="s">
        <v>145</v>
      </c>
      <c r="C1327" s="2" t="s">
        <v>5932</v>
      </c>
      <c r="D1327" s="3">
        <v>1.6E-2</v>
      </c>
      <c r="E1327" s="3">
        <v>1.6E-2</v>
      </c>
      <c r="F1327" s="2" t="s">
        <v>147</v>
      </c>
      <c r="G1327" s="2" t="s">
        <v>5933</v>
      </c>
      <c r="H1327" s="3">
        <v>0</v>
      </c>
      <c r="I1327" s="2" t="s">
        <v>409</v>
      </c>
      <c r="J1327" s="2" t="s">
        <v>5934</v>
      </c>
      <c r="K1327" s="2" t="s">
        <v>147</v>
      </c>
      <c r="L1327" s="2" t="s">
        <v>5935</v>
      </c>
      <c r="M1327" s="4">
        <v>2.5</v>
      </c>
      <c r="N1327" t="e">
        <f>OR(LEFT(B1327,3)="frg",(_xlfn.XMATCH(B1327,ZZZ_Part_Id_[[#All],[FGCODE]])))</f>
        <v>#N/A</v>
      </c>
    </row>
    <row r="1328" spans="1:14" x14ac:dyDescent="0.3">
      <c r="A1328" s="2" t="s">
        <v>5936</v>
      </c>
      <c r="B1328" s="2" t="s">
        <v>5477</v>
      </c>
      <c r="C1328" s="2" t="s">
        <v>5937</v>
      </c>
      <c r="D1328" s="3">
        <v>46368</v>
      </c>
      <c r="E1328" s="3">
        <v>46368</v>
      </c>
      <c r="F1328" s="2" t="s">
        <v>16</v>
      </c>
      <c r="G1328" s="2" t="s">
        <v>5938</v>
      </c>
      <c r="H1328" s="3">
        <v>0</v>
      </c>
      <c r="I1328" s="2" t="s">
        <v>409</v>
      </c>
      <c r="J1328" s="2" t="s">
        <v>5939</v>
      </c>
      <c r="K1328" s="2" t="s">
        <v>16</v>
      </c>
      <c r="L1328" s="2" t="s">
        <v>5940</v>
      </c>
      <c r="M1328" s="4">
        <v>13776.84</v>
      </c>
      <c r="N1328" t="b">
        <f>OR(LEFT(B1328,3)="frg",(_xlfn.XMATCH(B1328,ZZZ_Part_Id_[[#All],[FGCODE]])))</f>
        <v>1</v>
      </c>
    </row>
    <row r="1329" spans="1:14" x14ac:dyDescent="0.3">
      <c r="A1329" s="2" t="s">
        <v>5941</v>
      </c>
      <c r="B1329" s="2" t="s">
        <v>517</v>
      </c>
      <c r="C1329" s="2" t="s">
        <v>5942</v>
      </c>
      <c r="D1329" s="3">
        <v>453600</v>
      </c>
      <c r="E1329" s="3">
        <v>453600</v>
      </c>
      <c r="F1329" s="2" t="s">
        <v>16</v>
      </c>
      <c r="G1329" s="2" t="s">
        <v>5943</v>
      </c>
      <c r="H1329" s="3">
        <v>0</v>
      </c>
      <c r="I1329" s="2" t="s">
        <v>18</v>
      </c>
      <c r="J1329" s="2" t="s">
        <v>5944</v>
      </c>
      <c r="K1329" s="2" t="s">
        <v>16</v>
      </c>
      <c r="L1329" s="2" t="s">
        <v>5945</v>
      </c>
      <c r="M1329" s="4">
        <v>52771.95</v>
      </c>
      <c r="N1329" t="b">
        <f>OR(LEFT(B1329,3)="frg",(_xlfn.XMATCH(B1329,ZZZ_Part_Id_[[#All],[FGCODE]])))</f>
        <v>1</v>
      </c>
    </row>
    <row r="1330" spans="1:14" x14ac:dyDescent="0.3">
      <c r="A1330" s="2" t="s">
        <v>5946</v>
      </c>
      <c r="B1330" s="2" t="s">
        <v>76</v>
      </c>
      <c r="C1330" s="2" t="s">
        <v>5947</v>
      </c>
      <c r="D1330" s="3">
        <v>355320</v>
      </c>
      <c r="E1330" s="3">
        <v>355320</v>
      </c>
      <c r="F1330" s="2" t="s">
        <v>16</v>
      </c>
      <c r="G1330" s="2" t="s">
        <v>5948</v>
      </c>
      <c r="H1330" s="3">
        <v>0</v>
      </c>
      <c r="I1330" s="2" t="s">
        <v>409</v>
      </c>
      <c r="J1330" s="2" t="s">
        <v>5949</v>
      </c>
      <c r="K1330" s="2" t="s">
        <v>16</v>
      </c>
      <c r="L1330" s="2" t="s">
        <v>5950</v>
      </c>
      <c r="M1330" s="4">
        <v>2956.24</v>
      </c>
      <c r="N1330" t="b">
        <f>OR(LEFT(B1330,3)="frg",(_xlfn.XMATCH(B1330,ZZZ_Part_Id_[[#All],[FGCODE]])))</f>
        <v>1</v>
      </c>
    </row>
    <row r="1331" spans="1:14" x14ac:dyDescent="0.3">
      <c r="A1331" s="2" t="s">
        <v>5946</v>
      </c>
      <c r="B1331" s="2" t="s">
        <v>86</v>
      </c>
      <c r="C1331" s="2" t="s">
        <v>5951</v>
      </c>
      <c r="D1331" s="5">
        <v>-238</v>
      </c>
      <c r="E1331" s="5">
        <v>-238</v>
      </c>
      <c r="F1331" s="2" t="s">
        <v>23</v>
      </c>
      <c r="G1331" s="2" t="s">
        <v>5952</v>
      </c>
      <c r="H1331" s="3">
        <v>0</v>
      </c>
      <c r="I1331" s="2" t="s">
        <v>409</v>
      </c>
      <c r="J1331" s="2" t="s">
        <v>5953</v>
      </c>
      <c r="K1331" s="2" t="s">
        <v>23</v>
      </c>
      <c r="L1331" s="2" t="s">
        <v>5954</v>
      </c>
      <c r="M1331" s="6">
        <v>-623.04</v>
      </c>
      <c r="N1331" t="b">
        <f>OR(LEFT(B1331,3)="frg",(_xlfn.XMATCH(B1331,ZZZ_Part_Id_[[#All],[FGCODE]])))</f>
        <v>1</v>
      </c>
    </row>
    <row r="1332" spans="1:14" x14ac:dyDescent="0.3">
      <c r="A1332" s="2" t="s">
        <v>5946</v>
      </c>
      <c r="B1332" s="2" t="s">
        <v>14</v>
      </c>
      <c r="C1332" s="2" t="s">
        <v>5955</v>
      </c>
      <c r="D1332" s="3">
        <v>13</v>
      </c>
      <c r="E1332" s="3">
        <v>13</v>
      </c>
      <c r="F1332" s="2" t="s">
        <v>16</v>
      </c>
      <c r="G1332" s="2" t="s">
        <v>5956</v>
      </c>
      <c r="H1332" s="3">
        <v>0</v>
      </c>
      <c r="I1332" s="2" t="s">
        <v>409</v>
      </c>
      <c r="J1332" s="2" t="s">
        <v>5957</v>
      </c>
      <c r="K1332" s="2" t="s">
        <v>16</v>
      </c>
      <c r="L1332" s="2" t="s">
        <v>5958</v>
      </c>
      <c r="M1332" s="4">
        <v>1</v>
      </c>
      <c r="N1332" t="e">
        <f>OR(LEFT(B1332,3)="frg",(_xlfn.XMATCH(B1332,ZZZ_Part_Id_[[#All],[FGCODE]])))</f>
        <v>#N/A</v>
      </c>
    </row>
    <row r="1333" spans="1:14" x14ac:dyDescent="0.3">
      <c r="A1333" s="2" t="s">
        <v>5946</v>
      </c>
      <c r="B1333" s="2" t="s">
        <v>140</v>
      </c>
      <c r="C1333" s="2" t="s">
        <v>5959</v>
      </c>
      <c r="D1333" s="3">
        <v>0.52</v>
      </c>
      <c r="E1333" s="3">
        <v>0.52</v>
      </c>
      <c r="F1333" s="2" t="s">
        <v>16</v>
      </c>
      <c r="G1333" s="2" t="s">
        <v>5960</v>
      </c>
      <c r="H1333" s="3">
        <v>0</v>
      </c>
      <c r="I1333" s="2" t="s">
        <v>409</v>
      </c>
      <c r="J1333" s="2" t="s">
        <v>5961</v>
      </c>
      <c r="K1333" s="2" t="s">
        <v>16</v>
      </c>
      <c r="L1333" s="2" t="s">
        <v>5962</v>
      </c>
      <c r="M1333" s="4">
        <v>0.86</v>
      </c>
      <c r="N1333" t="e">
        <f>OR(LEFT(B1333,3)="frg",(_xlfn.XMATCH(B1333,ZZZ_Part_Id_[[#All],[FGCODE]])))</f>
        <v>#N/A</v>
      </c>
    </row>
    <row r="1334" spans="1:14" x14ac:dyDescent="0.3">
      <c r="A1334" s="2" t="s">
        <v>5946</v>
      </c>
      <c r="B1334" s="2" t="s">
        <v>192</v>
      </c>
      <c r="C1334" s="2" t="s">
        <v>5963</v>
      </c>
      <c r="D1334" s="3">
        <v>0.13</v>
      </c>
      <c r="E1334" s="3">
        <v>0.13</v>
      </c>
      <c r="F1334" s="2" t="s">
        <v>194</v>
      </c>
      <c r="G1334" s="2" t="s">
        <v>5964</v>
      </c>
      <c r="H1334" s="3">
        <v>0</v>
      </c>
      <c r="I1334" s="2" t="s">
        <v>409</v>
      </c>
      <c r="J1334" s="2" t="s">
        <v>5965</v>
      </c>
      <c r="K1334" s="2" t="s">
        <v>194</v>
      </c>
      <c r="L1334" s="2" t="s">
        <v>5966</v>
      </c>
      <c r="M1334" s="4">
        <v>0.68</v>
      </c>
      <c r="N1334" t="e">
        <f>OR(LEFT(B1334,3)="frg",(_xlfn.XMATCH(B1334,ZZZ_Part_Id_[[#All],[FGCODE]])))</f>
        <v>#N/A</v>
      </c>
    </row>
    <row r="1335" spans="1:14" x14ac:dyDescent="0.3">
      <c r="A1335" s="2" t="s">
        <v>5946</v>
      </c>
      <c r="B1335" s="2" t="s">
        <v>145</v>
      </c>
      <c r="C1335" s="2" t="s">
        <v>5967</v>
      </c>
      <c r="D1335" s="3">
        <v>5.1999999999999998E-2</v>
      </c>
      <c r="E1335" s="3">
        <v>5.1999999999999998E-2</v>
      </c>
      <c r="F1335" s="2" t="s">
        <v>147</v>
      </c>
      <c r="G1335" s="2" t="s">
        <v>5968</v>
      </c>
      <c r="H1335" s="3">
        <v>0</v>
      </c>
      <c r="I1335" s="2" t="s">
        <v>409</v>
      </c>
      <c r="J1335" s="2" t="s">
        <v>5969</v>
      </c>
      <c r="K1335" s="2" t="s">
        <v>147</v>
      </c>
      <c r="L1335" s="2" t="s">
        <v>5970</v>
      </c>
      <c r="M1335" s="4">
        <v>8.1300000000000008</v>
      </c>
      <c r="N1335" t="e">
        <f>OR(LEFT(B1335,3)="frg",(_xlfn.XMATCH(B1335,ZZZ_Part_Id_[[#All],[FGCODE]])))</f>
        <v>#N/A</v>
      </c>
    </row>
    <row r="1336" spans="1:14" x14ac:dyDescent="0.3">
      <c r="A1336" s="2" t="s">
        <v>5971</v>
      </c>
      <c r="B1336" s="2" t="s">
        <v>517</v>
      </c>
      <c r="C1336" s="2" t="s">
        <v>5972</v>
      </c>
      <c r="D1336" s="3">
        <v>493920</v>
      </c>
      <c r="E1336" s="3">
        <v>493920</v>
      </c>
      <c r="F1336" s="2" t="s">
        <v>16</v>
      </c>
      <c r="G1336" s="2" t="s">
        <v>5973</v>
      </c>
      <c r="H1336" s="3">
        <v>0</v>
      </c>
      <c r="I1336" s="2" t="s">
        <v>409</v>
      </c>
      <c r="J1336" s="2" t="s">
        <v>5974</v>
      </c>
      <c r="K1336" s="2" t="s">
        <v>16</v>
      </c>
      <c r="L1336" s="2" t="s">
        <v>5975</v>
      </c>
      <c r="M1336" s="4">
        <v>57462.79</v>
      </c>
      <c r="N1336" t="b">
        <f>OR(LEFT(B1336,3)="frg",(_xlfn.XMATCH(B1336,ZZZ_Part_Id_[[#All],[FGCODE]])))</f>
        <v>1</v>
      </c>
    </row>
    <row r="1337" spans="1:14" x14ac:dyDescent="0.3">
      <c r="A1337" s="2" t="s">
        <v>5976</v>
      </c>
      <c r="B1337" s="2" t="s">
        <v>5477</v>
      </c>
      <c r="C1337" s="2" t="s">
        <v>5977</v>
      </c>
      <c r="D1337" s="3">
        <v>13245</v>
      </c>
      <c r="E1337" s="3">
        <v>13248</v>
      </c>
      <c r="F1337" s="2" t="s">
        <v>16</v>
      </c>
      <c r="G1337" s="2" t="s">
        <v>5978</v>
      </c>
      <c r="H1337" s="3">
        <v>0</v>
      </c>
      <c r="I1337" s="2" t="s">
        <v>18</v>
      </c>
      <c r="J1337" s="2" t="s">
        <v>35</v>
      </c>
      <c r="K1337" s="2" t="s">
        <v>16</v>
      </c>
      <c r="L1337" s="2" t="s">
        <v>5979</v>
      </c>
      <c r="M1337" s="4">
        <v>3936.24</v>
      </c>
      <c r="N1337" t="b">
        <f>OR(LEFT(B1337,3)="frg",(_xlfn.XMATCH(B1337,ZZZ_Part_Id_[[#All],[FGCODE]])))</f>
        <v>1</v>
      </c>
    </row>
    <row r="1338" spans="1:14" x14ac:dyDescent="0.3">
      <c r="A1338" s="2" t="s">
        <v>5980</v>
      </c>
      <c r="B1338" s="2" t="s">
        <v>2086</v>
      </c>
      <c r="C1338" s="2" t="s">
        <v>5981</v>
      </c>
      <c r="D1338" s="3">
        <v>21120</v>
      </c>
      <c r="E1338" s="3">
        <v>21120</v>
      </c>
      <c r="F1338" s="2" t="s">
        <v>16</v>
      </c>
      <c r="G1338" s="2" t="s">
        <v>5982</v>
      </c>
      <c r="H1338" s="3">
        <v>0</v>
      </c>
      <c r="I1338" s="2" t="s">
        <v>18</v>
      </c>
      <c r="J1338" s="2" t="s">
        <v>5983</v>
      </c>
      <c r="K1338" s="2" t="s">
        <v>16</v>
      </c>
      <c r="L1338" s="2" t="s">
        <v>5984</v>
      </c>
      <c r="M1338" s="4">
        <v>3086.9</v>
      </c>
      <c r="N1338" t="b">
        <f>OR(LEFT(B1338,3)="frg",(_xlfn.XMATCH(B1338,ZZZ_Part_Id_[[#All],[FGCODE]])))</f>
        <v>1</v>
      </c>
    </row>
    <row r="1339" spans="1:14" x14ac:dyDescent="0.3">
      <c r="A1339" s="2" t="s">
        <v>5985</v>
      </c>
      <c r="B1339" s="2" t="s">
        <v>5986</v>
      </c>
      <c r="C1339" s="2" t="s">
        <v>5987</v>
      </c>
      <c r="D1339" s="3">
        <v>19872</v>
      </c>
      <c r="E1339" s="3">
        <v>19872</v>
      </c>
      <c r="F1339" s="2" t="s">
        <v>16</v>
      </c>
      <c r="G1339" s="2" t="s">
        <v>5988</v>
      </c>
      <c r="H1339" s="3">
        <v>0</v>
      </c>
      <c r="I1339" s="2" t="s">
        <v>409</v>
      </c>
      <c r="J1339" s="2" t="s">
        <v>5989</v>
      </c>
      <c r="K1339" s="2" t="s">
        <v>16</v>
      </c>
      <c r="L1339" s="2" t="s">
        <v>5990</v>
      </c>
      <c r="M1339" s="4">
        <v>6513.84</v>
      </c>
      <c r="N1339" t="b">
        <f>OR(LEFT(B1339,3)="frg",(_xlfn.XMATCH(B1339,ZZZ_Part_Id_[[#All],[FGCODE]])))</f>
        <v>1</v>
      </c>
    </row>
    <row r="1340" spans="1:14" x14ac:dyDescent="0.3">
      <c r="A1340" s="2" t="s">
        <v>5991</v>
      </c>
      <c r="B1340" s="2" t="s">
        <v>3142</v>
      </c>
      <c r="C1340" s="2" t="s">
        <v>5992</v>
      </c>
      <c r="D1340" s="3">
        <v>158976</v>
      </c>
      <c r="E1340" s="3">
        <v>158976</v>
      </c>
      <c r="F1340" s="2" t="s">
        <v>16</v>
      </c>
      <c r="G1340" s="2" t="s">
        <v>5993</v>
      </c>
      <c r="H1340" s="3">
        <v>0</v>
      </c>
      <c r="I1340" s="2" t="s">
        <v>409</v>
      </c>
      <c r="J1340" s="2" t="s">
        <v>5994</v>
      </c>
      <c r="K1340" s="2" t="s">
        <v>16</v>
      </c>
      <c r="L1340" s="2" t="s">
        <v>5995</v>
      </c>
      <c r="M1340" s="4">
        <v>51751.44</v>
      </c>
      <c r="N1340" t="b">
        <f>OR(LEFT(B1340,3)="frg",(_xlfn.XMATCH(B1340,ZZZ_Part_Id_[[#All],[FGCODE]])))</f>
        <v>1</v>
      </c>
    </row>
    <row r="1341" spans="1:14" x14ac:dyDescent="0.3">
      <c r="A1341" s="2" t="s">
        <v>5996</v>
      </c>
      <c r="B1341" s="2" t="s">
        <v>97</v>
      </c>
      <c r="C1341" s="2" t="s">
        <v>5997</v>
      </c>
      <c r="D1341" s="3">
        <v>307200</v>
      </c>
      <c r="E1341" s="3">
        <v>307200</v>
      </c>
      <c r="F1341" s="2" t="s">
        <v>16</v>
      </c>
      <c r="G1341" s="2" t="s">
        <v>5998</v>
      </c>
      <c r="H1341" s="3">
        <v>0</v>
      </c>
      <c r="I1341" s="2" t="s">
        <v>409</v>
      </c>
      <c r="J1341" s="2" t="s">
        <v>5999</v>
      </c>
      <c r="K1341" s="2" t="s">
        <v>16</v>
      </c>
      <c r="L1341" s="2" t="s">
        <v>6000</v>
      </c>
      <c r="M1341" s="4">
        <v>105277.44</v>
      </c>
      <c r="N1341" t="b">
        <f>OR(LEFT(B1341,3)="frg",(_xlfn.XMATCH(B1341,ZZZ_Part_Id_[[#All],[FGCODE]])))</f>
        <v>1</v>
      </c>
    </row>
    <row r="1342" spans="1:14" x14ac:dyDescent="0.3">
      <c r="A1342" s="2" t="s">
        <v>5996</v>
      </c>
      <c r="B1342" s="2" t="s">
        <v>14</v>
      </c>
      <c r="C1342" s="2" t="s">
        <v>6001</v>
      </c>
      <c r="D1342" s="3">
        <v>64</v>
      </c>
      <c r="E1342" s="3">
        <v>64</v>
      </c>
      <c r="F1342" s="2" t="s">
        <v>16</v>
      </c>
      <c r="G1342" s="2" t="s">
        <v>6002</v>
      </c>
      <c r="H1342" s="3">
        <v>0</v>
      </c>
      <c r="I1342" s="2" t="s">
        <v>409</v>
      </c>
      <c r="J1342" s="2" t="s">
        <v>6003</v>
      </c>
      <c r="K1342" s="2" t="s">
        <v>16</v>
      </c>
      <c r="L1342" s="2" t="s">
        <v>6004</v>
      </c>
      <c r="M1342" s="4">
        <v>4.92</v>
      </c>
      <c r="N1342" t="e">
        <f>OR(LEFT(B1342,3)="frg",(_xlfn.XMATCH(B1342,ZZZ_Part_Id_[[#All],[FGCODE]])))</f>
        <v>#N/A</v>
      </c>
    </row>
    <row r="1343" spans="1:14" x14ac:dyDescent="0.3">
      <c r="A1343" s="2" t="s">
        <v>5996</v>
      </c>
      <c r="B1343" s="2" t="s">
        <v>140</v>
      </c>
      <c r="C1343" s="2" t="s">
        <v>6005</v>
      </c>
      <c r="D1343" s="3">
        <v>2.56</v>
      </c>
      <c r="E1343" s="3">
        <v>2.56</v>
      </c>
      <c r="F1343" s="2" t="s">
        <v>16</v>
      </c>
      <c r="G1343" s="2" t="s">
        <v>6006</v>
      </c>
      <c r="H1343" s="3">
        <v>0</v>
      </c>
      <c r="I1343" s="2" t="s">
        <v>409</v>
      </c>
      <c r="J1343" s="2" t="s">
        <v>6007</v>
      </c>
      <c r="K1343" s="2" t="s">
        <v>16</v>
      </c>
      <c r="L1343" s="2" t="s">
        <v>6008</v>
      </c>
      <c r="M1343" s="4">
        <v>4.2300000000000004</v>
      </c>
      <c r="N1343" t="e">
        <f>OR(LEFT(B1343,3)="frg",(_xlfn.XMATCH(B1343,ZZZ_Part_Id_[[#All],[FGCODE]])))</f>
        <v>#N/A</v>
      </c>
    </row>
    <row r="1344" spans="1:14" x14ac:dyDescent="0.3">
      <c r="A1344" s="2" t="s">
        <v>5996</v>
      </c>
      <c r="B1344" s="2" t="s">
        <v>192</v>
      </c>
      <c r="C1344" s="2" t="s">
        <v>6009</v>
      </c>
      <c r="D1344" s="3">
        <v>0.64</v>
      </c>
      <c r="E1344" s="3">
        <v>0.64</v>
      </c>
      <c r="F1344" s="2" t="s">
        <v>194</v>
      </c>
      <c r="G1344" s="2" t="s">
        <v>6010</v>
      </c>
      <c r="H1344" s="3">
        <v>0</v>
      </c>
      <c r="I1344" s="2" t="s">
        <v>409</v>
      </c>
      <c r="J1344" s="2" t="s">
        <v>6011</v>
      </c>
      <c r="K1344" s="2" t="s">
        <v>194</v>
      </c>
      <c r="L1344" s="2" t="s">
        <v>6012</v>
      </c>
      <c r="M1344" s="4">
        <v>3.35</v>
      </c>
      <c r="N1344" t="e">
        <f>OR(LEFT(B1344,3)="frg",(_xlfn.XMATCH(B1344,ZZZ_Part_Id_[[#All],[FGCODE]])))</f>
        <v>#N/A</v>
      </c>
    </row>
    <row r="1345" spans="1:14" x14ac:dyDescent="0.3">
      <c r="A1345" s="2" t="s">
        <v>5996</v>
      </c>
      <c r="B1345" s="2" t="s">
        <v>145</v>
      </c>
      <c r="C1345" s="2" t="s">
        <v>6013</v>
      </c>
      <c r="D1345" s="3">
        <v>0.25600000000000001</v>
      </c>
      <c r="E1345" s="3">
        <v>0.25600000000000001</v>
      </c>
      <c r="F1345" s="2" t="s">
        <v>147</v>
      </c>
      <c r="G1345" s="2" t="s">
        <v>6014</v>
      </c>
      <c r="H1345" s="3">
        <v>0</v>
      </c>
      <c r="I1345" s="2" t="s">
        <v>409</v>
      </c>
      <c r="J1345" s="2" t="s">
        <v>6015</v>
      </c>
      <c r="K1345" s="2" t="s">
        <v>147</v>
      </c>
      <c r="L1345" s="2" t="s">
        <v>6016</v>
      </c>
      <c r="M1345" s="4">
        <v>40.04</v>
      </c>
      <c r="N1345" t="e">
        <f>OR(LEFT(B1345,3)="frg",(_xlfn.XMATCH(B1345,ZZZ_Part_Id_[[#All],[FGCODE]])))</f>
        <v>#N/A</v>
      </c>
    </row>
    <row r="1346" spans="1:14" x14ac:dyDescent="0.3">
      <c r="A1346" s="2" t="s">
        <v>6017</v>
      </c>
      <c r="B1346" s="2" t="s">
        <v>14</v>
      </c>
      <c r="C1346" s="2" t="s">
        <v>6018</v>
      </c>
      <c r="D1346" s="3">
        <v>1E-3</v>
      </c>
      <c r="E1346" s="3">
        <v>0</v>
      </c>
      <c r="F1346" s="2" t="s">
        <v>16</v>
      </c>
      <c r="G1346" s="2" t="s">
        <v>131</v>
      </c>
      <c r="H1346" s="3">
        <v>0</v>
      </c>
      <c r="I1346" s="2" t="s">
        <v>18</v>
      </c>
      <c r="J1346" s="2" t="s">
        <v>6019</v>
      </c>
      <c r="K1346" s="2" t="s">
        <v>16</v>
      </c>
      <c r="L1346" s="2" t="s">
        <v>6020</v>
      </c>
      <c r="M1346" s="4">
        <v>0</v>
      </c>
      <c r="N1346" t="e">
        <f>OR(LEFT(B1346,3)="frg",(_xlfn.XMATCH(B1346,ZZZ_Part_Id_[[#All],[FGCODE]])))</f>
        <v>#N/A</v>
      </c>
    </row>
    <row r="1347" spans="1:14" x14ac:dyDescent="0.3">
      <c r="A1347" s="2" t="s">
        <v>6017</v>
      </c>
      <c r="B1347" s="2" t="s">
        <v>187</v>
      </c>
      <c r="C1347" s="2" t="s">
        <v>6021</v>
      </c>
      <c r="D1347" s="3">
        <v>1E-3</v>
      </c>
      <c r="E1347" s="3">
        <v>0</v>
      </c>
      <c r="F1347" s="2" t="s">
        <v>16</v>
      </c>
      <c r="G1347" s="2" t="s">
        <v>131</v>
      </c>
      <c r="H1347" s="3">
        <v>0</v>
      </c>
      <c r="I1347" s="2" t="s">
        <v>18</v>
      </c>
      <c r="J1347" s="2" t="s">
        <v>6022</v>
      </c>
      <c r="K1347" s="2" t="s">
        <v>16</v>
      </c>
      <c r="L1347" s="2" t="s">
        <v>6023</v>
      </c>
      <c r="M1347" s="4">
        <v>0</v>
      </c>
      <c r="N1347" t="e">
        <f>OR(LEFT(B1347,3)="frg",(_xlfn.XMATCH(B1347,ZZZ_Part_Id_[[#All],[FGCODE]])))</f>
        <v>#N/A</v>
      </c>
    </row>
    <row r="1348" spans="1:14" x14ac:dyDescent="0.3">
      <c r="A1348" s="2" t="s">
        <v>6017</v>
      </c>
      <c r="B1348" s="2" t="s">
        <v>177</v>
      </c>
      <c r="C1348" s="2" t="s">
        <v>6024</v>
      </c>
      <c r="D1348" s="3">
        <v>1E-3</v>
      </c>
      <c r="E1348" s="3">
        <v>0</v>
      </c>
      <c r="F1348" s="2" t="s">
        <v>16</v>
      </c>
      <c r="G1348" s="2" t="s">
        <v>131</v>
      </c>
      <c r="H1348" s="3">
        <v>0</v>
      </c>
      <c r="I1348" s="2" t="s">
        <v>18</v>
      </c>
      <c r="J1348" s="2" t="s">
        <v>6025</v>
      </c>
      <c r="K1348" s="2" t="s">
        <v>16</v>
      </c>
      <c r="L1348" s="2" t="s">
        <v>6026</v>
      </c>
      <c r="M1348" s="4">
        <v>0</v>
      </c>
      <c r="N1348" t="e">
        <f>OR(LEFT(B1348,3)="frg",(_xlfn.XMATCH(B1348,ZZZ_Part_Id_[[#All],[FGCODE]])))</f>
        <v>#N/A</v>
      </c>
    </row>
    <row r="1349" spans="1:14" x14ac:dyDescent="0.3">
      <c r="A1349" s="2" t="s">
        <v>6017</v>
      </c>
      <c r="B1349" s="2" t="s">
        <v>161</v>
      </c>
      <c r="C1349" s="2" t="s">
        <v>6027</v>
      </c>
      <c r="D1349" s="3">
        <v>0</v>
      </c>
      <c r="E1349" s="3">
        <v>0</v>
      </c>
      <c r="F1349" s="2" t="s">
        <v>163</v>
      </c>
      <c r="G1349" s="2" t="s">
        <v>131</v>
      </c>
      <c r="H1349" s="3">
        <v>0</v>
      </c>
      <c r="I1349" s="2" t="s">
        <v>18</v>
      </c>
      <c r="J1349" s="2" t="s">
        <v>6028</v>
      </c>
      <c r="K1349" s="2" t="s">
        <v>163</v>
      </c>
      <c r="L1349" s="2" t="s">
        <v>6029</v>
      </c>
      <c r="M1349" s="4">
        <v>0</v>
      </c>
      <c r="N1349" t="e">
        <f>OR(LEFT(B1349,3)="frg",(_xlfn.XMATCH(B1349,ZZZ_Part_Id_[[#All],[FGCODE]])))</f>
        <v>#N/A</v>
      </c>
    </row>
    <row r="1350" spans="1:14" x14ac:dyDescent="0.3">
      <c r="A1350" s="2" t="s">
        <v>6017</v>
      </c>
      <c r="B1350" s="2" t="s">
        <v>182</v>
      </c>
      <c r="C1350" s="2" t="s">
        <v>6030</v>
      </c>
      <c r="D1350" s="3">
        <v>1E-3</v>
      </c>
      <c r="E1350" s="3">
        <v>0</v>
      </c>
      <c r="F1350" s="2" t="s">
        <v>16</v>
      </c>
      <c r="G1350" s="2" t="s">
        <v>131</v>
      </c>
      <c r="H1350" s="3">
        <v>0</v>
      </c>
      <c r="I1350" s="2" t="s">
        <v>18</v>
      </c>
      <c r="J1350" s="2" t="s">
        <v>6031</v>
      </c>
      <c r="K1350" s="2" t="s">
        <v>16</v>
      </c>
      <c r="L1350" s="2" t="s">
        <v>6032</v>
      </c>
      <c r="M1350" s="4">
        <v>0</v>
      </c>
      <c r="N1350" t="e">
        <f>OR(LEFT(B1350,3)="frg",(_xlfn.XMATCH(B1350,ZZZ_Part_Id_[[#All],[FGCODE]])))</f>
        <v>#N/A</v>
      </c>
    </row>
    <row r="1351" spans="1:14" x14ac:dyDescent="0.3">
      <c r="A1351" s="2" t="s">
        <v>6017</v>
      </c>
      <c r="B1351" s="2" t="s">
        <v>140</v>
      </c>
      <c r="C1351" s="2" t="s">
        <v>6033</v>
      </c>
      <c r="D1351" s="3">
        <v>0</v>
      </c>
      <c r="E1351" s="3">
        <v>0</v>
      </c>
      <c r="F1351" s="2" t="s">
        <v>16</v>
      </c>
      <c r="G1351" s="2" t="s">
        <v>131</v>
      </c>
      <c r="H1351" s="3">
        <v>0</v>
      </c>
      <c r="I1351" s="2" t="s">
        <v>18</v>
      </c>
      <c r="J1351" s="2" t="s">
        <v>6034</v>
      </c>
      <c r="K1351" s="2" t="s">
        <v>16</v>
      </c>
      <c r="L1351" s="2" t="s">
        <v>6035</v>
      </c>
      <c r="M1351" s="4">
        <v>0</v>
      </c>
      <c r="N1351" t="e">
        <f>OR(LEFT(B1351,3)="frg",(_xlfn.XMATCH(B1351,ZZZ_Part_Id_[[#All],[FGCODE]])))</f>
        <v>#N/A</v>
      </c>
    </row>
    <row r="1352" spans="1:14" x14ac:dyDescent="0.3">
      <c r="A1352" s="2" t="s">
        <v>6017</v>
      </c>
      <c r="B1352" s="2" t="s">
        <v>145</v>
      </c>
      <c r="C1352" s="2" t="s">
        <v>6036</v>
      </c>
      <c r="D1352" s="3">
        <v>0</v>
      </c>
      <c r="E1352" s="3">
        <v>0</v>
      </c>
      <c r="F1352" s="2" t="s">
        <v>147</v>
      </c>
      <c r="G1352" s="2" t="s">
        <v>131</v>
      </c>
      <c r="H1352" s="3">
        <v>0</v>
      </c>
      <c r="I1352" s="2" t="s">
        <v>18</v>
      </c>
      <c r="J1352" s="2" t="s">
        <v>6037</v>
      </c>
      <c r="K1352" s="2" t="s">
        <v>147</v>
      </c>
      <c r="L1352" s="2" t="s">
        <v>6038</v>
      </c>
      <c r="M1352" s="4">
        <v>0</v>
      </c>
      <c r="N1352" t="e">
        <f>OR(LEFT(B1352,3)="frg",(_xlfn.XMATCH(B1352,ZZZ_Part_Id_[[#All],[FGCODE]])))</f>
        <v>#N/A</v>
      </c>
    </row>
    <row r="1353" spans="1:14" x14ac:dyDescent="0.3">
      <c r="A1353" s="2" t="s">
        <v>6017</v>
      </c>
      <c r="B1353" s="2" t="s">
        <v>151</v>
      </c>
      <c r="C1353" s="2" t="s">
        <v>6039</v>
      </c>
      <c r="D1353" s="3">
        <v>1E-3</v>
      </c>
      <c r="E1353" s="3">
        <v>0</v>
      </c>
      <c r="F1353" s="2" t="s">
        <v>16</v>
      </c>
      <c r="G1353" s="2" t="s">
        <v>131</v>
      </c>
      <c r="H1353" s="3">
        <v>0</v>
      </c>
      <c r="I1353" s="2" t="s">
        <v>18</v>
      </c>
      <c r="J1353" s="2" t="s">
        <v>6040</v>
      </c>
      <c r="K1353" s="2" t="s">
        <v>16</v>
      </c>
      <c r="L1353" s="2" t="s">
        <v>6041</v>
      </c>
      <c r="M1353" s="4">
        <v>0</v>
      </c>
      <c r="N1353" t="e">
        <f>OR(LEFT(B1353,3)="frg",(_xlfn.XMATCH(B1353,ZZZ_Part_Id_[[#All],[FGCODE]])))</f>
        <v>#N/A</v>
      </c>
    </row>
    <row r="1354" spans="1:14" x14ac:dyDescent="0.3">
      <c r="A1354" s="2" t="s">
        <v>6017</v>
      </c>
      <c r="B1354" s="2" t="s">
        <v>167</v>
      </c>
      <c r="C1354" s="2" t="s">
        <v>6042</v>
      </c>
      <c r="D1354" s="3">
        <v>1E-3</v>
      </c>
      <c r="E1354" s="3">
        <v>0</v>
      </c>
      <c r="F1354" s="2" t="s">
        <v>23</v>
      </c>
      <c r="G1354" s="2" t="s">
        <v>131</v>
      </c>
      <c r="H1354" s="3">
        <v>0</v>
      </c>
      <c r="I1354" s="2" t="s">
        <v>18</v>
      </c>
      <c r="J1354" s="2" t="s">
        <v>6043</v>
      </c>
      <c r="K1354" s="2" t="s">
        <v>23</v>
      </c>
      <c r="L1354" s="2" t="s">
        <v>6044</v>
      </c>
      <c r="M1354" s="4">
        <v>0</v>
      </c>
      <c r="N1354" t="e">
        <f>OR(LEFT(B1354,3)="frg",(_xlfn.XMATCH(B1354,ZZZ_Part_Id_[[#All],[FGCODE]])))</f>
        <v>#N/A</v>
      </c>
    </row>
    <row r="1355" spans="1:14" x14ac:dyDescent="0.3">
      <c r="A1355" s="2" t="s">
        <v>6017</v>
      </c>
      <c r="B1355" s="2" t="s">
        <v>3985</v>
      </c>
      <c r="C1355" s="2" t="s">
        <v>6045</v>
      </c>
      <c r="D1355" s="3">
        <v>1.9E-2</v>
      </c>
      <c r="E1355" s="7">
        <v>0</v>
      </c>
      <c r="F1355" s="2" t="s">
        <v>3987</v>
      </c>
      <c r="G1355" s="2" t="s">
        <v>131</v>
      </c>
      <c r="H1355" s="7">
        <v>0</v>
      </c>
      <c r="I1355" s="2" t="s">
        <v>18</v>
      </c>
      <c r="J1355" s="2" t="s">
        <v>6046</v>
      </c>
      <c r="K1355" s="2" t="s">
        <v>3987</v>
      </c>
      <c r="L1355" s="2" t="s">
        <v>6047</v>
      </c>
      <c r="M1355" s="4">
        <v>0</v>
      </c>
      <c r="N1355" t="e">
        <f>OR(LEFT(B1355,3)="frg",(_xlfn.XMATCH(B1355,ZZZ_Part_Id_[[#All],[FGCODE]])))</f>
        <v>#N/A</v>
      </c>
    </row>
    <row r="1356" spans="1:14" x14ac:dyDescent="0.3">
      <c r="A1356" s="2" t="s">
        <v>6017</v>
      </c>
      <c r="B1356" s="2" t="s">
        <v>192</v>
      </c>
      <c r="C1356" s="2" t="s">
        <v>6048</v>
      </c>
      <c r="D1356" s="3">
        <v>0</v>
      </c>
      <c r="E1356" s="3">
        <v>0</v>
      </c>
      <c r="F1356" s="2" t="s">
        <v>194</v>
      </c>
      <c r="G1356" s="2" t="s">
        <v>131</v>
      </c>
      <c r="H1356" s="3">
        <v>0</v>
      </c>
      <c r="I1356" s="2" t="s">
        <v>18</v>
      </c>
      <c r="J1356" s="2" t="s">
        <v>6049</v>
      </c>
      <c r="K1356" s="2" t="s">
        <v>194</v>
      </c>
      <c r="L1356" s="2" t="s">
        <v>6050</v>
      </c>
      <c r="M1356" s="4">
        <v>0</v>
      </c>
      <c r="N1356" t="e">
        <f>OR(LEFT(B1356,3)="frg",(_xlfn.XMATCH(B1356,ZZZ_Part_Id_[[#All],[FGCODE]])))</f>
        <v>#N/A</v>
      </c>
    </row>
    <row r="1357" spans="1:14" x14ac:dyDescent="0.3">
      <c r="A1357" s="2" t="s">
        <v>6017</v>
      </c>
      <c r="B1357" s="2" t="s">
        <v>213</v>
      </c>
      <c r="C1357" s="2" t="s">
        <v>6051</v>
      </c>
      <c r="D1357" s="3">
        <v>0</v>
      </c>
      <c r="E1357" s="3">
        <v>0</v>
      </c>
      <c r="F1357" s="2" t="s">
        <v>16</v>
      </c>
      <c r="G1357" s="2" t="s">
        <v>131</v>
      </c>
      <c r="H1357" s="3">
        <v>0</v>
      </c>
      <c r="I1357" s="2" t="s">
        <v>18</v>
      </c>
      <c r="J1357" s="2" t="s">
        <v>6052</v>
      </c>
      <c r="K1357" s="2" t="s">
        <v>16</v>
      </c>
      <c r="L1357" s="2" t="s">
        <v>6053</v>
      </c>
      <c r="M1357" s="4">
        <v>0</v>
      </c>
      <c r="N1357" t="e">
        <f>OR(LEFT(B1357,3)="frg",(_xlfn.XMATCH(B1357,ZZZ_Part_Id_[[#All],[FGCODE]])))</f>
        <v>#N/A</v>
      </c>
    </row>
    <row r="1358" spans="1:14" x14ac:dyDescent="0.3">
      <c r="A1358" s="2" t="s">
        <v>6017</v>
      </c>
      <c r="B1358" s="2" t="s">
        <v>218</v>
      </c>
      <c r="C1358" s="2" t="s">
        <v>6054</v>
      </c>
      <c r="D1358" s="3">
        <v>0</v>
      </c>
      <c r="E1358" s="3">
        <v>0</v>
      </c>
      <c r="F1358" s="2" t="s">
        <v>16</v>
      </c>
      <c r="G1358" s="2" t="s">
        <v>131</v>
      </c>
      <c r="H1358" s="3">
        <v>0</v>
      </c>
      <c r="I1358" s="2" t="s">
        <v>18</v>
      </c>
      <c r="J1358" s="2" t="s">
        <v>6055</v>
      </c>
      <c r="K1358" s="2" t="s">
        <v>16</v>
      </c>
      <c r="L1358" s="2" t="s">
        <v>6056</v>
      </c>
      <c r="M1358" s="4">
        <v>0</v>
      </c>
      <c r="N1358" t="e">
        <f>OR(LEFT(B1358,3)="frg",(_xlfn.XMATCH(B1358,ZZZ_Part_Id_[[#All],[FGCODE]])))</f>
        <v>#N/A</v>
      </c>
    </row>
    <row r="1359" spans="1:14" x14ac:dyDescent="0.3">
      <c r="A1359" s="2" t="s">
        <v>6017</v>
      </c>
      <c r="B1359" s="2" t="s">
        <v>242</v>
      </c>
      <c r="C1359" s="2" t="s">
        <v>6057</v>
      </c>
      <c r="D1359" s="3">
        <v>0</v>
      </c>
      <c r="E1359" s="3">
        <v>0</v>
      </c>
      <c r="F1359" s="2" t="s">
        <v>16</v>
      </c>
      <c r="G1359" s="2" t="s">
        <v>131</v>
      </c>
      <c r="H1359" s="3">
        <v>0</v>
      </c>
      <c r="I1359" s="2" t="s">
        <v>18</v>
      </c>
      <c r="J1359" s="2" t="s">
        <v>6058</v>
      </c>
      <c r="K1359" s="2" t="s">
        <v>16</v>
      </c>
      <c r="L1359" s="2" t="s">
        <v>6059</v>
      </c>
      <c r="M1359" s="4">
        <v>0</v>
      </c>
      <c r="N1359" t="e">
        <f>OR(LEFT(B1359,3)="frg",(_xlfn.XMATCH(B1359,ZZZ_Part_Id_[[#All],[FGCODE]])))</f>
        <v>#N/A</v>
      </c>
    </row>
    <row r="1360" spans="1:14" x14ac:dyDescent="0.3">
      <c r="A1360" s="2" t="s">
        <v>6017</v>
      </c>
      <c r="B1360" s="2" t="s">
        <v>237</v>
      </c>
      <c r="C1360" s="2" t="s">
        <v>6060</v>
      </c>
      <c r="D1360" s="3">
        <v>0</v>
      </c>
      <c r="E1360" s="3">
        <v>0</v>
      </c>
      <c r="F1360" s="2" t="s">
        <v>16</v>
      </c>
      <c r="G1360" s="2" t="s">
        <v>131</v>
      </c>
      <c r="H1360" s="3">
        <v>0</v>
      </c>
      <c r="I1360" s="2" t="s">
        <v>18</v>
      </c>
      <c r="J1360" s="2" t="s">
        <v>6061</v>
      </c>
      <c r="K1360" s="2" t="s">
        <v>16</v>
      </c>
      <c r="L1360" s="2" t="s">
        <v>6062</v>
      </c>
      <c r="M1360" s="4">
        <v>0</v>
      </c>
      <c r="N1360" t="e">
        <f>OR(LEFT(B1360,3)="frg",(_xlfn.XMATCH(B1360,ZZZ_Part_Id_[[#All],[FGCODE]])))</f>
        <v>#N/A</v>
      </c>
    </row>
    <row r="1361" spans="1:14" x14ac:dyDescent="0.3">
      <c r="A1361" s="2" t="s">
        <v>6017</v>
      </c>
      <c r="B1361" s="2" t="s">
        <v>264</v>
      </c>
      <c r="C1361" s="2" t="s">
        <v>6063</v>
      </c>
      <c r="D1361" s="3">
        <v>0</v>
      </c>
      <c r="E1361" s="3">
        <v>0</v>
      </c>
      <c r="F1361" s="2" t="s">
        <v>16</v>
      </c>
      <c r="G1361" s="2" t="s">
        <v>131</v>
      </c>
      <c r="H1361" s="3">
        <v>0</v>
      </c>
      <c r="I1361" s="2" t="s">
        <v>18</v>
      </c>
      <c r="J1361" s="2" t="s">
        <v>6064</v>
      </c>
      <c r="K1361" s="2" t="s">
        <v>16</v>
      </c>
      <c r="L1361" s="2" t="s">
        <v>6065</v>
      </c>
      <c r="M1361" s="4">
        <v>0</v>
      </c>
      <c r="N1361" t="e">
        <f>OR(LEFT(B1361,3)="frg",(_xlfn.XMATCH(B1361,ZZZ_Part_Id_[[#All],[FGCODE]])))</f>
        <v>#N/A</v>
      </c>
    </row>
    <row r="1362" spans="1:14" x14ac:dyDescent="0.3">
      <c r="A1362" s="2" t="s">
        <v>6017</v>
      </c>
      <c r="B1362" s="2" t="s">
        <v>6066</v>
      </c>
      <c r="C1362" s="2" t="s">
        <v>6067</v>
      </c>
      <c r="D1362" s="3">
        <v>0</v>
      </c>
      <c r="E1362" s="3">
        <v>0</v>
      </c>
      <c r="F1362" s="2" t="s">
        <v>194</v>
      </c>
      <c r="G1362" s="2" t="s">
        <v>131</v>
      </c>
      <c r="H1362" s="3">
        <v>0</v>
      </c>
      <c r="I1362" s="2" t="s">
        <v>18</v>
      </c>
      <c r="J1362" s="2" t="s">
        <v>6068</v>
      </c>
      <c r="K1362" s="2" t="s">
        <v>194</v>
      </c>
      <c r="L1362" s="2" t="s">
        <v>6069</v>
      </c>
      <c r="M1362" s="4">
        <v>0</v>
      </c>
      <c r="N1362" t="e">
        <f>OR(LEFT(B1362,3)="frg",(_xlfn.XMATCH(B1362,ZZZ_Part_Id_[[#All],[FGCODE]])))</f>
        <v>#N/A</v>
      </c>
    </row>
    <row r="1363" spans="1:14" x14ac:dyDescent="0.3">
      <c r="A1363" s="2" t="s">
        <v>6017</v>
      </c>
      <c r="B1363" s="2" t="s">
        <v>45</v>
      </c>
      <c r="C1363" s="2" t="s">
        <v>6070</v>
      </c>
      <c r="D1363" s="3">
        <v>0</v>
      </c>
      <c r="E1363" s="3">
        <v>0</v>
      </c>
      <c r="F1363" s="2" t="s">
        <v>47</v>
      </c>
      <c r="G1363" s="2" t="s">
        <v>131</v>
      </c>
      <c r="H1363" s="3">
        <v>0</v>
      </c>
      <c r="I1363" s="2" t="s">
        <v>18</v>
      </c>
      <c r="J1363" s="2" t="s">
        <v>6071</v>
      </c>
      <c r="K1363" s="2" t="s">
        <v>47</v>
      </c>
      <c r="L1363" s="2" t="s">
        <v>6072</v>
      </c>
      <c r="M1363" s="4">
        <v>0</v>
      </c>
      <c r="N1363" t="e">
        <f>OR(LEFT(B1363,3)="frg",(_xlfn.XMATCH(B1363,ZZZ_Part_Id_[[#All],[FGCODE]])))</f>
        <v>#N/A</v>
      </c>
    </row>
    <row r="1364" spans="1:14" x14ac:dyDescent="0.3">
      <c r="A1364" s="2" t="s">
        <v>6017</v>
      </c>
      <c r="B1364" s="2" t="s">
        <v>6073</v>
      </c>
      <c r="C1364" s="2" t="s">
        <v>6074</v>
      </c>
      <c r="D1364" s="3">
        <v>1.2999999999999999E-2</v>
      </c>
      <c r="E1364" s="3">
        <v>0</v>
      </c>
      <c r="F1364" s="2" t="s">
        <v>23</v>
      </c>
      <c r="G1364" s="2" t="s">
        <v>131</v>
      </c>
      <c r="H1364" s="3">
        <v>0</v>
      </c>
      <c r="I1364" s="2" t="s">
        <v>18</v>
      </c>
      <c r="J1364" s="2" t="s">
        <v>6075</v>
      </c>
      <c r="K1364" s="2" t="s">
        <v>23</v>
      </c>
      <c r="L1364" s="2" t="s">
        <v>6076</v>
      </c>
      <c r="M1364" s="4">
        <v>0</v>
      </c>
      <c r="N1364" t="e">
        <f>OR(LEFT(B1364,3)="frg",(_xlfn.XMATCH(B1364,ZZZ_Part_Id_[[#All],[FGCODE]])))</f>
        <v>#N/A</v>
      </c>
    </row>
    <row r="1365" spans="1:14" x14ac:dyDescent="0.3">
      <c r="A1365" s="2" t="s">
        <v>6017</v>
      </c>
      <c r="B1365" s="2" t="s">
        <v>4024</v>
      </c>
      <c r="C1365" s="2" t="s">
        <v>6077</v>
      </c>
      <c r="D1365" s="3">
        <v>0</v>
      </c>
      <c r="E1365" s="3">
        <v>0</v>
      </c>
      <c r="F1365" s="2" t="s">
        <v>23</v>
      </c>
      <c r="G1365" s="2" t="s">
        <v>131</v>
      </c>
      <c r="H1365" s="3">
        <v>0</v>
      </c>
      <c r="I1365" s="2" t="s">
        <v>18</v>
      </c>
      <c r="J1365" s="2" t="s">
        <v>6078</v>
      </c>
      <c r="K1365" s="2" t="s">
        <v>23</v>
      </c>
      <c r="L1365" s="2" t="s">
        <v>6079</v>
      </c>
      <c r="M1365" s="4">
        <v>0</v>
      </c>
      <c r="N1365" t="e">
        <f>OR(LEFT(B1365,3)="frg",(_xlfn.XMATCH(B1365,ZZZ_Part_Id_[[#All],[FGCODE]])))</f>
        <v>#N/A</v>
      </c>
    </row>
    <row r="1366" spans="1:14" x14ac:dyDescent="0.3">
      <c r="A1366" s="2" t="s">
        <v>6017</v>
      </c>
      <c r="B1366" s="2" t="s">
        <v>4029</v>
      </c>
      <c r="C1366" s="2" t="s">
        <v>6080</v>
      </c>
      <c r="D1366" s="3">
        <v>0</v>
      </c>
      <c r="E1366" s="3">
        <v>0</v>
      </c>
      <c r="F1366" s="2" t="s">
        <v>23</v>
      </c>
      <c r="G1366" s="2" t="s">
        <v>131</v>
      </c>
      <c r="H1366" s="3">
        <v>0</v>
      </c>
      <c r="I1366" s="2" t="s">
        <v>18</v>
      </c>
      <c r="J1366" s="2" t="s">
        <v>6081</v>
      </c>
      <c r="K1366" s="2" t="s">
        <v>23</v>
      </c>
      <c r="L1366" s="2" t="s">
        <v>6082</v>
      </c>
      <c r="M1366" s="4">
        <v>0</v>
      </c>
      <c r="N1366" t="e">
        <f>OR(LEFT(B1366,3)="frg",(_xlfn.XMATCH(B1366,ZZZ_Part_Id_[[#All],[FGCODE]])))</f>
        <v>#N/A</v>
      </c>
    </row>
    <row r="1367" spans="1:14" x14ac:dyDescent="0.3">
      <c r="A1367" s="2" t="s">
        <v>6083</v>
      </c>
      <c r="B1367" s="2" t="s">
        <v>6084</v>
      </c>
      <c r="C1367" s="2" t="s">
        <v>6085</v>
      </c>
      <c r="D1367" s="3">
        <v>13248</v>
      </c>
      <c r="E1367" s="3">
        <v>13248</v>
      </c>
      <c r="F1367" s="2" t="s">
        <v>16</v>
      </c>
      <c r="G1367" s="2" t="s">
        <v>6086</v>
      </c>
      <c r="H1367" s="3">
        <v>0</v>
      </c>
      <c r="I1367" s="2" t="s">
        <v>409</v>
      </c>
      <c r="J1367" s="2" t="s">
        <v>6087</v>
      </c>
      <c r="K1367" s="2" t="s">
        <v>16</v>
      </c>
      <c r="L1367" s="2" t="s">
        <v>6088</v>
      </c>
      <c r="M1367" s="4">
        <v>4094.7</v>
      </c>
      <c r="N1367" t="b">
        <f>OR(LEFT(B1367,3)="frg",(_xlfn.XMATCH(B1367,ZZZ_Part_Id_[[#All],[FGCODE]])))</f>
        <v>1</v>
      </c>
    </row>
    <row r="1368" spans="1:14" x14ac:dyDescent="0.3">
      <c r="A1368" s="2" t="s">
        <v>6083</v>
      </c>
      <c r="B1368" s="2" t="s">
        <v>65</v>
      </c>
      <c r="C1368" s="2" t="s">
        <v>6089</v>
      </c>
      <c r="D1368" s="5">
        <v>-298</v>
      </c>
      <c r="E1368" s="5">
        <v>-298</v>
      </c>
      <c r="F1368" s="2" t="s">
        <v>23</v>
      </c>
      <c r="G1368" s="2" t="s">
        <v>6090</v>
      </c>
      <c r="H1368" s="3">
        <v>0</v>
      </c>
      <c r="I1368" s="2" t="s">
        <v>409</v>
      </c>
      <c r="J1368" s="2" t="s">
        <v>6091</v>
      </c>
      <c r="K1368" s="2" t="s">
        <v>23</v>
      </c>
      <c r="L1368" s="2" t="s">
        <v>6092</v>
      </c>
      <c r="M1368" s="6">
        <v>-766.34</v>
      </c>
      <c r="N1368" t="b">
        <f>OR(LEFT(B1368,3)="frg",(_xlfn.XMATCH(B1368,ZZZ_Part_Id_[[#All],[FGCODE]])))</f>
        <v>1</v>
      </c>
    </row>
    <row r="1369" spans="1:14" x14ac:dyDescent="0.3">
      <c r="A1369" s="2" t="s">
        <v>6083</v>
      </c>
      <c r="B1369" s="2" t="s">
        <v>14</v>
      </c>
      <c r="C1369" s="2" t="s">
        <v>6093</v>
      </c>
      <c r="D1369" s="3">
        <v>1</v>
      </c>
      <c r="E1369" s="3">
        <v>1</v>
      </c>
      <c r="F1369" s="2" t="s">
        <v>16</v>
      </c>
      <c r="G1369" s="2" t="s">
        <v>6094</v>
      </c>
      <c r="H1369" s="3">
        <v>0</v>
      </c>
      <c r="I1369" s="2" t="s">
        <v>409</v>
      </c>
      <c r="J1369" s="2" t="s">
        <v>6095</v>
      </c>
      <c r="K1369" s="2" t="s">
        <v>16</v>
      </c>
      <c r="L1369" s="2" t="s">
        <v>6096</v>
      </c>
      <c r="M1369" s="4">
        <v>0.08</v>
      </c>
      <c r="N1369" t="e">
        <f>OR(LEFT(B1369,3)="frg",(_xlfn.XMATCH(B1369,ZZZ_Part_Id_[[#All],[FGCODE]])))</f>
        <v>#N/A</v>
      </c>
    </row>
    <row r="1370" spans="1:14" x14ac:dyDescent="0.3">
      <c r="A1370" s="2" t="s">
        <v>6083</v>
      </c>
      <c r="B1370" s="2" t="s">
        <v>140</v>
      </c>
      <c r="C1370" s="2" t="s">
        <v>6097</v>
      </c>
      <c r="D1370" s="3">
        <v>0.04</v>
      </c>
      <c r="E1370" s="3">
        <v>0.04</v>
      </c>
      <c r="F1370" s="2" t="s">
        <v>16</v>
      </c>
      <c r="G1370" s="2" t="s">
        <v>6098</v>
      </c>
      <c r="H1370" s="3">
        <v>0</v>
      </c>
      <c r="I1370" s="2" t="s">
        <v>409</v>
      </c>
      <c r="J1370" s="2" t="s">
        <v>6099</v>
      </c>
      <c r="K1370" s="2" t="s">
        <v>16</v>
      </c>
      <c r="L1370" s="2" t="s">
        <v>6100</v>
      </c>
      <c r="M1370" s="4">
        <v>0.08</v>
      </c>
      <c r="N1370" t="e">
        <f>OR(LEFT(B1370,3)="frg",(_xlfn.XMATCH(B1370,ZZZ_Part_Id_[[#All],[FGCODE]])))</f>
        <v>#N/A</v>
      </c>
    </row>
    <row r="1371" spans="1:14" x14ac:dyDescent="0.3">
      <c r="A1371" s="2" t="s">
        <v>6083</v>
      </c>
      <c r="B1371" s="2" t="s">
        <v>192</v>
      </c>
      <c r="C1371" s="2" t="s">
        <v>6101</v>
      </c>
      <c r="D1371" s="3">
        <v>0.01</v>
      </c>
      <c r="E1371" s="3">
        <v>0.01</v>
      </c>
      <c r="F1371" s="2" t="s">
        <v>194</v>
      </c>
      <c r="G1371" s="2" t="s">
        <v>6102</v>
      </c>
      <c r="H1371" s="3">
        <v>0</v>
      </c>
      <c r="I1371" s="2" t="s">
        <v>409</v>
      </c>
      <c r="J1371" s="2" t="s">
        <v>6103</v>
      </c>
      <c r="K1371" s="2" t="s">
        <v>194</v>
      </c>
      <c r="L1371" s="2" t="s">
        <v>6104</v>
      </c>
      <c r="M1371" s="4">
        <v>0.05</v>
      </c>
      <c r="N1371" t="e">
        <f>OR(LEFT(B1371,3)="frg",(_xlfn.XMATCH(B1371,ZZZ_Part_Id_[[#All],[FGCODE]])))</f>
        <v>#N/A</v>
      </c>
    </row>
    <row r="1372" spans="1:14" x14ac:dyDescent="0.3">
      <c r="A1372" s="2" t="s">
        <v>6083</v>
      </c>
      <c r="B1372" s="2" t="s">
        <v>145</v>
      </c>
      <c r="C1372" s="2" t="s">
        <v>6105</v>
      </c>
      <c r="D1372" s="3">
        <v>4.0000000000000001E-3</v>
      </c>
      <c r="E1372" s="3">
        <v>4.0000000000000001E-3</v>
      </c>
      <c r="F1372" s="2" t="s">
        <v>147</v>
      </c>
      <c r="G1372" s="2" t="s">
        <v>6106</v>
      </c>
      <c r="H1372" s="3">
        <v>0</v>
      </c>
      <c r="I1372" s="2" t="s">
        <v>409</v>
      </c>
      <c r="J1372" s="2" t="s">
        <v>6107</v>
      </c>
      <c r="K1372" s="2" t="s">
        <v>147</v>
      </c>
      <c r="L1372" s="2" t="s">
        <v>6108</v>
      </c>
      <c r="M1372" s="4">
        <v>0.63</v>
      </c>
      <c r="N1372" t="e">
        <f>OR(LEFT(B1372,3)="frg",(_xlfn.XMATCH(B1372,ZZZ_Part_Id_[[#All],[FGCODE]])))</f>
        <v>#N/A</v>
      </c>
    </row>
    <row r="1373" spans="1:14" x14ac:dyDescent="0.3">
      <c r="A1373" s="2" t="s">
        <v>6109</v>
      </c>
      <c r="B1373" s="2" t="s">
        <v>97</v>
      </c>
      <c r="C1373" s="2" t="s">
        <v>6110</v>
      </c>
      <c r="D1373" s="3">
        <v>81600</v>
      </c>
      <c r="E1373" s="3">
        <v>81600</v>
      </c>
      <c r="F1373" s="2" t="s">
        <v>16</v>
      </c>
      <c r="G1373" s="2" t="s">
        <v>6111</v>
      </c>
      <c r="H1373" s="3">
        <v>0</v>
      </c>
      <c r="I1373" s="2" t="s">
        <v>409</v>
      </c>
      <c r="J1373" s="2" t="s">
        <v>6112</v>
      </c>
      <c r="K1373" s="2" t="s">
        <v>16</v>
      </c>
      <c r="L1373" s="2" t="s">
        <v>6113</v>
      </c>
      <c r="M1373" s="4">
        <v>27964.32</v>
      </c>
      <c r="N1373" t="b">
        <f>OR(LEFT(B1373,3)="frg",(_xlfn.XMATCH(B1373,ZZZ_Part_Id_[[#All],[FGCODE]])))</f>
        <v>1</v>
      </c>
    </row>
    <row r="1374" spans="1:14" x14ac:dyDescent="0.3">
      <c r="A1374" s="2" t="s">
        <v>6109</v>
      </c>
      <c r="B1374" s="2" t="s">
        <v>14</v>
      </c>
      <c r="C1374" s="2" t="s">
        <v>6114</v>
      </c>
      <c r="D1374" s="3">
        <v>16</v>
      </c>
      <c r="E1374" s="3">
        <v>16</v>
      </c>
      <c r="F1374" s="2" t="s">
        <v>16</v>
      </c>
      <c r="G1374" s="2" t="s">
        <v>6115</v>
      </c>
      <c r="H1374" s="3">
        <v>0</v>
      </c>
      <c r="I1374" s="2" t="s">
        <v>409</v>
      </c>
      <c r="J1374" s="2" t="s">
        <v>6116</v>
      </c>
      <c r="K1374" s="2" t="s">
        <v>16</v>
      </c>
      <c r="L1374" s="2" t="s">
        <v>6117</v>
      </c>
      <c r="M1374" s="4">
        <v>1.23</v>
      </c>
      <c r="N1374" t="e">
        <f>OR(LEFT(B1374,3)="frg",(_xlfn.XMATCH(B1374,ZZZ_Part_Id_[[#All],[FGCODE]])))</f>
        <v>#N/A</v>
      </c>
    </row>
    <row r="1375" spans="1:14" x14ac:dyDescent="0.3">
      <c r="A1375" s="2" t="s">
        <v>6109</v>
      </c>
      <c r="B1375" s="2" t="s">
        <v>140</v>
      </c>
      <c r="C1375" s="2" t="s">
        <v>6118</v>
      </c>
      <c r="D1375" s="3">
        <v>0.64</v>
      </c>
      <c r="E1375" s="3">
        <v>0.64</v>
      </c>
      <c r="F1375" s="2" t="s">
        <v>16</v>
      </c>
      <c r="G1375" s="2" t="s">
        <v>6119</v>
      </c>
      <c r="H1375" s="3">
        <v>0</v>
      </c>
      <c r="I1375" s="2" t="s">
        <v>409</v>
      </c>
      <c r="J1375" s="2" t="s">
        <v>6120</v>
      </c>
      <c r="K1375" s="2" t="s">
        <v>16</v>
      </c>
      <c r="L1375" s="2" t="s">
        <v>6121</v>
      </c>
      <c r="M1375" s="4">
        <v>1.06</v>
      </c>
      <c r="N1375" t="e">
        <f>OR(LEFT(B1375,3)="frg",(_xlfn.XMATCH(B1375,ZZZ_Part_Id_[[#All],[FGCODE]])))</f>
        <v>#N/A</v>
      </c>
    </row>
    <row r="1376" spans="1:14" x14ac:dyDescent="0.3">
      <c r="A1376" s="2" t="s">
        <v>6109</v>
      </c>
      <c r="B1376" s="2" t="s">
        <v>192</v>
      </c>
      <c r="C1376" s="2" t="s">
        <v>6122</v>
      </c>
      <c r="D1376" s="3">
        <v>0.16</v>
      </c>
      <c r="E1376" s="3">
        <v>0.16</v>
      </c>
      <c r="F1376" s="2" t="s">
        <v>194</v>
      </c>
      <c r="G1376" s="2" t="s">
        <v>6123</v>
      </c>
      <c r="H1376" s="3">
        <v>0</v>
      </c>
      <c r="I1376" s="2" t="s">
        <v>409</v>
      </c>
      <c r="J1376" s="2" t="s">
        <v>6124</v>
      </c>
      <c r="K1376" s="2" t="s">
        <v>194</v>
      </c>
      <c r="L1376" s="2" t="s">
        <v>6125</v>
      </c>
      <c r="M1376" s="4">
        <v>0.84</v>
      </c>
      <c r="N1376" t="e">
        <f>OR(LEFT(B1376,3)="frg",(_xlfn.XMATCH(B1376,ZZZ_Part_Id_[[#All],[FGCODE]])))</f>
        <v>#N/A</v>
      </c>
    </row>
    <row r="1377" spans="1:14" x14ac:dyDescent="0.3">
      <c r="A1377" s="2" t="s">
        <v>6109</v>
      </c>
      <c r="B1377" s="2" t="s">
        <v>145</v>
      </c>
      <c r="C1377" s="2" t="s">
        <v>6126</v>
      </c>
      <c r="D1377" s="3">
        <v>6.4000000000000001E-2</v>
      </c>
      <c r="E1377" s="3">
        <v>6.4000000000000001E-2</v>
      </c>
      <c r="F1377" s="2" t="s">
        <v>147</v>
      </c>
      <c r="G1377" s="2" t="s">
        <v>6127</v>
      </c>
      <c r="H1377" s="3">
        <v>0</v>
      </c>
      <c r="I1377" s="2" t="s">
        <v>409</v>
      </c>
      <c r="J1377" s="2" t="s">
        <v>6128</v>
      </c>
      <c r="K1377" s="2" t="s">
        <v>147</v>
      </c>
      <c r="L1377" s="2" t="s">
        <v>6129</v>
      </c>
      <c r="M1377" s="4">
        <v>10.01</v>
      </c>
      <c r="N1377" t="e">
        <f>OR(LEFT(B1377,3)="frg",(_xlfn.XMATCH(B1377,ZZZ_Part_Id_[[#All],[FGCODE]])))</f>
        <v>#N/A</v>
      </c>
    </row>
    <row r="1378" spans="1:14" x14ac:dyDescent="0.3">
      <c r="A1378" s="2" t="s">
        <v>6109</v>
      </c>
      <c r="B1378" s="2" t="s">
        <v>65</v>
      </c>
      <c r="C1378" s="2" t="s">
        <v>6130</v>
      </c>
      <c r="D1378" s="5">
        <v>-249</v>
      </c>
      <c r="E1378" s="5">
        <v>-249</v>
      </c>
      <c r="F1378" s="2" t="s">
        <v>23</v>
      </c>
      <c r="G1378" s="2" t="s">
        <v>6131</v>
      </c>
      <c r="H1378" s="3">
        <v>0</v>
      </c>
      <c r="I1378" s="2" t="s">
        <v>409</v>
      </c>
      <c r="J1378" s="2" t="s">
        <v>6132</v>
      </c>
      <c r="K1378" s="2" t="s">
        <v>23</v>
      </c>
      <c r="L1378" s="2" t="s">
        <v>6133</v>
      </c>
      <c r="M1378" s="6">
        <v>-640.33000000000004</v>
      </c>
      <c r="N1378" t="b">
        <f>OR(LEFT(B1378,3)="frg",(_xlfn.XMATCH(B1378,ZZZ_Part_Id_[[#All],[FGCODE]])))</f>
        <v>1</v>
      </c>
    </row>
    <row r="1379" spans="1:14" x14ac:dyDescent="0.3">
      <c r="A1379" s="2" t="s">
        <v>6134</v>
      </c>
      <c r="B1379" s="2" t="s">
        <v>3608</v>
      </c>
      <c r="C1379" s="2" t="s">
        <v>6135</v>
      </c>
      <c r="D1379" s="3">
        <v>13248</v>
      </c>
      <c r="E1379" s="3">
        <v>13248</v>
      </c>
      <c r="F1379" s="2" t="s">
        <v>16</v>
      </c>
      <c r="G1379" s="2" t="s">
        <v>6136</v>
      </c>
      <c r="H1379" s="3">
        <v>0</v>
      </c>
      <c r="I1379" s="2" t="s">
        <v>18</v>
      </c>
      <c r="J1379" s="2" t="s">
        <v>6137</v>
      </c>
      <c r="K1379" s="2" t="s">
        <v>16</v>
      </c>
      <c r="L1379" s="2" t="s">
        <v>6138</v>
      </c>
      <c r="M1379" s="4">
        <v>4390.12</v>
      </c>
      <c r="N1379" t="b">
        <f>OR(LEFT(B1379,3)="frg",(_xlfn.XMATCH(B1379,ZZZ_Part_Id_[[#All],[FGCODE]])))</f>
        <v>1</v>
      </c>
    </row>
    <row r="1380" spans="1:14" x14ac:dyDescent="0.3">
      <c r="A1380" s="2" t="s">
        <v>6134</v>
      </c>
      <c r="B1380" s="2" t="s">
        <v>14</v>
      </c>
      <c r="C1380" s="2" t="s">
        <v>6139</v>
      </c>
      <c r="D1380" s="3">
        <v>1</v>
      </c>
      <c r="E1380" s="3">
        <v>1</v>
      </c>
      <c r="F1380" s="2" t="s">
        <v>16</v>
      </c>
      <c r="G1380" s="2" t="s">
        <v>6140</v>
      </c>
      <c r="H1380" s="3">
        <v>0</v>
      </c>
      <c r="I1380" s="2" t="s">
        <v>18</v>
      </c>
      <c r="J1380" s="2" t="s">
        <v>6141</v>
      </c>
      <c r="K1380" s="2" t="s">
        <v>16</v>
      </c>
      <c r="L1380" s="2" t="s">
        <v>6142</v>
      </c>
      <c r="M1380" s="4">
        <v>0.08</v>
      </c>
      <c r="N1380" t="e">
        <f>OR(LEFT(B1380,3)="frg",(_xlfn.XMATCH(B1380,ZZZ_Part_Id_[[#All],[FGCODE]])))</f>
        <v>#N/A</v>
      </c>
    </row>
    <row r="1381" spans="1:14" x14ac:dyDescent="0.3">
      <c r="A1381" s="2" t="s">
        <v>6134</v>
      </c>
      <c r="B1381" s="2" t="s">
        <v>140</v>
      </c>
      <c r="C1381" s="2" t="s">
        <v>6143</v>
      </c>
      <c r="D1381" s="3">
        <v>0.04</v>
      </c>
      <c r="E1381" s="3">
        <v>0.04</v>
      </c>
      <c r="F1381" s="2" t="s">
        <v>16</v>
      </c>
      <c r="G1381" s="2" t="s">
        <v>6144</v>
      </c>
      <c r="H1381" s="3">
        <v>0</v>
      </c>
      <c r="I1381" s="2" t="s">
        <v>18</v>
      </c>
      <c r="J1381" s="2" t="s">
        <v>6145</v>
      </c>
      <c r="K1381" s="2" t="s">
        <v>16</v>
      </c>
      <c r="L1381" s="2" t="s">
        <v>6146</v>
      </c>
      <c r="M1381" s="4">
        <v>7.0000000000000007E-2</v>
      </c>
      <c r="N1381" t="e">
        <f>OR(LEFT(B1381,3)="frg",(_xlfn.XMATCH(B1381,ZZZ_Part_Id_[[#All],[FGCODE]])))</f>
        <v>#N/A</v>
      </c>
    </row>
    <row r="1382" spans="1:14" x14ac:dyDescent="0.3">
      <c r="A1382" s="2" t="s">
        <v>6134</v>
      </c>
      <c r="B1382" s="2" t="s">
        <v>192</v>
      </c>
      <c r="C1382" s="2" t="s">
        <v>6147</v>
      </c>
      <c r="D1382" s="3">
        <v>0.01</v>
      </c>
      <c r="E1382" s="3">
        <v>0.01</v>
      </c>
      <c r="F1382" s="2" t="s">
        <v>194</v>
      </c>
      <c r="G1382" s="2" t="s">
        <v>6148</v>
      </c>
      <c r="H1382" s="3">
        <v>0</v>
      </c>
      <c r="I1382" s="2" t="s">
        <v>18</v>
      </c>
      <c r="J1382" s="2" t="s">
        <v>6149</v>
      </c>
      <c r="K1382" s="2" t="s">
        <v>194</v>
      </c>
      <c r="L1382" s="2" t="s">
        <v>6150</v>
      </c>
      <c r="M1382" s="4">
        <v>0.05</v>
      </c>
      <c r="N1382" t="e">
        <f>OR(LEFT(B1382,3)="frg",(_xlfn.XMATCH(B1382,ZZZ_Part_Id_[[#All],[FGCODE]])))</f>
        <v>#N/A</v>
      </c>
    </row>
    <row r="1383" spans="1:14" x14ac:dyDescent="0.3">
      <c r="A1383" s="2" t="s">
        <v>6134</v>
      </c>
      <c r="B1383" s="2" t="s">
        <v>145</v>
      </c>
      <c r="C1383" s="2" t="s">
        <v>6151</v>
      </c>
      <c r="D1383" s="3">
        <v>4.0000000000000001E-3</v>
      </c>
      <c r="E1383" s="3">
        <v>4.0000000000000001E-3</v>
      </c>
      <c r="F1383" s="2" t="s">
        <v>147</v>
      </c>
      <c r="G1383" s="2" t="s">
        <v>6152</v>
      </c>
      <c r="H1383" s="3">
        <v>0</v>
      </c>
      <c r="I1383" s="2" t="s">
        <v>18</v>
      </c>
      <c r="J1383" s="2" t="s">
        <v>6153</v>
      </c>
      <c r="K1383" s="2" t="s">
        <v>147</v>
      </c>
      <c r="L1383" s="2" t="s">
        <v>6154</v>
      </c>
      <c r="M1383" s="4">
        <v>0.63</v>
      </c>
      <c r="N1383" t="e">
        <f>OR(LEFT(B1383,3)="frg",(_xlfn.XMATCH(B1383,ZZZ_Part_Id_[[#All],[FGCODE]])))</f>
        <v>#N/A</v>
      </c>
    </row>
    <row r="1384" spans="1:14" x14ac:dyDescent="0.3">
      <c r="A1384" s="2" t="s">
        <v>6155</v>
      </c>
      <c r="B1384" s="2" t="s">
        <v>6156</v>
      </c>
      <c r="C1384" s="2" t="s">
        <v>6157</v>
      </c>
      <c r="D1384" s="3">
        <v>808128</v>
      </c>
      <c r="E1384" s="3">
        <v>808128</v>
      </c>
      <c r="F1384" s="2" t="s">
        <v>16</v>
      </c>
      <c r="G1384" s="2" t="s">
        <v>6158</v>
      </c>
      <c r="H1384" s="3">
        <v>0</v>
      </c>
      <c r="I1384" s="2" t="s">
        <v>18</v>
      </c>
      <c r="J1384" s="2" t="s">
        <v>6159</v>
      </c>
      <c r="K1384" s="2" t="s">
        <v>16</v>
      </c>
      <c r="L1384" s="2" t="s">
        <v>6160</v>
      </c>
      <c r="M1384" s="4">
        <v>252790.1</v>
      </c>
      <c r="N1384" t="b">
        <f>OR(LEFT(B1384,3)="frg",(_xlfn.XMATCH(B1384,ZZZ_Part_Id_[[#All],[FGCODE]])))</f>
        <v>1</v>
      </c>
    </row>
    <row r="1385" spans="1:14" x14ac:dyDescent="0.3">
      <c r="A1385" s="2" t="s">
        <v>6155</v>
      </c>
      <c r="B1385" s="2" t="s">
        <v>21</v>
      </c>
      <c r="C1385" s="2" t="s">
        <v>6161</v>
      </c>
      <c r="D1385" s="5">
        <v>-298</v>
      </c>
      <c r="E1385" s="5">
        <v>-298</v>
      </c>
      <c r="F1385" s="2" t="s">
        <v>23</v>
      </c>
      <c r="G1385" s="2" t="s">
        <v>6162</v>
      </c>
      <c r="H1385" s="3">
        <v>0</v>
      </c>
      <c r="I1385" s="2" t="s">
        <v>18</v>
      </c>
      <c r="J1385" s="2" t="s">
        <v>6163</v>
      </c>
      <c r="K1385" s="2" t="s">
        <v>23</v>
      </c>
      <c r="L1385" s="2" t="s">
        <v>6164</v>
      </c>
      <c r="M1385" s="6">
        <v>-564.26</v>
      </c>
      <c r="N1385" t="b">
        <f>OR(LEFT(B1385,3)="frg",(_xlfn.XMATCH(B1385,ZZZ_Part_Id_[[#All],[FGCODE]])))</f>
        <v>1</v>
      </c>
    </row>
    <row r="1386" spans="1:14" x14ac:dyDescent="0.3">
      <c r="A1386" s="2" t="s">
        <v>6155</v>
      </c>
      <c r="B1386" s="2" t="s">
        <v>14</v>
      </c>
      <c r="C1386" s="2" t="s">
        <v>6165</v>
      </c>
      <c r="D1386" s="3">
        <v>5</v>
      </c>
      <c r="E1386" s="3">
        <v>5</v>
      </c>
      <c r="F1386" s="2" t="s">
        <v>16</v>
      </c>
      <c r="G1386" s="2" t="s">
        <v>6166</v>
      </c>
      <c r="H1386" s="3">
        <v>0</v>
      </c>
      <c r="I1386" s="2" t="s">
        <v>18</v>
      </c>
      <c r="J1386" s="2" t="s">
        <v>6167</v>
      </c>
      <c r="K1386" s="2" t="s">
        <v>16</v>
      </c>
      <c r="L1386" s="2" t="s">
        <v>6168</v>
      </c>
      <c r="M1386" s="4">
        <v>0.38</v>
      </c>
      <c r="N1386" t="e">
        <f>OR(LEFT(B1386,3)="frg",(_xlfn.XMATCH(B1386,ZZZ_Part_Id_[[#All],[FGCODE]])))</f>
        <v>#N/A</v>
      </c>
    </row>
    <row r="1387" spans="1:14" x14ac:dyDescent="0.3">
      <c r="A1387" s="2" t="s">
        <v>6155</v>
      </c>
      <c r="B1387" s="2" t="s">
        <v>140</v>
      </c>
      <c r="C1387" s="2" t="s">
        <v>6169</v>
      </c>
      <c r="D1387" s="3">
        <v>0.2</v>
      </c>
      <c r="E1387" s="3">
        <v>0.2</v>
      </c>
      <c r="F1387" s="2" t="s">
        <v>16</v>
      </c>
      <c r="G1387" s="2" t="s">
        <v>6170</v>
      </c>
      <c r="H1387" s="3">
        <v>0</v>
      </c>
      <c r="I1387" s="2" t="s">
        <v>18</v>
      </c>
      <c r="J1387" s="2" t="s">
        <v>6171</v>
      </c>
      <c r="K1387" s="2" t="s">
        <v>16</v>
      </c>
      <c r="L1387" s="2" t="s">
        <v>6172</v>
      </c>
      <c r="M1387" s="4">
        <v>0.33</v>
      </c>
      <c r="N1387" t="e">
        <f>OR(LEFT(B1387,3)="frg",(_xlfn.XMATCH(B1387,ZZZ_Part_Id_[[#All],[FGCODE]])))</f>
        <v>#N/A</v>
      </c>
    </row>
    <row r="1388" spans="1:14" x14ac:dyDescent="0.3">
      <c r="A1388" s="2" t="s">
        <v>6155</v>
      </c>
      <c r="B1388" s="2" t="s">
        <v>192</v>
      </c>
      <c r="C1388" s="2" t="s">
        <v>6173</v>
      </c>
      <c r="D1388" s="3">
        <v>0.05</v>
      </c>
      <c r="E1388" s="3">
        <v>0.05</v>
      </c>
      <c r="F1388" s="2" t="s">
        <v>194</v>
      </c>
      <c r="G1388" s="2" t="s">
        <v>6174</v>
      </c>
      <c r="H1388" s="3">
        <v>0</v>
      </c>
      <c r="I1388" s="2" t="s">
        <v>18</v>
      </c>
      <c r="J1388" s="2" t="s">
        <v>6175</v>
      </c>
      <c r="K1388" s="2" t="s">
        <v>194</v>
      </c>
      <c r="L1388" s="2" t="s">
        <v>6176</v>
      </c>
      <c r="M1388" s="4">
        <v>0.26</v>
      </c>
      <c r="N1388" t="e">
        <f>OR(LEFT(B1388,3)="frg",(_xlfn.XMATCH(B1388,ZZZ_Part_Id_[[#All],[FGCODE]])))</f>
        <v>#N/A</v>
      </c>
    </row>
    <row r="1389" spans="1:14" x14ac:dyDescent="0.3">
      <c r="A1389" s="2" t="s">
        <v>6155</v>
      </c>
      <c r="B1389" s="2" t="s">
        <v>145</v>
      </c>
      <c r="C1389" s="2" t="s">
        <v>6177</v>
      </c>
      <c r="D1389" s="3">
        <v>0.02</v>
      </c>
      <c r="E1389" s="3">
        <v>0.02</v>
      </c>
      <c r="F1389" s="2" t="s">
        <v>147</v>
      </c>
      <c r="G1389" s="2" t="s">
        <v>6178</v>
      </c>
      <c r="H1389" s="3">
        <v>0</v>
      </c>
      <c r="I1389" s="2" t="s">
        <v>18</v>
      </c>
      <c r="J1389" s="2" t="s">
        <v>6179</v>
      </c>
      <c r="K1389" s="2" t="s">
        <v>147</v>
      </c>
      <c r="L1389" s="2" t="s">
        <v>6180</v>
      </c>
      <c r="M1389" s="4">
        <v>3.13</v>
      </c>
      <c r="N1389" t="e">
        <f>OR(LEFT(B1389,3)="frg",(_xlfn.XMATCH(B1389,ZZZ_Part_Id_[[#All],[FGCODE]])))</f>
        <v>#N/A</v>
      </c>
    </row>
    <row r="1390" spans="1:14" x14ac:dyDescent="0.3">
      <c r="A1390" s="2" t="s">
        <v>6181</v>
      </c>
      <c r="B1390" s="2" t="s">
        <v>6182</v>
      </c>
      <c r="C1390" s="2" t="s">
        <v>6183</v>
      </c>
      <c r="D1390" s="3">
        <v>179280</v>
      </c>
      <c r="E1390" s="3">
        <v>179280</v>
      </c>
      <c r="F1390" s="2" t="s">
        <v>16</v>
      </c>
      <c r="G1390" s="2" t="s">
        <v>6184</v>
      </c>
      <c r="H1390" s="3">
        <v>0</v>
      </c>
      <c r="I1390" s="2" t="s">
        <v>409</v>
      </c>
      <c r="J1390" s="2" t="s">
        <v>6185</v>
      </c>
      <c r="K1390" s="2" t="s">
        <v>16</v>
      </c>
      <c r="L1390" s="2" t="s">
        <v>6186</v>
      </c>
      <c r="M1390" s="4">
        <v>6839.52</v>
      </c>
      <c r="N1390" t="b">
        <f>OR(LEFT(B1390,3)="frg",(_xlfn.XMATCH(B1390,ZZZ_Part_Id_[[#All],[FGCODE]])))</f>
        <v>1</v>
      </c>
    </row>
    <row r="1391" spans="1:14" x14ac:dyDescent="0.3">
      <c r="A1391" s="2" t="s">
        <v>6187</v>
      </c>
      <c r="B1391" s="2" t="s">
        <v>97</v>
      </c>
      <c r="C1391" s="2" t="s">
        <v>6188</v>
      </c>
      <c r="D1391" s="3">
        <v>297600</v>
      </c>
      <c r="E1391" s="3">
        <v>297600</v>
      </c>
      <c r="F1391" s="2" t="s">
        <v>16</v>
      </c>
      <c r="G1391" s="2" t="s">
        <v>6189</v>
      </c>
      <c r="H1391" s="3">
        <v>0</v>
      </c>
      <c r="I1391" s="2" t="s">
        <v>409</v>
      </c>
      <c r="J1391" s="2" t="s">
        <v>6190</v>
      </c>
      <c r="K1391" s="2" t="s">
        <v>16</v>
      </c>
      <c r="L1391" s="2" t="s">
        <v>6191</v>
      </c>
      <c r="M1391" s="4">
        <v>101987.52</v>
      </c>
      <c r="N1391" t="b">
        <f>OR(LEFT(B1391,3)="frg",(_xlfn.XMATCH(B1391,ZZZ_Part_Id_[[#All],[FGCODE]])))</f>
        <v>1</v>
      </c>
    </row>
    <row r="1392" spans="1:14" x14ac:dyDescent="0.3">
      <c r="A1392" s="2" t="s">
        <v>6192</v>
      </c>
      <c r="B1392" s="2" t="s">
        <v>1027</v>
      </c>
      <c r="C1392" s="2" t="s">
        <v>6193</v>
      </c>
      <c r="D1392" s="3">
        <v>509760</v>
      </c>
      <c r="E1392" s="3">
        <v>509760</v>
      </c>
      <c r="F1392" s="2" t="s">
        <v>16</v>
      </c>
      <c r="G1392" s="2" t="s">
        <v>6194</v>
      </c>
      <c r="H1392" s="3">
        <v>0</v>
      </c>
      <c r="I1392" s="2" t="s">
        <v>409</v>
      </c>
      <c r="J1392" s="2" t="s">
        <v>6195</v>
      </c>
      <c r="K1392" s="2" t="s">
        <v>16</v>
      </c>
      <c r="L1392" s="2" t="s">
        <v>6196</v>
      </c>
      <c r="M1392" s="4">
        <v>102604.32</v>
      </c>
      <c r="N1392" t="b">
        <f>OR(LEFT(B1392,3)="frg",(_xlfn.XMATCH(B1392,ZZZ_Part_Id_[[#All],[FGCODE]])))</f>
        <v>1</v>
      </c>
    </row>
    <row r="1393" spans="1:14" x14ac:dyDescent="0.3">
      <c r="A1393" s="2" t="s">
        <v>6192</v>
      </c>
      <c r="B1393" s="2" t="s">
        <v>14</v>
      </c>
      <c r="C1393" s="2" t="s">
        <v>6197</v>
      </c>
      <c r="D1393" s="3">
        <v>48</v>
      </c>
      <c r="E1393" s="3">
        <v>48</v>
      </c>
      <c r="F1393" s="2" t="s">
        <v>16</v>
      </c>
      <c r="G1393" s="2" t="s">
        <v>6198</v>
      </c>
      <c r="H1393" s="3">
        <v>0</v>
      </c>
      <c r="I1393" s="2" t="s">
        <v>409</v>
      </c>
      <c r="J1393" s="2" t="s">
        <v>6199</v>
      </c>
      <c r="K1393" s="2" t="s">
        <v>16</v>
      </c>
      <c r="L1393" s="2" t="s">
        <v>6200</v>
      </c>
      <c r="M1393" s="4">
        <v>3.69</v>
      </c>
      <c r="N1393" t="e">
        <f>OR(LEFT(B1393,3)="frg",(_xlfn.XMATCH(B1393,ZZZ_Part_Id_[[#All],[FGCODE]])))</f>
        <v>#N/A</v>
      </c>
    </row>
    <row r="1394" spans="1:14" x14ac:dyDescent="0.3">
      <c r="A1394" s="2" t="s">
        <v>6192</v>
      </c>
      <c r="B1394" s="2" t="s">
        <v>140</v>
      </c>
      <c r="C1394" s="2" t="s">
        <v>6201</v>
      </c>
      <c r="D1394" s="3">
        <v>1.92</v>
      </c>
      <c r="E1394" s="3">
        <v>1.92</v>
      </c>
      <c r="F1394" s="2" t="s">
        <v>16</v>
      </c>
      <c r="G1394" s="2" t="s">
        <v>6202</v>
      </c>
      <c r="H1394" s="3">
        <v>0</v>
      </c>
      <c r="I1394" s="2" t="s">
        <v>409</v>
      </c>
      <c r="J1394" s="2" t="s">
        <v>6203</v>
      </c>
      <c r="K1394" s="2" t="s">
        <v>16</v>
      </c>
      <c r="L1394" s="2" t="s">
        <v>6204</v>
      </c>
      <c r="M1394" s="4">
        <v>3.69</v>
      </c>
      <c r="N1394" t="e">
        <f>OR(LEFT(B1394,3)="frg",(_xlfn.XMATCH(B1394,ZZZ_Part_Id_[[#All],[FGCODE]])))</f>
        <v>#N/A</v>
      </c>
    </row>
    <row r="1395" spans="1:14" x14ac:dyDescent="0.3">
      <c r="A1395" s="2" t="s">
        <v>6192</v>
      </c>
      <c r="B1395" s="2" t="s">
        <v>192</v>
      </c>
      <c r="C1395" s="2" t="s">
        <v>6205</v>
      </c>
      <c r="D1395" s="3">
        <v>0.48</v>
      </c>
      <c r="E1395" s="3">
        <v>0.48</v>
      </c>
      <c r="F1395" s="2" t="s">
        <v>194</v>
      </c>
      <c r="G1395" s="2" t="s">
        <v>6206</v>
      </c>
      <c r="H1395" s="3">
        <v>0</v>
      </c>
      <c r="I1395" s="2" t="s">
        <v>409</v>
      </c>
      <c r="J1395" s="2" t="s">
        <v>6207</v>
      </c>
      <c r="K1395" s="2" t="s">
        <v>194</v>
      </c>
      <c r="L1395" s="2" t="s">
        <v>6208</v>
      </c>
      <c r="M1395" s="4">
        <v>2.5099999999999998</v>
      </c>
      <c r="N1395" t="e">
        <f>OR(LEFT(B1395,3)="frg",(_xlfn.XMATCH(B1395,ZZZ_Part_Id_[[#All],[FGCODE]])))</f>
        <v>#N/A</v>
      </c>
    </row>
    <row r="1396" spans="1:14" x14ac:dyDescent="0.3">
      <c r="A1396" s="2" t="s">
        <v>6192</v>
      </c>
      <c r="B1396" s="2" t="s">
        <v>145</v>
      </c>
      <c r="C1396" s="2" t="s">
        <v>6209</v>
      </c>
      <c r="D1396" s="3">
        <v>0.192</v>
      </c>
      <c r="E1396" s="3">
        <v>0.192</v>
      </c>
      <c r="F1396" s="2" t="s">
        <v>147</v>
      </c>
      <c r="G1396" s="2" t="s">
        <v>6210</v>
      </c>
      <c r="H1396" s="3">
        <v>0</v>
      </c>
      <c r="I1396" s="2" t="s">
        <v>409</v>
      </c>
      <c r="J1396" s="2" t="s">
        <v>6211</v>
      </c>
      <c r="K1396" s="2" t="s">
        <v>147</v>
      </c>
      <c r="L1396" s="2" t="s">
        <v>6212</v>
      </c>
      <c r="M1396" s="4">
        <v>30.03</v>
      </c>
      <c r="N1396" t="e">
        <f>OR(LEFT(B1396,3)="frg",(_xlfn.XMATCH(B1396,ZZZ_Part_Id_[[#All],[FGCODE]])))</f>
        <v>#N/A</v>
      </c>
    </row>
    <row r="1397" spans="1:14" x14ac:dyDescent="0.3">
      <c r="A1397" s="2" t="s">
        <v>6213</v>
      </c>
      <c r="B1397" s="2" t="s">
        <v>97</v>
      </c>
      <c r="C1397" s="2" t="s">
        <v>6214</v>
      </c>
      <c r="D1397" s="3">
        <v>52800</v>
      </c>
      <c r="E1397" s="3">
        <v>52800</v>
      </c>
      <c r="F1397" s="2" t="s">
        <v>16</v>
      </c>
      <c r="G1397" s="2" t="s">
        <v>6215</v>
      </c>
      <c r="H1397" s="3">
        <v>0</v>
      </c>
      <c r="I1397" s="2" t="s">
        <v>409</v>
      </c>
      <c r="J1397" s="2" t="s">
        <v>6216</v>
      </c>
      <c r="K1397" s="2" t="s">
        <v>16</v>
      </c>
      <c r="L1397" s="2" t="s">
        <v>6217</v>
      </c>
      <c r="M1397" s="4">
        <v>18094.560000000001</v>
      </c>
      <c r="N1397" t="b">
        <f>OR(LEFT(B1397,3)="frg",(_xlfn.XMATCH(B1397,ZZZ_Part_Id_[[#All],[FGCODE]])))</f>
        <v>1</v>
      </c>
    </row>
    <row r="1398" spans="1:14" x14ac:dyDescent="0.3">
      <c r="A1398" s="2" t="s">
        <v>6213</v>
      </c>
      <c r="B1398" s="2" t="s">
        <v>65</v>
      </c>
      <c r="C1398" s="2" t="s">
        <v>6218</v>
      </c>
      <c r="D1398" s="5">
        <v>-248</v>
      </c>
      <c r="E1398" s="5">
        <v>-248</v>
      </c>
      <c r="F1398" s="2" t="s">
        <v>23</v>
      </c>
      <c r="G1398" s="2" t="s">
        <v>6219</v>
      </c>
      <c r="H1398" s="3">
        <v>0</v>
      </c>
      <c r="I1398" s="2" t="s">
        <v>409</v>
      </c>
      <c r="J1398" s="2" t="s">
        <v>6220</v>
      </c>
      <c r="K1398" s="2" t="s">
        <v>23</v>
      </c>
      <c r="L1398" s="2" t="s">
        <v>6221</v>
      </c>
      <c r="M1398" s="6">
        <v>-637.76</v>
      </c>
      <c r="N1398" t="b">
        <f>OR(LEFT(B1398,3)="frg",(_xlfn.XMATCH(B1398,ZZZ_Part_Id_[[#All],[FGCODE]])))</f>
        <v>1</v>
      </c>
    </row>
    <row r="1399" spans="1:14" x14ac:dyDescent="0.3">
      <c r="A1399" s="2" t="s">
        <v>6213</v>
      </c>
      <c r="B1399" s="2" t="s">
        <v>14</v>
      </c>
      <c r="C1399" s="2" t="s">
        <v>6222</v>
      </c>
      <c r="D1399" s="3">
        <v>10</v>
      </c>
      <c r="E1399" s="3">
        <v>10</v>
      </c>
      <c r="F1399" s="2" t="s">
        <v>16</v>
      </c>
      <c r="G1399" s="2" t="s">
        <v>6223</v>
      </c>
      <c r="H1399" s="3">
        <v>0</v>
      </c>
      <c r="I1399" s="2" t="s">
        <v>409</v>
      </c>
      <c r="J1399" s="2" t="s">
        <v>6224</v>
      </c>
      <c r="K1399" s="2" t="s">
        <v>16</v>
      </c>
      <c r="L1399" s="2" t="s">
        <v>6225</v>
      </c>
      <c r="M1399" s="4">
        <v>0.77</v>
      </c>
      <c r="N1399" t="e">
        <f>OR(LEFT(B1399,3)="frg",(_xlfn.XMATCH(B1399,ZZZ_Part_Id_[[#All],[FGCODE]])))</f>
        <v>#N/A</v>
      </c>
    </row>
    <row r="1400" spans="1:14" x14ac:dyDescent="0.3">
      <c r="A1400" s="2" t="s">
        <v>6213</v>
      </c>
      <c r="B1400" s="2" t="s">
        <v>140</v>
      </c>
      <c r="C1400" s="2" t="s">
        <v>6226</v>
      </c>
      <c r="D1400" s="3">
        <v>0.4</v>
      </c>
      <c r="E1400" s="3">
        <v>0.4</v>
      </c>
      <c r="F1400" s="2" t="s">
        <v>16</v>
      </c>
      <c r="G1400" s="2" t="s">
        <v>6227</v>
      </c>
      <c r="H1400" s="3">
        <v>0</v>
      </c>
      <c r="I1400" s="2" t="s">
        <v>409</v>
      </c>
      <c r="J1400" s="2" t="s">
        <v>6228</v>
      </c>
      <c r="K1400" s="2" t="s">
        <v>16</v>
      </c>
      <c r="L1400" s="2" t="s">
        <v>6229</v>
      </c>
      <c r="M1400" s="4">
        <v>0.77</v>
      </c>
      <c r="N1400" t="e">
        <f>OR(LEFT(B1400,3)="frg",(_xlfn.XMATCH(B1400,ZZZ_Part_Id_[[#All],[FGCODE]])))</f>
        <v>#N/A</v>
      </c>
    </row>
    <row r="1401" spans="1:14" x14ac:dyDescent="0.3">
      <c r="A1401" s="2" t="s">
        <v>6213</v>
      </c>
      <c r="B1401" s="2" t="s">
        <v>192</v>
      </c>
      <c r="C1401" s="2" t="s">
        <v>6230</v>
      </c>
      <c r="D1401" s="3">
        <v>0.1</v>
      </c>
      <c r="E1401" s="3">
        <v>0.1</v>
      </c>
      <c r="F1401" s="2" t="s">
        <v>194</v>
      </c>
      <c r="G1401" s="2" t="s">
        <v>6231</v>
      </c>
      <c r="H1401" s="3">
        <v>0</v>
      </c>
      <c r="I1401" s="2" t="s">
        <v>409</v>
      </c>
      <c r="J1401" s="2" t="s">
        <v>6232</v>
      </c>
      <c r="K1401" s="2" t="s">
        <v>194</v>
      </c>
      <c r="L1401" s="2" t="s">
        <v>6233</v>
      </c>
      <c r="M1401" s="4">
        <v>0.52</v>
      </c>
      <c r="N1401" t="e">
        <f>OR(LEFT(B1401,3)="frg",(_xlfn.XMATCH(B1401,ZZZ_Part_Id_[[#All],[FGCODE]])))</f>
        <v>#N/A</v>
      </c>
    </row>
    <row r="1402" spans="1:14" x14ac:dyDescent="0.3">
      <c r="A1402" s="2" t="s">
        <v>6213</v>
      </c>
      <c r="B1402" s="2" t="s">
        <v>145</v>
      </c>
      <c r="C1402" s="2" t="s">
        <v>6234</v>
      </c>
      <c r="D1402" s="3">
        <v>0.04</v>
      </c>
      <c r="E1402" s="3">
        <v>0.04</v>
      </c>
      <c r="F1402" s="2" t="s">
        <v>147</v>
      </c>
      <c r="G1402" s="2" t="s">
        <v>6235</v>
      </c>
      <c r="H1402" s="3">
        <v>0</v>
      </c>
      <c r="I1402" s="2" t="s">
        <v>409</v>
      </c>
      <c r="J1402" s="2" t="s">
        <v>6236</v>
      </c>
      <c r="K1402" s="2" t="s">
        <v>147</v>
      </c>
      <c r="L1402" s="2" t="s">
        <v>6237</v>
      </c>
      <c r="M1402" s="4">
        <v>6.26</v>
      </c>
      <c r="N1402" t="e">
        <f>OR(LEFT(B1402,3)="frg",(_xlfn.XMATCH(B1402,ZZZ_Part_Id_[[#All],[FGCODE]])))</f>
        <v>#N/A</v>
      </c>
    </row>
    <row r="1403" spans="1:14" x14ac:dyDescent="0.3">
      <c r="A1403" s="2" t="s">
        <v>6238</v>
      </c>
      <c r="B1403" s="2" t="s">
        <v>6156</v>
      </c>
      <c r="C1403" s="2" t="s">
        <v>6239</v>
      </c>
      <c r="D1403" s="3">
        <v>814752</v>
      </c>
      <c r="E1403" s="3">
        <v>814752</v>
      </c>
      <c r="F1403" s="2" t="s">
        <v>16</v>
      </c>
      <c r="G1403" s="2" t="s">
        <v>6240</v>
      </c>
      <c r="H1403" s="3">
        <v>0</v>
      </c>
      <c r="I1403" s="2" t="s">
        <v>18</v>
      </c>
      <c r="J1403" s="2" t="s">
        <v>6241</v>
      </c>
      <c r="K1403" s="2" t="s">
        <v>16</v>
      </c>
      <c r="L1403" s="2" t="s">
        <v>6242</v>
      </c>
      <c r="M1403" s="4">
        <v>254862.15</v>
      </c>
      <c r="N1403" t="b">
        <f>OR(LEFT(B1403,3)="frg",(_xlfn.XMATCH(B1403,ZZZ_Part_Id_[[#All],[FGCODE]])))</f>
        <v>1</v>
      </c>
    </row>
    <row r="1404" spans="1:14" x14ac:dyDescent="0.3">
      <c r="A1404" s="2" t="s">
        <v>6243</v>
      </c>
      <c r="B1404" s="2" t="s">
        <v>6244</v>
      </c>
      <c r="C1404" s="2" t="s">
        <v>6245</v>
      </c>
      <c r="D1404" s="3">
        <v>13248</v>
      </c>
      <c r="E1404" s="3">
        <v>13248</v>
      </c>
      <c r="F1404" s="2" t="s">
        <v>16</v>
      </c>
      <c r="G1404" s="2" t="s">
        <v>6246</v>
      </c>
      <c r="H1404" s="3">
        <v>0</v>
      </c>
      <c r="I1404" s="2" t="s">
        <v>18</v>
      </c>
      <c r="J1404" s="2" t="s">
        <v>6247</v>
      </c>
      <c r="K1404" s="2" t="s">
        <v>16</v>
      </c>
      <c r="L1404" s="2" t="s">
        <v>6248</v>
      </c>
      <c r="M1404" s="4">
        <v>4362.7</v>
      </c>
      <c r="N1404" t="b">
        <f>OR(LEFT(B1404,3)="frg",(_xlfn.XMATCH(B1404,ZZZ_Part_Id_[[#All],[FGCODE]])))</f>
        <v>1</v>
      </c>
    </row>
    <row r="1405" spans="1:14" x14ac:dyDescent="0.3">
      <c r="A1405" s="2" t="s">
        <v>6249</v>
      </c>
      <c r="B1405" s="2" t="s">
        <v>6250</v>
      </c>
      <c r="C1405" s="2" t="s">
        <v>6251</v>
      </c>
      <c r="D1405" s="3">
        <v>1500</v>
      </c>
      <c r="E1405" s="3">
        <v>1500</v>
      </c>
      <c r="F1405" s="2" t="s">
        <v>16</v>
      </c>
      <c r="G1405" s="2" t="s">
        <v>6252</v>
      </c>
      <c r="H1405" s="3">
        <v>0</v>
      </c>
      <c r="I1405" s="2" t="s">
        <v>18</v>
      </c>
      <c r="J1405" s="2" t="s">
        <v>6253</v>
      </c>
      <c r="K1405" s="2" t="s">
        <v>16</v>
      </c>
      <c r="L1405" s="2" t="s">
        <v>6254</v>
      </c>
      <c r="M1405" s="4">
        <v>173.12</v>
      </c>
      <c r="N1405" t="b">
        <f>OR(LEFT(B1405,3)="frg",(_xlfn.XMATCH(B1405,ZZZ_Part_Id_[[#All],[FGCODE]])))</f>
        <v>1</v>
      </c>
    </row>
    <row r="1406" spans="1:14" x14ac:dyDescent="0.3">
      <c r="A1406" s="2" t="s">
        <v>6249</v>
      </c>
      <c r="B1406" s="2" t="s">
        <v>759</v>
      </c>
      <c r="C1406" s="2" t="s">
        <v>6255</v>
      </c>
      <c r="D1406" s="3">
        <v>2</v>
      </c>
      <c r="E1406" s="3">
        <v>2</v>
      </c>
      <c r="F1406" s="2" t="s">
        <v>16</v>
      </c>
      <c r="G1406" s="2" t="s">
        <v>6256</v>
      </c>
      <c r="H1406" s="3">
        <v>0</v>
      </c>
      <c r="I1406" s="2" t="s">
        <v>18</v>
      </c>
      <c r="J1406" s="2" t="s">
        <v>6257</v>
      </c>
      <c r="K1406" s="2" t="s">
        <v>16</v>
      </c>
      <c r="L1406" s="2" t="s">
        <v>6258</v>
      </c>
      <c r="M1406" s="4">
        <v>9.06</v>
      </c>
      <c r="N1406" t="e">
        <f>OR(LEFT(B1406,3)="frg",(_xlfn.XMATCH(B1406,ZZZ_Part_Id_[[#All],[FGCODE]])))</f>
        <v>#N/A</v>
      </c>
    </row>
    <row r="1407" spans="1:14" x14ac:dyDescent="0.3">
      <c r="A1407" s="2" t="s">
        <v>6249</v>
      </c>
      <c r="B1407" s="2" t="s">
        <v>764</v>
      </c>
      <c r="C1407" s="2" t="s">
        <v>6259</v>
      </c>
      <c r="D1407" s="3">
        <v>2</v>
      </c>
      <c r="E1407" s="3">
        <v>2</v>
      </c>
      <c r="F1407" s="2" t="s">
        <v>23</v>
      </c>
      <c r="G1407" s="2" t="s">
        <v>6260</v>
      </c>
      <c r="H1407" s="3">
        <v>0</v>
      </c>
      <c r="I1407" s="2" t="s">
        <v>18</v>
      </c>
      <c r="J1407" s="2" t="s">
        <v>6261</v>
      </c>
      <c r="K1407" s="2" t="s">
        <v>23</v>
      </c>
      <c r="L1407" s="2" t="s">
        <v>6262</v>
      </c>
      <c r="M1407" s="4">
        <v>13.9</v>
      </c>
      <c r="N1407" t="e">
        <f>OR(LEFT(B1407,3)="frg",(_xlfn.XMATCH(B1407,ZZZ_Part_Id_[[#All],[FGCODE]])))</f>
        <v>#N/A</v>
      </c>
    </row>
    <row r="1408" spans="1:14" x14ac:dyDescent="0.3">
      <c r="A1408" s="2" t="s">
        <v>6263</v>
      </c>
      <c r="B1408" s="2" t="s">
        <v>693</v>
      </c>
      <c r="C1408" s="2" t="s">
        <v>6264</v>
      </c>
      <c r="D1408" s="3">
        <v>1500</v>
      </c>
      <c r="E1408" s="3">
        <v>1500</v>
      </c>
      <c r="F1408" s="2" t="s">
        <v>16</v>
      </c>
      <c r="G1408" s="2" t="s">
        <v>6265</v>
      </c>
      <c r="H1408" s="3">
        <v>0</v>
      </c>
      <c r="I1408" s="2" t="s">
        <v>409</v>
      </c>
      <c r="J1408" s="2" t="s">
        <v>6266</v>
      </c>
      <c r="K1408" s="2" t="s">
        <v>16</v>
      </c>
      <c r="L1408" s="2" t="s">
        <v>6267</v>
      </c>
      <c r="M1408" s="4">
        <v>207.74</v>
      </c>
      <c r="N1408" t="b">
        <f>OR(LEFT(B1408,3)="frg",(_xlfn.XMATCH(B1408,ZZZ_Part_Id_[[#All],[FGCODE]])))</f>
        <v>1</v>
      </c>
    </row>
    <row r="1409" spans="1:14" x14ac:dyDescent="0.3">
      <c r="A1409" s="2" t="s">
        <v>6268</v>
      </c>
      <c r="B1409" s="2" t="s">
        <v>6244</v>
      </c>
      <c r="C1409" s="2" t="s">
        <v>6269</v>
      </c>
      <c r="D1409" s="3">
        <v>13248</v>
      </c>
      <c r="E1409" s="3">
        <v>13248</v>
      </c>
      <c r="F1409" s="2" t="s">
        <v>16</v>
      </c>
      <c r="G1409" s="2" t="s">
        <v>6270</v>
      </c>
      <c r="H1409" s="3">
        <v>0</v>
      </c>
      <c r="I1409" s="2" t="s">
        <v>409</v>
      </c>
      <c r="J1409" s="2" t="s">
        <v>6271</v>
      </c>
      <c r="K1409" s="2" t="s">
        <v>16</v>
      </c>
      <c r="L1409" s="2" t="s">
        <v>6272</v>
      </c>
      <c r="M1409" s="4">
        <v>4362.7</v>
      </c>
      <c r="N1409" t="b">
        <f>OR(LEFT(B1409,3)="frg",(_xlfn.XMATCH(B1409,ZZZ_Part_Id_[[#All],[FGCODE]])))</f>
        <v>1</v>
      </c>
    </row>
    <row r="1410" spans="1:14" x14ac:dyDescent="0.3">
      <c r="A1410" s="2" t="s">
        <v>6268</v>
      </c>
      <c r="B1410" s="2" t="s">
        <v>14</v>
      </c>
      <c r="C1410" s="2" t="s">
        <v>6273</v>
      </c>
      <c r="D1410" s="3">
        <v>2</v>
      </c>
      <c r="E1410" s="3">
        <v>2</v>
      </c>
      <c r="F1410" s="2" t="s">
        <v>16</v>
      </c>
      <c r="G1410" s="2" t="s">
        <v>6274</v>
      </c>
      <c r="H1410" s="3">
        <v>0</v>
      </c>
      <c r="I1410" s="2" t="s">
        <v>409</v>
      </c>
      <c r="J1410" s="2" t="s">
        <v>6275</v>
      </c>
      <c r="K1410" s="2" t="s">
        <v>16</v>
      </c>
      <c r="L1410" s="2" t="s">
        <v>6276</v>
      </c>
      <c r="M1410" s="4">
        <v>0.15</v>
      </c>
      <c r="N1410" t="e">
        <f>OR(LEFT(B1410,3)="frg",(_xlfn.XMATCH(B1410,ZZZ_Part_Id_[[#All],[FGCODE]])))</f>
        <v>#N/A</v>
      </c>
    </row>
    <row r="1411" spans="1:14" x14ac:dyDescent="0.3">
      <c r="A1411" s="2" t="s">
        <v>6268</v>
      </c>
      <c r="B1411" s="2" t="s">
        <v>140</v>
      </c>
      <c r="C1411" s="2" t="s">
        <v>6277</v>
      </c>
      <c r="D1411" s="3">
        <v>0.08</v>
      </c>
      <c r="E1411" s="3">
        <v>0.08</v>
      </c>
      <c r="F1411" s="2" t="s">
        <v>16</v>
      </c>
      <c r="G1411" s="2" t="s">
        <v>6278</v>
      </c>
      <c r="H1411" s="3">
        <v>0</v>
      </c>
      <c r="I1411" s="2" t="s">
        <v>409</v>
      </c>
      <c r="J1411" s="2" t="s">
        <v>6279</v>
      </c>
      <c r="K1411" s="2" t="s">
        <v>16</v>
      </c>
      <c r="L1411" s="2" t="s">
        <v>6280</v>
      </c>
      <c r="M1411" s="4">
        <v>0.15</v>
      </c>
      <c r="N1411" t="e">
        <f>OR(LEFT(B1411,3)="frg",(_xlfn.XMATCH(B1411,ZZZ_Part_Id_[[#All],[FGCODE]])))</f>
        <v>#N/A</v>
      </c>
    </row>
    <row r="1412" spans="1:14" x14ac:dyDescent="0.3">
      <c r="A1412" s="2" t="s">
        <v>6268</v>
      </c>
      <c r="B1412" s="2" t="s">
        <v>192</v>
      </c>
      <c r="C1412" s="2" t="s">
        <v>6281</v>
      </c>
      <c r="D1412" s="3">
        <v>0.02</v>
      </c>
      <c r="E1412" s="3">
        <v>0.02</v>
      </c>
      <c r="F1412" s="2" t="s">
        <v>194</v>
      </c>
      <c r="G1412" s="2" t="s">
        <v>6282</v>
      </c>
      <c r="H1412" s="3">
        <v>0</v>
      </c>
      <c r="I1412" s="2" t="s">
        <v>409</v>
      </c>
      <c r="J1412" s="2" t="s">
        <v>6283</v>
      </c>
      <c r="K1412" s="2" t="s">
        <v>194</v>
      </c>
      <c r="L1412" s="2" t="s">
        <v>6284</v>
      </c>
      <c r="M1412" s="4">
        <v>0.1</v>
      </c>
      <c r="N1412" t="e">
        <f>OR(LEFT(B1412,3)="frg",(_xlfn.XMATCH(B1412,ZZZ_Part_Id_[[#All],[FGCODE]])))</f>
        <v>#N/A</v>
      </c>
    </row>
    <row r="1413" spans="1:14" x14ac:dyDescent="0.3">
      <c r="A1413" s="2" t="s">
        <v>6268</v>
      </c>
      <c r="B1413" s="2" t="s">
        <v>145</v>
      </c>
      <c r="C1413" s="2" t="s">
        <v>6285</v>
      </c>
      <c r="D1413" s="3">
        <v>8.0000000000000002E-3</v>
      </c>
      <c r="E1413" s="3">
        <v>8.0000000000000002E-3</v>
      </c>
      <c r="F1413" s="2" t="s">
        <v>147</v>
      </c>
      <c r="G1413" s="2" t="s">
        <v>6286</v>
      </c>
      <c r="H1413" s="3">
        <v>0</v>
      </c>
      <c r="I1413" s="2" t="s">
        <v>409</v>
      </c>
      <c r="J1413" s="2" t="s">
        <v>6287</v>
      </c>
      <c r="K1413" s="2" t="s">
        <v>147</v>
      </c>
      <c r="L1413" s="2" t="s">
        <v>6288</v>
      </c>
      <c r="M1413" s="4">
        <v>1.25</v>
      </c>
      <c r="N1413" t="e">
        <f>OR(LEFT(B1413,3)="frg",(_xlfn.XMATCH(B1413,ZZZ_Part_Id_[[#All],[FGCODE]])))</f>
        <v>#N/A</v>
      </c>
    </row>
    <row r="1414" spans="1:14" x14ac:dyDescent="0.3">
      <c r="A1414" s="2" t="s">
        <v>6289</v>
      </c>
      <c r="B1414" s="2" t="s">
        <v>6182</v>
      </c>
      <c r="C1414" s="2" t="s">
        <v>6290</v>
      </c>
      <c r="D1414" s="3">
        <v>149400</v>
      </c>
      <c r="E1414" s="3">
        <v>149400</v>
      </c>
      <c r="F1414" s="2" t="s">
        <v>16</v>
      </c>
      <c r="G1414" s="2" t="s">
        <v>6291</v>
      </c>
      <c r="H1414" s="3">
        <v>0</v>
      </c>
      <c r="I1414" s="2" t="s">
        <v>409</v>
      </c>
      <c r="J1414" s="2" t="s">
        <v>6292</v>
      </c>
      <c r="K1414" s="2" t="s">
        <v>16</v>
      </c>
      <c r="L1414" s="2" t="s">
        <v>6293</v>
      </c>
      <c r="M1414" s="4">
        <v>5699.6</v>
      </c>
      <c r="N1414" t="b">
        <f>OR(LEFT(B1414,3)="frg",(_xlfn.XMATCH(B1414,ZZZ_Part_Id_[[#All],[FGCODE]])))</f>
        <v>1</v>
      </c>
    </row>
    <row r="1415" spans="1:14" x14ac:dyDescent="0.3">
      <c r="A1415" s="2" t="s">
        <v>6289</v>
      </c>
      <c r="B1415" s="2" t="s">
        <v>14</v>
      </c>
      <c r="C1415" s="2" t="s">
        <v>6294</v>
      </c>
      <c r="D1415" s="3">
        <v>4</v>
      </c>
      <c r="E1415" s="3">
        <v>4</v>
      </c>
      <c r="F1415" s="2" t="s">
        <v>16</v>
      </c>
      <c r="G1415" s="2" t="s">
        <v>6295</v>
      </c>
      <c r="H1415" s="3">
        <v>0</v>
      </c>
      <c r="I1415" s="2" t="s">
        <v>409</v>
      </c>
      <c r="J1415" s="2" t="s">
        <v>6296</v>
      </c>
      <c r="K1415" s="2" t="s">
        <v>16</v>
      </c>
      <c r="L1415" s="2" t="s">
        <v>6297</v>
      </c>
      <c r="M1415" s="4">
        <v>0.31</v>
      </c>
      <c r="N1415" t="e">
        <f>OR(LEFT(B1415,3)="frg",(_xlfn.XMATCH(B1415,ZZZ_Part_Id_[[#All],[FGCODE]])))</f>
        <v>#N/A</v>
      </c>
    </row>
    <row r="1416" spans="1:14" x14ac:dyDescent="0.3">
      <c r="A1416" s="2" t="s">
        <v>6289</v>
      </c>
      <c r="B1416" s="2" t="s">
        <v>140</v>
      </c>
      <c r="C1416" s="2" t="s">
        <v>6298</v>
      </c>
      <c r="D1416" s="3">
        <v>0.16</v>
      </c>
      <c r="E1416" s="3">
        <v>0.16</v>
      </c>
      <c r="F1416" s="2" t="s">
        <v>16</v>
      </c>
      <c r="G1416" s="2" t="s">
        <v>6299</v>
      </c>
      <c r="H1416" s="3">
        <v>0</v>
      </c>
      <c r="I1416" s="2" t="s">
        <v>409</v>
      </c>
      <c r="J1416" s="2" t="s">
        <v>6300</v>
      </c>
      <c r="K1416" s="2" t="s">
        <v>16</v>
      </c>
      <c r="L1416" s="2" t="s">
        <v>6301</v>
      </c>
      <c r="M1416" s="4">
        <v>0.31</v>
      </c>
      <c r="N1416" t="e">
        <f>OR(LEFT(B1416,3)="frg",(_xlfn.XMATCH(B1416,ZZZ_Part_Id_[[#All],[FGCODE]])))</f>
        <v>#N/A</v>
      </c>
    </row>
    <row r="1417" spans="1:14" x14ac:dyDescent="0.3">
      <c r="A1417" s="2" t="s">
        <v>6289</v>
      </c>
      <c r="B1417" s="2" t="s">
        <v>192</v>
      </c>
      <c r="C1417" s="2" t="s">
        <v>6302</v>
      </c>
      <c r="D1417" s="3">
        <v>0.04</v>
      </c>
      <c r="E1417" s="3">
        <v>0.04</v>
      </c>
      <c r="F1417" s="2" t="s">
        <v>194</v>
      </c>
      <c r="G1417" s="2" t="s">
        <v>6303</v>
      </c>
      <c r="H1417" s="3">
        <v>0</v>
      </c>
      <c r="I1417" s="2" t="s">
        <v>409</v>
      </c>
      <c r="J1417" s="2" t="s">
        <v>6304</v>
      </c>
      <c r="K1417" s="2" t="s">
        <v>194</v>
      </c>
      <c r="L1417" s="2" t="s">
        <v>6305</v>
      </c>
      <c r="M1417" s="4">
        <v>0.21</v>
      </c>
      <c r="N1417" t="e">
        <f>OR(LEFT(B1417,3)="frg",(_xlfn.XMATCH(B1417,ZZZ_Part_Id_[[#All],[FGCODE]])))</f>
        <v>#N/A</v>
      </c>
    </row>
    <row r="1418" spans="1:14" x14ac:dyDescent="0.3">
      <c r="A1418" s="2" t="s">
        <v>6289</v>
      </c>
      <c r="B1418" s="2" t="s">
        <v>145</v>
      </c>
      <c r="C1418" s="2" t="s">
        <v>6306</v>
      </c>
      <c r="D1418" s="3">
        <v>1.6E-2</v>
      </c>
      <c r="E1418" s="3">
        <v>1.6E-2</v>
      </c>
      <c r="F1418" s="2" t="s">
        <v>147</v>
      </c>
      <c r="G1418" s="2" t="s">
        <v>6307</v>
      </c>
      <c r="H1418" s="3">
        <v>0</v>
      </c>
      <c r="I1418" s="2" t="s">
        <v>409</v>
      </c>
      <c r="J1418" s="2" t="s">
        <v>6308</v>
      </c>
      <c r="K1418" s="2" t="s">
        <v>147</v>
      </c>
      <c r="L1418" s="2" t="s">
        <v>6309</v>
      </c>
      <c r="M1418" s="4">
        <v>2.5</v>
      </c>
      <c r="N1418" t="e">
        <f>OR(LEFT(B1418,3)="frg",(_xlfn.XMATCH(B1418,ZZZ_Part_Id_[[#All],[FGCODE]])))</f>
        <v>#N/A</v>
      </c>
    </row>
    <row r="1419" spans="1:14" x14ac:dyDescent="0.3">
      <c r="A1419" s="2" t="s">
        <v>6289</v>
      </c>
      <c r="B1419" s="2" t="s">
        <v>86</v>
      </c>
      <c r="C1419" s="2" t="s">
        <v>6310</v>
      </c>
      <c r="D1419" s="5">
        <v>-222</v>
      </c>
      <c r="E1419" s="5">
        <v>-222</v>
      </c>
      <c r="F1419" s="2" t="s">
        <v>23</v>
      </c>
      <c r="G1419" s="2" t="s">
        <v>6311</v>
      </c>
      <c r="H1419" s="3">
        <v>0</v>
      </c>
      <c r="I1419" s="2" t="s">
        <v>409</v>
      </c>
      <c r="J1419" s="2" t="s">
        <v>6312</v>
      </c>
      <c r="K1419" s="2" t="s">
        <v>23</v>
      </c>
      <c r="L1419" s="2" t="s">
        <v>6313</v>
      </c>
      <c r="M1419" s="6">
        <v>-581.15</v>
      </c>
      <c r="N1419" t="b">
        <f>OR(LEFT(B1419,3)="frg",(_xlfn.XMATCH(B1419,ZZZ_Part_Id_[[#All],[FGCODE]])))</f>
        <v>1</v>
      </c>
    </row>
    <row r="1420" spans="1:14" x14ac:dyDescent="0.3">
      <c r="A1420" s="2" t="s">
        <v>6314</v>
      </c>
      <c r="B1420" s="2" t="s">
        <v>4511</v>
      </c>
      <c r="C1420" s="2" t="s">
        <v>6315</v>
      </c>
      <c r="D1420" s="3">
        <v>119520</v>
      </c>
      <c r="E1420" s="3">
        <v>119520</v>
      </c>
      <c r="F1420" s="2" t="s">
        <v>16</v>
      </c>
      <c r="G1420" s="2" t="s">
        <v>6316</v>
      </c>
      <c r="H1420" s="3">
        <v>0</v>
      </c>
      <c r="I1420" s="2" t="s">
        <v>409</v>
      </c>
      <c r="J1420" s="2" t="s">
        <v>6317</v>
      </c>
      <c r="K1420" s="2" t="s">
        <v>16</v>
      </c>
      <c r="L1420" s="2" t="s">
        <v>6318</v>
      </c>
      <c r="M1420" s="4">
        <v>4413.87</v>
      </c>
      <c r="N1420" t="b">
        <f>OR(LEFT(B1420,3)="frg",(_xlfn.XMATCH(B1420,ZZZ_Part_Id_[[#All],[FGCODE]])))</f>
        <v>1</v>
      </c>
    </row>
    <row r="1421" spans="1:14" x14ac:dyDescent="0.3">
      <c r="A1421" s="2" t="s">
        <v>6314</v>
      </c>
      <c r="B1421" s="2" t="s">
        <v>86</v>
      </c>
      <c r="C1421" s="2" t="s">
        <v>6319</v>
      </c>
      <c r="D1421" s="5">
        <v>-222.6</v>
      </c>
      <c r="E1421" s="5">
        <v>-222.6</v>
      </c>
      <c r="F1421" s="2" t="s">
        <v>23</v>
      </c>
      <c r="G1421" s="2" t="s">
        <v>6320</v>
      </c>
      <c r="H1421" s="3">
        <v>0</v>
      </c>
      <c r="I1421" s="2" t="s">
        <v>409</v>
      </c>
      <c r="J1421" s="2" t="s">
        <v>6321</v>
      </c>
      <c r="K1421" s="2" t="s">
        <v>23</v>
      </c>
      <c r="L1421" s="2" t="s">
        <v>6322</v>
      </c>
      <c r="M1421" s="6">
        <v>-582.72</v>
      </c>
      <c r="N1421" t="b">
        <f>OR(LEFT(B1421,3)="frg",(_xlfn.XMATCH(B1421,ZZZ_Part_Id_[[#All],[FGCODE]])))</f>
        <v>1</v>
      </c>
    </row>
    <row r="1422" spans="1:14" x14ac:dyDescent="0.3">
      <c r="A1422" s="2" t="s">
        <v>6314</v>
      </c>
      <c r="B1422" s="2" t="s">
        <v>14</v>
      </c>
      <c r="C1422" s="2" t="s">
        <v>6323</v>
      </c>
      <c r="D1422" s="3">
        <v>3</v>
      </c>
      <c r="E1422" s="3">
        <v>3</v>
      </c>
      <c r="F1422" s="2" t="s">
        <v>16</v>
      </c>
      <c r="G1422" s="2" t="s">
        <v>6324</v>
      </c>
      <c r="H1422" s="3">
        <v>0</v>
      </c>
      <c r="I1422" s="2" t="s">
        <v>409</v>
      </c>
      <c r="J1422" s="2" t="s">
        <v>6325</v>
      </c>
      <c r="K1422" s="2" t="s">
        <v>16</v>
      </c>
      <c r="L1422" s="2" t="s">
        <v>6326</v>
      </c>
      <c r="M1422" s="4">
        <v>0.23</v>
      </c>
      <c r="N1422" t="e">
        <f>OR(LEFT(B1422,3)="frg",(_xlfn.XMATCH(B1422,ZZZ_Part_Id_[[#All],[FGCODE]])))</f>
        <v>#N/A</v>
      </c>
    </row>
    <row r="1423" spans="1:14" x14ac:dyDescent="0.3">
      <c r="A1423" s="2" t="s">
        <v>6314</v>
      </c>
      <c r="B1423" s="2" t="s">
        <v>140</v>
      </c>
      <c r="C1423" s="2" t="s">
        <v>6327</v>
      </c>
      <c r="D1423" s="3">
        <v>0.12</v>
      </c>
      <c r="E1423" s="3">
        <v>0.12</v>
      </c>
      <c r="F1423" s="2" t="s">
        <v>16</v>
      </c>
      <c r="G1423" s="2" t="s">
        <v>6328</v>
      </c>
      <c r="H1423" s="3">
        <v>0</v>
      </c>
      <c r="I1423" s="2" t="s">
        <v>409</v>
      </c>
      <c r="J1423" s="2" t="s">
        <v>6329</v>
      </c>
      <c r="K1423" s="2" t="s">
        <v>16</v>
      </c>
      <c r="L1423" s="2" t="s">
        <v>6330</v>
      </c>
      <c r="M1423" s="4">
        <v>0.23</v>
      </c>
      <c r="N1423" t="e">
        <f>OR(LEFT(B1423,3)="frg",(_xlfn.XMATCH(B1423,ZZZ_Part_Id_[[#All],[FGCODE]])))</f>
        <v>#N/A</v>
      </c>
    </row>
    <row r="1424" spans="1:14" x14ac:dyDescent="0.3">
      <c r="A1424" s="2" t="s">
        <v>6314</v>
      </c>
      <c r="B1424" s="2" t="s">
        <v>192</v>
      </c>
      <c r="C1424" s="2" t="s">
        <v>6331</v>
      </c>
      <c r="D1424" s="3">
        <v>0.03</v>
      </c>
      <c r="E1424" s="3">
        <v>0.03</v>
      </c>
      <c r="F1424" s="2" t="s">
        <v>194</v>
      </c>
      <c r="G1424" s="2" t="s">
        <v>6332</v>
      </c>
      <c r="H1424" s="3">
        <v>0</v>
      </c>
      <c r="I1424" s="2" t="s">
        <v>409</v>
      </c>
      <c r="J1424" s="2" t="s">
        <v>6333</v>
      </c>
      <c r="K1424" s="2" t="s">
        <v>194</v>
      </c>
      <c r="L1424" s="2" t="s">
        <v>6334</v>
      </c>
      <c r="M1424" s="4">
        <v>0.16</v>
      </c>
      <c r="N1424" t="e">
        <f>OR(LEFT(B1424,3)="frg",(_xlfn.XMATCH(B1424,ZZZ_Part_Id_[[#All],[FGCODE]])))</f>
        <v>#N/A</v>
      </c>
    </row>
    <row r="1425" spans="1:14" x14ac:dyDescent="0.3">
      <c r="A1425" s="2" t="s">
        <v>6314</v>
      </c>
      <c r="B1425" s="2" t="s">
        <v>145</v>
      </c>
      <c r="C1425" s="2" t="s">
        <v>6335</v>
      </c>
      <c r="D1425" s="3">
        <v>1.2E-2</v>
      </c>
      <c r="E1425" s="3">
        <v>1.2E-2</v>
      </c>
      <c r="F1425" s="2" t="s">
        <v>147</v>
      </c>
      <c r="G1425" s="2" t="s">
        <v>6336</v>
      </c>
      <c r="H1425" s="3">
        <v>0</v>
      </c>
      <c r="I1425" s="2" t="s">
        <v>409</v>
      </c>
      <c r="J1425" s="2" t="s">
        <v>6337</v>
      </c>
      <c r="K1425" s="2" t="s">
        <v>147</v>
      </c>
      <c r="L1425" s="2" t="s">
        <v>6338</v>
      </c>
      <c r="M1425" s="4">
        <v>1.88</v>
      </c>
      <c r="N1425" t="e">
        <f>OR(LEFT(B1425,3)="frg",(_xlfn.XMATCH(B1425,ZZZ_Part_Id_[[#All],[FGCODE]])))</f>
        <v>#N/A</v>
      </c>
    </row>
    <row r="1426" spans="1:14" x14ac:dyDescent="0.3">
      <c r="A1426" s="2" t="s">
        <v>6339</v>
      </c>
      <c r="B1426" s="2" t="s">
        <v>97</v>
      </c>
      <c r="C1426" s="2" t="s">
        <v>6340</v>
      </c>
      <c r="D1426" s="3">
        <v>33600</v>
      </c>
      <c r="E1426" s="3">
        <v>33600</v>
      </c>
      <c r="F1426" s="2" t="s">
        <v>16</v>
      </c>
      <c r="G1426" s="2" t="s">
        <v>6341</v>
      </c>
      <c r="H1426" s="3">
        <v>0</v>
      </c>
      <c r="I1426" s="2" t="s">
        <v>409</v>
      </c>
      <c r="J1426" s="2" t="s">
        <v>6342</v>
      </c>
      <c r="K1426" s="2" t="s">
        <v>16</v>
      </c>
      <c r="L1426" s="2" t="s">
        <v>6343</v>
      </c>
      <c r="M1426" s="4">
        <v>11514.72</v>
      </c>
      <c r="N1426" t="b">
        <f>OR(LEFT(B1426,3)="frg",(_xlfn.XMATCH(B1426,ZZZ_Part_Id_[[#All],[FGCODE]])))</f>
        <v>1</v>
      </c>
    </row>
    <row r="1427" spans="1:14" x14ac:dyDescent="0.3">
      <c r="A1427" s="2" t="s">
        <v>6339</v>
      </c>
      <c r="B1427" s="2" t="s">
        <v>14</v>
      </c>
      <c r="C1427" s="2" t="s">
        <v>6344</v>
      </c>
      <c r="D1427" s="3">
        <v>10</v>
      </c>
      <c r="E1427" s="3">
        <v>10</v>
      </c>
      <c r="F1427" s="2" t="s">
        <v>16</v>
      </c>
      <c r="G1427" s="2" t="s">
        <v>6345</v>
      </c>
      <c r="H1427" s="3">
        <v>0</v>
      </c>
      <c r="I1427" s="2" t="s">
        <v>409</v>
      </c>
      <c r="J1427" s="2" t="s">
        <v>6346</v>
      </c>
      <c r="K1427" s="2" t="s">
        <v>16</v>
      </c>
      <c r="L1427" s="2" t="s">
        <v>6347</v>
      </c>
      <c r="M1427" s="4">
        <v>0.77</v>
      </c>
      <c r="N1427" t="e">
        <f>OR(LEFT(B1427,3)="frg",(_xlfn.XMATCH(B1427,ZZZ_Part_Id_[[#All],[FGCODE]])))</f>
        <v>#N/A</v>
      </c>
    </row>
    <row r="1428" spans="1:14" x14ac:dyDescent="0.3">
      <c r="A1428" s="2" t="s">
        <v>6339</v>
      </c>
      <c r="B1428" s="2" t="s">
        <v>140</v>
      </c>
      <c r="C1428" s="2" t="s">
        <v>6348</v>
      </c>
      <c r="D1428" s="3">
        <v>0.4</v>
      </c>
      <c r="E1428" s="3">
        <v>0.4</v>
      </c>
      <c r="F1428" s="2" t="s">
        <v>16</v>
      </c>
      <c r="G1428" s="2" t="s">
        <v>6349</v>
      </c>
      <c r="H1428" s="3">
        <v>0</v>
      </c>
      <c r="I1428" s="2" t="s">
        <v>409</v>
      </c>
      <c r="J1428" s="2" t="s">
        <v>6350</v>
      </c>
      <c r="K1428" s="2" t="s">
        <v>16</v>
      </c>
      <c r="L1428" s="2" t="s">
        <v>6351</v>
      </c>
      <c r="M1428" s="4">
        <v>0.77</v>
      </c>
      <c r="N1428" t="e">
        <f>OR(LEFT(B1428,3)="frg",(_xlfn.XMATCH(B1428,ZZZ_Part_Id_[[#All],[FGCODE]])))</f>
        <v>#N/A</v>
      </c>
    </row>
    <row r="1429" spans="1:14" x14ac:dyDescent="0.3">
      <c r="A1429" s="2" t="s">
        <v>6339</v>
      </c>
      <c r="B1429" s="2" t="s">
        <v>192</v>
      </c>
      <c r="C1429" s="2" t="s">
        <v>6352</v>
      </c>
      <c r="D1429" s="3">
        <v>0.1</v>
      </c>
      <c r="E1429" s="3">
        <v>0.1</v>
      </c>
      <c r="F1429" s="2" t="s">
        <v>194</v>
      </c>
      <c r="G1429" s="2" t="s">
        <v>6353</v>
      </c>
      <c r="H1429" s="3">
        <v>0</v>
      </c>
      <c r="I1429" s="2" t="s">
        <v>409</v>
      </c>
      <c r="J1429" s="2" t="s">
        <v>6354</v>
      </c>
      <c r="K1429" s="2" t="s">
        <v>194</v>
      </c>
      <c r="L1429" s="2" t="s">
        <v>6355</v>
      </c>
      <c r="M1429" s="4">
        <v>0.52</v>
      </c>
      <c r="N1429" t="e">
        <f>OR(LEFT(B1429,3)="frg",(_xlfn.XMATCH(B1429,ZZZ_Part_Id_[[#All],[FGCODE]])))</f>
        <v>#N/A</v>
      </c>
    </row>
    <row r="1430" spans="1:14" x14ac:dyDescent="0.3">
      <c r="A1430" s="2" t="s">
        <v>6339</v>
      </c>
      <c r="B1430" s="2" t="s">
        <v>145</v>
      </c>
      <c r="C1430" s="2" t="s">
        <v>6356</v>
      </c>
      <c r="D1430" s="3">
        <v>0.04</v>
      </c>
      <c r="E1430" s="3">
        <v>0.04</v>
      </c>
      <c r="F1430" s="2" t="s">
        <v>147</v>
      </c>
      <c r="G1430" s="2" t="s">
        <v>6357</v>
      </c>
      <c r="H1430" s="3">
        <v>0</v>
      </c>
      <c r="I1430" s="2" t="s">
        <v>409</v>
      </c>
      <c r="J1430" s="2" t="s">
        <v>6358</v>
      </c>
      <c r="K1430" s="2" t="s">
        <v>147</v>
      </c>
      <c r="L1430" s="2" t="s">
        <v>6359</v>
      </c>
      <c r="M1430" s="4">
        <v>6.26</v>
      </c>
      <c r="N1430" t="e">
        <f>OR(LEFT(B1430,3)="frg",(_xlfn.XMATCH(B1430,ZZZ_Part_Id_[[#All],[FGCODE]])))</f>
        <v>#N/A</v>
      </c>
    </row>
    <row r="1431" spans="1:14" x14ac:dyDescent="0.3">
      <c r="A1431" s="2" t="s">
        <v>6360</v>
      </c>
      <c r="B1431" s="2" t="s">
        <v>2934</v>
      </c>
      <c r="C1431" s="2" t="s">
        <v>6361</v>
      </c>
      <c r="D1431" s="3">
        <v>8208</v>
      </c>
      <c r="E1431" s="3">
        <v>8208</v>
      </c>
      <c r="F1431" s="2" t="s">
        <v>16</v>
      </c>
      <c r="G1431" s="2" t="s">
        <v>6362</v>
      </c>
      <c r="H1431" s="3">
        <v>0</v>
      </c>
      <c r="I1431" s="2" t="s">
        <v>409</v>
      </c>
      <c r="J1431" s="2" t="s">
        <v>6363</v>
      </c>
      <c r="K1431" s="2" t="s">
        <v>16</v>
      </c>
      <c r="L1431" s="2" t="s">
        <v>6364</v>
      </c>
      <c r="M1431" s="4">
        <v>1020.34</v>
      </c>
      <c r="N1431" t="b">
        <f>OR(LEFT(B1431,3)="frg",(_xlfn.XMATCH(B1431,ZZZ_Part_Id_[[#All],[FGCODE]])))</f>
        <v>1</v>
      </c>
    </row>
    <row r="1432" spans="1:14" x14ac:dyDescent="0.3">
      <c r="A1432" s="2" t="s">
        <v>6365</v>
      </c>
      <c r="B1432" s="2" t="s">
        <v>947</v>
      </c>
      <c r="C1432" s="2" t="s">
        <v>6366</v>
      </c>
      <c r="D1432" s="3">
        <v>52312</v>
      </c>
      <c r="E1432" s="3">
        <v>52312</v>
      </c>
      <c r="F1432" s="2" t="s">
        <v>16</v>
      </c>
      <c r="G1432" s="2" t="s">
        <v>6367</v>
      </c>
      <c r="H1432" s="3">
        <v>0</v>
      </c>
      <c r="I1432" s="2" t="s">
        <v>409</v>
      </c>
      <c r="J1432" s="2" t="s">
        <v>6368</v>
      </c>
      <c r="K1432" s="2" t="s">
        <v>16</v>
      </c>
      <c r="L1432" s="2" t="s">
        <v>6369</v>
      </c>
      <c r="M1432" s="4">
        <v>5125</v>
      </c>
      <c r="N1432" t="b">
        <f>OR(LEFT(B1432,3)="frg",(_xlfn.XMATCH(B1432,ZZZ_Part_Id_[[#All],[FGCODE]])))</f>
        <v>1</v>
      </c>
    </row>
    <row r="1433" spans="1:14" x14ac:dyDescent="0.3">
      <c r="A1433" s="2" t="s">
        <v>6365</v>
      </c>
      <c r="B1433" s="2" t="s">
        <v>65</v>
      </c>
      <c r="C1433" s="2" t="s">
        <v>6370</v>
      </c>
      <c r="D1433" s="5">
        <v>-154</v>
      </c>
      <c r="E1433" s="5">
        <v>-154</v>
      </c>
      <c r="F1433" s="2" t="s">
        <v>23</v>
      </c>
      <c r="G1433" s="2" t="s">
        <v>6371</v>
      </c>
      <c r="H1433" s="3">
        <v>0</v>
      </c>
      <c r="I1433" s="2" t="s">
        <v>409</v>
      </c>
      <c r="J1433" s="2" t="s">
        <v>6372</v>
      </c>
      <c r="K1433" s="2" t="s">
        <v>23</v>
      </c>
      <c r="L1433" s="2" t="s">
        <v>6373</v>
      </c>
      <c r="M1433" s="6">
        <v>-396.03</v>
      </c>
      <c r="N1433" t="b">
        <f>OR(LEFT(B1433,3)="frg",(_xlfn.XMATCH(B1433,ZZZ_Part_Id_[[#All],[FGCODE]])))</f>
        <v>1</v>
      </c>
    </row>
    <row r="1434" spans="1:14" x14ac:dyDescent="0.3">
      <c r="A1434" s="2" t="s">
        <v>6374</v>
      </c>
      <c r="B1434" s="2" t="s">
        <v>97</v>
      </c>
      <c r="C1434" s="2" t="s">
        <v>6375</v>
      </c>
      <c r="D1434" s="3">
        <v>278400</v>
      </c>
      <c r="E1434" s="3">
        <v>278400</v>
      </c>
      <c r="F1434" s="2" t="s">
        <v>16</v>
      </c>
      <c r="G1434" s="2" t="s">
        <v>6376</v>
      </c>
      <c r="H1434" s="3">
        <v>0</v>
      </c>
      <c r="I1434" s="2" t="s">
        <v>409</v>
      </c>
      <c r="J1434" s="2" t="s">
        <v>6377</v>
      </c>
      <c r="K1434" s="2" t="s">
        <v>16</v>
      </c>
      <c r="L1434" s="2" t="s">
        <v>6378</v>
      </c>
      <c r="M1434" s="4">
        <v>95407.679999999993</v>
      </c>
      <c r="N1434" t="b">
        <f>OR(LEFT(B1434,3)="frg",(_xlfn.XMATCH(B1434,ZZZ_Part_Id_[[#All],[FGCODE]])))</f>
        <v>1</v>
      </c>
    </row>
    <row r="1435" spans="1:14" x14ac:dyDescent="0.3">
      <c r="A1435" s="2" t="s">
        <v>6374</v>
      </c>
      <c r="B1435" s="2" t="s">
        <v>14</v>
      </c>
      <c r="C1435" s="2" t="s">
        <v>6379</v>
      </c>
      <c r="D1435" s="3">
        <v>58</v>
      </c>
      <c r="E1435" s="3">
        <v>58</v>
      </c>
      <c r="F1435" s="2" t="s">
        <v>16</v>
      </c>
      <c r="G1435" s="2" t="s">
        <v>6380</v>
      </c>
      <c r="H1435" s="3">
        <v>0</v>
      </c>
      <c r="I1435" s="2" t="s">
        <v>409</v>
      </c>
      <c r="J1435" s="2" t="s">
        <v>6381</v>
      </c>
      <c r="K1435" s="2" t="s">
        <v>16</v>
      </c>
      <c r="L1435" s="2" t="s">
        <v>6382</v>
      </c>
      <c r="M1435" s="4">
        <v>4.46</v>
      </c>
      <c r="N1435" t="e">
        <f>OR(LEFT(B1435,3)="frg",(_xlfn.XMATCH(B1435,ZZZ_Part_Id_[[#All],[FGCODE]])))</f>
        <v>#N/A</v>
      </c>
    </row>
    <row r="1436" spans="1:14" x14ac:dyDescent="0.3">
      <c r="A1436" s="2" t="s">
        <v>6374</v>
      </c>
      <c r="B1436" s="2" t="s">
        <v>140</v>
      </c>
      <c r="C1436" s="2" t="s">
        <v>6383</v>
      </c>
      <c r="D1436" s="3">
        <v>2.3199999999999998</v>
      </c>
      <c r="E1436" s="3">
        <v>2.3199999999999998</v>
      </c>
      <c r="F1436" s="2" t="s">
        <v>16</v>
      </c>
      <c r="G1436" s="2" t="s">
        <v>6384</v>
      </c>
      <c r="H1436" s="3">
        <v>0</v>
      </c>
      <c r="I1436" s="2" t="s">
        <v>409</v>
      </c>
      <c r="J1436" s="2" t="s">
        <v>6385</v>
      </c>
      <c r="K1436" s="2" t="s">
        <v>16</v>
      </c>
      <c r="L1436" s="2" t="s">
        <v>6386</v>
      </c>
      <c r="M1436" s="4">
        <v>4.46</v>
      </c>
      <c r="N1436" t="e">
        <f>OR(LEFT(B1436,3)="frg",(_xlfn.XMATCH(B1436,ZZZ_Part_Id_[[#All],[FGCODE]])))</f>
        <v>#N/A</v>
      </c>
    </row>
    <row r="1437" spans="1:14" x14ac:dyDescent="0.3">
      <c r="A1437" s="2" t="s">
        <v>6374</v>
      </c>
      <c r="B1437" s="2" t="s">
        <v>192</v>
      </c>
      <c r="C1437" s="2" t="s">
        <v>6387</v>
      </c>
      <c r="D1437" s="3">
        <v>0.57999999999999996</v>
      </c>
      <c r="E1437" s="3">
        <v>0.57999999999999996</v>
      </c>
      <c r="F1437" s="2" t="s">
        <v>194</v>
      </c>
      <c r="G1437" s="2" t="s">
        <v>6388</v>
      </c>
      <c r="H1437" s="3">
        <v>0</v>
      </c>
      <c r="I1437" s="2" t="s">
        <v>409</v>
      </c>
      <c r="J1437" s="2" t="s">
        <v>6389</v>
      </c>
      <c r="K1437" s="2" t="s">
        <v>194</v>
      </c>
      <c r="L1437" s="2" t="s">
        <v>6390</v>
      </c>
      <c r="M1437" s="4">
        <v>3.03</v>
      </c>
      <c r="N1437" t="e">
        <f>OR(LEFT(B1437,3)="frg",(_xlfn.XMATCH(B1437,ZZZ_Part_Id_[[#All],[FGCODE]])))</f>
        <v>#N/A</v>
      </c>
    </row>
    <row r="1438" spans="1:14" x14ac:dyDescent="0.3">
      <c r="A1438" s="2" t="s">
        <v>6374</v>
      </c>
      <c r="B1438" s="2" t="s">
        <v>145</v>
      </c>
      <c r="C1438" s="2" t="s">
        <v>6391</v>
      </c>
      <c r="D1438" s="3">
        <v>0.23200000000000001</v>
      </c>
      <c r="E1438" s="3">
        <v>0.23200000000000001</v>
      </c>
      <c r="F1438" s="2" t="s">
        <v>147</v>
      </c>
      <c r="G1438" s="2" t="s">
        <v>6392</v>
      </c>
      <c r="H1438" s="3">
        <v>0</v>
      </c>
      <c r="I1438" s="2" t="s">
        <v>409</v>
      </c>
      <c r="J1438" s="2" t="s">
        <v>6393</v>
      </c>
      <c r="K1438" s="2" t="s">
        <v>147</v>
      </c>
      <c r="L1438" s="2" t="s">
        <v>6394</v>
      </c>
      <c r="M1438" s="4">
        <v>36.29</v>
      </c>
      <c r="N1438" t="e">
        <f>OR(LEFT(B1438,3)="frg",(_xlfn.XMATCH(B1438,ZZZ_Part_Id_[[#All],[FGCODE]])))</f>
        <v>#N/A</v>
      </c>
    </row>
    <row r="1439" spans="1:14" x14ac:dyDescent="0.3">
      <c r="A1439" s="2" t="s">
        <v>6395</v>
      </c>
      <c r="B1439" s="2" t="s">
        <v>6244</v>
      </c>
      <c r="C1439" s="2" t="s">
        <v>6396</v>
      </c>
      <c r="D1439" s="3">
        <v>139104</v>
      </c>
      <c r="E1439" s="3">
        <v>139104</v>
      </c>
      <c r="F1439" s="2" t="s">
        <v>16</v>
      </c>
      <c r="G1439" s="2" t="s">
        <v>6397</v>
      </c>
      <c r="H1439" s="3">
        <v>0</v>
      </c>
      <c r="I1439" s="2" t="s">
        <v>409</v>
      </c>
      <c r="J1439" s="2" t="s">
        <v>6398</v>
      </c>
      <c r="K1439" s="2" t="s">
        <v>16</v>
      </c>
      <c r="L1439" s="2" t="s">
        <v>6399</v>
      </c>
      <c r="M1439" s="4">
        <v>45808.35</v>
      </c>
      <c r="N1439" t="b">
        <f>OR(LEFT(B1439,3)="frg",(_xlfn.XMATCH(B1439,ZZZ_Part_Id_[[#All],[FGCODE]])))</f>
        <v>1</v>
      </c>
    </row>
    <row r="1440" spans="1:14" x14ac:dyDescent="0.3">
      <c r="A1440" s="2" t="s">
        <v>6395</v>
      </c>
      <c r="B1440" s="2" t="s">
        <v>21</v>
      </c>
      <c r="C1440" s="2" t="s">
        <v>6400</v>
      </c>
      <c r="D1440" s="5">
        <v>-995</v>
      </c>
      <c r="E1440" s="5">
        <v>-995</v>
      </c>
      <c r="F1440" s="2" t="s">
        <v>23</v>
      </c>
      <c r="G1440" s="2" t="s">
        <v>6401</v>
      </c>
      <c r="H1440" s="3">
        <v>0</v>
      </c>
      <c r="I1440" s="2" t="s">
        <v>409</v>
      </c>
      <c r="J1440" s="2" t="s">
        <v>6402</v>
      </c>
      <c r="K1440" s="2" t="s">
        <v>23</v>
      </c>
      <c r="L1440" s="2" t="s">
        <v>6403</v>
      </c>
      <c r="M1440" s="6">
        <v>-1884.03</v>
      </c>
      <c r="N1440" t="b">
        <f>OR(LEFT(B1440,3)="frg",(_xlfn.XMATCH(B1440,ZZZ_Part_Id_[[#All],[FGCODE]])))</f>
        <v>1</v>
      </c>
    </row>
    <row r="1441" spans="1:14" x14ac:dyDescent="0.3">
      <c r="A1441" s="2" t="s">
        <v>6395</v>
      </c>
      <c r="B1441" s="2" t="s">
        <v>14</v>
      </c>
      <c r="C1441" s="2" t="s">
        <v>6404</v>
      </c>
      <c r="D1441" s="3">
        <v>18</v>
      </c>
      <c r="E1441" s="3">
        <v>18</v>
      </c>
      <c r="F1441" s="2" t="s">
        <v>16</v>
      </c>
      <c r="G1441" s="2" t="s">
        <v>6405</v>
      </c>
      <c r="H1441" s="3">
        <v>0</v>
      </c>
      <c r="I1441" s="2" t="s">
        <v>409</v>
      </c>
      <c r="J1441" s="2" t="s">
        <v>6406</v>
      </c>
      <c r="K1441" s="2" t="s">
        <v>16</v>
      </c>
      <c r="L1441" s="2" t="s">
        <v>6407</v>
      </c>
      <c r="M1441" s="4">
        <v>1.39</v>
      </c>
      <c r="N1441" t="e">
        <f>OR(LEFT(B1441,3)="frg",(_xlfn.XMATCH(B1441,ZZZ_Part_Id_[[#All],[FGCODE]])))</f>
        <v>#N/A</v>
      </c>
    </row>
    <row r="1442" spans="1:14" x14ac:dyDescent="0.3">
      <c r="A1442" s="2" t="s">
        <v>6395</v>
      </c>
      <c r="B1442" s="2" t="s">
        <v>140</v>
      </c>
      <c r="C1442" s="2" t="s">
        <v>6408</v>
      </c>
      <c r="D1442" s="3">
        <v>0.72</v>
      </c>
      <c r="E1442" s="3">
        <v>0.72</v>
      </c>
      <c r="F1442" s="2" t="s">
        <v>16</v>
      </c>
      <c r="G1442" s="2" t="s">
        <v>6409</v>
      </c>
      <c r="H1442" s="3">
        <v>0</v>
      </c>
      <c r="I1442" s="2" t="s">
        <v>409</v>
      </c>
      <c r="J1442" s="2" t="s">
        <v>6410</v>
      </c>
      <c r="K1442" s="2" t="s">
        <v>16</v>
      </c>
      <c r="L1442" s="2" t="s">
        <v>6411</v>
      </c>
      <c r="M1442" s="4">
        <v>1.38</v>
      </c>
      <c r="N1442" t="e">
        <f>OR(LEFT(B1442,3)="frg",(_xlfn.XMATCH(B1442,ZZZ_Part_Id_[[#All],[FGCODE]])))</f>
        <v>#N/A</v>
      </c>
    </row>
    <row r="1443" spans="1:14" x14ac:dyDescent="0.3">
      <c r="A1443" s="2" t="s">
        <v>6395</v>
      </c>
      <c r="B1443" s="2" t="s">
        <v>192</v>
      </c>
      <c r="C1443" s="2" t="s">
        <v>6412</v>
      </c>
      <c r="D1443" s="3">
        <v>0.18</v>
      </c>
      <c r="E1443" s="3">
        <v>0.18</v>
      </c>
      <c r="F1443" s="2" t="s">
        <v>194</v>
      </c>
      <c r="G1443" s="2" t="s">
        <v>6413</v>
      </c>
      <c r="H1443" s="3">
        <v>0</v>
      </c>
      <c r="I1443" s="2" t="s">
        <v>409</v>
      </c>
      <c r="J1443" s="2" t="s">
        <v>6414</v>
      </c>
      <c r="K1443" s="2" t="s">
        <v>194</v>
      </c>
      <c r="L1443" s="2" t="s">
        <v>6415</v>
      </c>
      <c r="M1443" s="4">
        <v>0.94</v>
      </c>
      <c r="N1443" t="e">
        <f>OR(LEFT(B1443,3)="frg",(_xlfn.XMATCH(B1443,ZZZ_Part_Id_[[#All],[FGCODE]])))</f>
        <v>#N/A</v>
      </c>
    </row>
    <row r="1444" spans="1:14" x14ac:dyDescent="0.3">
      <c r="A1444" s="2" t="s">
        <v>6395</v>
      </c>
      <c r="B1444" s="2" t="s">
        <v>145</v>
      </c>
      <c r="C1444" s="2" t="s">
        <v>6416</v>
      </c>
      <c r="D1444" s="3">
        <v>7.1999999999999995E-2</v>
      </c>
      <c r="E1444" s="3">
        <v>7.1999999999999995E-2</v>
      </c>
      <c r="F1444" s="2" t="s">
        <v>147</v>
      </c>
      <c r="G1444" s="2" t="s">
        <v>6417</v>
      </c>
      <c r="H1444" s="3">
        <v>0</v>
      </c>
      <c r="I1444" s="2" t="s">
        <v>409</v>
      </c>
      <c r="J1444" s="2" t="s">
        <v>6418</v>
      </c>
      <c r="K1444" s="2" t="s">
        <v>147</v>
      </c>
      <c r="L1444" s="2" t="s">
        <v>6419</v>
      </c>
      <c r="M1444" s="4">
        <v>11.26</v>
      </c>
      <c r="N1444" t="e">
        <f>OR(LEFT(B1444,3)="frg",(_xlfn.XMATCH(B1444,ZZZ_Part_Id_[[#All],[FGCODE]])))</f>
        <v>#N/A</v>
      </c>
    </row>
    <row r="1445" spans="1:14" x14ac:dyDescent="0.3">
      <c r="A1445" s="2" t="s">
        <v>6420</v>
      </c>
      <c r="B1445" s="2" t="s">
        <v>5357</v>
      </c>
      <c r="C1445" s="2" t="s">
        <v>6421</v>
      </c>
      <c r="D1445" s="3">
        <v>317952</v>
      </c>
      <c r="E1445" s="3">
        <v>317952</v>
      </c>
      <c r="F1445" s="2" t="s">
        <v>16</v>
      </c>
      <c r="G1445" s="2" t="s">
        <v>6422</v>
      </c>
      <c r="H1445" s="3">
        <v>0</v>
      </c>
      <c r="I1445" s="2" t="s">
        <v>409</v>
      </c>
      <c r="J1445" s="2" t="s">
        <v>6423</v>
      </c>
      <c r="K1445" s="2" t="s">
        <v>16</v>
      </c>
      <c r="L1445" s="2" t="s">
        <v>6424</v>
      </c>
      <c r="M1445" s="4">
        <v>94469.759999999995</v>
      </c>
      <c r="N1445" t="b">
        <f>OR(LEFT(B1445,3)="frg",(_xlfn.XMATCH(B1445,ZZZ_Part_Id_[[#All],[FGCODE]])))</f>
        <v>1</v>
      </c>
    </row>
    <row r="1446" spans="1:14" x14ac:dyDescent="0.3">
      <c r="A1446" s="2" t="s">
        <v>6425</v>
      </c>
      <c r="B1446" s="2" t="s">
        <v>740</v>
      </c>
      <c r="C1446" s="2" t="s">
        <v>6426</v>
      </c>
      <c r="D1446" s="3">
        <v>520380</v>
      </c>
      <c r="E1446" s="3">
        <v>520380</v>
      </c>
      <c r="F1446" s="2" t="s">
        <v>16</v>
      </c>
      <c r="G1446" s="2" t="s">
        <v>6427</v>
      </c>
      <c r="H1446" s="3">
        <v>0</v>
      </c>
      <c r="I1446" s="2" t="s">
        <v>409</v>
      </c>
      <c r="J1446" s="2" t="s">
        <v>6428</v>
      </c>
      <c r="K1446" s="2" t="s">
        <v>16</v>
      </c>
      <c r="L1446" s="2" t="s">
        <v>6429</v>
      </c>
      <c r="M1446" s="4">
        <v>103394.41</v>
      </c>
      <c r="N1446" t="b">
        <f>OR(LEFT(B1446,3)="frg",(_xlfn.XMATCH(B1446,ZZZ_Part_Id_[[#All],[FGCODE]])))</f>
        <v>1</v>
      </c>
    </row>
    <row r="1447" spans="1:14" x14ac:dyDescent="0.3">
      <c r="A1447" s="2" t="s">
        <v>6430</v>
      </c>
      <c r="B1447" s="2" t="s">
        <v>4791</v>
      </c>
      <c r="C1447" s="2" t="s">
        <v>6431</v>
      </c>
      <c r="D1447" s="3">
        <v>317952</v>
      </c>
      <c r="E1447" s="3">
        <v>317952</v>
      </c>
      <c r="F1447" s="2" t="s">
        <v>16</v>
      </c>
      <c r="G1447" s="2" t="s">
        <v>6432</v>
      </c>
      <c r="H1447" s="3">
        <v>0</v>
      </c>
      <c r="I1447" s="2" t="s">
        <v>409</v>
      </c>
      <c r="J1447" s="2" t="s">
        <v>6433</v>
      </c>
      <c r="K1447" s="2" t="s">
        <v>16</v>
      </c>
      <c r="L1447" s="2" t="s">
        <v>6434</v>
      </c>
      <c r="M1447" s="4">
        <v>93312.48</v>
      </c>
      <c r="N1447" t="b">
        <f>OR(LEFT(B1447,3)="frg",(_xlfn.XMATCH(B1447,ZZZ_Part_Id_[[#All],[FGCODE]])))</f>
        <v>1</v>
      </c>
    </row>
    <row r="1448" spans="1:14" x14ac:dyDescent="0.3">
      <c r="A1448" s="2" t="s">
        <v>6435</v>
      </c>
      <c r="B1448" s="2" t="s">
        <v>5347</v>
      </c>
      <c r="C1448" s="2" t="s">
        <v>6436</v>
      </c>
      <c r="D1448" s="3">
        <v>39744</v>
      </c>
      <c r="E1448" s="3">
        <v>39744</v>
      </c>
      <c r="F1448" s="2" t="s">
        <v>16</v>
      </c>
      <c r="G1448" s="2" t="s">
        <v>6437</v>
      </c>
      <c r="H1448" s="3">
        <v>0</v>
      </c>
      <c r="I1448" s="2" t="s">
        <v>409</v>
      </c>
      <c r="J1448" s="2" t="s">
        <v>6438</v>
      </c>
      <c r="K1448" s="2" t="s">
        <v>16</v>
      </c>
      <c r="L1448" s="2" t="s">
        <v>6439</v>
      </c>
      <c r="M1448" s="4">
        <v>11664.06</v>
      </c>
      <c r="N1448" t="b">
        <f>OR(LEFT(B1448,3)="frg",(_xlfn.XMATCH(B1448,ZZZ_Part_Id_[[#All],[FGCODE]])))</f>
        <v>1</v>
      </c>
    </row>
    <row r="1449" spans="1:14" x14ac:dyDescent="0.3">
      <c r="A1449" s="2" t="s">
        <v>6435</v>
      </c>
      <c r="B1449" s="2" t="s">
        <v>65</v>
      </c>
      <c r="C1449" s="2" t="s">
        <v>6440</v>
      </c>
      <c r="D1449" s="5">
        <v>-298</v>
      </c>
      <c r="E1449" s="3">
        <v>0</v>
      </c>
      <c r="F1449" s="2" t="s">
        <v>23</v>
      </c>
      <c r="G1449" s="2" t="s">
        <v>6441</v>
      </c>
      <c r="H1449" s="3">
        <v>0</v>
      </c>
      <c r="I1449" s="2" t="s">
        <v>409</v>
      </c>
      <c r="J1449" s="2" t="s">
        <v>6442</v>
      </c>
      <c r="K1449" s="2" t="s">
        <v>23</v>
      </c>
      <c r="L1449" s="2" t="s">
        <v>6443</v>
      </c>
      <c r="M1449" s="4">
        <v>0</v>
      </c>
      <c r="N1449" t="b">
        <f>OR(LEFT(B1449,3)="frg",(_xlfn.XMATCH(B1449,ZZZ_Part_Id_[[#All],[FGCODE]])))</f>
        <v>1</v>
      </c>
    </row>
    <row r="1450" spans="1:14" x14ac:dyDescent="0.3">
      <c r="A1450" s="2" t="s">
        <v>6435</v>
      </c>
      <c r="B1450" s="2" t="s">
        <v>14</v>
      </c>
      <c r="C1450" s="2" t="s">
        <v>6444</v>
      </c>
      <c r="D1450" s="3">
        <v>6</v>
      </c>
      <c r="E1450" s="3">
        <v>6</v>
      </c>
      <c r="F1450" s="2" t="s">
        <v>16</v>
      </c>
      <c r="G1450" s="2" t="s">
        <v>6445</v>
      </c>
      <c r="H1450" s="3">
        <v>0</v>
      </c>
      <c r="I1450" s="2" t="s">
        <v>409</v>
      </c>
      <c r="J1450" s="2" t="s">
        <v>6446</v>
      </c>
      <c r="K1450" s="2" t="s">
        <v>16</v>
      </c>
      <c r="L1450" s="2" t="s">
        <v>6447</v>
      </c>
      <c r="M1450" s="4">
        <v>0.46</v>
      </c>
      <c r="N1450" t="e">
        <f>OR(LEFT(B1450,3)="frg",(_xlfn.XMATCH(B1450,ZZZ_Part_Id_[[#All],[FGCODE]])))</f>
        <v>#N/A</v>
      </c>
    </row>
    <row r="1451" spans="1:14" x14ac:dyDescent="0.3">
      <c r="A1451" s="2" t="s">
        <v>6435</v>
      </c>
      <c r="B1451" s="2" t="s">
        <v>140</v>
      </c>
      <c r="C1451" s="2" t="s">
        <v>6448</v>
      </c>
      <c r="D1451" s="3">
        <v>0.24</v>
      </c>
      <c r="E1451" s="3">
        <v>0.24</v>
      </c>
      <c r="F1451" s="2" t="s">
        <v>16</v>
      </c>
      <c r="G1451" s="2" t="s">
        <v>6449</v>
      </c>
      <c r="H1451" s="3">
        <v>0</v>
      </c>
      <c r="I1451" s="2" t="s">
        <v>409</v>
      </c>
      <c r="J1451" s="2" t="s">
        <v>6450</v>
      </c>
      <c r="K1451" s="2" t="s">
        <v>16</v>
      </c>
      <c r="L1451" s="2" t="s">
        <v>6451</v>
      </c>
      <c r="M1451" s="4">
        <v>0.46</v>
      </c>
      <c r="N1451" t="e">
        <f>OR(LEFT(B1451,3)="frg",(_xlfn.XMATCH(B1451,ZZZ_Part_Id_[[#All],[FGCODE]])))</f>
        <v>#N/A</v>
      </c>
    </row>
    <row r="1452" spans="1:14" x14ac:dyDescent="0.3">
      <c r="A1452" s="2" t="s">
        <v>6435</v>
      </c>
      <c r="B1452" s="2" t="s">
        <v>192</v>
      </c>
      <c r="C1452" s="2" t="s">
        <v>6452</v>
      </c>
      <c r="D1452" s="3">
        <v>0.06</v>
      </c>
      <c r="E1452" s="3">
        <v>0.06</v>
      </c>
      <c r="F1452" s="2" t="s">
        <v>194</v>
      </c>
      <c r="G1452" s="2" t="s">
        <v>6453</v>
      </c>
      <c r="H1452" s="3">
        <v>0</v>
      </c>
      <c r="I1452" s="2" t="s">
        <v>409</v>
      </c>
      <c r="J1452" s="2" t="s">
        <v>6454</v>
      </c>
      <c r="K1452" s="2" t="s">
        <v>194</v>
      </c>
      <c r="L1452" s="2" t="s">
        <v>6455</v>
      </c>
      <c r="M1452" s="4">
        <v>0.31</v>
      </c>
      <c r="N1452" t="e">
        <f>OR(LEFT(B1452,3)="frg",(_xlfn.XMATCH(B1452,ZZZ_Part_Id_[[#All],[FGCODE]])))</f>
        <v>#N/A</v>
      </c>
    </row>
    <row r="1453" spans="1:14" x14ac:dyDescent="0.3">
      <c r="A1453" s="2" t="s">
        <v>6435</v>
      </c>
      <c r="B1453" s="2" t="s">
        <v>145</v>
      </c>
      <c r="C1453" s="2" t="s">
        <v>6456</v>
      </c>
      <c r="D1453" s="3">
        <v>2.4E-2</v>
      </c>
      <c r="E1453" s="3">
        <v>2.4E-2</v>
      </c>
      <c r="F1453" s="2" t="s">
        <v>147</v>
      </c>
      <c r="G1453" s="2" t="s">
        <v>6457</v>
      </c>
      <c r="H1453" s="3">
        <v>0</v>
      </c>
      <c r="I1453" s="2" t="s">
        <v>409</v>
      </c>
      <c r="J1453" s="2" t="s">
        <v>6458</v>
      </c>
      <c r="K1453" s="2" t="s">
        <v>147</v>
      </c>
      <c r="L1453" s="2" t="s">
        <v>6459</v>
      </c>
      <c r="M1453" s="4">
        <v>3.75</v>
      </c>
      <c r="N1453" t="e">
        <f>OR(LEFT(B1453,3)="frg",(_xlfn.XMATCH(B1453,ZZZ_Part_Id_[[#All],[FGCODE]])))</f>
        <v>#N/A</v>
      </c>
    </row>
    <row r="1454" spans="1:14" x14ac:dyDescent="0.3">
      <c r="A1454" s="2" t="s">
        <v>6460</v>
      </c>
      <c r="B1454" s="2" t="s">
        <v>699</v>
      </c>
      <c r="C1454" s="2" t="s">
        <v>6461</v>
      </c>
      <c r="D1454" s="3">
        <v>33120</v>
      </c>
      <c r="E1454" s="3">
        <v>33120</v>
      </c>
      <c r="F1454" s="2" t="s">
        <v>16</v>
      </c>
      <c r="G1454" s="2" t="s">
        <v>6462</v>
      </c>
      <c r="H1454" s="3">
        <v>0</v>
      </c>
      <c r="I1454" s="2" t="s">
        <v>409</v>
      </c>
      <c r="J1454" s="2" t="s">
        <v>6463</v>
      </c>
      <c r="K1454" s="2" t="s">
        <v>16</v>
      </c>
      <c r="L1454" s="2" t="s">
        <v>6464</v>
      </c>
      <c r="M1454" s="4">
        <v>9732.64</v>
      </c>
      <c r="N1454" t="b">
        <f>OR(LEFT(B1454,3)="frg",(_xlfn.XMATCH(B1454,ZZZ_Part_Id_[[#All],[FGCODE]])))</f>
        <v>1</v>
      </c>
    </row>
    <row r="1455" spans="1:14" x14ac:dyDescent="0.3">
      <c r="A1455" s="2" t="s">
        <v>6460</v>
      </c>
      <c r="B1455" s="2" t="s">
        <v>14</v>
      </c>
      <c r="C1455" s="2" t="s">
        <v>6465</v>
      </c>
      <c r="D1455" s="3">
        <v>5</v>
      </c>
      <c r="E1455" s="3">
        <v>5</v>
      </c>
      <c r="F1455" s="2" t="s">
        <v>16</v>
      </c>
      <c r="G1455" s="2" t="s">
        <v>6466</v>
      </c>
      <c r="H1455" s="3">
        <v>0</v>
      </c>
      <c r="I1455" s="2" t="s">
        <v>409</v>
      </c>
      <c r="J1455" s="2" t="s">
        <v>6467</v>
      </c>
      <c r="K1455" s="2" t="s">
        <v>16</v>
      </c>
      <c r="L1455" s="2" t="s">
        <v>6468</v>
      </c>
      <c r="M1455" s="4">
        <v>0.38</v>
      </c>
      <c r="N1455" t="e">
        <f>OR(LEFT(B1455,3)="frg",(_xlfn.XMATCH(B1455,ZZZ_Part_Id_[[#All],[FGCODE]])))</f>
        <v>#N/A</v>
      </c>
    </row>
    <row r="1456" spans="1:14" x14ac:dyDescent="0.3">
      <c r="A1456" s="2" t="s">
        <v>6460</v>
      </c>
      <c r="B1456" s="2" t="s">
        <v>140</v>
      </c>
      <c r="C1456" s="2" t="s">
        <v>6469</v>
      </c>
      <c r="D1456" s="3">
        <v>0.2</v>
      </c>
      <c r="E1456" s="3">
        <v>0.2</v>
      </c>
      <c r="F1456" s="2" t="s">
        <v>16</v>
      </c>
      <c r="G1456" s="2" t="s">
        <v>6470</v>
      </c>
      <c r="H1456" s="3">
        <v>0</v>
      </c>
      <c r="I1456" s="2" t="s">
        <v>409</v>
      </c>
      <c r="J1456" s="2" t="s">
        <v>6471</v>
      </c>
      <c r="K1456" s="2" t="s">
        <v>16</v>
      </c>
      <c r="L1456" s="2" t="s">
        <v>6472</v>
      </c>
      <c r="M1456" s="4">
        <v>0.38</v>
      </c>
      <c r="N1456" t="e">
        <f>OR(LEFT(B1456,3)="frg",(_xlfn.XMATCH(B1456,ZZZ_Part_Id_[[#All],[FGCODE]])))</f>
        <v>#N/A</v>
      </c>
    </row>
    <row r="1457" spans="1:14" x14ac:dyDescent="0.3">
      <c r="A1457" s="2" t="s">
        <v>6460</v>
      </c>
      <c r="B1457" s="2" t="s">
        <v>192</v>
      </c>
      <c r="C1457" s="2" t="s">
        <v>6473</v>
      </c>
      <c r="D1457" s="3">
        <v>0.05</v>
      </c>
      <c r="E1457" s="3">
        <v>0.05</v>
      </c>
      <c r="F1457" s="2" t="s">
        <v>194</v>
      </c>
      <c r="G1457" s="2" t="s">
        <v>6474</v>
      </c>
      <c r="H1457" s="3">
        <v>0</v>
      </c>
      <c r="I1457" s="2" t="s">
        <v>409</v>
      </c>
      <c r="J1457" s="2" t="s">
        <v>6475</v>
      </c>
      <c r="K1457" s="2" t="s">
        <v>194</v>
      </c>
      <c r="L1457" s="2" t="s">
        <v>6476</v>
      </c>
      <c r="M1457" s="4">
        <v>0.26</v>
      </c>
      <c r="N1457" t="e">
        <f>OR(LEFT(B1457,3)="frg",(_xlfn.XMATCH(B1457,ZZZ_Part_Id_[[#All],[FGCODE]])))</f>
        <v>#N/A</v>
      </c>
    </row>
    <row r="1458" spans="1:14" x14ac:dyDescent="0.3">
      <c r="A1458" s="2" t="s">
        <v>6460</v>
      </c>
      <c r="B1458" s="2" t="s">
        <v>145</v>
      </c>
      <c r="C1458" s="2" t="s">
        <v>6477</v>
      </c>
      <c r="D1458" s="3">
        <v>0.02</v>
      </c>
      <c r="E1458" s="3">
        <v>0.02</v>
      </c>
      <c r="F1458" s="2" t="s">
        <v>147</v>
      </c>
      <c r="G1458" s="2" t="s">
        <v>6478</v>
      </c>
      <c r="H1458" s="3">
        <v>0</v>
      </c>
      <c r="I1458" s="2" t="s">
        <v>409</v>
      </c>
      <c r="J1458" s="2" t="s">
        <v>6479</v>
      </c>
      <c r="K1458" s="2" t="s">
        <v>147</v>
      </c>
      <c r="L1458" s="2" t="s">
        <v>6480</v>
      </c>
      <c r="M1458" s="4">
        <v>3.13</v>
      </c>
      <c r="N1458" t="e">
        <f>OR(LEFT(B1458,3)="frg",(_xlfn.XMATCH(B1458,ZZZ_Part_Id_[[#All],[FGCODE]])))</f>
        <v>#N/A</v>
      </c>
    </row>
    <row r="1459" spans="1:14" x14ac:dyDescent="0.3">
      <c r="A1459" s="2" t="s">
        <v>6481</v>
      </c>
      <c r="B1459" s="2" t="s">
        <v>3142</v>
      </c>
      <c r="C1459" s="2" t="s">
        <v>6482</v>
      </c>
      <c r="D1459" s="3">
        <v>33120</v>
      </c>
      <c r="E1459" s="3">
        <v>33120</v>
      </c>
      <c r="F1459" s="2" t="s">
        <v>16</v>
      </c>
      <c r="G1459" s="2" t="s">
        <v>6483</v>
      </c>
      <c r="H1459" s="3">
        <v>0</v>
      </c>
      <c r="I1459" s="2" t="s">
        <v>409</v>
      </c>
      <c r="J1459" s="2" t="s">
        <v>6484</v>
      </c>
      <c r="K1459" s="2" t="s">
        <v>16</v>
      </c>
      <c r="L1459" s="2" t="s">
        <v>6485</v>
      </c>
      <c r="M1459" s="4">
        <v>10781.55</v>
      </c>
      <c r="N1459" t="b">
        <f>OR(LEFT(B1459,3)="frg",(_xlfn.XMATCH(B1459,ZZZ_Part_Id_[[#All],[FGCODE]])))</f>
        <v>1</v>
      </c>
    </row>
    <row r="1460" spans="1:14" x14ac:dyDescent="0.3">
      <c r="A1460" s="2" t="s">
        <v>6486</v>
      </c>
      <c r="B1460" s="2" t="s">
        <v>1027</v>
      </c>
      <c r="C1460" s="2" t="s">
        <v>6487</v>
      </c>
      <c r="D1460" s="3">
        <v>74340</v>
      </c>
      <c r="E1460" s="3">
        <v>74340</v>
      </c>
      <c r="F1460" s="2" t="s">
        <v>16</v>
      </c>
      <c r="G1460" s="2" t="s">
        <v>6488</v>
      </c>
      <c r="H1460" s="3">
        <v>0</v>
      </c>
      <c r="I1460" s="2" t="s">
        <v>409</v>
      </c>
      <c r="J1460" s="2" t="s">
        <v>6489</v>
      </c>
      <c r="K1460" s="2" t="s">
        <v>16</v>
      </c>
      <c r="L1460" s="2" t="s">
        <v>6490</v>
      </c>
      <c r="M1460" s="4">
        <v>14963.13</v>
      </c>
      <c r="N1460" t="b">
        <f>OR(LEFT(B1460,3)="frg",(_xlfn.XMATCH(B1460,ZZZ_Part_Id_[[#All],[FGCODE]])))</f>
        <v>1</v>
      </c>
    </row>
    <row r="1461" spans="1:14" x14ac:dyDescent="0.3">
      <c r="A1461" s="2" t="s">
        <v>6486</v>
      </c>
      <c r="B1461" s="2" t="s">
        <v>14</v>
      </c>
      <c r="C1461" s="2" t="s">
        <v>6491</v>
      </c>
      <c r="D1461" s="3">
        <v>6</v>
      </c>
      <c r="E1461" s="3">
        <v>6</v>
      </c>
      <c r="F1461" s="2" t="s">
        <v>16</v>
      </c>
      <c r="G1461" s="2" t="s">
        <v>6492</v>
      </c>
      <c r="H1461" s="3">
        <v>0</v>
      </c>
      <c r="I1461" s="2" t="s">
        <v>409</v>
      </c>
      <c r="J1461" s="2" t="s">
        <v>6493</v>
      </c>
      <c r="K1461" s="2" t="s">
        <v>16</v>
      </c>
      <c r="L1461" s="2" t="s">
        <v>6494</v>
      </c>
      <c r="M1461" s="4">
        <v>0.46</v>
      </c>
      <c r="N1461" t="e">
        <f>OR(LEFT(B1461,3)="frg",(_xlfn.XMATCH(B1461,ZZZ_Part_Id_[[#All],[FGCODE]])))</f>
        <v>#N/A</v>
      </c>
    </row>
    <row r="1462" spans="1:14" x14ac:dyDescent="0.3">
      <c r="A1462" s="2" t="s">
        <v>6486</v>
      </c>
      <c r="B1462" s="2" t="s">
        <v>140</v>
      </c>
      <c r="C1462" s="2" t="s">
        <v>6495</v>
      </c>
      <c r="D1462" s="3">
        <v>0.24</v>
      </c>
      <c r="E1462" s="3">
        <v>0.24</v>
      </c>
      <c r="F1462" s="2" t="s">
        <v>16</v>
      </c>
      <c r="G1462" s="2" t="s">
        <v>6496</v>
      </c>
      <c r="H1462" s="3">
        <v>0</v>
      </c>
      <c r="I1462" s="2" t="s">
        <v>409</v>
      </c>
      <c r="J1462" s="2" t="s">
        <v>6497</v>
      </c>
      <c r="K1462" s="2" t="s">
        <v>16</v>
      </c>
      <c r="L1462" s="2" t="s">
        <v>6498</v>
      </c>
      <c r="M1462" s="4">
        <v>0.46</v>
      </c>
      <c r="N1462" t="e">
        <f>OR(LEFT(B1462,3)="frg",(_xlfn.XMATCH(B1462,ZZZ_Part_Id_[[#All],[FGCODE]])))</f>
        <v>#N/A</v>
      </c>
    </row>
    <row r="1463" spans="1:14" x14ac:dyDescent="0.3">
      <c r="A1463" s="2" t="s">
        <v>6486</v>
      </c>
      <c r="B1463" s="2" t="s">
        <v>192</v>
      </c>
      <c r="C1463" s="2" t="s">
        <v>6499</v>
      </c>
      <c r="D1463" s="3">
        <v>0.06</v>
      </c>
      <c r="E1463" s="3">
        <v>0.06</v>
      </c>
      <c r="F1463" s="2" t="s">
        <v>194</v>
      </c>
      <c r="G1463" s="2" t="s">
        <v>6500</v>
      </c>
      <c r="H1463" s="3">
        <v>0</v>
      </c>
      <c r="I1463" s="2" t="s">
        <v>409</v>
      </c>
      <c r="J1463" s="2" t="s">
        <v>6501</v>
      </c>
      <c r="K1463" s="2" t="s">
        <v>194</v>
      </c>
      <c r="L1463" s="2" t="s">
        <v>6502</v>
      </c>
      <c r="M1463" s="4">
        <v>0.31</v>
      </c>
      <c r="N1463" t="e">
        <f>OR(LEFT(B1463,3)="frg",(_xlfn.XMATCH(B1463,ZZZ_Part_Id_[[#All],[FGCODE]])))</f>
        <v>#N/A</v>
      </c>
    </row>
    <row r="1464" spans="1:14" x14ac:dyDescent="0.3">
      <c r="A1464" s="2" t="s">
        <v>6486</v>
      </c>
      <c r="B1464" s="2" t="s">
        <v>145</v>
      </c>
      <c r="C1464" s="2" t="s">
        <v>6503</v>
      </c>
      <c r="D1464" s="3">
        <v>2.4E-2</v>
      </c>
      <c r="E1464" s="3">
        <v>2.4E-2</v>
      </c>
      <c r="F1464" s="2" t="s">
        <v>147</v>
      </c>
      <c r="G1464" s="2" t="s">
        <v>6504</v>
      </c>
      <c r="H1464" s="3">
        <v>0</v>
      </c>
      <c r="I1464" s="2" t="s">
        <v>409</v>
      </c>
      <c r="J1464" s="2" t="s">
        <v>6505</v>
      </c>
      <c r="K1464" s="2" t="s">
        <v>147</v>
      </c>
      <c r="L1464" s="2" t="s">
        <v>6506</v>
      </c>
      <c r="M1464" s="4">
        <v>3.75</v>
      </c>
      <c r="N1464" t="e">
        <f>OR(LEFT(B1464,3)="frg",(_xlfn.XMATCH(B1464,ZZZ_Part_Id_[[#All],[FGCODE]])))</f>
        <v>#N/A</v>
      </c>
    </row>
    <row r="1465" spans="1:14" x14ac:dyDescent="0.3">
      <c r="A1465" s="2" t="s">
        <v>6486</v>
      </c>
      <c r="B1465" s="2" t="s">
        <v>21</v>
      </c>
      <c r="C1465" s="2" t="s">
        <v>6507</v>
      </c>
      <c r="D1465" s="5">
        <v>-323</v>
      </c>
      <c r="E1465" s="5">
        <v>-323</v>
      </c>
      <c r="F1465" s="2" t="s">
        <v>23</v>
      </c>
      <c r="G1465" s="2" t="s">
        <v>6508</v>
      </c>
      <c r="H1465" s="3">
        <v>0</v>
      </c>
      <c r="I1465" s="2" t="s">
        <v>409</v>
      </c>
      <c r="J1465" s="2" t="s">
        <v>6509</v>
      </c>
      <c r="K1465" s="2" t="s">
        <v>23</v>
      </c>
      <c r="L1465" s="2" t="s">
        <v>6510</v>
      </c>
      <c r="M1465" s="6">
        <v>-611.6</v>
      </c>
      <c r="N1465" t="b">
        <f>OR(LEFT(B1465,3)="frg",(_xlfn.XMATCH(B1465,ZZZ_Part_Id_[[#All],[FGCODE]])))</f>
        <v>1</v>
      </c>
    </row>
    <row r="1466" spans="1:14" x14ac:dyDescent="0.3">
      <c r="A1466" s="2" t="s">
        <v>6511</v>
      </c>
      <c r="B1466" s="2" t="s">
        <v>1512</v>
      </c>
      <c r="C1466" s="2" t="s">
        <v>6512</v>
      </c>
      <c r="D1466" s="3">
        <v>31860</v>
      </c>
      <c r="E1466" s="3">
        <v>31860</v>
      </c>
      <c r="F1466" s="2" t="s">
        <v>16</v>
      </c>
      <c r="G1466" s="2" t="s">
        <v>6513</v>
      </c>
      <c r="H1466" s="3">
        <v>0</v>
      </c>
      <c r="I1466" s="2" t="s">
        <v>409</v>
      </c>
      <c r="J1466" s="2" t="s">
        <v>6514</v>
      </c>
      <c r="K1466" s="2" t="s">
        <v>16</v>
      </c>
      <c r="L1466" s="2" t="s">
        <v>6515</v>
      </c>
      <c r="M1466" s="4">
        <v>6412.77</v>
      </c>
      <c r="N1466" t="b">
        <f>OR(LEFT(B1466,3)="frg",(_xlfn.XMATCH(B1466,ZZZ_Part_Id_[[#All],[FGCODE]])))</f>
        <v>1</v>
      </c>
    </row>
    <row r="1467" spans="1:14" x14ac:dyDescent="0.3">
      <c r="A1467" s="2" t="s">
        <v>6516</v>
      </c>
      <c r="B1467" s="2" t="s">
        <v>97</v>
      </c>
      <c r="C1467" s="2" t="s">
        <v>6517</v>
      </c>
      <c r="D1467" s="3">
        <v>259200</v>
      </c>
      <c r="E1467" s="3">
        <v>259200</v>
      </c>
      <c r="F1467" s="2" t="s">
        <v>16</v>
      </c>
      <c r="G1467" s="2" t="s">
        <v>6518</v>
      </c>
      <c r="H1467" s="3">
        <v>0</v>
      </c>
      <c r="I1467" s="2" t="s">
        <v>409</v>
      </c>
      <c r="J1467" s="2" t="s">
        <v>6519</v>
      </c>
      <c r="K1467" s="2" t="s">
        <v>16</v>
      </c>
      <c r="L1467" s="2" t="s">
        <v>6520</v>
      </c>
      <c r="M1467" s="4">
        <v>88827.839999999997</v>
      </c>
      <c r="N1467" t="b">
        <f>OR(LEFT(B1467,3)="frg",(_xlfn.XMATCH(B1467,ZZZ_Part_Id_[[#All],[FGCODE]])))</f>
        <v>1</v>
      </c>
    </row>
    <row r="1468" spans="1:14" x14ac:dyDescent="0.3">
      <c r="A1468" s="2" t="s">
        <v>6516</v>
      </c>
      <c r="B1468" s="2" t="s">
        <v>14</v>
      </c>
      <c r="C1468" s="2" t="s">
        <v>6521</v>
      </c>
      <c r="D1468" s="3">
        <v>64</v>
      </c>
      <c r="E1468" s="3">
        <v>64</v>
      </c>
      <c r="F1468" s="2" t="s">
        <v>16</v>
      </c>
      <c r="G1468" s="2" t="s">
        <v>6522</v>
      </c>
      <c r="H1468" s="3">
        <v>0</v>
      </c>
      <c r="I1468" s="2" t="s">
        <v>409</v>
      </c>
      <c r="J1468" s="2" t="s">
        <v>6523</v>
      </c>
      <c r="K1468" s="2" t="s">
        <v>16</v>
      </c>
      <c r="L1468" s="2" t="s">
        <v>6524</v>
      </c>
      <c r="M1468" s="4">
        <v>4.92</v>
      </c>
      <c r="N1468" t="e">
        <f>OR(LEFT(B1468,3)="frg",(_xlfn.XMATCH(B1468,ZZZ_Part_Id_[[#All],[FGCODE]])))</f>
        <v>#N/A</v>
      </c>
    </row>
    <row r="1469" spans="1:14" x14ac:dyDescent="0.3">
      <c r="A1469" s="2" t="s">
        <v>6516</v>
      </c>
      <c r="B1469" s="2" t="s">
        <v>140</v>
      </c>
      <c r="C1469" s="2" t="s">
        <v>6525</v>
      </c>
      <c r="D1469" s="3">
        <v>2.56</v>
      </c>
      <c r="E1469" s="3">
        <v>2.56</v>
      </c>
      <c r="F1469" s="2" t="s">
        <v>16</v>
      </c>
      <c r="G1469" s="2" t="s">
        <v>6526</v>
      </c>
      <c r="H1469" s="3">
        <v>0</v>
      </c>
      <c r="I1469" s="2" t="s">
        <v>409</v>
      </c>
      <c r="J1469" s="2" t="s">
        <v>6527</v>
      </c>
      <c r="K1469" s="2" t="s">
        <v>16</v>
      </c>
      <c r="L1469" s="2" t="s">
        <v>6528</v>
      </c>
      <c r="M1469" s="4">
        <v>4.92</v>
      </c>
      <c r="N1469" t="e">
        <f>OR(LEFT(B1469,3)="frg",(_xlfn.XMATCH(B1469,ZZZ_Part_Id_[[#All],[FGCODE]])))</f>
        <v>#N/A</v>
      </c>
    </row>
    <row r="1470" spans="1:14" x14ac:dyDescent="0.3">
      <c r="A1470" s="2" t="s">
        <v>6516</v>
      </c>
      <c r="B1470" s="2" t="s">
        <v>192</v>
      </c>
      <c r="C1470" s="2" t="s">
        <v>6529</v>
      </c>
      <c r="D1470" s="3">
        <v>0.64</v>
      </c>
      <c r="E1470" s="3">
        <v>0.64</v>
      </c>
      <c r="F1470" s="2" t="s">
        <v>194</v>
      </c>
      <c r="G1470" s="2" t="s">
        <v>6530</v>
      </c>
      <c r="H1470" s="3">
        <v>0</v>
      </c>
      <c r="I1470" s="2" t="s">
        <v>409</v>
      </c>
      <c r="J1470" s="2" t="s">
        <v>6531</v>
      </c>
      <c r="K1470" s="2" t="s">
        <v>194</v>
      </c>
      <c r="L1470" s="2" t="s">
        <v>6532</v>
      </c>
      <c r="M1470" s="4">
        <v>3.35</v>
      </c>
      <c r="N1470" t="e">
        <f>OR(LEFT(B1470,3)="frg",(_xlfn.XMATCH(B1470,ZZZ_Part_Id_[[#All],[FGCODE]])))</f>
        <v>#N/A</v>
      </c>
    </row>
    <row r="1471" spans="1:14" x14ac:dyDescent="0.3">
      <c r="A1471" s="2" t="s">
        <v>6516</v>
      </c>
      <c r="B1471" s="2" t="s">
        <v>145</v>
      </c>
      <c r="C1471" s="2" t="s">
        <v>6533</v>
      </c>
      <c r="D1471" s="3">
        <v>0.25600000000000001</v>
      </c>
      <c r="E1471" s="3">
        <v>0.25600000000000001</v>
      </c>
      <c r="F1471" s="2" t="s">
        <v>147</v>
      </c>
      <c r="G1471" s="2" t="s">
        <v>6534</v>
      </c>
      <c r="H1471" s="3">
        <v>0</v>
      </c>
      <c r="I1471" s="2" t="s">
        <v>409</v>
      </c>
      <c r="J1471" s="2" t="s">
        <v>6535</v>
      </c>
      <c r="K1471" s="2" t="s">
        <v>147</v>
      </c>
      <c r="L1471" s="2" t="s">
        <v>6536</v>
      </c>
      <c r="M1471" s="4">
        <v>40.04</v>
      </c>
      <c r="N1471" t="e">
        <f>OR(LEFT(B1471,3)="frg",(_xlfn.XMATCH(B1471,ZZZ_Part_Id_[[#All],[FGCODE]])))</f>
        <v>#N/A</v>
      </c>
    </row>
    <row r="1472" spans="1:14" x14ac:dyDescent="0.3">
      <c r="A1472" s="2" t="s">
        <v>6537</v>
      </c>
      <c r="B1472" s="2" t="s">
        <v>70</v>
      </c>
      <c r="C1472" s="2" t="s">
        <v>6538</v>
      </c>
      <c r="D1472" s="3">
        <v>50688</v>
      </c>
      <c r="E1472" s="3">
        <v>50688</v>
      </c>
      <c r="F1472" s="2" t="s">
        <v>16</v>
      </c>
      <c r="G1472" s="2" t="s">
        <v>6539</v>
      </c>
      <c r="H1472" s="3">
        <v>0</v>
      </c>
      <c r="I1472" s="2" t="s">
        <v>409</v>
      </c>
      <c r="J1472" s="2" t="s">
        <v>6540</v>
      </c>
      <c r="K1472" s="2" t="s">
        <v>16</v>
      </c>
      <c r="L1472" s="2" t="s">
        <v>6541</v>
      </c>
      <c r="M1472" s="4">
        <v>12466.24</v>
      </c>
      <c r="N1472" t="b">
        <f>OR(LEFT(B1472,3)="frg",(_xlfn.XMATCH(B1472,ZZZ_Part_Id_[[#All],[FGCODE]])))</f>
        <v>1</v>
      </c>
    </row>
    <row r="1473" spans="1:14" x14ac:dyDescent="0.3">
      <c r="A1473" s="2" t="s">
        <v>6537</v>
      </c>
      <c r="B1473" s="2" t="s">
        <v>65</v>
      </c>
      <c r="C1473" s="2" t="s">
        <v>6542</v>
      </c>
      <c r="D1473" s="5">
        <v>-228</v>
      </c>
      <c r="E1473" s="5">
        <v>-228</v>
      </c>
      <c r="F1473" s="2" t="s">
        <v>23</v>
      </c>
      <c r="G1473" s="2" t="s">
        <v>6543</v>
      </c>
      <c r="H1473" s="3">
        <v>0</v>
      </c>
      <c r="I1473" s="2" t="s">
        <v>409</v>
      </c>
      <c r="J1473" s="2" t="s">
        <v>6544</v>
      </c>
      <c r="K1473" s="2" t="s">
        <v>23</v>
      </c>
      <c r="L1473" s="2" t="s">
        <v>6545</v>
      </c>
      <c r="M1473" s="6">
        <v>-586.32000000000005</v>
      </c>
      <c r="N1473" t="b">
        <f>OR(LEFT(B1473,3)="frg",(_xlfn.XMATCH(B1473,ZZZ_Part_Id_[[#All],[FGCODE]])))</f>
        <v>1</v>
      </c>
    </row>
    <row r="1474" spans="1:14" x14ac:dyDescent="0.3">
      <c r="A1474" s="2" t="s">
        <v>6537</v>
      </c>
      <c r="B1474" s="2" t="s">
        <v>14</v>
      </c>
      <c r="C1474" s="2" t="s">
        <v>6546</v>
      </c>
      <c r="D1474" s="3">
        <v>7</v>
      </c>
      <c r="E1474" s="3">
        <v>7</v>
      </c>
      <c r="F1474" s="2" t="s">
        <v>16</v>
      </c>
      <c r="G1474" s="2" t="s">
        <v>6547</v>
      </c>
      <c r="H1474" s="3">
        <v>0</v>
      </c>
      <c r="I1474" s="2" t="s">
        <v>409</v>
      </c>
      <c r="J1474" s="2" t="s">
        <v>6548</v>
      </c>
      <c r="K1474" s="2" t="s">
        <v>16</v>
      </c>
      <c r="L1474" s="2" t="s">
        <v>6549</v>
      </c>
      <c r="M1474" s="4">
        <v>0.54</v>
      </c>
      <c r="N1474" t="e">
        <f>OR(LEFT(B1474,3)="frg",(_xlfn.XMATCH(B1474,ZZZ_Part_Id_[[#All],[FGCODE]])))</f>
        <v>#N/A</v>
      </c>
    </row>
    <row r="1475" spans="1:14" x14ac:dyDescent="0.3">
      <c r="A1475" s="2" t="s">
        <v>6537</v>
      </c>
      <c r="B1475" s="2" t="s">
        <v>140</v>
      </c>
      <c r="C1475" s="2" t="s">
        <v>6550</v>
      </c>
      <c r="D1475" s="3">
        <v>0.28000000000000003</v>
      </c>
      <c r="E1475" s="3">
        <v>0.28000000000000003</v>
      </c>
      <c r="F1475" s="2" t="s">
        <v>16</v>
      </c>
      <c r="G1475" s="2" t="s">
        <v>6551</v>
      </c>
      <c r="H1475" s="3">
        <v>0</v>
      </c>
      <c r="I1475" s="2" t="s">
        <v>409</v>
      </c>
      <c r="J1475" s="2" t="s">
        <v>6552</v>
      </c>
      <c r="K1475" s="2" t="s">
        <v>16</v>
      </c>
      <c r="L1475" s="2" t="s">
        <v>6553</v>
      </c>
      <c r="M1475" s="4">
        <v>0.54</v>
      </c>
      <c r="N1475" t="e">
        <f>OR(LEFT(B1475,3)="frg",(_xlfn.XMATCH(B1475,ZZZ_Part_Id_[[#All],[FGCODE]])))</f>
        <v>#N/A</v>
      </c>
    </row>
    <row r="1476" spans="1:14" x14ac:dyDescent="0.3">
      <c r="A1476" s="2" t="s">
        <v>6537</v>
      </c>
      <c r="B1476" s="2" t="s">
        <v>192</v>
      </c>
      <c r="C1476" s="2" t="s">
        <v>6554</v>
      </c>
      <c r="D1476" s="3">
        <v>7.0000000000000007E-2</v>
      </c>
      <c r="E1476" s="3">
        <v>7.0000000000000007E-2</v>
      </c>
      <c r="F1476" s="2" t="s">
        <v>194</v>
      </c>
      <c r="G1476" s="2" t="s">
        <v>6555</v>
      </c>
      <c r="H1476" s="3">
        <v>0</v>
      </c>
      <c r="I1476" s="2" t="s">
        <v>409</v>
      </c>
      <c r="J1476" s="2" t="s">
        <v>6556</v>
      </c>
      <c r="K1476" s="2" t="s">
        <v>194</v>
      </c>
      <c r="L1476" s="2" t="s">
        <v>6557</v>
      </c>
      <c r="M1476" s="4">
        <v>0.37</v>
      </c>
      <c r="N1476" t="e">
        <f>OR(LEFT(B1476,3)="frg",(_xlfn.XMATCH(B1476,ZZZ_Part_Id_[[#All],[FGCODE]])))</f>
        <v>#N/A</v>
      </c>
    </row>
    <row r="1477" spans="1:14" x14ac:dyDescent="0.3">
      <c r="A1477" s="2" t="s">
        <v>6558</v>
      </c>
      <c r="B1477" s="2" t="s">
        <v>740</v>
      </c>
      <c r="C1477" s="2" t="s">
        <v>6559</v>
      </c>
      <c r="D1477" s="3">
        <v>95580</v>
      </c>
      <c r="E1477" s="3">
        <v>95580</v>
      </c>
      <c r="F1477" s="2" t="s">
        <v>16</v>
      </c>
      <c r="G1477" s="2" t="s">
        <v>6560</v>
      </c>
      <c r="H1477" s="3">
        <v>0</v>
      </c>
      <c r="I1477" s="2" t="s">
        <v>409</v>
      </c>
      <c r="J1477" s="2" t="s">
        <v>6561</v>
      </c>
      <c r="K1477" s="2" t="s">
        <v>16</v>
      </c>
      <c r="L1477" s="2" t="s">
        <v>6562</v>
      </c>
      <c r="M1477" s="4">
        <v>18990.810000000001</v>
      </c>
      <c r="N1477" t="b">
        <f>OR(LEFT(B1477,3)="frg",(_xlfn.XMATCH(B1477,ZZZ_Part_Id_[[#All],[FGCODE]])))</f>
        <v>1</v>
      </c>
    </row>
    <row r="1478" spans="1:14" x14ac:dyDescent="0.3">
      <c r="A1478" s="2" t="s">
        <v>6563</v>
      </c>
      <c r="B1478" s="2" t="s">
        <v>647</v>
      </c>
      <c r="C1478" s="2" t="s">
        <v>6564</v>
      </c>
      <c r="D1478" s="3">
        <v>16380</v>
      </c>
      <c r="E1478" s="3">
        <v>16380</v>
      </c>
      <c r="F1478" s="2" t="s">
        <v>16</v>
      </c>
      <c r="G1478" s="2" t="s">
        <v>6565</v>
      </c>
      <c r="H1478" s="3">
        <v>0</v>
      </c>
      <c r="I1478" s="2" t="s">
        <v>409</v>
      </c>
      <c r="J1478" s="2" t="s">
        <v>6566</v>
      </c>
      <c r="K1478" s="2" t="s">
        <v>16</v>
      </c>
      <c r="L1478" s="2" t="s">
        <v>6567</v>
      </c>
      <c r="M1478" s="4">
        <v>2289.11</v>
      </c>
      <c r="N1478" t="b">
        <f>OR(LEFT(B1478,3)="frg",(_xlfn.XMATCH(B1478,ZZZ_Part_Id_[[#All],[FGCODE]])))</f>
        <v>1</v>
      </c>
    </row>
    <row r="1479" spans="1:14" x14ac:dyDescent="0.3">
      <c r="A1479" s="2" t="s">
        <v>6568</v>
      </c>
      <c r="B1479" s="2" t="s">
        <v>5477</v>
      </c>
      <c r="C1479" s="2" t="s">
        <v>6569</v>
      </c>
      <c r="D1479" s="3">
        <v>19872</v>
      </c>
      <c r="E1479" s="3">
        <v>19872</v>
      </c>
      <c r="F1479" s="2" t="s">
        <v>16</v>
      </c>
      <c r="G1479" s="2" t="s">
        <v>6570</v>
      </c>
      <c r="H1479" s="3">
        <v>0</v>
      </c>
      <c r="I1479" s="2" t="s">
        <v>409</v>
      </c>
      <c r="J1479" s="2" t="s">
        <v>6571</v>
      </c>
      <c r="K1479" s="2" t="s">
        <v>16</v>
      </c>
      <c r="L1479" s="2" t="s">
        <v>6572</v>
      </c>
      <c r="M1479" s="4">
        <v>5904.36</v>
      </c>
      <c r="N1479" t="b">
        <f>OR(LEFT(B1479,3)="frg",(_xlfn.XMATCH(B1479,ZZZ_Part_Id_[[#All],[FGCODE]])))</f>
        <v>1</v>
      </c>
    </row>
    <row r="1480" spans="1:14" x14ac:dyDescent="0.3">
      <c r="A1480" s="2" t="s">
        <v>6568</v>
      </c>
      <c r="B1480" s="2" t="s">
        <v>14</v>
      </c>
      <c r="C1480" s="2" t="s">
        <v>6573</v>
      </c>
      <c r="D1480" s="3">
        <v>3</v>
      </c>
      <c r="E1480" s="3">
        <v>3</v>
      </c>
      <c r="F1480" s="2" t="s">
        <v>16</v>
      </c>
      <c r="G1480" s="2" t="s">
        <v>6574</v>
      </c>
      <c r="H1480" s="3">
        <v>0</v>
      </c>
      <c r="I1480" s="2" t="s">
        <v>409</v>
      </c>
      <c r="J1480" s="2" t="s">
        <v>6575</v>
      </c>
      <c r="K1480" s="2" t="s">
        <v>16</v>
      </c>
      <c r="L1480" s="2" t="s">
        <v>6576</v>
      </c>
      <c r="M1480" s="4">
        <v>0.23</v>
      </c>
      <c r="N1480" t="e">
        <f>OR(LEFT(B1480,3)="frg",(_xlfn.XMATCH(B1480,ZZZ_Part_Id_[[#All],[FGCODE]])))</f>
        <v>#N/A</v>
      </c>
    </row>
    <row r="1481" spans="1:14" x14ac:dyDescent="0.3">
      <c r="A1481" s="2" t="s">
        <v>6568</v>
      </c>
      <c r="B1481" s="2" t="s">
        <v>140</v>
      </c>
      <c r="C1481" s="2" t="s">
        <v>6577</v>
      </c>
      <c r="D1481" s="3">
        <v>0.12</v>
      </c>
      <c r="E1481" s="3">
        <v>0.12</v>
      </c>
      <c r="F1481" s="2" t="s">
        <v>16</v>
      </c>
      <c r="G1481" s="2" t="s">
        <v>6578</v>
      </c>
      <c r="H1481" s="3">
        <v>0</v>
      </c>
      <c r="I1481" s="2" t="s">
        <v>409</v>
      </c>
      <c r="J1481" s="2" t="s">
        <v>6579</v>
      </c>
      <c r="K1481" s="2" t="s">
        <v>16</v>
      </c>
      <c r="L1481" s="2" t="s">
        <v>6580</v>
      </c>
      <c r="M1481" s="4">
        <v>0.23</v>
      </c>
      <c r="N1481" t="e">
        <f>OR(LEFT(B1481,3)="frg",(_xlfn.XMATCH(B1481,ZZZ_Part_Id_[[#All],[FGCODE]])))</f>
        <v>#N/A</v>
      </c>
    </row>
    <row r="1482" spans="1:14" x14ac:dyDescent="0.3">
      <c r="A1482" s="2" t="s">
        <v>6568</v>
      </c>
      <c r="B1482" s="2" t="s">
        <v>192</v>
      </c>
      <c r="C1482" s="2" t="s">
        <v>6581</v>
      </c>
      <c r="D1482" s="3">
        <v>0.03</v>
      </c>
      <c r="E1482" s="3">
        <v>0.03</v>
      </c>
      <c r="F1482" s="2" t="s">
        <v>194</v>
      </c>
      <c r="G1482" s="2" t="s">
        <v>6582</v>
      </c>
      <c r="H1482" s="3">
        <v>0</v>
      </c>
      <c r="I1482" s="2" t="s">
        <v>409</v>
      </c>
      <c r="J1482" s="2" t="s">
        <v>6583</v>
      </c>
      <c r="K1482" s="2" t="s">
        <v>194</v>
      </c>
      <c r="L1482" s="2" t="s">
        <v>6584</v>
      </c>
      <c r="M1482" s="4">
        <v>0.16</v>
      </c>
      <c r="N1482" t="e">
        <f>OR(LEFT(B1482,3)="frg",(_xlfn.XMATCH(B1482,ZZZ_Part_Id_[[#All],[FGCODE]])))</f>
        <v>#N/A</v>
      </c>
    </row>
    <row r="1483" spans="1:14" x14ac:dyDescent="0.3">
      <c r="A1483" s="2" t="s">
        <v>6568</v>
      </c>
      <c r="B1483" s="2" t="s">
        <v>145</v>
      </c>
      <c r="C1483" s="2" t="s">
        <v>6585</v>
      </c>
      <c r="D1483" s="3">
        <v>1.2E-2</v>
      </c>
      <c r="E1483" s="3">
        <v>1.2E-2</v>
      </c>
      <c r="F1483" s="2" t="s">
        <v>147</v>
      </c>
      <c r="G1483" s="2" t="s">
        <v>6586</v>
      </c>
      <c r="H1483" s="3">
        <v>0</v>
      </c>
      <c r="I1483" s="2" t="s">
        <v>409</v>
      </c>
      <c r="J1483" s="2" t="s">
        <v>6587</v>
      </c>
      <c r="K1483" s="2" t="s">
        <v>147</v>
      </c>
      <c r="L1483" s="2" t="s">
        <v>6588</v>
      </c>
      <c r="M1483" s="4">
        <v>1.88</v>
      </c>
      <c r="N1483" t="e">
        <f>OR(LEFT(B1483,3)="frg",(_xlfn.XMATCH(B1483,ZZZ_Part_Id_[[#All],[FGCODE]])))</f>
        <v>#N/A</v>
      </c>
    </row>
    <row r="1484" spans="1:14" x14ac:dyDescent="0.3">
      <c r="A1484" s="2" t="s">
        <v>6589</v>
      </c>
      <c r="B1484" s="2" t="s">
        <v>2086</v>
      </c>
      <c r="C1484" s="2" t="s">
        <v>6590</v>
      </c>
      <c r="D1484" s="3">
        <v>12672</v>
      </c>
      <c r="E1484" s="3">
        <v>12672</v>
      </c>
      <c r="F1484" s="2" t="s">
        <v>16</v>
      </c>
      <c r="G1484" s="2" t="s">
        <v>6591</v>
      </c>
      <c r="H1484" s="3">
        <v>0</v>
      </c>
      <c r="I1484" s="2" t="s">
        <v>409</v>
      </c>
      <c r="J1484" s="2" t="s">
        <v>6592</v>
      </c>
      <c r="K1484" s="2" t="s">
        <v>16</v>
      </c>
      <c r="L1484" s="2" t="s">
        <v>6593</v>
      </c>
      <c r="M1484" s="4">
        <v>1852.14</v>
      </c>
      <c r="N1484" t="b">
        <f>OR(LEFT(B1484,3)="frg",(_xlfn.XMATCH(B1484,ZZZ_Part_Id_[[#All],[FGCODE]])))</f>
        <v>1</v>
      </c>
    </row>
    <row r="1485" spans="1:14" x14ac:dyDescent="0.3">
      <c r="A1485" s="2" t="s">
        <v>6589</v>
      </c>
      <c r="B1485" s="2" t="s">
        <v>14</v>
      </c>
      <c r="C1485" s="2" t="s">
        <v>6594</v>
      </c>
      <c r="D1485" s="3">
        <v>3</v>
      </c>
      <c r="E1485" s="3">
        <v>3</v>
      </c>
      <c r="F1485" s="2" t="s">
        <v>16</v>
      </c>
      <c r="G1485" s="2" t="s">
        <v>6595</v>
      </c>
      <c r="H1485" s="3">
        <v>0</v>
      </c>
      <c r="I1485" s="2" t="s">
        <v>409</v>
      </c>
      <c r="J1485" s="2" t="s">
        <v>6596</v>
      </c>
      <c r="K1485" s="2" t="s">
        <v>16</v>
      </c>
      <c r="L1485" s="2" t="s">
        <v>6597</v>
      </c>
      <c r="M1485" s="4">
        <v>0.23</v>
      </c>
      <c r="N1485" t="e">
        <f>OR(LEFT(B1485,3)="frg",(_xlfn.XMATCH(B1485,ZZZ_Part_Id_[[#All],[FGCODE]])))</f>
        <v>#N/A</v>
      </c>
    </row>
    <row r="1486" spans="1:14" x14ac:dyDescent="0.3">
      <c r="A1486" s="2" t="s">
        <v>6589</v>
      </c>
      <c r="B1486" s="2" t="s">
        <v>140</v>
      </c>
      <c r="C1486" s="2" t="s">
        <v>6598</v>
      </c>
      <c r="D1486" s="3">
        <v>0.12</v>
      </c>
      <c r="E1486" s="3">
        <v>0.12</v>
      </c>
      <c r="F1486" s="2" t="s">
        <v>16</v>
      </c>
      <c r="G1486" s="2" t="s">
        <v>6599</v>
      </c>
      <c r="H1486" s="3">
        <v>0</v>
      </c>
      <c r="I1486" s="2" t="s">
        <v>409</v>
      </c>
      <c r="J1486" s="2" t="s">
        <v>6600</v>
      </c>
      <c r="K1486" s="2" t="s">
        <v>16</v>
      </c>
      <c r="L1486" s="2" t="s">
        <v>6601</v>
      </c>
      <c r="M1486" s="4">
        <v>0.23</v>
      </c>
      <c r="N1486" t="e">
        <f>OR(LEFT(B1486,3)="frg",(_xlfn.XMATCH(B1486,ZZZ_Part_Id_[[#All],[FGCODE]])))</f>
        <v>#N/A</v>
      </c>
    </row>
    <row r="1487" spans="1:14" x14ac:dyDescent="0.3">
      <c r="A1487" s="2" t="s">
        <v>6589</v>
      </c>
      <c r="B1487" s="2" t="s">
        <v>192</v>
      </c>
      <c r="C1487" s="2" t="s">
        <v>6602</v>
      </c>
      <c r="D1487" s="3">
        <v>0.03</v>
      </c>
      <c r="E1487" s="3">
        <v>0.03</v>
      </c>
      <c r="F1487" s="2" t="s">
        <v>194</v>
      </c>
      <c r="G1487" s="2" t="s">
        <v>6603</v>
      </c>
      <c r="H1487" s="3">
        <v>0</v>
      </c>
      <c r="I1487" s="2" t="s">
        <v>409</v>
      </c>
      <c r="J1487" s="2" t="s">
        <v>6604</v>
      </c>
      <c r="K1487" s="2" t="s">
        <v>194</v>
      </c>
      <c r="L1487" s="2" t="s">
        <v>6605</v>
      </c>
      <c r="M1487" s="4">
        <v>0.16</v>
      </c>
      <c r="N1487" t="e">
        <f>OR(LEFT(B1487,3)="frg",(_xlfn.XMATCH(B1487,ZZZ_Part_Id_[[#All],[FGCODE]])))</f>
        <v>#N/A</v>
      </c>
    </row>
    <row r="1488" spans="1:14" x14ac:dyDescent="0.3">
      <c r="A1488" s="2" t="s">
        <v>6606</v>
      </c>
      <c r="B1488" s="2" t="s">
        <v>693</v>
      </c>
      <c r="C1488" s="2" t="s">
        <v>6607</v>
      </c>
      <c r="D1488" s="3">
        <v>64020</v>
      </c>
      <c r="E1488" s="3">
        <v>64020</v>
      </c>
      <c r="F1488" s="2" t="s">
        <v>16</v>
      </c>
      <c r="G1488" s="2" t="s">
        <v>6608</v>
      </c>
      <c r="H1488" s="3">
        <v>0</v>
      </c>
      <c r="I1488" s="2" t="s">
        <v>409</v>
      </c>
      <c r="J1488" s="2" t="s">
        <v>6609</v>
      </c>
      <c r="K1488" s="2" t="s">
        <v>16</v>
      </c>
      <c r="L1488" s="2" t="s">
        <v>6610</v>
      </c>
      <c r="M1488" s="4">
        <v>8866.14</v>
      </c>
      <c r="N1488" t="b">
        <f>OR(LEFT(B1488,3)="frg",(_xlfn.XMATCH(B1488,ZZZ_Part_Id_[[#All],[FGCODE]])))</f>
        <v>1</v>
      </c>
    </row>
    <row r="1489" spans="1:14" x14ac:dyDescent="0.3">
      <c r="A1489" s="2" t="s">
        <v>6606</v>
      </c>
      <c r="B1489" s="2" t="s">
        <v>14</v>
      </c>
      <c r="C1489" s="2" t="s">
        <v>6611</v>
      </c>
      <c r="D1489" s="3">
        <v>4.0940000000000003</v>
      </c>
      <c r="E1489" s="3">
        <v>4.0940000000000003</v>
      </c>
      <c r="F1489" s="2" t="s">
        <v>16</v>
      </c>
      <c r="G1489" s="2" t="s">
        <v>6612</v>
      </c>
      <c r="H1489" s="3">
        <v>0</v>
      </c>
      <c r="I1489" s="2" t="s">
        <v>409</v>
      </c>
      <c r="J1489" s="2" t="s">
        <v>6613</v>
      </c>
      <c r="K1489" s="2" t="s">
        <v>16</v>
      </c>
      <c r="L1489" s="2" t="s">
        <v>6614</v>
      </c>
      <c r="M1489" s="4">
        <v>0.32</v>
      </c>
      <c r="N1489" t="e">
        <f>OR(LEFT(B1489,3)="frg",(_xlfn.XMATCH(B1489,ZZZ_Part_Id_[[#All],[FGCODE]])))</f>
        <v>#N/A</v>
      </c>
    </row>
    <row r="1490" spans="1:14" x14ac:dyDescent="0.3">
      <c r="A1490" s="2" t="s">
        <v>6606</v>
      </c>
      <c r="B1490" s="2" t="s">
        <v>140</v>
      </c>
      <c r="C1490" s="2" t="s">
        <v>6615</v>
      </c>
      <c r="D1490" s="3">
        <v>0.16400000000000001</v>
      </c>
      <c r="E1490" s="3">
        <v>0.16400000000000001</v>
      </c>
      <c r="F1490" s="2" t="s">
        <v>16</v>
      </c>
      <c r="G1490" s="2" t="s">
        <v>6616</v>
      </c>
      <c r="H1490" s="3">
        <v>0</v>
      </c>
      <c r="I1490" s="2" t="s">
        <v>409</v>
      </c>
      <c r="J1490" s="2" t="s">
        <v>6617</v>
      </c>
      <c r="K1490" s="2" t="s">
        <v>16</v>
      </c>
      <c r="L1490" s="2" t="s">
        <v>6618</v>
      </c>
      <c r="M1490" s="4">
        <v>0.32</v>
      </c>
      <c r="N1490" t="e">
        <f>OR(LEFT(B1490,3)="frg",(_xlfn.XMATCH(B1490,ZZZ_Part_Id_[[#All],[FGCODE]])))</f>
        <v>#N/A</v>
      </c>
    </row>
    <row r="1491" spans="1:14" x14ac:dyDescent="0.3">
      <c r="A1491" s="2" t="s">
        <v>6606</v>
      </c>
      <c r="B1491" s="2" t="s">
        <v>192</v>
      </c>
      <c r="C1491" s="2" t="s">
        <v>6619</v>
      </c>
      <c r="D1491" s="3">
        <v>4.1000000000000002E-2</v>
      </c>
      <c r="E1491" s="3">
        <v>4.1000000000000002E-2</v>
      </c>
      <c r="F1491" s="2" t="s">
        <v>194</v>
      </c>
      <c r="G1491" s="2" t="s">
        <v>6620</v>
      </c>
      <c r="H1491" s="3">
        <v>0</v>
      </c>
      <c r="I1491" s="2" t="s">
        <v>409</v>
      </c>
      <c r="J1491" s="2" t="s">
        <v>6621</v>
      </c>
      <c r="K1491" s="2" t="s">
        <v>194</v>
      </c>
      <c r="L1491" s="2" t="s">
        <v>6622</v>
      </c>
      <c r="M1491" s="4">
        <v>0.21</v>
      </c>
      <c r="N1491" t="e">
        <f>OR(LEFT(B1491,3)="frg",(_xlfn.XMATCH(B1491,ZZZ_Part_Id_[[#All],[FGCODE]])))</f>
        <v>#N/A</v>
      </c>
    </row>
    <row r="1492" spans="1:14" x14ac:dyDescent="0.3">
      <c r="A1492" s="2" t="s">
        <v>6606</v>
      </c>
      <c r="B1492" s="2" t="s">
        <v>145</v>
      </c>
      <c r="C1492" s="2" t="s">
        <v>6623</v>
      </c>
      <c r="D1492" s="3">
        <v>1.7000000000000001E-2</v>
      </c>
      <c r="E1492" s="3">
        <v>1.7000000000000001E-2</v>
      </c>
      <c r="F1492" s="2" t="s">
        <v>147</v>
      </c>
      <c r="G1492" s="2" t="s">
        <v>6624</v>
      </c>
      <c r="H1492" s="3">
        <v>0</v>
      </c>
      <c r="I1492" s="2" t="s">
        <v>409</v>
      </c>
      <c r="J1492" s="2" t="s">
        <v>6625</v>
      </c>
      <c r="K1492" s="2" t="s">
        <v>147</v>
      </c>
      <c r="L1492" s="2" t="s">
        <v>6626</v>
      </c>
      <c r="M1492" s="4">
        <v>2.66</v>
      </c>
      <c r="N1492" t="e">
        <f>OR(LEFT(B1492,3)="frg",(_xlfn.XMATCH(B1492,ZZZ_Part_Id_[[#All],[FGCODE]])))</f>
        <v>#N/A</v>
      </c>
    </row>
    <row r="1493" spans="1:14" x14ac:dyDescent="0.3">
      <c r="A1493" s="2" t="s">
        <v>6627</v>
      </c>
      <c r="B1493" s="2" t="s">
        <v>97</v>
      </c>
      <c r="C1493" s="2" t="s">
        <v>6628</v>
      </c>
      <c r="D1493" s="3">
        <v>38400</v>
      </c>
      <c r="E1493" s="3">
        <v>38400</v>
      </c>
      <c r="F1493" s="2" t="s">
        <v>16</v>
      </c>
      <c r="G1493" s="2" t="s">
        <v>6629</v>
      </c>
      <c r="H1493" s="3">
        <v>0</v>
      </c>
      <c r="I1493" s="2" t="s">
        <v>409</v>
      </c>
      <c r="J1493" s="2" t="s">
        <v>6630</v>
      </c>
      <c r="K1493" s="2" t="s">
        <v>16</v>
      </c>
      <c r="L1493" s="2" t="s">
        <v>6631</v>
      </c>
      <c r="M1493" s="4">
        <v>13159.68</v>
      </c>
      <c r="N1493" t="b">
        <f>OR(LEFT(B1493,3)="frg",(_xlfn.XMATCH(B1493,ZZZ_Part_Id_[[#All],[FGCODE]])))</f>
        <v>1</v>
      </c>
    </row>
    <row r="1494" spans="1:14" x14ac:dyDescent="0.3">
      <c r="A1494" s="2" t="s">
        <v>6627</v>
      </c>
      <c r="B1494" s="2" t="s">
        <v>65</v>
      </c>
      <c r="C1494" s="2" t="s">
        <v>6632</v>
      </c>
      <c r="D1494" s="5">
        <v>-249</v>
      </c>
      <c r="E1494" s="5">
        <v>-249</v>
      </c>
      <c r="F1494" s="2" t="s">
        <v>23</v>
      </c>
      <c r="G1494" s="2" t="s">
        <v>6633</v>
      </c>
      <c r="H1494" s="3">
        <v>0</v>
      </c>
      <c r="I1494" s="2" t="s">
        <v>409</v>
      </c>
      <c r="J1494" s="2" t="s">
        <v>6634</v>
      </c>
      <c r="K1494" s="2" t="s">
        <v>23</v>
      </c>
      <c r="L1494" s="2" t="s">
        <v>6635</v>
      </c>
      <c r="M1494" s="6">
        <v>-640.33000000000004</v>
      </c>
      <c r="N1494" t="b">
        <f>OR(LEFT(B1494,3)="frg",(_xlfn.XMATCH(B1494,ZZZ_Part_Id_[[#All],[FGCODE]])))</f>
        <v>1</v>
      </c>
    </row>
    <row r="1495" spans="1:14" x14ac:dyDescent="0.3">
      <c r="A1495" s="2" t="s">
        <v>6627</v>
      </c>
      <c r="B1495" s="2" t="s">
        <v>14</v>
      </c>
      <c r="C1495" s="2" t="s">
        <v>6636</v>
      </c>
      <c r="D1495" s="3">
        <v>7</v>
      </c>
      <c r="E1495" s="3">
        <v>7</v>
      </c>
      <c r="F1495" s="2" t="s">
        <v>16</v>
      </c>
      <c r="G1495" s="2" t="s">
        <v>6637</v>
      </c>
      <c r="H1495" s="3">
        <v>0</v>
      </c>
      <c r="I1495" s="2" t="s">
        <v>409</v>
      </c>
      <c r="J1495" s="2" t="s">
        <v>6638</v>
      </c>
      <c r="K1495" s="2" t="s">
        <v>16</v>
      </c>
      <c r="L1495" s="2" t="s">
        <v>6639</v>
      </c>
      <c r="M1495" s="4">
        <v>0.54</v>
      </c>
      <c r="N1495" t="e">
        <f>OR(LEFT(B1495,3)="frg",(_xlfn.XMATCH(B1495,ZZZ_Part_Id_[[#All],[FGCODE]])))</f>
        <v>#N/A</v>
      </c>
    </row>
    <row r="1496" spans="1:14" x14ac:dyDescent="0.3">
      <c r="A1496" s="2" t="s">
        <v>6627</v>
      </c>
      <c r="B1496" s="2" t="s">
        <v>140</v>
      </c>
      <c r="C1496" s="2" t="s">
        <v>6640</v>
      </c>
      <c r="D1496" s="3">
        <v>0.28000000000000003</v>
      </c>
      <c r="E1496" s="3">
        <v>0.28000000000000003</v>
      </c>
      <c r="F1496" s="2" t="s">
        <v>16</v>
      </c>
      <c r="G1496" s="2" t="s">
        <v>6641</v>
      </c>
      <c r="H1496" s="3">
        <v>0</v>
      </c>
      <c r="I1496" s="2" t="s">
        <v>409</v>
      </c>
      <c r="J1496" s="2" t="s">
        <v>6642</v>
      </c>
      <c r="K1496" s="2" t="s">
        <v>16</v>
      </c>
      <c r="L1496" s="2" t="s">
        <v>6643</v>
      </c>
      <c r="M1496" s="4">
        <v>0.54</v>
      </c>
      <c r="N1496" t="e">
        <f>OR(LEFT(B1496,3)="frg",(_xlfn.XMATCH(B1496,ZZZ_Part_Id_[[#All],[FGCODE]])))</f>
        <v>#N/A</v>
      </c>
    </row>
    <row r="1497" spans="1:14" x14ac:dyDescent="0.3">
      <c r="A1497" s="2" t="s">
        <v>6627</v>
      </c>
      <c r="B1497" s="2" t="s">
        <v>192</v>
      </c>
      <c r="C1497" s="2" t="s">
        <v>6644</v>
      </c>
      <c r="D1497" s="3">
        <v>7.0000000000000007E-2</v>
      </c>
      <c r="E1497" s="3">
        <v>7.0000000000000007E-2</v>
      </c>
      <c r="F1497" s="2" t="s">
        <v>194</v>
      </c>
      <c r="G1497" s="2" t="s">
        <v>6645</v>
      </c>
      <c r="H1497" s="3">
        <v>0</v>
      </c>
      <c r="I1497" s="2" t="s">
        <v>409</v>
      </c>
      <c r="J1497" s="2" t="s">
        <v>6646</v>
      </c>
      <c r="K1497" s="2" t="s">
        <v>194</v>
      </c>
      <c r="L1497" s="2" t="s">
        <v>6647</v>
      </c>
      <c r="M1497" s="4">
        <v>0.37</v>
      </c>
      <c r="N1497" t="e">
        <f>OR(LEFT(B1497,3)="frg",(_xlfn.XMATCH(B1497,ZZZ_Part_Id_[[#All],[FGCODE]])))</f>
        <v>#N/A</v>
      </c>
    </row>
    <row r="1498" spans="1:14" x14ac:dyDescent="0.3">
      <c r="A1498" s="2" t="s">
        <v>6627</v>
      </c>
      <c r="B1498" s="2" t="s">
        <v>145</v>
      </c>
      <c r="C1498" s="2" t="s">
        <v>6648</v>
      </c>
      <c r="D1498" s="3">
        <v>2.8000000000000001E-2</v>
      </c>
      <c r="E1498" s="3">
        <v>2.8000000000000001E-2</v>
      </c>
      <c r="F1498" s="2" t="s">
        <v>147</v>
      </c>
      <c r="G1498" s="2" t="s">
        <v>6649</v>
      </c>
      <c r="H1498" s="3">
        <v>0</v>
      </c>
      <c r="I1498" s="2" t="s">
        <v>409</v>
      </c>
      <c r="J1498" s="2" t="s">
        <v>6650</v>
      </c>
      <c r="K1498" s="2" t="s">
        <v>147</v>
      </c>
      <c r="L1498" s="2" t="s">
        <v>6651</v>
      </c>
      <c r="M1498" s="4">
        <v>4.38</v>
      </c>
      <c r="N1498" t="e">
        <f>OR(LEFT(B1498,3)="frg",(_xlfn.XMATCH(B1498,ZZZ_Part_Id_[[#All],[FGCODE]])))</f>
        <v>#N/A</v>
      </c>
    </row>
    <row r="1499" spans="1:14" x14ac:dyDescent="0.3">
      <c r="A1499" s="2" t="s">
        <v>6627</v>
      </c>
      <c r="B1499" s="2" t="s">
        <v>37</v>
      </c>
      <c r="C1499" s="2" t="s">
        <v>6652</v>
      </c>
      <c r="D1499" s="3">
        <v>7</v>
      </c>
      <c r="E1499" s="3">
        <v>7</v>
      </c>
      <c r="F1499" s="2" t="s">
        <v>16</v>
      </c>
      <c r="G1499" s="2" t="s">
        <v>131</v>
      </c>
      <c r="H1499" s="3">
        <v>0</v>
      </c>
      <c r="I1499" s="2" t="s">
        <v>409</v>
      </c>
      <c r="J1499" s="2" t="s">
        <v>6653</v>
      </c>
      <c r="K1499" s="2" t="s">
        <v>16</v>
      </c>
      <c r="L1499" s="2" t="s">
        <v>6654</v>
      </c>
      <c r="M1499" s="4">
        <v>112</v>
      </c>
      <c r="N1499" t="e">
        <f>OR(LEFT(B1499,3)="frg",(_xlfn.XMATCH(B1499,ZZZ_Part_Id_[[#All],[FGCODE]])))</f>
        <v>#N/A</v>
      </c>
    </row>
    <row r="1500" spans="1:14" x14ac:dyDescent="0.3">
      <c r="A1500" s="2" t="s">
        <v>6655</v>
      </c>
      <c r="B1500" s="2" t="s">
        <v>5357</v>
      </c>
      <c r="C1500" s="2" t="s">
        <v>6656</v>
      </c>
      <c r="D1500" s="3">
        <v>933984</v>
      </c>
      <c r="E1500" s="3">
        <v>933984</v>
      </c>
      <c r="F1500" s="2" t="s">
        <v>16</v>
      </c>
      <c r="G1500" s="2" t="s">
        <v>6657</v>
      </c>
      <c r="H1500" s="3">
        <v>0</v>
      </c>
      <c r="I1500" s="2" t="s">
        <v>409</v>
      </c>
      <c r="J1500" s="2" t="s">
        <v>6658</v>
      </c>
      <c r="K1500" s="2" t="s">
        <v>16</v>
      </c>
      <c r="L1500" s="2" t="s">
        <v>6659</v>
      </c>
      <c r="M1500" s="4">
        <v>277504.92</v>
      </c>
      <c r="N1500" t="b">
        <f>OR(LEFT(B1500,3)="frg",(_xlfn.XMATCH(B1500,ZZZ_Part_Id_[[#All],[FGCODE]])))</f>
        <v>1</v>
      </c>
    </row>
    <row r="1501" spans="1:14" x14ac:dyDescent="0.3">
      <c r="A1501" s="2" t="s">
        <v>6660</v>
      </c>
      <c r="B1501" s="2" t="s">
        <v>740</v>
      </c>
      <c r="C1501" s="2" t="s">
        <v>6661</v>
      </c>
      <c r="D1501" s="3">
        <v>509760</v>
      </c>
      <c r="E1501" s="3">
        <v>509760</v>
      </c>
      <c r="F1501" s="2" t="s">
        <v>16</v>
      </c>
      <c r="G1501" s="2" t="s">
        <v>6662</v>
      </c>
      <c r="H1501" s="3">
        <v>0</v>
      </c>
      <c r="I1501" s="2" t="s">
        <v>409</v>
      </c>
      <c r="J1501" s="2" t="s">
        <v>6663</v>
      </c>
      <c r="K1501" s="2" t="s">
        <v>16</v>
      </c>
      <c r="L1501" s="2" t="s">
        <v>6664</v>
      </c>
      <c r="M1501" s="4">
        <v>101284.32</v>
      </c>
      <c r="N1501" t="b">
        <f>OR(LEFT(B1501,3)="frg",(_xlfn.XMATCH(B1501,ZZZ_Part_Id_[[#All],[FGCODE]])))</f>
        <v>1</v>
      </c>
    </row>
    <row r="1502" spans="1:14" x14ac:dyDescent="0.3">
      <c r="A1502" s="2" t="s">
        <v>6665</v>
      </c>
      <c r="B1502" s="2" t="s">
        <v>2115</v>
      </c>
      <c r="C1502" s="2" t="s">
        <v>6666</v>
      </c>
      <c r="D1502" s="3">
        <v>18000</v>
      </c>
      <c r="E1502" s="3">
        <v>18000</v>
      </c>
      <c r="F1502" s="2" t="s">
        <v>16</v>
      </c>
      <c r="G1502" s="2" t="s">
        <v>6667</v>
      </c>
      <c r="H1502" s="3">
        <v>0</v>
      </c>
      <c r="I1502" s="2" t="s">
        <v>18</v>
      </c>
      <c r="J1502" s="2" t="s">
        <v>6668</v>
      </c>
      <c r="K1502" s="2" t="s">
        <v>16</v>
      </c>
      <c r="L1502" s="2" t="s">
        <v>6669</v>
      </c>
      <c r="M1502" s="4">
        <v>5983.75</v>
      </c>
      <c r="N1502" t="b">
        <f>OR(LEFT(B1502,3)="frg",(_xlfn.XMATCH(B1502,ZZZ_Part_Id_[[#All],[FGCODE]])))</f>
        <v>1</v>
      </c>
    </row>
    <row r="1503" spans="1:14" x14ac:dyDescent="0.3">
      <c r="A1503" s="2" t="s">
        <v>6670</v>
      </c>
      <c r="B1503" s="2" t="s">
        <v>1027</v>
      </c>
      <c r="C1503" s="2" t="s">
        <v>6671</v>
      </c>
      <c r="D1503" s="3">
        <v>562860</v>
      </c>
      <c r="E1503" s="3">
        <v>562860</v>
      </c>
      <c r="F1503" s="2" t="s">
        <v>16</v>
      </c>
      <c r="G1503" s="2" t="s">
        <v>6672</v>
      </c>
      <c r="H1503" s="3">
        <v>0</v>
      </c>
      <c r="I1503" s="2" t="s">
        <v>409</v>
      </c>
      <c r="J1503" s="2" t="s">
        <v>6673</v>
      </c>
      <c r="K1503" s="2" t="s">
        <v>16</v>
      </c>
      <c r="L1503" s="2" t="s">
        <v>6674</v>
      </c>
      <c r="M1503" s="4">
        <v>113292.27</v>
      </c>
      <c r="N1503" t="b">
        <f>OR(LEFT(B1503,3)="frg",(_xlfn.XMATCH(B1503,ZZZ_Part_Id_[[#All],[FGCODE]])))</f>
        <v>1</v>
      </c>
    </row>
    <row r="1504" spans="1:14" x14ac:dyDescent="0.3">
      <c r="A1504" s="2" t="s">
        <v>6675</v>
      </c>
      <c r="B1504" s="2" t="s">
        <v>517</v>
      </c>
      <c r="C1504" s="2" t="s">
        <v>6676</v>
      </c>
      <c r="D1504" s="3">
        <v>413280</v>
      </c>
      <c r="E1504" s="3">
        <v>413280</v>
      </c>
      <c r="F1504" s="2" t="s">
        <v>16</v>
      </c>
      <c r="G1504" s="2" t="s">
        <v>6677</v>
      </c>
      <c r="H1504" s="3">
        <v>0</v>
      </c>
      <c r="I1504" s="2" t="s">
        <v>409</v>
      </c>
      <c r="J1504" s="2" t="s">
        <v>6678</v>
      </c>
      <c r="K1504" s="2" t="s">
        <v>16</v>
      </c>
      <c r="L1504" s="2" t="s">
        <v>6679</v>
      </c>
      <c r="M1504" s="4">
        <v>48081.11</v>
      </c>
      <c r="N1504" t="b">
        <f>OR(LEFT(B1504,3)="frg",(_xlfn.XMATCH(B1504,ZZZ_Part_Id_[[#All],[FGCODE]])))</f>
        <v>1</v>
      </c>
    </row>
    <row r="1505" spans="1:14" x14ac:dyDescent="0.3">
      <c r="A1505" s="2" t="s">
        <v>6680</v>
      </c>
      <c r="B1505" s="2" t="s">
        <v>97</v>
      </c>
      <c r="C1505" s="2" t="s">
        <v>6681</v>
      </c>
      <c r="D1505" s="3">
        <v>4800</v>
      </c>
      <c r="E1505" s="3">
        <v>4800</v>
      </c>
      <c r="F1505" s="2" t="s">
        <v>16</v>
      </c>
      <c r="G1505" s="2" t="s">
        <v>6682</v>
      </c>
      <c r="H1505" s="3">
        <v>0</v>
      </c>
      <c r="I1505" s="2" t="s">
        <v>409</v>
      </c>
      <c r="J1505" s="2" t="s">
        <v>6683</v>
      </c>
      <c r="K1505" s="2" t="s">
        <v>16</v>
      </c>
      <c r="L1505" s="2" t="s">
        <v>6684</v>
      </c>
      <c r="M1505" s="4">
        <v>1644.96</v>
      </c>
      <c r="N1505" t="b">
        <f>OR(LEFT(B1505,3)="frg",(_xlfn.XMATCH(B1505,ZZZ_Part_Id_[[#All],[FGCODE]])))</f>
        <v>1</v>
      </c>
    </row>
    <row r="1506" spans="1:14" x14ac:dyDescent="0.3">
      <c r="A1506" s="2" t="s">
        <v>6680</v>
      </c>
      <c r="B1506" s="2" t="s">
        <v>37</v>
      </c>
      <c r="C1506" s="2" t="s">
        <v>6685</v>
      </c>
      <c r="D1506" s="3">
        <v>1</v>
      </c>
      <c r="E1506" s="3">
        <v>0</v>
      </c>
      <c r="F1506" s="2" t="s">
        <v>16</v>
      </c>
      <c r="G1506" s="2" t="s">
        <v>131</v>
      </c>
      <c r="H1506" s="3">
        <v>0</v>
      </c>
      <c r="I1506" s="2" t="s">
        <v>409</v>
      </c>
      <c r="J1506" s="2" t="s">
        <v>6686</v>
      </c>
      <c r="K1506" s="2" t="s">
        <v>16</v>
      </c>
      <c r="L1506" s="2" t="s">
        <v>6687</v>
      </c>
      <c r="M1506" s="4">
        <v>0</v>
      </c>
      <c r="N1506" t="e">
        <f>OR(LEFT(B1506,3)="frg",(_xlfn.XMATCH(B1506,ZZZ_Part_Id_[[#All],[FGCODE]])))</f>
        <v>#N/A</v>
      </c>
    </row>
    <row r="1507" spans="1:14" x14ac:dyDescent="0.3">
      <c r="A1507" s="2" t="s">
        <v>6688</v>
      </c>
      <c r="B1507" s="2" t="s">
        <v>517</v>
      </c>
      <c r="C1507" s="2" t="s">
        <v>6689</v>
      </c>
      <c r="D1507" s="3">
        <v>473760</v>
      </c>
      <c r="E1507" s="3">
        <v>473760</v>
      </c>
      <c r="F1507" s="2" t="s">
        <v>16</v>
      </c>
      <c r="G1507" s="2" t="s">
        <v>6690</v>
      </c>
      <c r="H1507" s="3">
        <v>0</v>
      </c>
      <c r="I1507" s="2" t="s">
        <v>409</v>
      </c>
      <c r="J1507" s="2" t="s">
        <v>6691</v>
      </c>
      <c r="K1507" s="2" t="s">
        <v>16</v>
      </c>
      <c r="L1507" s="2" t="s">
        <v>6692</v>
      </c>
      <c r="M1507" s="4">
        <v>55117.37</v>
      </c>
      <c r="N1507" t="b">
        <f>OR(LEFT(B1507,3)="frg",(_xlfn.XMATCH(B1507,ZZZ_Part_Id_[[#All],[FGCODE]])))</f>
        <v>1</v>
      </c>
    </row>
    <row r="1508" spans="1:14" x14ac:dyDescent="0.3">
      <c r="A1508" s="2" t="s">
        <v>6693</v>
      </c>
      <c r="B1508" s="2" t="s">
        <v>740</v>
      </c>
      <c r="C1508" s="2" t="s">
        <v>6694</v>
      </c>
      <c r="D1508" s="3">
        <v>63720</v>
      </c>
      <c r="E1508" s="3">
        <v>63720</v>
      </c>
      <c r="F1508" s="2" t="s">
        <v>16</v>
      </c>
      <c r="G1508" s="2" t="s">
        <v>6695</v>
      </c>
      <c r="H1508" s="3">
        <v>0</v>
      </c>
      <c r="I1508" s="2" t="s">
        <v>409</v>
      </c>
      <c r="J1508" s="2" t="s">
        <v>6696</v>
      </c>
      <c r="K1508" s="2" t="s">
        <v>16</v>
      </c>
      <c r="L1508" s="2" t="s">
        <v>6697</v>
      </c>
      <c r="M1508" s="4">
        <v>12660.54</v>
      </c>
      <c r="N1508" t="b">
        <f>OR(LEFT(B1508,3)="frg",(_xlfn.XMATCH(B1508,ZZZ_Part_Id_[[#All],[FGCODE]])))</f>
        <v>1</v>
      </c>
    </row>
    <row r="1509" spans="1:14" x14ac:dyDescent="0.3">
      <c r="A1509" s="2" t="s">
        <v>6693</v>
      </c>
      <c r="B1509" s="2" t="s">
        <v>65</v>
      </c>
      <c r="C1509" s="2" t="s">
        <v>6698</v>
      </c>
      <c r="D1509" s="5">
        <v>-648</v>
      </c>
      <c r="E1509" s="5">
        <v>-648</v>
      </c>
      <c r="F1509" s="2" t="s">
        <v>23</v>
      </c>
      <c r="G1509" s="2" t="s">
        <v>6699</v>
      </c>
      <c r="H1509" s="3">
        <v>0</v>
      </c>
      <c r="I1509" s="2" t="s">
        <v>409</v>
      </c>
      <c r="J1509" s="2" t="s">
        <v>6700</v>
      </c>
      <c r="K1509" s="2" t="s">
        <v>23</v>
      </c>
      <c r="L1509" s="2" t="s">
        <v>6701</v>
      </c>
      <c r="M1509" s="6">
        <v>-1666.4</v>
      </c>
      <c r="N1509" t="b">
        <f>OR(LEFT(B1509,3)="frg",(_xlfn.XMATCH(B1509,ZZZ_Part_Id_[[#All],[FGCODE]])))</f>
        <v>1</v>
      </c>
    </row>
    <row r="1510" spans="1:14" x14ac:dyDescent="0.3">
      <c r="A1510" s="2" t="s">
        <v>6693</v>
      </c>
      <c r="B1510" s="2" t="s">
        <v>14</v>
      </c>
      <c r="C1510" s="2" t="s">
        <v>6702</v>
      </c>
      <c r="D1510" s="3">
        <v>3.5</v>
      </c>
      <c r="E1510" s="3">
        <v>3.5</v>
      </c>
      <c r="F1510" s="2" t="s">
        <v>16</v>
      </c>
      <c r="G1510" s="2" t="s">
        <v>6703</v>
      </c>
      <c r="H1510" s="3">
        <v>0</v>
      </c>
      <c r="I1510" s="2" t="s">
        <v>409</v>
      </c>
      <c r="J1510" s="2" t="s">
        <v>6704</v>
      </c>
      <c r="K1510" s="2" t="s">
        <v>16</v>
      </c>
      <c r="L1510" s="2" t="s">
        <v>6705</v>
      </c>
      <c r="M1510" s="4">
        <v>0.27</v>
      </c>
      <c r="N1510" t="e">
        <f>OR(LEFT(B1510,3)="frg",(_xlfn.XMATCH(B1510,ZZZ_Part_Id_[[#All],[FGCODE]])))</f>
        <v>#N/A</v>
      </c>
    </row>
    <row r="1511" spans="1:14" x14ac:dyDescent="0.3">
      <c r="A1511" s="2" t="s">
        <v>6693</v>
      </c>
      <c r="B1511" s="2" t="s">
        <v>140</v>
      </c>
      <c r="C1511" s="2" t="s">
        <v>6706</v>
      </c>
      <c r="D1511" s="3">
        <v>0.14000000000000001</v>
      </c>
      <c r="E1511" s="3">
        <v>0.14000000000000001</v>
      </c>
      <c r="F1511" s="2" t="s">
        <v>16</v>
      </c>
      <c r="G1511" s="2" t="s">
        <v>6707</v>
      </c>
      <c r="H1511" s="3">
        <v>0</v>
      </c>
      <c r="I1511" s="2" t="s">
        <v>409</v>
      </c>
      <c r="J1511" s="2" t="s">
        <v>6708</v>
      </c>
      <c r="K1511" s="2" t="s">
        <v>16</v>
      </c>
      <c r="L1511" s="2" t="s">
        <v>6709</v>
      </c>
      <c r="M1511" s="4">
        <v>0.27</v>
      </c>
      <c r="N1511" t="e">
        <f>OR(LEFT(B1511,3)="frg",(_xlfn.XMATCH(B1511,ZZZ_Part_Id_[[#All],[FGCODE]])))</f>
        <v>#N/A</v>
      </c>
    </row>
    <row r="1512" spans="1:14" x14ac:dyDescent="0.3">
      <c r="A1512" s="2" t="s">
        <v>6693</v>
      </c>
      <c r="B1512" s="2" t="s">
        <v>192</v>
      </c>
      <c r="C1512" s="2" t="s">
        <v>6710</v>
      </c>
      <c r="D1512" s="3">
        <v>3.5000000000000003E-2</v>
      </c>
      <c r="E1512" s="3">
        <v>3.5000000000000003E-2</v>
      </c>
      <c r="F1512" s="2" t="s">
        <v>194</v>
      </c>
      <c r="G1512" s="2" t="s">
        <v>6711</v>
      </c>
      <c r="H1512" s="3">
        <v>0</v>
      </c>
      <c r="I1512" s="2" t="s">
        <v>409</v>
      </c>
      <c r="J1512" s="2" t="s">
        <v>6712</v>
      </c>
      <c r="K1512" s="2" t="s">
        <v>194</v>
      </c>
      <c r="L1512" s="2" t="s">
        <v>6713</v>
      </c>
      <c r="M1512" s="4">
        <v>0.18</v>
      </c>
      <c r="N1512" t="e">
        <f>OR(LEFT(B1512,3)="frg",(_xlfn.XMATCH(B1512,ZZZ_Part_Id_[[#All],[FGCODE]])))</f>
        <v>#N/A</v>
      </c>
    </row>
    <row r="1513" spans="1:14" x14ac:dyDescent="0.3">
      <c r="A1513" s="2" t="s">
        <v>6693</v>
      </c>
      <c r="B1513" s="2" t="s">
        <v>145</v>
      </c>
      <c r="C1513" s="2" t="s">
        <v>6714</v>
      </c>
      <c r="D1513" s="3">
        <v>1.4E-2</v>
      </c>
      <c r="E1513" s="3">
        <v>1.4E-2</v>
      </c>
      <c r="F1513" s="2" t="s">
        <v>147</v>
      </c>
      <c r="G1513" s="2" t="s">
        <v>6715</v>
      </c>
      <c r="H1513" s="3">
        <v>0</v>
      </c>
      <c r="I1513" s="2" t="s">
        <v>409</v>
      </c>
      <c r="J1513" s="2" t="s">
        <v>6716</v>
      </c>
      <c r="K1513" s="2" t="s">
        <v>147</v>
      </c>
      <c r="L1513" s="2" t="s">
        <v>6717</v>
      </c>
      <c r="M1513" s="4">
        <v>2.19</v>
      </c>
      <c r="N1513" t="e">
        <f>OR(LEFT(B1513,3)="frg",(_xlfn.XMATCH(B1513,ZZZ_Part_Id_[[#All],[FGCODE]])))</f>
        <v>#N/A</v>
      </c>
    </row>
    <row r="1514" spans="1:14" x14ac:dyDescent="0.3">
      <c r="A1514" s="2" t="s">
        <v>6718</v>
      </c>
      <c r="B1514" s="2" t="s">
        <v>2611</v>
      </c>
      <c r="C1514" s="2" t="s">
        <v>6719</v>
      </c>
      <c r="D1514" s="3">
        <v>266400</v>
      </c>
      <c r="E1514" s="3">
        <v>266400</v>
      </c>
      <c r="F1514" s="2" t="s">
        <v>16</v>
      </c>
      <c r="G1514" s="2" t="s">
        <v>6720</v>
      </c>
      <c r="H1514" s="3">
        <v>0</v>
      </c>
      <c r="I1514" s="2" t="s">
        <v>409</v>
      </c>
      <c r="J1514" s="2" t="s">
        <v>6721</v>
      </c>
      <c r="K1514" s="2" t="s">
        <v>16</v>
      </c>
      <c r="L1514" s="2" t="s">
        <v>6722</v>
      </c>
      <c r="M1514" s="4">
        <v>23968</v>
      </c>
      <c r="N1514" t="b">
        <f>OR(LEFT(B1514,3)="frg",(_xlfn.XMATCH(B1514,ZZZ_Part_Id_[[#All],[FGCODE]])))</f>
        <v>1</v>
      </c>
    </row>
    <row r="1515" spans="1:14" x14ac:dyDescent="0.3">
      <c r="A1515" s="2" t="s">
        <v>6718</v>
      </c>
      <c r="B1515" s="2" t="s">
        <v>14</v>
      </c>
      <c r="C1515" s="2" t="s">
        <v>6723</v>
      </c>
      <c r="D1515" s="3">
        <v>23</v>
      </c>
      <c r="E1515" s="3">
        <v>23</v>
      </c>
      <c r="F1515" s="2" t="s">
        <v>16</v>
      </c>
      <c r="G1515" s="2" t="s">
        <v>6724</v>
      </c>
      <c r="H1515" s="3">
        <v>0</v>
      </c>
      <c r="I1515" s="2" t="s">
        <v>409</v>
      </c>
      <c r="J1515" s="2" t="s">
        <v>6725</v>
      </c>
      <c r="K1515" s="2" t="s">
        <v>16</v>
      </c>
      <c r="L1515" s="2" t="s">
        <v>6726</v>
      </c>
      <c r="M1515" s="4">
        <v>1.77</v>
      </c>
      <c r="N1515" t="e">
        <f>OR(LEFT(B1515,3)="frg",(_xlfn.XMATCH(B1515,ZZZ_Part_Id_[[#All],[FGCODE]])))</f>
        <v>#N/A</v>
      </c>
    </row>
    <row r="1516" spans="1:14" x14ac:dyDescent="0.3">
      <c r="A1516" s="2" t="s">
        <v>6718</v>
      </c>
      <c r="B1516" s="2" t="s">
        <v>140</v>
      </c>
      <c r="C1516" s="2" t="s">
        <v>6727</v>
      </c>
      <c r="D1516" s="3">
        <v>0.92</v>
      </c>
      <c r="E1516" s="3">
        <v>0.92</v>
      </c>
      <c r="F1516" s="2" t="s">
        <v>16</v>
      </c>
      <c r="G1516" s="2" t="s">
        <v>6728</v>
      </c>
      <c r="H1516" s="3">
        <v>0</v>
      </c>
      <c r="I1516" s="2" t="s">
        <v>409</v>
      </c>
      <c r="J1516" s="2" t="s">
        <v>6729</v>
      </c>
      <c r="K1516" s="2" t="s">
        <v>16</v>
      </c>
      <c r="L1516" s="2" t="s">
        <v>6730</v>
      </c>
      <c r="M1516" s="4">
        <v>1.77</v>
      </c>
      <c r="N1516" t="e">
        <f>OR(LEFT(B1516,3)="frg",(_xlfn.XMATCH(B1516,ZZZ_Part_Id_[[#All],[FGCODE]])))</f>
        <v>#N/A</v>
      </c>
    </row>
    <row r="1517" spans="1:14" x14ac:dyDescent="0.3">
      <c r="A1517" s="2" t="s">
        <v>6718</v>
      </c>
      <c r="B1517" s="2" t="s">
        <v>192</v>
      </c>
      <c r="C1517" s="2" t="s">
        <v>6731</v>
      </c>
      <c r="D1517" s="3">
        <v>0.23</v>
      </c>
      <c r="E1517" s="3">
        <v>0.23</v>
      </c>
      <c r="F1517" s="2" t="s">
        <v>194</v>
      </c>
      <c r="G1517" s="2" t="s">
        <v>6732</v>
      </c>
      <c r="H1517" s="3">
        <v>0</v>
      </c>
      <c r="I1517" s="2" t="s">
        <v>409</v>
      </c>
      <c r="J1517" s="2" t="s">
        <v>6733</v>
      </c>
      <c r="K1517" s="2" t="s">
        <v>194</v>
      </c>
      <c r="L1517" s="2" t="s">
        <v>6734</v>
      </c>
      <c r="M1517" s="4">
        <v>1.2</v>
      </c>
      <c r="N1517" t="e">
        <f>OR(LEFT(B1517,3)="frg",(_xlfn.XMATCH(B1517,ZZZ_Part_Id_[[#All],[FGCODE]])))</f>
        <v>#N/A</v>
      </c>
    </row>
    <row r="1518" spans="1:14" x14ac:dyDescent="0.3">
      <c r="A1518" s="2" t="s">
        <v>6718</v>
      </c>
      <c r="B1518" s="2" t="s">
        <v>65</v>
      </c>
      <c r="C1518" s="2" t="s">
        <v>6735</v>
      </c>
      <c r="D1518" s="5">
        <v>-270</v>
      </c>
      <c r="E1518" s="5">
        <v>-270</v>
      </c>
      <c r="F1518" s="2" t="s">
        <v>23</v>
      </c>
      <c r="G1518" s="2" t="s">
        <v>131</v>
      </c>
      <c r="H1518" s="3">
        <v>0</v>
      </c>
      <c r="I1518" s="2" t="s">
        <v>409</v>
      </c>
      <c r="J1518" s="2" t="s">
        <v>6736</v>
      </c>
      <c r="K1518" s="2" t="s">
        <v>23</v>
      </c>
      <c r="L1518" s="2" t="s">
        <v>6737</v>
      </c>
      <c r="M1518" s="6">
        <v>-694.33</v>
      </c>
      <c r="N1518" t="b">
        <f>OR(LEFT(B1518,3)="frg",(_xlfn.XMATCH(B1518,ZZZ_Part_Id_[[#All],[FGCODE]])))</f>
        <v>1</v>
      </c>
    </row>
    <row r="1519" spans="1:14" x14ac:dyDescent="0.3">
      <c r="A1519" s="2" t="s">
        <v>6738</v>
      </c>
      <c r="B1519" s="2" t="s">
        <v>1027</v>
      </c>
      <c r="C1519" s="2" t="s">
        <v>6739</v>
      </c>
      <c r="D1519" s="3">
        <v>1083240</v>
      </c>
      <c r="E1519" s="3">
        <v>1083240</v>
      </c>
      <c r="F1519" s="2" t="s">
        <v>16</v>
      </c>
      <c r="G1519" s="2" t="s">
        <v>6740</v>
      </c>
      <c r="H1519" s="3">
        <v>0</v>
      </c>
      <c r="I1519" s="2" t="s">
        <v>409</v>
      </c>
      <c r="J1519" s="2" t="s">
        <v>6741</v>
      </c>
      <c r="K1519" s="2" t="s">
        <v>16</v>
      </c>
      <c r="L1519" s="2" t="s">
        <v>6742</v>
      </c>
      <c r="M1519" s="4">
        <v>218034.18</v>
      </c>
      <c r="N1519" t="b">
        <f>OR(LEFT(B1519,3)="frg",(_xlfn.XMATCH(B1519,ZZZ_Part_Id_[[#All],[FGCODE]])))</f>
        <v>1</v>
      </c>
    </row>
    <row r="1520" spans="1:14" x14ac:dyDescent="0.3">
      <c r="A1520" s="2" t="s">
        <v>6743</v>
      </c>
      <c r="B1520" s="2" t="s">
        <v>4511</v>
      </c>
      <c r="C1520" s="2" t="s">
        <v>6744</v>
      </c>
      <c r="D1520" s="3">
        <v>179280</v>
      </c>
      <c r="E1520" s="3">
        <v>179280</v>
      </c>
      <c r="F1520" s="2" t="s">
        <v>16</v>
      </c>
      <c r="G1520" s="2" t="s">
        <v>6745</v>
      </c>
      <c r="H1520" s="3">
        <v>0</v>
      </c>
      <c r="I1520" s="2" t="s">
        <v>409</v>
      </c>
      <c r="J1520" s="2" t="s">
        <v>6746</v>
      </c>
      <c r="K1520" s="2" t="s">
        <v>16</v>
      </c>
      <c r="L1520" s="2" t="s">
        <v>6747</v>
      </c>
      <c r="M1520" s="4">
        <v>6620.82</v>
      </c>
      <c r="N1520" t="b">
        <f>OR(LEFT(B1520,3)="frg",(_xlfn.XMATCH(B1520,ZZZ_Part_Id_[[#All],[FGCODE]])))</f>
        <v>1</v>
      </c>
    </row>
    <row r="1521" spans="1:14" x14ac:dyDescent="0.3">
      <c r="A1521" s="2" t="s">
        <v>6743</v>
      </c>
      <c r="B1521" s="2" t="s">
        <v>14</v>
      </c>
      <c r="C1521" s="2" t="s">
        <v>6748</v>
      </c>
      <c r="D1521" s="3">
        <v>6</v>
      </c>
      <c r="E1521" s="3">
        <v>6</v>
      </c>
      <c r="F1521" s="2" t="s">
        <v>16</v>
      </c>
      <c r="G1521" s="2" t="s">
        <v>6749</v>
      </c>
      <c r="H1521" s="3">
        <v>0</v>
      </c>
      <c r="I1521" s="2" t="s">
        <v>409</v>
      </c>
      <c r="J1521" s="2" t="s">
        <v>6750</v>
      </c>
      <c r="K1521" s="2" t="s">
        <v>16</v>
      </c>
      <c r="L1521" s="2" t="s">
        <v>6751</v>
      </c>
      <c r="M1521" s="4">
        <v>0.46</v>
      </c>
      <c r="N1521" t="e">
        <f>OR(LEFT(B1521,3)="frg",(_xlfn.XMATCH(B1521,ZZZ_Part_Id_[[#All],[FGCODE]])))</f>
        <v>#N/A</v>
      </c>
    </row>
    <row r="1522" spans="1:14" x14ac:dyDescent="0.3">
      <c r="A1522" s="2" t="s">
        <v>6743</v>
      </c>
      <c r="B1522" s="2" t="s">
        <v>140</v>
      </c>
      <c r="C1522" s="2" t="s">
        <v>6752</v>
      </c>
      <c r="D1522" s="3">
        <v>0.24</v>
      </c>
      <c r="E1522" s="3">
        <v>0.24</v>
      </c>
      <c r="F1522" s="2" t="s">
        <v>16</v>
      </c>
      <c r="G1522" s="2" t="s">
        <v>6753</v>
      </c>
      <c r="H1522" s="3">
        <v>0</v>
      </c>
      <c r="I1522" s="2" t="s">
        <v>409</v>
      </c>
      <c r="J1522" s="2" t="s">
        <v>6754</v>
      </c>
      <c r="K1522" s="2" t="s">
        <v>16</v>
      </c>
      <c r="L1522" s="2" t="s">
        <v>6755</v>
      </c>
      <c r="M1522" s="4">
        <v>0.46</v>
      </c>
      <c r="N1522" t="e">
        <f>OR(LEFT(B1522,3)="frg",(_xlfn.XMATCH(B1522,ZZZ_Part_Id_[[#All],[FGCODE]])))</f>
        <v>#N/A</v>
      </c>
    </row>
    <row r="1523" spans="1:14" x14ac:dyDescent="0.3">
      <c r="A1523" s="2" t="s">
        <v>6743</v>
      </c>
      <c r="B1523" s="2" t="s">
        <v>192</v>
      </c>
      <c r="C1523" s="2" t="s">
        <v>6756</v>
      </c>
      <c r="D1523" s="3">
        <v>0.06</v>
      </c>
      <c r="E1523" s="3">
        <v>0.06</v>
      </c>
      <c r="F1523" s="2" t="s">
        <v>194</v>
      </c>
      <c r="G1523" s="2" t="s">
        <v>6757</v>
      </c>
      <c r="H1523" s="3">
        <v>0</v>
      </c>
      <c r="I1523" s="2" t="s">
        <v>409</v>
      </c>
      <c r="J1523" s="2" t="s">
        <v>6758</v>
      </c>
      <c r="K1523" s="2" t="s">
        <v>194</v>
      </c>
      <c r="L1523" s="2" t="s">
        <v>6759</v>
      </c>
      <c r="M1523" s="4">
        <v>0.31</v>
      </c>
      <c r="N1523" t="e">
        <f>OR(LEFT(B1523,3)="frg",(_xlfn.XMATCH(B1523,ZZZ_Part_Id_[[#All],[FGCODE]])))</f>
        <v>#N/A</v>
      </c>
    </row>
    <row r="1524" spans="1:14" x14ac:dyDescent="0.3">
      <c r="A1524" s="2" t="s">
        <v>6743</v>
      </c>
      <c r="B1524" s="2" t="s">
        <v>145</v>
      </c>
      <c r="C1524" s="2" t="s">
        <v>6760</v>
      </c>
      <c r="D1524" s="3">
        <v>2.4E-2</v>
      </c>
      <c r="E1524" s="3">
        <v>2.4E-2</v>
      </c>
      <c r="F1524" s="2" t="s">
        <v>147</v>
      </c>
      <c r="G1524" s="2" t="s">
        <v>6761</v>
      </c>
      <c r="H1524" s="3">
        <v>0</v>
      </c>
      <c r="I1524" s="2" t="s">
        <v>409</v>
      </c>
      <c r="J1524" s="2" t="s">
        <v>6762</v>
      </c>
      <c r="K1524" s="2" t="s">
        <v>147</v>
      </c>
      <c r="L1524" s="2" t="s">
        <v>6763</v>
      </c>
      <c r="M1524" s="4">
        <v>3.75</v>
      </c>
      <c r="N1524" t="e">
        <f>OR(LEFT(B1524,3)="frg",(_xlfn.XMATCH(B1524,ZZZ_Part_Id_[[#All],[FGCODE]])))</f>
        <v>#N/A</v>
      </c>
    </row>
    <row r="1525" spans="1:14" x14ac:dyDescent="0.3">
      <c r="A1525" s="2" t="s">
        <v>6764</v>
      </c>
      <c r="B1525" s="2" t="s">
        <v>14</v>
      </c>
      <c r="C1525" s="2" t="s">
        <v>6765</v>
      </c>
      <c r="D1525" s="3">
        <v>2</v>
      </c>
      <c r="E1525" s="3">
        <v>2</v>
      </c>
      <c r="F1525" s="2" t="s">
        <v>16</v>
      </c>
      <c r="G1525" s="2" t="s">
        <v>6766</v>
      </c>
      <c r="H1525" s="3">
        <v>0</v>
      </c>
      <c r="I1525" s="2" t="s">
        <v>18</v>
      </c>
      <c r="J1525" s="2" t="s">
        <v>6767</v>
      </c>
      <c r="K1525" s="2" t="s">
        <v>16</v>
      </c>
      <c r="L1525" s="2" t="s">
        <v>6768</v>
      </c>
      <c r="M1525" s="4">
        <v>0.15</v>
      </c>
      <c r="N1525" t="e">
        <f>OR(LEFT(B1525,3)="frg",(_xlfn.XMATCH(B1525,ZZZ_Part_Id_[[#All],[FGCODE]])))</f>
        <v>#N/A</v>
      </c>
    </row>
    <row r="1526" spans="1:14" x14ac:dyDescent="0.3">
      <c r="A1526" s="2" t="s">
        <v>6764</v>
      </c>
      <c r="B1526" s="2" t="s">
        <v>264</v>
      </c>
      <c r="C1526" s="2" t="s">
        <v>6769</v>
      </c>
      <c r="D1526" s="3">
        <v>2E-3</v>
      </c>
      <c r="E1526" s="3">
        <v>2E-3</v>
      </c>
      <c r="F1526" s="2" t="s">
        <v>16</v>
      </c>
      <c r="G1526" s="2" t="s">
        <v>6770</v>
      </c>
      <c r="H1526" s="3">
        <v>0</v>
      </c>
      <c r="I1526" s="2" t="s">
        <v>18</v>
      </c>
      <c r="J1526" s="2" t="s">
        <v>6771</v>
      </c>
      <c r="K1526" s="2" t="s">
        <v>16</v>
      </c>
      <c r="L1526" s="2" t="s">
        <v>6772</v>
      </c>
      <c r="M1526" s="4">
        <v>0.06</v>
      </c>
      <c r="N1526" t="e">
        <f>OR(LEFT(B1526,3)="frg",(_xlfn.XMATCH(B1526,ZZZ_Part_Id_[[#All],[FGCODE]])))</f>
        <v>#N/A</v>
      </c>
    </row>
    <row r="1527" spans="1:14" x14ac:dyDescent="0.3">
      <c r="A1527" s="2" t="s">
        <v>6764</v>
      </c>
      <c r="B1527" s="2" t="s">
        <v>4988</v>
      </c>
      <c r="C1527" s="2" t="s">
        <v>6773</v>
      </c>
      <c r="D1527" s="3">
        <v>20160</v>
      </c>
      <c r="E1527" s="3">
        <v>20160</v>
      </c>
      <c r="F1527" s="2" t="s">
        <v>16</v>
      </c>
      <c r="G1527" s="2" t="s">
        <v>6774</v>
      </c>
      <c r="H1527" s="3">
        <v>0</v>
      </c>
      <c r="I1527" s="2" t="s">
        <v>18</v>
      </c>
      <c r="J1527" s="2" t="s">
        <v>6775</v>
      </c>
      <c r="K1527" s="2" t="s">
        <v>16</v>
      </c>
      <c r="L1527" s="2" t="s">
        <v>6776</v>
      </c>
      <c r="M1527" s="4">
        <v>2806.88</v>
      </c>
      <c r="N1527" t="b">
        <f>OR(LEFT(B1527,3)="frg",(_xlfn.XMATCH(B1527,ZZZ_Part_Id_[[#All],[FGCODE]])))</f>
        <v>1</v>
      </c>
    </row>
    <row r="1528" spans="1:14" x14ac:dyDescent="0.3">
      <c r="A1528" s="2" t="s">
        <v>6777</v>
      </c>
      <c r="B1528" s="2" t="s">
        <v>14</v>
      </c>
      <c r="C1528" s="2" t="s">
        <v>6778</v>
      </c>
      <c r="D1528" s="3">
        <v>7</v>
      </c>
      <c r="E1528" s="3">
        <v>7</v>
      </c>
      <c r="F1528" s="2" t="s">
        <v>16</v>
      </c>
      <c r="G1528" s="2" t="s">
        <v>6779</v>
      </c>
      <c r="H1528" s="3">
        <v>0</v>
      </c>
      <c r="I1528" s="2" t="s">
        <v>18</v>
      </c>
      <c r="J1528" s="2" t="s">
        <v>6780</v>
      </c>
      <c r="K1528" s="2" t="s">
        <v>16</v>
      </c>
      <c r="L1528" s="2" t="s">
        <v>6781</v>
      </c>
      <c r="M1528" s="4">
        <v>0.54</v>
      </c>
      <c r="N1528" t="e">
        <f>OR(LEFT(B1528,3)="frg",(_xlfn.XMATCH(B1528,ZZZ_Part_Id_[[#All],[FGCODE]])))</f>
        <v>#N/A</v>
      </c>
    </row>
    <row r="1529" spans="1:14" x14ac:dyDescent="0.3">
      <c r="A1529" s="2" t="s">
        <v>6777</v>
      </c>
      <c r="B1529" s="2" t="s">
        <v>264</v>
      </c>
      <c r="C1529" s="2" t="s">
        <v>6782</v>
      </c>
      <c r="D1529" s="3">
        <v>7.0000000000000001E-3</v>
      </c>
      <c r="E1529" s="3">
        <v>7.0000000000000001E-3</v>
      </c>
      <c r="F1529" s="2" t="s">
        <v>16</v>
      </c>
      <c r="G1529" s="2" t="s">
        <v>6783</v>
      </c>
      <c r="H1529" s="3">
        <v>0</v>
      </c>
      <c r="I1529" s="2" t="s">
        <v>18</v>
      </c>
      <c r="J1529" s="2" t="s">
        <v>6784</v>
      </c>
      <c r="K1529" s="2" t="s">
        <v>16</v>
      </c>
      <c r="L1529" s="2" t="s">
        <v>6785</v>
      </c>
      <c r="M1529" s="4">
        <v>0.21</v>
      </c>
      <c r="N1529" t="e">
        <f>OR(LEFT(B1529,3)="frg",(_xlfn.XMATCH(B1529,ZZZ_Part_Id_[[#All],[FGCODE]])))</f>
        <v>#N/A</v>
      </c>
    </row>
    <row r="1530" spans="1:14" x14ac:dyDescent="0.3">
      <c r="A1530" s="2" t="s">
        <v>6777</v>
      </c>
      <c r="B1530" s="2" t="s">
        <v>4511</v>
      </c>
      <c r="C1530" s="2" t="s">
        <v>6786</v>
      </c>
      <c r="D1530" s="3">
        <v>231460</v>
      </c>
      <c r="E1530" s="3">
        <v>231460</v>
      </c>
      <c r="F1530" s="2" t="s">
        <v>16</v>
      </c>
      <c r="G1530" s="2" t="s">
        <v>6787</v>
      </c>
      <c r="H1530" s="3">
        <v>0</v>
      </c>
      <c r="I1530" s="2" t="s">
        <v>18</v>
      </c>
      <c r="J1530" s="2" t="s">
        <v>6788</v>
      </c>
      <c r="K1530" s="2" t="s">
        <v>16</v>
      </c>
      <c r="L1530" s="2" t="s">
        <v>6789</v>
      </c>
      <c r="M1530" s="4">
        <v>8547.83</v>
      </c>
      <c r="N1530" t="b">
        <f>OR(LEFT(B1530,3)="frg",(_xlfn.XMATCH(B1530,ZZZ_Part_Id_[[#All],[FGCODE]])))</f>
        <v>1</v>
      </c>
    </row>
    <row r="1531" spans="1:14" x14ac:dyDescent="0.3">
      <c r="A1531" s="2" t="s">
        <v>6777</v>
      </c>
      <c r="B1531" s="2" t="s">
        <v>86</v>
      </c>
      <c r="C1531" s="2" t="s">
        <v>6790</v>
      </c>
      <c r="D1531" s="5">
        <v>-161</v>
      </c>
      <c r="E1531" s="5">
        <v>-161</v>
      </c>
      <c r="F1531" s="2" t="s">
        <v>23</v>
      </c>
      <c r="G1531" s="2" t="s">
        <v>131</v>
      </c>
      <c r="H1531" s="3">
        <v>0</v>
      </c>
      <c r="I1531" s="2" t="s">
        <v>18</v>
      </c>
      <c r="J1531" s="2" t="s">
        <v>6791</v>
      </c>
      <c r="K1531" s="2" t="s">
        <v>23</v>
      </c>
      <c r="L1531" s="2" t="s">
        <v>6792</v>
      </c>
      <c r="M1531" s="6">
        <v>-421.47</v>
      </c>
      <c r="N1531" t="b">
        <f>OR(LEFT(B1531,3)="frg",(_xlfn.XMATCH(B1531,ZZZ_Part_Id_[[#All],[FGCODE]])))</f>
        <v>1</v>
      </c>
    </row>
    <row r="1532" spans="1:14" x14ac:dyDescent="0.3">
      <c r="A1532" s="2" t="s">
        <v>6793</v>
      </c>
      <c r="B1532" s="2" t="s">
        <v>14</v>
      </c>
      <c r="C1532" s="2" t="s">
        <v>6794</v>
      </c>
      <c r="D1532" s="3">
        <v>48</v>
      </c>
      <c r="E1532" s="3">
        <v>48</v>
      </c>
      <c r="F1532" s="2" t="s">
        <v>16</v>
      </c>
      <c r="G1532" s="2" t="s">
        <v>6795</v>
      </c>
      <c r="H1532" s="3">
        <v>0</v>
      </c>
      <c r="I1532" s="2" t="s">
        <v>18</v>
      </c>
      <c r="J1532" s="2" t="s">
        <v>6796</v>
      </c>
      <c r="K1532" s="2" t="s">
        <v>16</v>
      </c>
      <c r="L1532" s="2" t="s">
        <v>6797</v>
      </c>
      <c r="M1532" s="4">
        <v>3.69</v>
      </c>
      <c r="N1532" t="e">
        <f>OR(LEFT(B1532,3)="frg",(_xlfn.XMATCH(B1532,ZZZ_Part_Id_[[#All],[FGCODE]])))</f>
        <v>#N/A</v>
      </c>
    </row>
    <row r="1533" spans="1:14" x14ac:dyDescent="0.3">
      <c r="A1533" s="2" t="s">
        <v>6793</v>
      </c>
      <c r="B1533" s="2" t="s">
        <v>264</v>
      </c>
      <c r="C1533" s="2" t="s">
        <v>6798</v>
      </c>
      <c r="D1533" s="3">
        <v>4.8000000000000001E-2</v>
      </c>
      <c r="E1533" s="3">
        <v>4.8000000000000001E-2</v>
      </c>
      <c r="F1533" s="2" t="s">
        <v>16</v>
      </c>
      <c r="G1533" s="2" t="s">
        <v>6799</v>
      </c>
      <c r="H1533" s="3">
        <v>0</v>
      </c>
      <c r="I1533" s="2" t="s">
        <v>18</v>
      </c>
      <c r="J1533" s="2" t="s">
        <v>6800</v>
      </c>
      <c r="K1533" s="2" t="s">
        <v>16</v>
      </c>
      <c r="L1533" s="2" t="s">
        <v>6801</v>
      </c>
      <c r="M1533" s="4">
        <v>1.46</v>
      </c>
      <c r="N1533" t="e">
        <f>OR(LEFT(B1533,3)="frg",(_xlfn.XMATCH(B1533,ZZZ_Part_Id_[[#All],[FGCODE]])))</f>
        <v>#N/A</v>
      </c>
    </row>
    <row r="1534" spans="1:14" x14ac:dyDescent="0.3">
      <c r="A1534" s="2" t="s">
        <v>6793</v>
      </c>
      <c r="B1534" s="2" t="s">
        <v>517</v>
      </c>
      <c r="C1534" s="2" t="s">
        <v>6802</v>
      </c>
      <c r="D1534" s="3">
        <v>504000</v>
      </c>
      <c r="E1534" s="3">
        <v>504000</v>
      </c>
      <c r="F1534" s="2" t="s">
        <v>16</v>
      </c>
      <c r="G1534" s="2" t="s">
        <v>6803</v>
      </c>
      <c r="H1534" s="3">
        <v>0</v>
      </c>
      <c r="I1534" s="2" t="s">
        <v>18</v>
      </c>
      <c r="J1534" s="2" t="s">
        <v>6804</v>
      </c>
      <c r="K1534" s="2" t="s">
        <v>16</v>
      </c>
      <c r="L1534" s="2" t="s">
        <v>6805</v>
      </c>
      <c r="M1534" s="4">
        <v>58635.5</v>
      </c>
      <c r="N1534" t="b">
        <f>OR(LEFT(B1534,3)="frg",(_xlfn.XMATCH(B1534,ZZZ_Part_Id_[[#All],[FGCODE]])))</f>
        <v>1</v>
      </c>
    </row>
    <row r="1535" spans="1:14" x14ac:dyDescent="0.3">
      <c r="A1535" s="2" t="s">
        <v>6793</v>
      </c>
      <c r="B1535" s="2" t="s">
        <v>65</v>
      </c>
      <c r="C1535" s="2" t="s">
        <v>6806</v>
      </c>
      <c r="D1535" s="5">
        <v>-536</v>
      </c>
      <c r="E1535" s="5">
        <v>-536</v>
      </c>
      <c r="F1535" s="2" t="s">
        <v>23</v>
      </c>
      <c r="G1535" s="2" t="s">
        <v>6807</v>
      </c>
      <c r="H1535" s="3">
        <v>0</v>
      </c>
      <c r="I1535" s="2" t="s">
        <v>18</v>
      </c>
      <c r="J1535" s="2" t="s">
        <v>6808</v>
      </c>
      <c r="K1535" s="2" t="s">
        <v>23</v>
      </c>
      <c r="L1535" s="2" t="s">
        <v>6809</v>
      </c>
      <c r="M1535" s="6">
        <v>-1378.38</v>
      </c>
      <c r="N1535" t="b">
        <f>OR(LEFT(B1535,3)="frg",(_xlfn.XMATCH(B1535,ZZZ_Part_Id_[[#All],[FGCODE]])))</f>
        <v>1</v>
      </c>
    </row>
    <row r="1536" spans="1:14" x14ac:dyDescent="0.3">
      <c r="A1536" s="2" t="s">
        <v>6810</v>
      </c>
      <c r="B1536" s="2" t="s">
        <v>14</v>
      </c>
      <c r="C1536" s="2" t="s">
        <v>6811</v>
      </c>
      <c r="D1536" s="3">
        <v>72</v>
      </c>
      <c r="E1536" s="3">
        <v>72</v>
      </c>
      <c r="F1536" s="2" t="s">
        <v>16</v>
      </c>
      <c r="G1536" s="2" t="s">
        <v>6812</v>
      </c>
      <c r="H1536" s="3">
        <v>0</v>
      </c>
      <c r="I1536" s="2" t="s">
        <v>18</v>
      </c>
      <c r="J1536" s="2" t="s">
        <v>6813</v>
      </c>
      <c r="K1536" s="2" t="s">
        <v>16</v>
      </c>
      <c r="L1536" s="2" t="s">
        <v>6814</v>
      </c>
      <c r="M1536" s="4">
        <v>5.54</v>
      </c>
      <c r="N1536" t="e">
        <f>OR(LEFT(B1536,3)="frg",(_xlfn.XMATCH(B1536,ZZZ_Part_Id_[[#All],[FGCODE]])))</f>
        <v>#N/A</v>
      </c>
    </row>
    <row r="1537" spans="1:14" x14ac:dyDescent="0.3">
      <c r="A1537" s="2" t="s">
        <v>6810</v>
      </c>
      <c r="B1537" s="2" t="s">
        <v>264</v>
      </c>
      <c r="C1537" s="2" t="s">
        <v>6815</v>
      </c>
      <c r="D1537" s="3">
        <v>3.5999999999999997E-2</v>
      </c>
      <c r="E1537" s="3">
        <v>3.5999999999999997E-2</v>
      </c>
      <c r="F1537" s="2" t="s">
        <v>16</v>
      </c>
      <c r="G1537" s="2" t="s">
        <v>6816</v>
      </c>
      <c r="H1537" s="3">
        <v>0</v>
      </c>
      <c r="I1537" s="2" t="s">
        <v>18</v>
      </c>
      <c r="J1537" s="2" t="s">
        <v>6817</v>
      </c>
      <c r="K1537" s="2" t="s">
        <v>16</v>
      </c>
      <c r="L1537" s="2" t="s">
        <v>6818</v>
      </c>
      <c r="M1537" s="4">
        <v>1.0900000000000001</v>
      </c>
      <c r="N1537" t="e">
        <f>OR(LEFT(B1537,3)="frg",(_xlfn.XMATCH(B1537,ZZZ_Part_Id_[[#All],[FGCODE]])))</f>
        <v>#N/A</v>
      </c>
    </row>
    <row r="1538" spans="1:14" x14ac:dyDescent="0.3">
      <c r="A1538" s="2" t="s">
        <v>6810</v>
      </c>
      <c r="B1538" s="2" t="s">
        <v>1027</v>
      </c>
      <c r="C1538" s="2" t="s">
        <v>6819</v>
      </c>
      <c r="D1538" s="3">
        <v>382320</v>
      </c>
      <c r="E1538" s="3">
        <v>382320</v>
      </c>
      <c r="F1538" s="2" t="s">
        <v>16</v>
      </c>
      <c r="G1538" s="2" t="s">
        <v>6820</v>
      </c>
      <c r="H1538" s="3">
        <v>0</v>
      </c>
      <c r="I1538" s="2" t="s">
        <v>18</v>
      </c>
      <c r="J1538" s="2" t="s">
        <v>6821</v>
      </c>
      <c r="K1538" s="2" t="s">
        <v>16</v>
      </c>
      <c r="L1538" s="2" t="s">
        <v>6822</v>
      </c>
      <c r="M1538" s="4">
        <v>76953.240000000005</v>
      </c>
      <c r="N1538" t="b">
        <f>OR(LEFT(B1538,3)="frg",(_xlfn.XMATCH(B1538,ZZZ_Part_Id_[[#All],[FGCODE]])))</f>
        <v>1</v>
      </c>
    </row>
    <row r="1539" spans="1:14" x14ac:dyDescent="0.3">
      <c r="A1539" s="2" t="s">
        <v>6823</v>
      </c>
      <c r="B1539" s="2" t="s">
        <v>14</v>
      </c>
      <c r="C1539" s="2" t="s">
        <v>6824</v>
      </c>
      <c r="D1539" s="3">
        <v>19</v>
      </c>
      <c r="E1539" s="3">
        <v>19</v>
      </c>
      <c r="F1539" s="2" t="s">
        <v>16</v>
      </c>
      <c r="G1539" s="2" t="s">
        <v>6825</v>
      </c>
      <c r="H1539" s="3">
        <v>0</v>
      </c>
      <c r="I1539" s="2" t="s">
        <v>18</v>
      </c>
      <c r="J1539" s="2" t="s">
        <v>6826</v>
      </c>
      <c r="K1539" s="2" t="s">
        <v>16</v>
      </c>
      <c r="L1539" s="2" t="s">
        <v>6827</v>
      </c>
      <c r="M1539" s="4">
        <v>1.46</v>
      </c>
      <c r="N1539" t="e">
        <f>OR(LEFT(B1539,3)="frg",(_xlfn.XMATCH(B1539,ZZZ_Part_Id_[[#All],[FGCODE]])))</f>
        <v>#N/A</v>
      </c>
    </row>
    <row r="1540" spans="1:14" x14ac:dyDescent="0.3">
      <c r="A1540" s="2" t="s">
        <v>6823</v>
      </c>
      <c r="B1540" s="2" t="s">
        <v>161</v>
      </c>
      <c r="C1540" s="2" t="s">
        <v>6828</v>
      </c>
      <c r="D1540" s="3">
        <v>1.9E-2</v>
      </c>
      <c r="E1540" s="3">
        <v>1.9E-2</v>
      </c>
      <c r="F1540" s="2" t="s">
        <v>163</v>
      </c>
      <c r="G1540" s="2" t="s">
        <v>6829</v>
      </c>
      <c r="H1540" s="3">
        <v>0</v>
      </c>
      <c r="I1540" s="2" t="s">
        <v>18</v>
      </c>
      <c r="J1540" s="2" t="s">
        <v>6830</v>
      </c>
      <c r="K1540" s="2" t="s">
        <v>163</v>
      </c>
      <c r="L1540" s="2" t="s">
        <v>6831</v>
      </c>
      <c r="M1540" s="4">
        <v>0.1</v>
      </c>
      <c r="N1540" t="e">
        <f>OR(LEFT(B1540,3)="frg",(_xlfn.XMATCH(B1540,ZZZ_Part_Id_[[#All],[FGCODE]])))</f>
        <v>#N/A</v>
      </c>
    </row>
    <row r="1541" spans="1:14" x14ac:dyDescent="0.3">
      <c r="A1541" s="2" t="s">
        <v>6823</v>
      </c>
      <c r="B1541" s="2" t="s">
        <v>145</v>
      </c>
      <c r="C1541" s="2" t="s">
        <v>6832</v>
      </c>
      <c r="D1541" s="3">
        <v>7.5999999999999998E-2</v>
      </c>
      <c r="E1541" s="3">
        <v>7.5999999999999998E-2</v>
      </c>
      <c r="F1541" s="2" t="s">
        <v>147</v>
      </c>
      <c r="G1541" s="2" t="s">
        <v>6833</v>
      </c>
      <c r="H1541" s="3">
        <v>0</v>
      </c>
      <c r="I1541" s="2" t="s">
        <v>18</v>
      </c>
      <c r="J1541" s="2" t="s">
        <v>6834</v>
      </c>
      <c r="K1541" s="2" t="s">
        <v>147</v>
      </c>
      <c r="L1541" s="2" t="s">
        <v>6835</v>
      </c>
      <c r="M1541" s="4">
        <v>11.89</v>
      </c>
      <c r="N1541" t="e">
        <f>OR(LEFT(B1541,3)="frg",(_xlfn.XMATCH(B1541,ZZZ_Part_Id_[[#All],[FGCODE]])))</f>
        <v>#N/A</v>
      </c>
    </row>
    <row r="1542" spans="1:14" x14ac:dyDescent="0.3">
      <c r="A1542" s="2" t="s">
        <v>6823</v>
      </c>
      <c r="B1542" s="2" t="s">
        <v>192</v>
      </c>
      <c r="C1542" s="2" t="s">
        <v>6836</v>
      </c>
      <c r="D1542" s="3">
        <v>0.19</v>
      </c>
      <c r="E1542" s="3">
        <v>0.19</v>
      </c>
      <c r="F1542" s="2" t="s">
        <v>194</v>
      </c>
      <c r="G1542" s="2" t="s">
        <v>6837</v>
      </c>
      <c r="H1542" s="3">
        <v>0</v>
      </c>
      <c r="I1542" s="2" t="s">
        <v>18</v>
      </c>
      <c r="J1542" s="2" t="s">
        <v>6838</v>
      </c>
      <c r="K1542" s="2" t="s">
        <v>194</v>
      </c>
      <c r="L1542" s="2" t="s">
        <v>6839</v>
      </c>
      <c r="M1542" s="4">
        <v>0.99</v>
      </c>
      <c r="N1542" t="e">
        <f>OR(LEFT(B1542,3)="frg",(_xlfn.XMATCH(B1542,ZZZ_Part_Id_[[#All],[FGCODE]])))</f>
        <v>#N/A</v>
      </c>
    </row>
    <row r="1543" spans="1:14" x14ac:dyDescent="0.3">
      <c r="A1543" s="2" t="s">
        <v>6823</v>
      </c>
      <c r="B1543" s="2" t="s">
        <v>264</v>
      </c>
      <c r="C1543" s="2" t="s">
        <v>6840</v>
      </c>
      <c r="D1543" s="3">
        <v>1.9E-2</v>
      </c>
      <c r="E1543" s="3">
        <v>1.9E-2</v>
      </c>
      <c r="F1543" s="2" t="s">
        <v>16</v>
      </c>
      <c r="G1543" s="2" t="s">
        <v>6841</v>
      </c>
      <c r="H1543" s="3">
        <v>0</v>
      </c>
      <c r="I1543" s="2" t="s">
        <v>18</v>
      </c>
      <c r="J1543" s="2" t="s">
        <v>6842</v>
      </c>
      <c r="K1543" s="2" t="s">
        <v>16</v>
      </c>
      <c r="L1543" s="2" t="s">
        <v>6843</v>
      </c>
      <c r="M1543" s="4">
        <v>0.57999999999999996</v>
      </c>
      <c r="N1543" t="e">
        <f>OR(LEFT(B1543,3)="frg",(_xlfn.XMATCH(B1543,ZZZ_Part_Id_[[#All],[FGCODE]])))</f>
        <v>#N/A</v>
      </c>
    </row>
    <row r="1544" spans="1:14" x14ac:dyDescent="0.3">
      <c r="A1544" s="2" t="s">
        <v>6823</v>
      </c>
      <c r="B1544" s="2" t="s">
        <v>37</v>
      </c>
      <c r="C1544" s="2" t="s">
        <v>6844</v>
      </c>
      <c r="D1544" s="3">
        <v>19</v>
      </c>
      <c r="E1544" s="3">
        <v>19</v>
      </c>
      <c r="F1544" s="2" t="s">
        <v>16</v>
      </c>
      <c r="G1544" s="2" t="s">
        <v>6845</v>
      </c>
      <c r="H1544" s="3">
        <v>0</v>
      </c>
      <c r="I1544" s="2" t="s">
        <v>18</v>
      </c>
      <c r="J1544" s="2" t="s">
        <v>6846</v>
      </c>
      <c r="K1544" s="2" t="s">
        <v>16</v>
      </c>
      <c r="L1544" s="2" t="s">
        <v>6847</v>
      </c>
      <c r="M1544" s="4">
        <v>304</v>
      </c>
      <c r="N1544" t="e">
        <f>OR(LEFT(B1544,3)="frg",(_xlfn.XMATCH(B1544,ZZZ_Part_Id_[[#All],[FGCODE]])))</f>
        <v>#N/A</v>
      </c>
    </row>
    <row r="1545" spans="1:14" x14ac:dyDescent="0.3">
      <c r="A1545" s="2" t="s">
        <v>6823</v>
      </c>
      <c r="B1545" s="2" t="s">
        <v>76</v>
      </c>
      <c r="C1545" s="2" t="s">
        <v>6848</v>
      </c>
      <c r="D1545" s="3">
        <v>507600</v>
      </c>
      <c r="E1545" s="3">
        <v>507600</v>
      </c>
      <c r="F1545" s="2" t="s">
        <v>16</v>
      </c>
      <c r="G1545" s="2" t="s">
        <v>6849</v>
      </c>
      <c r="H1545" s="3">
        <v>0</v>
      </c>
      <c r="I1545" s="2" t="s">
        <v>18</v>
      </c>
      <c r="J1545" s="2" t="s">
        <v>6850</v>
      </c>
      <c r="K1545" s="2" t="s">
        <v>16</v>
      </c>
      <c r="L1545" s="2" t="s">
        <v>6851</v>
      </c>
      <c r="M1545" s="4">
        <v>4223.2</v>
      </c>
      <c r="N1545" t="b">
        <f>OR(LEFT(B1545,3)="frg",(_xlfn.XMATCH(B1545,ZZZ_Part_Id_[[#All],[FGCODE]])))</f>
        <v>1</v>
      </c>
    </row>
    <row r="1546" spans="1:14" x14ac:dyDescent="0.3">
      <c r="A1546" s="2" t="s">
        <v>6823</v>
      </c>
      <c r="B1546" s="2" t="s">
        <v>86</v>
      </c>
      <c r="C1546" s="2" t="s">
        <v>6852</v>
      </c>
      <c r="D1546" s="5">
        <v>-238</v>
      </c>
      <c r="E1546" s="5">
        <v>-238</v>
      </c>
      <c r="F1546" s="2" t="s">
        <v>23</v>
      </c>
      <c r="G1546" s="2" t="s">
        <v>6853</v>
      </c>
      <c r="H1546" s="3">
        <v>0</v>
      </c>
      <c r="I1546" s="2" t="s">
        <v>18</v>
      </c>
      <c r="J1546" s="2" t="s">
        <v>6854</v>
      </c>
      <c r="K1546" s="2" t="s">
        <v>23</v>
      </c>
      <c r="L1546" s="2" t="s">
        <v>6855</v>
      </c>
      <c r="M1546" s="6">
        <v>-623.04</v>
      </c>
      <c r="N1546" t="b">
        <f>OR(LEFT(B1546,3)="frg",(_xlfn.XMATCH(B1546,ZZZ_Part_Id_[[#All],[FGCODE]])))</f>
        <v>1</v>
      </c>
    </row>
    <row r="1547" spans="1:14" x14ac:dyDescent="0.3">
      <c r="A1547" s="2" t="s">
        <v>6856</v>
      </c>
      <c r="B1547" s="2" t="s">
        <v>14</v>
      </c>
      <c r="C1547" s="2" t="s">
        <v>6857</v>
      </c>
      <c r="D1547" s="3">
        <v>2</v>
      </c>
      <c r="E1547" s="3">
        <v>2</v>
      </c>
      <c r="F1547" s="2" t="s">
        <v>16</v>
      </c>
      <c r="G1547" s="2" t="s">
        <v>6858</v>
      </c>
      <c r="H1547" s="3">
        <v>0</v>
      </c>
      <c r="I1547" s="2" t="s">
        <v>18</v>
      </c>
      <c r="J1547" s="2" t="s">
        <v>6859</v>
      </c>
      <c r="K1547" s="2" t="s">
        <v>16</v>
      </c>
      <c r="L1547" s="2" t="s">
        <v>6860</v>
      </c>
      <c r="M1547" s="4">
        <v>0.15</v>
      </c>
      <c r="N1547" t="e">
        <f>OR(LEFT(B1547,3)="frg",(_xlfn.XMATCH(B1547,ZZZ_Part_Id_[[#All],[FGCODE]])))</f>
        <v>#N/A</v>
      </c>
    </row>
    <row r="1548" spans="1:14" x14ac:dyDescent="0.3">
      <c r="A1548" s="2" t="s">
        <v>6856</v>
      </c>
      <c r="B1548" s="2" t="s">
        <v>264</v>
      </c>
      <c r="C1548" s="2" t="s">
        <v>6861</v>
      </c>
      <c r="D1548" s="3">
        <v>2E-3</v>
      </c>
      <c r="E1548" s="3">
        <v>2E-3</v>
      </c>
      <c r="F1548" s="2" t="s">
        <v>16</v>
      </c>
      <c r="G1548" s="2" t="s">
        <v>6862</v>
      </c>
      <c r="H1548" s="3">
        <v>0</v>
      </c>
      <c r="I1548" s="2" t="s">
        <v>18</v>
      </c>
      <c r="J1548" s="2" t="s">
        <v>6863</v>
      </c>
      <c r="K1548" s="2" t="s">
        <v>16</v>
      </c>
      <c r="L1548" s="2" t="s">
        <v>6864</v>
      </c>
      <c r="M1548" s="4">
        <v>0.06</v>
      </c>
      <c r="N1548" t="e">
        <f>OR(LEFT(B1548,3)="frg",(_xlfn.XMATCH(B1548,ZZZ_Part_Id_[[#All],[FGCODE]])))</f>
        <v>#N/A</v>
      </c>
    </row>
    <row r="1549" spans="1:14" x14ac:dyDescent="0.3">
      <c r="A1549" s="2" t="s">
        <v>6856</v>
      </c>
      <c r="B1549" s="2" t="s">
        <v>1119</v>
      </c>
      <c r="C1549" s="2" t="s">
        <v>6865</v>
      </c>
      <c r="D1549" s="3">
        <v>50760</v>
      </c>
      <c r="E1549" s="3">
        <v>50760</v>
      </c>
      <c r="F1549" s="2" t="s">
        <v>16</v>
      </c>
      <c r="G1549" s="2" t="s">
        <v>6866</v>
      </c>
      <c r="H1549" s="3">
        <v>0</v>
      </c>
      <c r="I1549" s="2" t="s">
        <v>18</v>
      </c>
      <c r="J1549" s="2" t="s">
        <v>6867</v>
      </c>
      <c r="K1549" s="2" t="s">
        <v>16</v>
      </c>
      <c r="L1549" s="2" t="s">
        <v>6868</v>
      </c>
      <c r="M1549" s="4">
        <v>2344.6</v>
      </c>
      <c r="N1549" t="b">
        <f>OR(LEFT(B1549,3)="frg",(_xlfn.XMATCH(B1549,ZZZ_Part_Id_[[#All],[FGCODE]])))</f>
        <v>1</v>
      </c>
    </row>
    <row r="1550" spans="1:14" x14ac:dyDescent="0.3">
      <c r="A1550" s="2" t="s">
        <v>6869</v>
      </c>
      <c r="B1550" s="2" t="s">
        <v>14</v>
      </c>
      <c r="C1550" s="2" t="s">
        <v>6870</v>
      </c>
      <c r="D1550" s="3">
        <v>2</v>
      </c>
      <c r="E1550" s="3">
        <v>2</v>
      </c>
      <c r="F1550" s="2" t="s">
        <v>16</v>
      </c>
      <c r="G1550" s="2" t="s">
        <v>6871</v>
      </c>
      <c r="H1550" s="3">
        <v>0</v>
      </c>
      <c r="I1550" s="2" t="s">
        <v>18</v>
      </c>
      <c r="J1550" s="2" t="s">
        <v>6872</v>
      </c>
      <c r="K1550" s="2" t="s">
        <v>16</v>
      </c>
      <c r="L1550" s="2" t="s">
        <v>6873</v>
      </c>
      <c r="M1550" s="4">
        <v>0.15</v>
      </c>
      <c r="N1550" t="e">
        <f>OR(LEFT(B1550,3)="frg",(_xlfn.XMATCH(B1550,ZZZ_Part_Id_[[#All],[FGCODE]])))</f>
        <v>#N/A</v>
      </c>
    </row>
    <row r="1551" spans="1:14" x14ac:dyDescent="0.3">
      <c r="A1551" s="2" t="s">
        <v>6869</v>
      </c>
      <c r="B1551" s="2" t="s">
        <v>264</v>
      </c>
      <c r="C1551" s="2" t="s">
        <v>6874</v>
      </c>
      <c r="D1551" s="3">
        <v>2E-3</v>
      </c>
      <c r="E1551" s="3">
        <v>2E-3</v>
      </c>
      <c r="F1551" s="2" t="s">
        <v>16</v>
      </c>
      <c r="G1551" s="2" t="s">
        <v>6875</v>
      </c>
      <c r="H1551" s="3">
        <v>0</v>
      </c>
      <c r="I1551" s="2" t="s">
        <v>18</v>
      </c>
      <c r="J1551" s="2" t="s">
        <v>6876</v>
      </c>
      <c r="K1551" s="2" t="s">
        <v>16</v>
      </c>
      <c r="L1551" s="2" t="s">
        <v>6877</v>
      </c>
      <c r="M1551" s="4">
        <v>0.06</v>
      </c>
      <c r="N1551" t="e">
        <f>OR(LEFT(B1551,3)="frg",(_xlfn.XMATCH(B1551,ZZZ_Part_Id_[[#All],[FGCODE]])))</f>
        <v>#N/A</v>
      </c>
    </row>
    <row r="1552" spans="1:14" x14ac:dyDescent="0.3">
      <c r="A1552" s="2" t="s">
        <v>6869</v>
      </c>
      <c r="B1552" s="2" t="s">
        <v>91</v>
      </c>
      <c r="C1552" s="2" t="s">
        <v>6878</v>
      </c>
      <c r="D1552" s="3">
        <v>54000</v>
      </c>
      <c r="E1552" s="3">
        <v>54000</v>
      </c>
      <c r="F1552" s="2" t="s">
        <v>16</v>
      </c>
      <c r="G1552" s="2" t="s">
        <v>6879</v>
      </c>
      <c r="H1552" s="3">
        <v>0</v>
      </c>
      <c r="I1552" s="2" t="s">
        <v>18</v>
      </c>
      <c r="J1552" s="2" t="s">
        <v>6880</v>
      </c>
      <c r="K1552" s="2" t="s">
        <v>16</v>
      </c>
      <c r="L1552" s="2" t="s">
        <v>6881</v>
      </c>
      <c r="M1552" s="4">
        <v>2030.4</v>
      </c>
      <c r="N1552" t="b">
        <f>OR(LEFT(B1552,3)="frg",(_xlfn.XMATCH(B1552,ZZZ_Part_Id_[[#All],[FGCODE]])))</f>
        <v>1</v>
      </c>
    </row>
    <row r="1553" spans="1:14" x14ac:dyDescent="0.3">
      <c r="A1553" s="2" t="s">
        <v>6882</v>
      </c>
      <c r="B1553" s="2" t="s">
        <v>14</v>
      </c>
      <c r="C1553" s="2" t="s">
        <v>6883</v>
      </c>
      <c r="D1553" s="3">
        <v>1</v>
      </c>
      <c r="E1553" s="3">
        <v>1</v>
      </c>
      <c r="F1553" s="2" t="s">
        <v>16</v>
      </c>
      <c r="G1553" s="2" t="s">
        <v>6884</v>
      </c>
      <c r="H1553" s="3">
        <v>0</v>
      </c>
      <c r="I1553" s="2" t="s">
        <v>18</v>
      </c>
      <c r="J1553" s="2" t="s">
        <v>6885</v>
      </c>
      <c r="K1553" s="2" t="s">
        <v>16</v>
      </c>
      <c r="L1553" s="2" t="s">
        <v>6886</v>
      </c>
      <c r="M1553" s="4">
        <v>0.08</v>
      </c>
      <c r="N1553" t="e">
        <f>OR(LEFT(B1553,3)="frg",(_xlfn.XMATCH(B1553,ZZZ_Part_Id_[[#All],[FGCODE]])))</f>
        <v>#N/A</v>
      </c>
    </row>
    <row r="1554" spans="1:14" x14ac:dyDescent="0.3">
      <c r="A1554" s="2" t="s">
        <v>6882</v>
      </c>
      <c r="B1554" s="2" t="s">
        <v>264</v>
      </c>
      <c r="C1554" s="2" t="s">
        <v>6887</v>
      </c>
      <c r="D1554" s="3">
        <v>1E-3</v>
      </c>
      <c r="E1554" s="3">
        <v>1E-3</v>
      </c>
      <c r="F1554" s="2" t="s">
        <v>16</v>
      </c>
      <c r="G1554" s="2" t="s">
        <v>6888</v>
      </c>
      <c r="H1554" s="3">
        <v>0</v>
      </c>
      <c r="I1554" s="2" t="s">
        <v>18</v>
      </c>
      <c r="J1554" s="2" t="s">
        <v>6889</v>
      </c>
      <c r="K1554" s="2" t="s">
        <v>16</v>
      </c>
      <c r="L1554" s="2" t="s">
        <v>6890</v>
      </c>
      <c r="M1554" s="4">
        <v>0.03</v>
      </c>
      <c r="N1554" t="e">
        <f>OR(LEFT(B1554,3)="frg",(_xlfn.XMATCH(B1554,ZZZ_Part_Id_[[#All],[FGCODE]])))</f>
        <v>#N/A</v>
      </c>
    </row>
    <row r="1555" spans="1:14" x14ac:dyDescent="0.3">
      <c r="A1555" s="2" t="s">
        <v>6882</v>
      </c>
      <c r="B1555" s="2" t="s">
        <v>308</v>
      </c>
      <c r="C1555" s="2" t="s">
        <v>6891</v>
      </c>
      <c r="D1555" s="3">
        <v>27000</v>
      </c>
      <c r="E1555" s="3">
        <v>27000</v>
      </c>
      <c r="F1555" s="2" t="s">
        <v>16</v>
      </c>
      <c r="G1555" s="2" t="s">
        <v>6892</v>
      </c>
      <c r="H1555" s="3">
        <v>0</v>
      </c>
      <c r="I1555" s="2" t="s">
        <v>18</v>
      </c>
      <c r="J1555" s="2" t="s">
        <v>6893</v>
      </c>
      <c r="K1555" s="2" t="s">
        <v>16</v>
      </c>
      <c r="L1555" s="2" t="s">
        <v>6894</v>
      </c>
      <c r="M1555" s="4">
        <v>1045.44</v>
      </c>
      <c r="N1555" t="b">
        <f>OR(LEFT(B1555,3)="frg",(_xlfn.XMATCH(B1555,ZZZ_Part_Id_[[#All],[FGCODE]])))</f>
        <v>1</v>
      </c>
    </row>
    <row r="1556" spans="1:14" x14ac:dyDescent="0.3">
      <c r="A1556" s="2" t="s">
        <v>6895</v>
      </c>
      <c r="B1556" s="2" t="s">
        <v>14</v>
      </c>
      <c r="C1556" s="2" t="s">
        <v>6896</v>
      </c>
      <c r="D1556" s="3">
        <v>5</v>
      </c>
      <c r="E1556" s="3">
        <v>5</v>
      </c>
      <c r="F1556" s="2" t="s">
        <v>16</v>
      </c>
      <c r="G1556" s="2" t="s">
        <v>6897</v>
      </c>
      <c r="H1556" s="3">
        <v>0</v>
      </c>
      <c r="I1556" s="2" t="s">
        <v>18</v>
      </c>
      <c r="J1556" s="2" t="s">
        <v>6898</v>
      </c>
      <c r="K1556" s="2" t="s">
        <v>16</v>
      </c>
      <c r="L1556" s="2" t="s">
        <v>6899</v>
      </c>
      <c r="M1556" s="4">
        <v>0.38</v>
      </c>
      <c r="N1556" t="e">
        <f>OR(LEFT(B1556,3)="frg",(_xlfn.XMATCH(B1556,ZZZ_Part_Id_[[#All],[FGCODE]])))</f>
        <v>#N/A</v>
      </c>
    </row>
    <row r="1557" spans="1:14" x14ac:dyDescent="0.3">
      <c r="A1557" s="2" t="s">
        <v>6895</v>
      </c>
      <c r="B1557" s="2" t="s">
        <v>264</v>
      </c>
      <c r="C1557" s="2" t="s">
        <v>6900</v>
      </c>
      <c r="D1557" s="3">
        <v>5.0000000000000001E-3</v>
      </c>
      <c r="E1557" s="3">
        <v>5.0000000000000001E-3</v>
      </c>
      <c r="F1557" s="2" t="s">
        <v>16</v>
      </c>
      <c r="G1557" s="2" t="s">
        <v>6901</v>
      </c>
      <c r="H1557" s="3">
        <v>0</v>
      </c>
      <c r="I1557" s="2" t="s">
        <v>18</v>
      </c>
      <c r="J1557" s="2" t="s">
        <v>6902</v>
      </c>
      <c r="K1557" s="2" t="s">
        <v>16</v>
      </c>
      <c r="L1557" s="2" t="s">
        <v>6903</v>
      </c>
      <c r="M1557" s="4">
        <v>0.15</v>
      </c>
      <c r="N1557" t="e">
        <f>OR(LEFT(B1557,3)="frg",(_xlfn.XMATCH(B1557,ZZZ_Part_Id_[[#All],[FGCODE]])))</f>
        <v>#N/A</v>
      </c>
    </row>
    <row r="1558" spans="1:14" x14ac:dyDescent="0.3">
      <c r="A1558" s="2" t="s">
        <v>6895</v>
      </c>
      <c r="B1558" s="2" t="s">
        <v>86</v>
      </c>
      <c r="C1558" s="2" t="s">
        <v>6904</v>
      </c>
      <c r="D1558" s="5">
        <v>-222</v>
      </c>
      <c r="E1558" s="5">
        <v>-222</v>
      </c>
      <c r="F1558" s="2" t="s">
        <v>23</v>
      </c>
      <c r="G1558" s="2" t="s">
        <v>6905</v>
      </c>
      <c r="H1558" s="3">
        <v>0</v>
      </c>
      <c r="I1558" s="2" t="s">
        <v>18</v>
      </c>
      <c r="J1558" s="2" t="s">
        <v>6906</v>
      </c>
      <c r="K1558" s="2" t="s">
        <v>23</v>
      </c>
      <c r="L1558" s="2" t="s">
        <v>6907</v>
      </c>
      <c r="M1558" s="6">
        <v>-581.15</v>
      </c>
      <c r="N1558" t="b">
        <f>OR(LEFT(B1558,3)="frg",(_xlfn.XMATCH(B1558,ZZZ_Part_Id_[[#All],[FGCODE]])))</f>
        <v>1</v>
      </c>
    </row>
    <row r="1559" spans="1:14" x14ac:dyDescent="0.3">
      <c r="A1559" s="2" t="s">
        <v>6895</v>
      </c>
      <c r="B1559" s="2" t="s">
        <v>797</v>
      </c>
      <c r="C1559" s="2" t="s">
        <v>6908</v>
      </c>
      <c r="D1559" s="3">
        <v>179280</v>
      </c>
      <c r="E1559" s="3">
        <v>179280</v>
      </c>
      <c r="F1559" s="2" t="s">
        <v>16</v>
      </c>
      <c r="G1559" s="2" t="s">
        <v>6909</v>
      </c>
      <c r="H1559" s="3">
        <v>0</v>
      </c>
      <c r="I1559" s="2" t="s">
        <v>18</v>
      </c>
      <c r="J1559" s="2" t="s">
        <v>6910</v>
      </c>
      <c r="K1559" s="2" t="s">
        <v>16</v>
      </c>
      <c r="L1559" s="2" t="s">
        <v>6911</v>
      </c>
      <c r="M1559" s="4">
        <v>6393.12</v>
      </c>
      <c r="N1559" t="b">
        <f>OR(LEFT(B1559,3)="frg",(_xlfn.XMATCH(B1559,ZZZ_Part_Id_[[#All],[FGCODE]])))</f>
        <v>1</v>
      </c>
    </row>
    <row r="1560" spans="1:14" x14ac:dyDescent="0.3">
      <c r="A1560" s="2" t="s">
        <v>6912</v>
      </c>
      <c r="B1560" s="2" t="s">
        <v>14</v>
      </c>
      <c r="C1560" s="2" t="s">
        <v>6913</v>
      </c>
      <c r="D1560" s="3">
        <v>2</v>
      </c>
      <c r="E1560" s="3">
        <v>2</v>
      </c>
      <c r="F1560" s="2" t="s">
        <v>16</v>
      </c>
      <c r="G1560" s="2" t="s">
        <v>6914</v>
      </c>
      <c r="H1560" s="3">
        <v>0</v>
      </c>
      <c r="I1560" s="2" t="s">
        <v>18</v>
      </c>
      <c r="J1560" s="2" t="s">
        <v>6915</v>
      </c>
      <c r="K1560" s="2" t="s">
        <v>16</v>
      </c>
      <c r="L1560" s="2" t="s">
        <v>6916</v>
      </c>
      <c r="M1560" s="4">
        <v>0.15</v>
      </c>
      <c r="N1560" t="e">
        <f>OR(LEFT(B1560,3)="frg",(_xlfn.XMATCH(B1560,ZZZ_Part_Id_[[#All],[FGCODE]])))</f>
        <v>#N/A</v>
      </c>
    </row>
    <row r="1561" spans="1:14" x14ac:dyDescent="0.3">
      <c r="A1561" s="2" t="s">
        <v>6912</v>
      </c>
      <c r="B1561" s="2" t="s">
        <v>264</v>
      </c>
      <c r="C1561" s="2" t="s">
        <v>6917</v>
      </c>
      <c r="D1561" s="3">
        <v>2E-3</v>
      </c>
      <c r="E1561" s="3">
        <v>2E-3</v>
      </c>
      <c r="F1561" s="2" t="s">
        <v>16</v>
      </c>
      <c r="G1561" s="2" t="s">
        <v>6918</v>
      </c>
      <c r="H1561" s="3">
        <v>0</v>
      </c>
      <c r="I1561" s="2" t="s">
        <v>18</v>
      </c>
      <c r="J1561" s="2" t="s">
        <v>6919</v>
      </c>
      <c r="K1561" s="2" t="s">
        <v>16</v>
      </c>
      <c r="L1561" s="2" t="s">
        <v>6920</v>
      </c>
      <c r="M1561" s="4">
        <v>0.06</v>
      </c>
      <c r="N1561" t="e">
        <f>OR(LEFT(B1561,3)="frg",(_xlfn.XMATCH(B1561,ZZZ_Part_Id_[[#All],[FGCODE]])))</f>
        <v>#N/A</v>
      </c>
    </row>
    <row r="1562" spans="1:14" x14ac:dyDescent="0.3">
      <c r="A1562" s="2" t="s">
        <v>6912</v>
      </c>
      <c r="B1562" s="2" t="s">
        <v>5357</v>
      </c>
      <c r="C1562" s="2" t="s">
        <v>6921</v>
      </c>
      <c r="D1562" s="3">
        <v>13248</v>
      </c>
      <c r="E1562" s="3">
        <v>13248</v>
      </c>
      <c r="F1562" s="2" t="s">
        <v>16</v>
      </c>
      <c r="G1562" s="2" t="s">
        <v>6922</v>
      </c>
      <c r="H1562" s="3">
        <v>0</v>
      </c>
      <c r="I1562" s="2" t="s">
        <v>18</v>
      </c>
      <c r="J1562" s="2" t="s">
        <v>6923</v>
      </c>
      <c r="K1562" s="2" t="s">
        <v>16</v>
      </c>
      <c r="L1562" s="2" t="s">
        <v>6924</v>
      </c>
      <c r="M1562" s="4">
        <v>3936.24</v>
      </c>
      <c r="N1562" t="b">
        <f>OR(LEFT(B1562,3)="frg",(_xlfn.XMATCH(B1562,ZZZ_Part_Id_[[#All],[FGCODE]])))</f>
        <v>1</v>
      </c>
    </row>
    <row r="1563" spans="1:14" x14ac:dyDescent="0.3">
      <c r="A1563" s="2" t="s">
        <v>6925</v>
      </c>
      <c r="B1563" s="2" t="s">
        <v>14</v>
      </c>
      <c r="C1563" s="2" t="s">
        <v>6926</v>
      </c>
      <c r="D1563" s="3">
        <v>2</v>
      </c>
      <c r="E1563" s="3">
        <v>2</v>
      </c>
      <c r="F1563" s="2" t="s">
        <v>16</v>
      </c>
      <c r="G1563" s="2" t="s">
        <v>6927</v>
      </c>
      <c r="H1563" s="3">
        <v>0</v>
      </c>
      <c r="I1563" s="2" t="s">
        <v>18</v>
      </c>
      <c r="J1563" s="2" t="s">
        <v>6928</v>
      </c>
      <c r="K1563" s="2" t="s">
        <v>16</v>
      </c>
      <c r="L1563" s="2" t="s">
        <v>6929</v>
      </c>
      <c r="M1563" s="4">
        <v>0.15</v>
      </c>
      <c r="N1563" t="e">
        <f>OR(LEFT(B1563,3)="frg",(_xlfn.XMATCH(B1563,ZZZ_Part_Id_[[#All],[FGCODE]])))</f>
        <v>#N/A</v>
      </c>
    </row>
    <row r="1564" spans="1:14" x14ac:dyDescent="0.3">
      <c r="A1564" s="2" t="s">
        <v>6925</v>
      </c>
      <c r="B1564" s="2" t="s">
        <v>264</v>
      </c>
      <c r="C1564" s="2" t="s">
        <v>6930</v>
      </c>
      <c r="D1564" s="3">
        <v>2E-3</v>
      </c>
      <c r="E1564" s="3">
        <v>2E-3</v>
      </c>
      <c r="F1564" s="2" t="s">
        <v>16</v>
      </c>
      <c r="G1564" s="2" t="s">
        <v>6931</v>
      </c>
      <c r="H1564" s="3">
        <v>0</v>
      </c>
      <c r="I1564" s="2" t="s">
        <v>18</v>
      </c>
      <c r="J1564" s="2" t="s">
        <v>6932</v>
      </c>
      <c r="K1564" s="2" t="s">
        <v>16</v>
      </c>
      <c r="L1564" s="2" t="s">
        <v>6933</v>
      </c>
      <c r="M1564" s="4">
        <v>0.06</v>
      </c>
      <c r="N1564" t="e">
        <f>OR(LEFT(B1564,3)="frg",(_xlfn.XMATCH(B1564,ZZZ_Part_Id_[[#All],[FGCODE]])))</f>
        <v>#N/A</v>
      </c>
    </row>
    <row r="1565" spans="1:14" x14ac:dyDescent="0.3">
      <c r="A1565" s="2" t="s">
        <v>6925</v>
      </c>
      <c r="B1565" s="2" t="s">
        <v>4955</v>
      </c>
      <c r="C1565" s="2" t="s">
        <v>6934</v>
      </c>
      <c r="D1565" s="3">
        <v>21312</v>
      </c>
      <c r="E1565" s="3">
        <v>21312</v>
      </c>
      <c r="F1565" s="2" t="s">
        <v>16</v>
      </c>
      <c r="G1565" s="2" t="s">
        <v>6935</v>
      </c>
      <c r="H1565" s="3">
        <v>0</v>
      </c>
      <c r="I1565" s="2" t="s">
        <v>18</v>
      </c>
      <c r="J1565" s="2" t="s">
        <v>6936</v>
      </c>
      <c r="K1565" s="2" t="s">
        <v>16</v>
      </c>
      <c r="L1565" s="2" t="s">
        <v>6937</v>
      </c>
      <c r="M1565" s="4">
        <v>1977.76</v>
      </c>
      <c r="N1565" t="b">
        <f>OR(LEFT(B1565,3)="frg",(_xlfn.XMATCH(B1565,ZZZ_Part_Id_[[#All],[FGCODE]])))</f>
        <v>1</v>
      </c>
    </row>
    <row r="1566" spans="1:14" x14ac:dyDescent="0.3">
      <c r="A1566" s="2" t="s">
        <v>6938</v>
      </c>
      <c r="B1566" s="2" t="s">
        <v>14</v>
      </c>
      <c r="C1566" s="2" t="s">
        <v>6939</v>
      </c>
      <c r="D1566" s="3">
        <v>35</v>
      </c>
      <c r="E1566" s="3">
        <v>35</v>
      </c>
      <c r="F1566" s="2" t="s">
        <v>16</v>
      </c>
      <c r="G1566" s="2" t="s">
        <v>6940</v>
      </c>
      <c r="H1566" s="3">
        <v>0</v>
      </c>
      <c r="I1566" s="2" t="s">
        <v>18</v>
      </c>
      <c r="J1566" s="2" t="s">
        <v>6941</v>
      </c>
      <c r="K1566" s="2" t="s">
        <v>16</v>
      </c>
      <c r="L1566" s="2" t="s">
        <v>6942</v>
      </c>
      <c r="M1566" s="4">
        <v>2.69</v>
      </c>
      <c r="N1566" t="e">
        <f>OR(LEFT(B1566,3)="frg",(_xlfn.XMATCH(B1566,ZZZ_Part_Id_[[#All],[FGCODE]])))</f>
        <v>#N/A</v>
      </c>
    </row>
    <row r="1567" spans="1:14" x14ac:dyDescent="0.3">
      <c r="A1567" s="2" t="s">
        <v>6938</v>
      </c>
      <c r="B1567" s="2" t="s">
        <v>517</v>
      </c>
      <c r="C1567" s="2" t="s">
        <v>6943</v>
      </c>
      <c r="D1567" s="3">
        <v>322560</v>
      </c>
      <c r="E1567" s="3">
        <v>322560</v>
      </c>
      <c r="F1567" s="2" t="s">
        <v>16</v>
      </c>
      <c r="G1567" s="2" t="s">
        <v>6944</v>
      </c>
      <c r="H1567" s="3">
        <v>0</v>
      </c>
      <c r="I1567" s="2" t="s">
        <v>18</v>
      </c>
      <c r="J1567" s="2" t="s">
        <v>6945</v>
      </c>
      <c r="K1567" s="2" t="s">
        <v>16</v>
      </c>
      <c r="L1567" s="2" t="s">
        <v>6946</v>
      </c>
      <c r="M1567" s="4">
        <v>37526.720000000001</v>
      </c>
      <c r="N1567" t="b">
        <f>OR(LEFT(B1567,3)="frg",(_xlfn.XMATCH(B1567,ZZZ_Part_Id_[[#All],[FGCODE]])))</f>
        <v>1</v>
      </c>
    </row>
    <row r="1568" spans="1:14" x14ac:dyDescent="0.3">
      <c r="A1568" s="2" t="s">
        <v>6947</v>
      </c>
      <c r="B1568" s="2" t="s">
        <v>14</v>
      </c>
      <c r="C1568" s="2" t="s">
        <v>6948</v>
      </c>
      <c r="D1568" s="3">
        <v>10</v>
      </c>
      <c r="E1568" s="3">
        <v>0</v>
      </c>
      <c r="F1568" s="2" t="s">
        <v>16</v>
      </c>
      <c r="G1568" s="2" t="s">
        <v>6949</v>
      </c>
      <c r="H1568" s="3">
        <v>10</v>
      </c>
      <c r="I1568" s="2" t="s">
        <v>18</v>
      </c>
      <c r="J1568" s="2" t="s">
        <v>6950</v>
      </c>
      <c r="K1568" s="2" t="s">
        <v>16</v>
      </c>
      <c r="L1568" s="2" t="s">
        <v>6951</v>
      </c>
      <c r="M1568" s="4">
        <v>0</v>
      </c>
      <c r="N1568" t="e">
        <f>OR(LEFT(B1568,3)="frg",(_xlfn.XMATCH(B1568,ZZZ_Part_Id_[[#All],[FGCODE]])))</f>
        <v>#N/A</v>
      </c>
    </row>
    <row r="1569" spans="1:14" x14ac:dyDescent="0.3">
      <c r="A1569" s="2" t="s">
        <v>6947</v>
      </c>
      <c r="B1569" s="2" t="s">
        <v>86</v>
      </c>
      <c r="C1569" s="2" t="s">
        <v>6952</v>
      </c>
      <c r="D1569" s="5">
        <v>-261</v>
      </c>
      <c r="E1569" s="3">
        <v>0</v>
      </c>
      <c r="F1569" s="2" t="s">
        <v>23</v>
      </c>
      <c r="G1569" s="2" t="s">
        <v>6949</v>
      </c>
      <c r="H1569" s="5">
        <v>-261</v>
      </c>
      <c r="I1569" s="2" t="s">
        <v>18</v>
      </c>
      <c r="J1569" s="2" t="s">
        <v>6953</v>
      </c>
      <c r="K1569" s="2" t="s">
        <v>23</v>
      </c>
      <c r="L1569" s="2" t="s">
        <v>6954</v>
      </c>
      <c r="M1569" s="4">
        <v>0</v>
      </c>
      <c r="N1569" t="b">
        <f>OR(LEFT(B1569,3)="frg",(_xlfn.XMATCH(B1569,ZZZ_Part_Id_[[#All],[FGCODE]])))</f>
        <v>1</v>
      </c>
    </row>
    <row r="1570" spans="1:14" x14ac:dyDescent="0.3">
      <c r="A1570" s="2" t="s">
        <v>6947</v>
      </c>
      <c r="B1570" s="2" t="s">
        <v>6955</v>
      </c>
      <c r="C1570" s="2" t="s">
        <v>6956</v>
      </c>
      <c r="D1570" s="3">
        <v>125280</v>
      </c>
      <c r="E1570" s="3">
        <v>0</v>
      </c>
      <c r="F1570" s="2" t="s">
        <v>16</v>
      </c>
      <c r="G1570" s="2" t="s">
        <v>6949</v>
      </c>
      <c r="H1570" s="3">
        <v>125280</v>
      </c>
      <c r="I1570" s="2" t="s">
        <v>18</v>
      </c>
      <c r="J1570" s="2" t="s">
        <v>6957</v>
      </c>
      <c r="K1570" s="2" t="s">
        <v>16</v>
      </c>
      <c r="L1570" s="2" t="s">
        <v>6958</v>
      </c>
      <c r="M1570" s="4">
        <v>0</v>
      </c>
      <c r="N1570" t="b">
        <f>OR(LEFT(B1570,3)="frg",(_xlfn.XMATCH(B1570,ZZZ_Part_Id_[[#All],[FGCODE]])))</f>
        <v>1</v>
      </c>
    </row>
    <row r="1571" spans="1:14" x14ac:dyDescent="0.3">
      <c r="A1571" s="2" t="s">
        <v>6959</v>
      </c>
      <c r="B1571" s="2" t="s">
        <v>14</v>
      </c>
      <c r="C1571" s="2" t="s">
        <v>6960</v>
      </c>
      <c r="D1571" s="3">
        <v>4</v>
      </c>
      <c r="E1571" s="3">
        <v>0</v>
      </c>
      <c r="F1571" s="2" t="s">
        <v>16</v>
      </c>
      <c r="G1571" s="2" t="s">
        <v>6961</v>
      </c>
      <c r="H1571" s="3">
        <v>0</v>
      </c>
      <c r="I1571" s="2" t="s">
        <v>18</v>
      </c>
      <c r="J1571" s="2" t="s">
        <v>6962</v>
      </c>
      <c r="K1571" s="2" t="s">
        <v>16</v>
      </c>
      <c r="L1571" s="2" t="s">
        <v>6963</v>
      </c>
      <c r="M1571" s="4">
        <v>0</v>
      </c>
      <c r="N1571" t="e">
        <f>OR(LEFT(B1571,3)="frg",(_xlfn.XMATCH(B1571,ZZZ_Part_Id_[[#All],[FGCODE]])))</f>
        <v>#N/A</v>
      </c>
    </row>
    <row r="1572" spans="1:14" x14ac:dyDescent="0.3">
      <c r="A1572" s="2" t="s">
        <v>6959</v>
      </c>
      <c r="B1572" s="2" t="s">
        <v>5357</v>
      </c>
      <c r="C1572" s="2" t="s">
        <v>6964</v>
      </c>
      <c r="D1572" s="3">
        <v>21240</v>
      </c>
      <c r="E1572" s="3">
        <v>0</v>
      </c>
      <c r="F1572" s="2" t="s">
        <v>16</v>
      </c>
      <c r="G1572" s="2" t="s">
        <v>6965</v>
      </c>
      <c r="H1572" s="3">
        <v>0</v>
      </c>
      <c r="I1572" s="2" t="s">
        <v>18</v>
      </c>
      <c r="J1572" s="2" t="s">
        <v>6966</v>
      </c>
      <c r="K1572" s="2" t="s">
        <v>16</v>
      </c>
      <c r="L1572" s="2" t="s">
        <v>6967</v>
      </c>
      <c r="M1572" s="4">
        <v>0</v>
      </c>
      <c r="N1572" t="b">
        <f>OR(LEFT(B1572,3)="frg",(_xlfn.XMATCH(B1572,ZZZ_Part_Id_[[#All],[FGCODE]])))</f>
        <v>1</v>
      </c>
    </row>
    <row r="1573" spans="1:14" x14ac:dyDescent="0.3">
      <c r="A1573" s="2" t="s">
        <v>6968</v>
      </c>
      <c r="B1573" s="2" t="s">
        <v>14</v>
      </c>
      <c r="C1573" s="2" t="s">
        <v>6969</v>
      </c>
      <c r="D1573" s="3">
        <v>14</v>
      </c>
      <c r="E1573" s="3">
        <v>14</v>
      </c>
      <c r="F1573" s="2" t="s">
        <v>16</v>
      </c>
      <c r="G1573" s="2" t="s">
        <v>6970</v>
      </c>
      <c r="H1573" s="3">
        <v>0</v>
      </c>
      <c r="I1573" s="2" t="s">
        <v>18</v>
      </c>
      <c r="J1573" s="2" t="s">
        <v>6971</v>
      </c>
      <c r="K1573" s="2" t="s">
        <v>16</v>
      </c>
      <c r="L1573" s="2" t="s">
        <v>6972</v>
      </c>
      <c r="M1573" s="4">
        <v>1.08</v>
      </c>
      <c r="N1573" t="e">
        <f>OR(LEFT(B1573,3)="frg",(_xlfn.XMATCH(B1573,ZZZ_Part_Id_[[#All],[FGCODE]])))</f>
        <v>#N/A</v>
      </c>
    </row>
    <row r="1574" spans="1:14" x14ac:dyDescent="0.3">
      <c r="A1574" s="2" t="s">
        <v>6968</v>
      </c>
      <c r="B1574" s="2" t="s">
        <v>86</v>
      </c>
      <c r="C1574" s="2" t="s">
        <v>6973</v>
      </c>
      <c r="D1574" s="5">
        <v>-238</v>
      </c>
      <c r="E1574" s="5">
        <v>-238</v>
      </c>
      <c r="F1574" s="2" t="s">
        <v>23</v>
      </c>
      <c r="G1574" s="2" t="s">
        <v>6974</v>
      </c>
      <c r="H1574" s="3">
        <v>0</v>
      </c>
      <c r="I1574" s="2" t="s">
        <v>18</v>
      </c>
      <c r="J1574" s="2" t="s">
        <v>6975</v>
      </c>
      <c r="K1574" s="2" t="s">
        <v>23</v>
      </c>
      <c r="L1574" s="2" t="s">
        <v>6976</v>
      </c>
      <c r="M1574" s="6">
        <v>-623.04</v>
      </c>
      <c r="N1574" t="b">
        <f>OR(LEFT(B1574,3)="frg",(_xlfn.XMATCH(B1574,ZZZ_Part_Id_[[#All],[FGCODE]])))</f>
        <v>1</v>
      </c>
    </row>
    <row r="1575" spans="1:14" x14ac:dyDescent="0.3">
      <c r="A1575" s="2" t="s">
        <v>6968</v>
      </c>
      <c r="B1575" s="2" t="s">
        <v>6977</v>
      </c>
      <c r="C1575" s="2" t="s">
        <v>6978</v>
      </c>
      <c r="D1575" s="3">
        <v>355320</v>
      </c>
      <c r="E1575" s="3">
        <v>355320</v>
      </c>
      <c r="F1575" s="2" t="s">
        <v>16</v>
      </c>
      <c r="G1575" s="2" t="s">
        <v>6979</v>
      </c>
      <c r="H1575" s="3">
        <v>0</v>
      </c>
      <c r="I1575" s="2" t="s">
        <v>18</v>
      </c>
      <c r="J1575" s="2" t="s">
        <v>6980</v>
      </c>
      <c r="K1575" s="2" t="s">
        <v>16</v>
      </c>
      <c r="L1575" s="2" t="s">
        <v>6981</v>
      </c>
      <c r="M1575" s="4">
        <v>3194.38</v>
      </c>
      <c r="N1575" t="b">
        <f>OR(LEFT(B1575,3)="frg",(_xlfn.XMATCH(B1575,ZZZ_Part_Id_[[#All],[FGCODE]])))</f>
        <v>1</v>
      </c>
    </row>
    <row r="1576" spans="1:14" x14ac:dyDescent="0.3">
      <c r="A1576" s="2" t="s">
        <v>6982</v>
      </c>
      <c r="B1576" s="2" t="s">
        <v>14</v>
      </c>
      <c r="C1576" s="2" t="s">
        <v>6983</v>
      </c>
      <c r="D1576" s="3">
        <v>1E-3</v>
      </c>
      <c r="E1576" s="3">
        <v>0</v>
      </c>
      <c r="F1576" s="2" t="s">
        <v>16</v>
      </c>
      <c r="G1576" s="2" t="s">
        <v>6984</v>
      </c>
      <c r="H1576" s="3">
        <v>0</v>
      </c>
      <c r="I1576" s="2" t="s">
        <v>3950</v>
      </c>
      <c r="J1576" s="2" t="s">
        <v>6985</v>
      </c>
      <c r="K1576" s="2" t="s">
        <v>16</v>
      </c>
      <c r="L1576" s="2" t="s">
        <v>6986</v>
      </c>
      <c r="M1576" s="4">
        <v>0</v>
      </c>
      <c r="N1576" t="e">
        <f>OR(LEFT(B1576,3)="frg",(_xlfn.XMATCH(B1576,ZZZ_Part_Id_[[#All],[FGCODE]])))</f>
        <v>#N/A</v>
      </c>
    </row>
    <row r="1577" spans="1:14" x14ac:dyDescent="0.3">
      <c r="A1577" s="2" t="s">
        <v>6982</v>
      </c>
      <c r="B1577" s="2" t="s">
        <v>177</v>
      </c>
      <c r="C1577" s="2" t="s">
        <v>6987</v>
      </c>
      <c r="D1577" s="3">
        <v>1E-3</v>
      </c>
      <c r="E1577" s="3">
        <v>0</v>
      </c>
      <c r="F1577" s="2" t="s">
        <v>16</v>
      </c>
      <c r="G1577" s="2" t="s">
        <v>6988</v>
      </c>
      <c r="H1577" s="3">
        <v>0</v>
      </c>
      <c r="I1577" s="2" t="s">
        <v>3950</v>
      </c>
      <c r="J1577" s="2" t="s">
        <v>6989</v>
      </c>
      <c r="K1577" s="2" t="s">
        <v>16</v>
      </c>
      <c r="L1577" s="2" t="s">
        <v>6990</v>
      </c>
      <c r="M1577" s="4">
        <v>0</v>
      </c>
      <c r="N1577" t="e">
        <f>OR(LEFT(B1577,3)="frg",(_xlfn.XMATCH(B1577,ZZZ_Part_Id_[[#All],[FGCODE]])))</f>
        <v>#N/A</v>
      </c>
    </row>
    <row r="1578" spans="1:14" x14ac:dyDescent="0.3">
      <c r="A1578" s="2" t="s">
        <v>6982</v>
      </c>
      <c r="B1578" s="2" t="s">
        <v>151</v>
      </c>
      <c r="C1578" s="2" t="s">
        <v>6991</v>
      </c>
      <c r="D1578" s="3">
        <v>1E-3</v>
      </c>
      <c r="E1578" s="3">
        <v>0</v>
      </c>
      <c r="F1578" s="2" t="s">
        <v>16</v>
      </c>
      <c r="G1578" s="2" t="s">
        <v>6992</v>
      </c>
      <c r="H1578" s="3">
        <v>0</v>
      </c>
      <c r="I1578" s="2" t="s">
        <v>3950</v>
      </c>
      <c r="J1578" s="2" t="s">
        <v>6993</v>
      </c>
      <c r="K1578" s="2" t="s">
        <v>16</v>
      </c>
      <c r="L1578" s="2" t="s">
        <v>6994</v>
      </c>
      <c r="M1578" s="4">
        <v>0</v>
      </c>
      <c r="N1578" t="e">
        <f>OR(LEFT(B1578,3)="frg",(_xlfn.XMATCH(B1578,ZZZ_Part_Id_[[#All],[FGCODE]])))</f>
        <v>#N/A</v>
      </c>
    </row>
    <row r="1579" spans="1:14" x14ac:dyDescent="0.3">
      <c r="A1579" s="2" t="s">
        <v>6982</v>
      </c>
      <c r="B1579" s="2" t="s">
        <v>182</v>
      </c>
      <c r="C1579" s="2" t="s">
        <v>6995</v>
      </c>
      <c r="D1579" s="3">
        <v>1E-3</v>
      </c>
      <c r="E1579" s="3">
        <v>0</v>
      </c>
      <c r="F1579" s="2" t="s">
        <v>16</v>
      </c>
      <c r="G1579" s="2" t="s">
        <v>6996</v>
      </c>
      <c r="H1579" s="3">
        <v>0</v>
      </c>
      <c r="I1579" s="2" t="s">
        <v>3950</v>
      </c>
      <c r="J1579" s="2" t="s">
        <v>6997</v>
      </c>
      <c r="K1579" s="2" t="s">
        <v>16</v>
      </c>
      <c r="L1579" s="2" t="s">
        <v>6998</v>
      </c>
      <c r="M1579" s="4">
        <v>0</v>
      </c>
      <c r="N1579" t="e">
        <f>OR(LEFT(B1579,3)="frg",(_xlfn.XMATCH(B1579,ZZZ_Part_Id_[[#All],[FGCODE]])))</f>
        <v>#N/A</v>
      </c>
    </row>
    <row r="1580" spans="1:14" x14ac:dyDescent="0.3">
      <c r="A1580" s="2" t="s">
        <v>6982</v>
      </c>
      <c r="B1580" s="2" t="s">
        <v>187</v>
      </c>
      <c r="C1580" s="2" t="s">
        <v>6999</v>
      </c>
      <c r="D1580" s="3">
        <v>1E-3</v>
      </c>
      <c r="E1580" s="3">
        <v>0</v>
      </c>
      <c r="F1580" s="2" t="s">
        <v>16</v>
      </c>
      <c r="G1580" s="2" t="s">
        <v>7000</v>
      </c>
      <c r="H1580" s="3">
        <v>0</v>
      </c>
      <c r="I1580" s="2" t="s">
        <v>3950</v>
      </c>
      <c r="J1580" s="2" t="s">
        <v>7001</v>
      </c>
      <c r="K1580" s="2" t="s">
        <v>16</v>
      </c>
      <c r="L1580" s="2" t="s">
        <v>7002</v>
      </c>
      <c r="M1580" s="4">
        <v>0</v>
      </c>
      <c r="N1580" t="e">
        <f>OR(LEFT(B1580,3)="frg",(_xlfn.XMATCH(B1580,ZZZ_Part_Id_[[#All],[FGCODE]])))</f>
        <v>#N/A</v>
      </c>
    </row>
    <row r="1581" spans="1:14" x14ac:dyDescent="0.3">
      <c r="A1581" s="2" t="s">
        <v>6982</v>
      </c>
      <c r="B1581" s="2" t="s">
        <v>140</v>
      </c>
      <c r="C1581" s="2" t="s">
        <v>7003</v>
      </c>
      <c r="D1581" s="3">
        <v>0</v>
      </c>
      <c r="E1581" s="3">
        <v>0</v>
      </c>
      <c r="F1581" s="2" t="s">
        <v>16</v>
      </c>
      <c r="G1581" s="2" t="s">
        <v>7004</v>
      </c>
      <c r="H1581" s="3">
        <v>0</v>
      </c>
      <c r="I1581" s="2" t="s">
        <v>3950</v>
      </c>
      <c r="J1581" s="2" t="s">
        <v>7005</v>
      </c>
      <c r="K1581" s="2" t="s">
        <v>16</v>
      </c>
      <c r="L1581" s="2" t="s">
        <v>7006</v>
      </c>
      <c r="M1581" s="4">
        <v>0</v>
      </c>
      <c r="N1581" t="e">
        <f>OR(LEFT(B1581,3)="frg",(_xlfn.XMATCH(B1581,ZZZ_Part_Id_[[#All],[FGCODE]])))</f>
        <v>#N/A</v>
      </c>
    </row>
    <row r="1582" spans="1:14" x14ac:dyDescent="0.3">
      <c r="A1582" s="2" t="s">
        <v>6982</v>
      </c>
      <c r="B1582" s="2" t="s">
        <v>167</v>
      </c>
      <c r="C1582" s="2" t="s">
        <v>7007</v>
      </c>
      <c r="D1582" s="3">
        <v>1E-3</v>
      </c>
      <c r="E1582" s="3">
        <v>0</v>
      </c>
      <c r="F1582" s="2" t="s">
        <v>23</v>
      </c>
      <c r="G1582" s="2" t="s">
        <v>7008</v>
      </c>
      <c r="H1582" s="3">
        <v>0</v>
      </c>
      <c r="I1582" s="2" t="s">
        <v>3950</v>
      </c>
      <c r="J1582" s="2" t="s">
        <v>7009</v>
      </c>
      <c r="K1582" s="2" t="s">
        <v>23</v>
      </c>
      <c r="L1582" s="2" t="s">
        <v>7010</v>
      </c>
      <c r="M1582" s="4">
        <v>0</v>
      </c>
      <c r="N1582" t="e">
        <f>OR(LEFT(B1582,3)="frg",(_xlfn.XMATCH(B1582,ZZZ_Part_Id_[[#All],[FGCODE]])))</f>
        <v>#N/A</v>
      </c>
    </row>
    <row r="1583" spans="1:14" x14ac:dyDescent="0.3">
      <c r="A1583" s="2" t="s">
        <v>6982</v>
      </c>
      <c r="B1583" s="2" t="s">
        <v>161</v>
      </c>
      <c r="C1583" s="2" t="s">
        <v>7011</v>
      </c>
      <c r="D1583" s="3">
        <v>0</v>
      </c>
      <c r="E1583" s="3">
        <v>0</v>
      </c>
      <c r="F1583" s="2" t="s">
        <v>163</v>
      </c>
      <c r="G1583" s="2" t="s">
        <v>7012</v>
      </c>
      <c r="H1583" s="3">
        <v>0</v>
      </c>
      <c r="I1583" s="2" t="s">
        <v>3950</v>
      </c>
      <c r="J1583" s="2" t="s">
        <v>7013</v>
      </c>
      <c r="K1583" s="2" t="s">
        <v>163</v>
      </c>
      <c r="L1583" s="2" t="s">
        <v>7014</v>
      </c>
      <c r="M1583" s="4">
        <v>0</v>
      </c>
      <c r="N1583" t="e">
        <f>OR(LEFT(B1583,3)="frg",(_xlfn.XMATCH(B1583,ZZZ_Part_Id_[[#All],[FGCODE]])))</f>
        <v>#N/A</v>
      </c>
    </row>
    <row r="1584" spans="1:14" x14ac:dyDescent="0.3">
      <c r="A1584" s="2" t="s">
        <v>6982</v>
      </c>
      <c r="B1584" s="2" t="s">
        <v>145</v>
      </c>
      <c r="C1584" s="2" t="s">
        <v>7015</v>
      </c>
      <c r="D1584" s="3">
        <v>0</v>
      </c>
      <c r="E1584" s="3">
        <v>0</v>
      </c>
      <c r="F1584" s="2" t="s">
        <v>147</v>
      </c>
      <c r="G1584" s="2" t="s">
        <v>7016</v>
      </c>
      <c r="H1584" s="3">
        <v>0</v>
      </c>
      <c r="I1584" s="2" t="s">
        <v>3950</v>
      </c>
      <c r="J1584" s="2" t="s">
        <v>7017</v>
      </c>
      <c r="K1584" s="2" t="s">
        <v>147</v>
      </c>
      <c r="L1584" s="2" t="s">
        <v>7018</v>
      </c>
      <c r="M1584" s="4">
        <v>0</v>
      </c>
      <c r="N1584" t="e">
        <f>OR(LEFT(B1584,3)="frg",(_xlfn.XMATCH(B1584,ZZZ_Part_Id_[[#All],[FGCODE]])))</f>
        <v>#N/A</v>
      </c>
    </row>
    <row r="1585" spans="1:14" x14ac:dyDescent="0.3">
      <c r="A1585" s="2" t="s">
        <v>6982</v>
      </c>
      <c r="B1585" s="2" t="s">
        <v>3985</v>
      </c>
      <c r="C1585" s="2" t="s">
        <v>7019</v>
      </c>
      <c r="D1585" s="3">
        <v>3.5000000000000003E-2</v>
      </c>
      <c r="E1585" s="7">
        <v>0</v>
      </c>
      <c r="F1585" s="2" t="s">
        <v>3987</v>
      </c>
      <c r="G1585" s="2" t="s">
        <v>7020</v>
      </c>
      <c r="H1585" s="7">
        <v>0</v>
      </c>
      <c r="I1585" s="2" t="s">
        <v>3950</v>
      </c>
      <c r="J1585" s="2" t="s">
        <v>7021</v>
      </c>
      <c r="K1585" s="2" t="s">
        <v>3987</v>
      </c>
      <c r="L1585" s="2" t="s">
        <v>7022</v>
      </c>
      <c r="M1585" s="4">
        <v>0</v>
      </c>
      <c r="N1585" t="e">
        <f>OR(LEFT(B1585,3)="frg",(_xlfn.XMATCH(B1585,ZZZ_Part_Id_[[#All],[FGCODE]])))</f>
        <v>#N/A</v>
      </c>
    </row>
    <row r="1586" spans="1:14" x14ac:dyDescent="0.3">
      <c r="A1586" s="2" t="s">
        <v>6982</v>
      </c>
      <c r="B1586" s="2" t="s">
        <v>192</v>
      </c>
      <c r="C1586" s="2" t="s">
        <v>7023</v>
      </c>
      <c r="D1586" s="3">
        <v>0</v>
      </c>
      <c r="E1586" s="3">
        <v>0</v>
      </c>
      <c r="F1586" s="2" t="s">
        <v>194</v>
      </c>
      <c r="G1586" s="2" t="s">
        <v>7024</v>
      </c>
      <c r="H1586" s="3">
        <v>0</v>
      </c>
      <c r="I1586" s="2" t="s">
        <v>3950</v>
      </c>
      <c r="J1586" s="2" t="s">
        <v>7025</v>
      </c>
      <c r="K1586" s="2" t="s">
        <v>194</v>
      </c>
      <c r="L1586" s="2" t="s">
        <v>7026</v>
      </c>
      <c r="M1586" s="4">
        <v>0</v>
      </c>
      <c r="N1586" t="e">
        <f>OR(LEFT(B1586,3)="frg",(_xlfn.XMATCH(B1586,ZZZ_Part_Id_[[#All],[FGCODE]])))</f>
        <v>#N/A</v>
      </c>
    </row>
    <row r="1587" spans="1:14" x14ac:dyDescent="0.3">
      <c r="A1587" s="2" t="s">
        <v>6982</v>
      </c>
      <c r="B1587" s="2" t="s">
        <v>213</v>
      </c>
      <c r="C1587" s="2" t="s">
        <v>7027</v>
      </c>
      <c r="D1587" s="3">
        <v>0</v>
      </c>
      <c r="E1587" s="3">
        <v>0</v>
      </c>
      <c r="F1587" s="2" t="s">
        <v>16</v>
      </c>
      <c r="G1587" s="2" t="s">
        <v>7028</v>
      </c>
      <c r="H1587" s="3">
        <v>0</v>
      </c>
      <c r="I1587" s="2" t="s">
        <v>3950</v>
      </c>
      <c r="J1587" s="2" t="s">
        <v>7029</v>
      </c>
      <c r="K1587" s="2" t="s">
        <v>16</v>
      </c>
      <c r="L1587" s="2" t="s">
        <v>7030</v>
      </c>
      <c r="M1587" s="4">
        <v>0</v>
      </c>
      <c r="N1587" t="e">
        <f>OR(LEFT(B1587,3)="frg",(_xlfn.XMATCH(B1587,ZZZ_Part_Id_[[#All],[FGCODE]])))</f>
        <v>#N/A</v>
      </c>
    </row>
    <row r="1588" spans="1:14" x14ac:dyDescent="0.3">
      <c r="A1588" s="2" t="s">
        <v>6982</v>
      </c>
      <c r="B1588" s="2" t="s">
        <v>218</v>
      </c>
      <c r="C1588" s="2" t="s">
        <v>7031</v>
      </c>
      <c r="D1588" s="3">
        <v>0</v>
      </c>
      <c r="E1588" s="3">
        <v>0</v>
      </c>
      <c r="F1588" s="2" t="s">
        <v>16</v>
      </c>
      <c r="G1588" s="2" t="s">
        <v>7032</v>
      </c>
      <c r="H1588" s="3">
        <v>0</v>
      </c>
      <c r="I1588" s="2" t="s">
        <v>3950</v>
      </c>
      <c r="J1588" s="2" t="s">
        <v>7033</v>
      </c>
      <c r="K1588" s="2" t="s">
        <v>16</v>
      </c>
      <c r="L1588" s="2" t="s">
        <v>7034</v>
      </c>
      <c r="M1588" s="4">
        <v>0</v>
      </c>
      <c r="N1588" t="e">
        <f>OR(LEFT(B1588,3)="frg",(_xlfn.XMATCH(B1588,ZZZ_Part_Id_[[#All],[FGCODE]])))</f>
        <v>#N/A</v>
      </c>
    </row>
    <row r="1589" spans="1:14" x14ac:dyDescent="0.3">
      <c r="A1589" s="2" t="s">
        <v>6982</v>
      </c>
      <c r="B1589" s="2" t="s">
        <v>237</v>
      </c>
      <c r="C1589" s="2" t="s">
        <v>7035</v>
      </c>
      <c r="D1589" s="3">
        <v>0</v>
      </c>
      <c r="E1589" s="3">
        <v>0</v>
      </c>
      <c r="F1589" s="2" t="s">
        <v>16</v>
      </c>
      <c r="G1589" s="2" t="s">
        <v>7036</v>
      </c>
      <c r="H1589" s="3">
        <v>0</v>
      </c>
      <c r="I1589" s="2" t="s">
        <v>3950</v>
      </c>
      <c r="J1589" s="2" t="s">
        <v>7037</v>
      </c>
      <c r="K1589" s="2" t="s">
        <v>16</v>
      </c>
      <c r="L1589" s="2" t="s">
        <v>7038</v>
      </c>
      <c r="M1589" s="4">
        <v>0</v>
      </c>
      <c r="N1589" t="e">
        <f>OR(LEFT(B1589,3)="frg",(_xlfn.XMATCH(B1589,ZZZ_Part_Id_[[#All],[FGCODE]])))</f>
        <v>#N/A</v>
      </c>
    </row>
    <row r="1590" spans="1:14" x14ac:dyDescent="0.3">
      <c r="A1590" s="2" t="s">
        <v>6982</v>
      </c>
      <c r="B1590" s="2" t="s">
        <v>242</v>
      </c>
      <c r="C1590" s="2" t="s">
        <v>7039</v>
      </c>
      <c r="D1590" s="3">
        <v>0</v>
      </c>
      <c r="E1590" s="3">
        <v>0</v>
      </c>
      <c r="F1590" s="2" t="s">
        <v>16</v>
      </c>
      <c r="G1590" s="2" t="s">
        <v>7040</v>
      </c>
      <c r="H1590" s="3">
        <v>0</v>
      </c>
      <c r="I1590" s="2" t="s">
        <v>3950</v>
      </c>
      <c r="J1590" s="2" t="s">
        <v>7041</v>
      </c>
      <c r="K1590" s="2" t="s">
        <v>16</v>
      </c>
      <c r="L1590" s="2" t="s">
        <v>7042</v>
      </c>
      <c r="M1590" s="4">
        <v>0</v>
      </c>
      <c r="N1590" t="e">
        <f>OR(LEFT(B1590,3)="frg",(_xlfn.XMATCH(B1590,ZZZ_Part_Id_[[#All],[FGCODE]])))</f>
        <v>#N/A</v>
      </c>
    </row>
    <row r="1591" spans="1:14" x14ac:dyDescent="0.3">
      <c r="A1591" s="2" t="s">
        <v>6982</v>
      </c>
      <c r="B1591" s="2" t="s">
        <v>264</v>
      </c>
      <c r="C1591" s="2" t="s">
        <v>7043</v>
      </c>
      <c r="D1591" s="3">
        <v>0</v>
      </c>
      <c r="E1591" s="3">
        <v>0</v>
      </c>
      <c r="F1591" s="2" t="s">
        <v>16</v>
      </c>
      <c r="G1591" s="2" t="s">
        <v>7044</v>
      </c>
      <c r="H1591" s="3">
        <v>0</v>
      </c>
      <c r="I1591" s="2" t="s">
        <v>3950</v>
      </c>
      <c r="J1591" s="2" t="s">
        <v>7045</v>
      </c>
      <c r="K1591" s="2" t="s">
        <v>16</v>
      </c>
      <c r="L1591" s="2" t="s">
        <v>7046</v>
      </c>
      <c r="M1591" s="4">
        <v>0</v>
      </c>
      <c r="N1591" t="e">
        <f>OR(LEFT(B1591,3)="frg",(_xlfn.XMATCH(B1591,ZZZ_Part_Id_[[#All],[FGCODE]])))</f>
        <v>#N/A</v>
      </c>
    </row>
    <row r="1592" spans="1:14" x14ac:dyDescent="0.3">
      <c r="A1592" s="2" t="s">
        <v>6982</v>
      </c>
      <c r="B1592" s="2" t="s">
        <v>45</v>
      </c>
      <c r="C1592" s="2" t="s">
        <v>7047</v>
      </c>
      <c r="D1592" s="3">
        <v>0</v>
      </c>
      <c r="E1592" s="3">
        <v>0</v>
      </c>
      <c r="F1592" s="2" t="s">
        <v>47</v>
      </c>
      <c r="G1592" s="2" t="s">
        <v>7048</v>
      </c>
      <c r="H1592" s="3">
        <v>0</v>
      </c>
      <c r="I1592" s="2" t="s">
        <v>3950</v>
      </c>
      <c r="J1592" s="2" t="s">
        <v>7049</v>
      </c>
      <c r="K1592" s="2" t="s">
        <v>47</v>
      </c>
      <c r="L1592" s="2" t="s">
        <v>7050</v>
      </c>
      <c r="M1592" s="4">
        <v>0</v>
      </c>
      <c r="N1592" t="e">
        <f>OR(LEFT(B1592,3)="frg",(_xlfn.XMATCH(B1592,ZZZ_Part_Id_[[#All],[FGCODE]])))</f>
        <v>#N/A</v>
      </c>
    </row>
    <row r="1593" spans="1:14" x14ac:dyDescent="0.3">
      <c r="A1593" s="2" t="s">
        <v>6982</v>
      </c>
      <c r="B1593" s="2" t="s">
        <v>4024</v>
      </c>
      <c r="C1593" s="2" t="s">
        <v>7051</v>
      </c>
      <c r="D1593" s="3">
        <v>1E-3</v>
      </c>
      <c r="E1593" s="3">
        <v>0</v>
      </c>
      <c r="F1593" s="2" t="s">
        <v>23</v>
      </c>
      <c r="G1593" s="2" t="s">
        <v>7052</v>
      </c>
      <c r="H1593" s="3">
        <v>0</v>
      </c>
      <c r="I1593" s="2" t="s">
        <v>3950</v>
      </c>
      <c r="J1593" s="2" t="s">
        <v>7053</v>
      </c>
      <c r="K1593" s="2" t="s">
        <v>23</v>
      </c>
      <c r="L1593" s="2" t="s">
        <v>7054</v>
      </c>
      <c r="M1593" s="4">
        <v>0</v>
      </c>
      <c r="N1593" t="e">
        <f>OR(LEFT(B1593,3)="frg",(_xlfn.XMATCH(B1593,ZZZ_Part_Id_[[#All],[FGCODE]])))</f>
        <v>#N/A</v>
      </c>
    </row>
    <row r="1594" spans="1:14" x14ac:dyDescent="0.3">
      <c r="A1594" s="2" t="s">
        <v>6982</v>
      </c>
      <c r="B1594" s="2" t="s">
        <v>4029</v>
      </c>
      <c r="C1594" s="2" t="s">
        <v>7055</v>
      </c>
      <c r="D1594" s="3">
        <v>1E-3</v>
      </c>
      <c r="E1594" s="3">
        <v>0</v>
      </c>
      <c r="F1594" s="2" t="s">
        <v>23</v>
      </c>
      <c r="G1594" s="2" t="s">
        <v>7056</v>
      </c>
      <c r="H1594" s="3">
        <v>0</v>
      </c>
      <c r="I1594" s="2" t="s">
        <v>3950</v>
      </c>
      <c r="J1594" s="2" t="s">
        <v>7057</v>
      </c>
      <c r="K1594" s="2" t="s">
        <v>23</v>
      </c>
      <c r="L1594" s="2" t="s">
        <v>7058</v>
      </c>
      <c r="M1594" s="4">
        <v>0</v>
      </c>
      <c r="N1594" t="e">
        <f>OR(LEFT(B1594,3)="frg",(_xlfn.XMATCH(B1594,ZZZ_Part_Id_[[#All],[FGCODE]])))</f>
        <v>#N/A</v>
      </c>
    </row>
    <row r="1595" spans="1:14" x14ac:dyDescent="0.3">
      <c r="A1595" s="2" t="s">
        <v>6982</v>
      </c>
      <c r="B1595" s="2" t="s">
        <v>7059</v>
      </c>
      <c r="C1595" s="2" t="s">
        <v>7060</v>
      </c>
      <c r="D1595" s="3">
        <v>2.7E-2</v>
      </c>
      <c r="E1595" s="3">
        <v>0</v>
      </c>
      <c r="F1595" s="2" t="s">
        <v>23</v>
      </c>
      <c r="G1595" s="2" t="s">
        <v>7061</v>
      </c>
      <c r="H1595" s="3">
        <v>0</v>
      </c>
      <c r="I1595" s="2" t="s">
        <v>3950</v>
      </c>
      <c r="J1595" s="2" t="s">
        <v>7062</v>
      </c>
      <c r="K1595" s="2" t="s">
        <v>23</v>
      </c>
      <c r="L1595" s="2" t="s">
        <v>7063</v>
      </c>
      <c r="M1595" s="4">
        <v>0</v>
      </c>
      <c r="N1595" t="e">
        <f>OR(LEFT(B1595,3)="frg",(_xlfn.XMATCH(B1595,ZZZ_Part_Id_[[#All],[FGCODE]])))</f>
        <v>#N/A</v>
      </c>
    </row>
    <row r="1596" spans="1:14" x14ac:dyDescent="0.3">
      <c r="A1596" s="2" t="s">
        <v>7064</v>
      </c>
      <c r="B1596" s="2" t="s">
        <v>2168</v>
      </c>
      <c r="C1596" s="2" t="s">
        <v>7065</v>
      </c>
      <c r="D1596" s="3">
        <v>10620</v>
      </c>
      <c r="E1596" s="3">
        <v>10620</v>
      </c>
      <c r="F1596" s="2" t="s">
        <v>16</v>
      </c>
      <c r="G1596" s="2" t="s">
        <v>7066</v>
      </c>
      <c r="H1596" s="3">
        <v>0</v>
      </c>
      <c r="I1596" s="2" t="s">
        <v>18</v>
      </c>
      <c r="J1596" s="2" t="s">
        <v>7067</v>
      </c>
      <c r="K1596" s="2" t="s">
        <v>16</v>
      </c>
      <c r="L1596" s="2" t="s">
        <v>7068</v>
      </c>
      <c r="M1596" s="4">
        <v>2153.52</v>
      </c>
      <c r="N1596" t="b">
        <f>OR(LEFT(B1596,3)="frg",(_xlfn.XMATCH(B1596,ZZZ_Part_Id_[[#All],[FGCODE]])))</f>
        <v>1</v>
      </c>
    </row>
    <row r="1597" spans="1:14" x14ac:dyDescent="0.3">
      <c r="A1597" s="2" t="s">
        <v>7069</v>
      </c>
      <c r="B1597" s="2" t="s">
        <v>2168</v>
      </c>
      <c r="C1597" s="2" t="s">
        <v>7070</v>
      </c>
      <c r="D1597" s="3">
        <v>10620</v>
      </c>
      <c r="E1597" s="3">
        <v>10620</v>
      </c>
      <c r="F1597" s="2" t="s">
        <v>16</v>
      </c>
      <c r="G1597" s="2" t="s">
        <v>7071</v>
      </c>
      <c r="H1597" s="3">
        <v>0</v>
      </c>
      <c r="I1597" s="2" t="s">
        <v>18</v>
      </c>
      <c r="J1597" s="2" t="s">
        <v>7072</v>
      </c>
      <c r="K1597" s="2" t="s">
        <v>16</v>
      </c>
      <c r="L1597" s="2" t="s">
        <v>7073</v>
      </c>
      <c r="M1597" s="4">
        <v>2153.52</v>
      </c>
      <c r="N1597" t="b">
        <f>OR(LEFT(B1597,3)="frg",(_xlfn.XMATCH(B1597,ZZZ_Part_Id_[[#All],[FGCODE]])))</f>
        <v>1</v>
      </c>
    </row>
    <row r="1598" spans="1:14" x14ac:dyDescent="0.3">
      <c r="A1598" s="2" t="s">
        <v>7074</v>
      </c>
      <c r="B1598" s="2" t="s">
        <v>86</v>
      </c>
      <c r="C1598" s="2" t="s">
        <v>7075</v>
      </c>
      <c r="D1598" s="5">
        <v>-264</v>
      </c>
      <c r="E1598" s="5">
        <v>-264</v>
      </c>
      <c r="F1598" s="2" t="s">
        <v>23</v>
      </c>
      <c r="G1598" s="2" t="s">
        <v>131</v>
      </c>
      <c r="H1598" s="3">
        <v>0</v>
      </c>
      <c r="I1598" s="2" t="s">
        <v>409</v>
      </c>
      <c r="J1598" s="2" t="s">
        <v>7076</v>
      </c>
      <c r="K1598" s="2" t="s">
        <v>23</v>
      </c>
      <c r="L1598" s="2" t="s">
        <v>7077</v>
      </c>
      <c r="M1598" s="6">
        <v>-691.1</v>
      </c>
      <c r="N1598" t="b">
        <f>OR(LEFT(B1598,3)="frg",(_xlfn.XMATCH(B1598,ZZZ_Part_Id_[[#All],[FGCODE]])))</f>
        <v>1</v>
      </c>
    </row>
    <row r="1599" spans="1:14" x14ac:dyDescent="0.3">
      <c r="A1599" s="2" t="s">
        <v>7074</v>
      </c>
      <c r="B1599" s="2" t="s">
        <v>6955</v>
      </c>
      <c r="C1599" s="2" t="s">
        <v>7078</v>
      </c>
      <c r="D1599" s="3">
        <v>125280</v>
      </c>
      <c r="E1599" s="3">
        <v>125280</v>
      </c>
      <c r="F1599" s="2" t="s">
        <v>16</v>
      </c>
      <c r="G1599" s="2" t="s">
        <v>131</v>
      </c>
      <c r="H1599" s="3">
        <v>0</v>
      </c>
      <c r="I1599" s="2" t="s">
        <v>409</v>
      </c>
      <c r="J1599" s="2" t="s">
        <v>7079</v>
      </c>
      <c r="K1599" s="2" t="s">
        <v>16</v>
      </c>
      <c r="L1599" s="2" t="s">
        <v>7080</v>
      </c>
      <c r="M1599" s="4">
        <v>11325.3</v>
      </c>
      <c r="N1599" t="b">
        <f>OR(LEFT(B1599,3)="frg",(_xlfn.XMATCH(B1599,ZZZ_Part_Id_[[#All],[FGCODE]])))</f>
        <v>1</v>
      </c>
    </row>
    <row r="1600" spans="1:14" x14ac:dyDescent="0.3">
      <c r="A1600" s="2" t="s">
        <v>7081</v>
      </c>
      <c r="B1600" s="2" t="s">
        <v>14</v>
      </c>
      <c r="C1600" s="2" t="s">
        <v>7082</v>
      </c>
      <c r="D1600" s="3">
        <v>14</v>
      </c>
      <c r="E1600" s="3">
        <v>14</v>
      </c>
      <c r="F1600" s="2" t="s">
        <v>16</v>
      </c>
      <c r="G1600" s="2" t="s">
        <v>7083</v>
      </c>
      <c r="H1600" s="3">
        <v>0</v>
      </c>
      <c r="I1600" s="2" t="s">
        <v>18</v>
      </c>
      <c r="J1600" s="2" t="s">
        <v>7084</v>
      </c>
      <c r="K1600" s="2" t="s">
        <v>16</v>
      </c>
      <c r="L1600" s="2" t="s">
        <v>7085</v>
      </c>
      <c r="M1600" s="4">
        <v>1.08</v>
      </c>
      <c r="N1600" t="e">
        <f>OR(LEFT(B1600,3)="frg",(_xlfn.XMATCH(B1600,ZZZ_Part_Id_[[#All],[FGCODE]])))</f>
        <v>#N/A</v>
      </c>
    </row>
    <row r="1601" spans="1:14" x14ac:dyDescent="0.3">
      <c r="A1601" s="2" t="s">
        <v>7081</v>
      </c>
      <c r="B1601" s="2" t="s">
        <v>86</v>
      </c>
      <c r="C1601" s="2" t="s">
        <v>7086</v>
      </c>
      <c r="D1601" s="5">
        <v>-268</v>
      </c>
      <c r="E1601" s="5">
        <v>-268</v>
      </c>
      <c r="F1601" s="2" t="s">
        <v>23</v>
      </c>
      <c r="G1601" s="2" t="s">
        <v>7087</v>
      </c>
      <c r="H1601" s="3">
        <v>0</v>
      </c>
      <c r="I1601" s="2" t="s">
        <v>18</v>
      </c>
      <c r="J1601" s="2" t="s">
        <v>7088</v>
      </c>
      <c r="K1601" s="2" t="s">
        <v>23</v>
      </c>
      <c r="L1601" s="2" t="s">
        <v>7089</v>
      </c>
      <c r="M1601" s="6">
        <v>-701.57</v>
      </c>
      <c r="N1601" t="b">
        <f>OR(LEFT(B1601,3)="frg",(_xlfn.XMATCH(B1601,ZZZ_Part_Id_[[#All],[FGCODE]])))</f>
        <v>1</v>
      </c>
    </row>
    <row r="1602" spans="1:14" x14ac:dyDescent="0.3">
      <c r="A1602" s="2" t="s">
        <v>7081</v>
      </c>
      <c r="B1602" s="2" t="s">
        <v>7090</v>
      </c>
      <c r="C1602" s="2" t="s">
        <v>7091</v>
      </c>
      <c r="D1602" s="3">
        <v>120960</v>
      </c>
      <c r="E1602" s="3">
        <v>120960</v>
      </c>
      <c r="F1602" s="2" t="s">
        <v>16</v>
      </c>
      <c r="G1602" s="2" t="s">
        <v>7092</v>
      </c>
      <c r="H1602" s="3">
        <v>0</v>
      </c>
      <c r="I1602" s="2" t="s">
        <v>18</v>
      </c>
      <c r="J1602" s="2" t="s">
        <v>7093</v>
      </c>
      <c r="K1602" s="2" t="s">
        <v>16</v>
      </c>
      <c r="L1602" s="2" t="s">
        <v>7094</v>
      </c>
      <c r="M1602" s="4">
        <v>3039.72</v>
      </c>
      <c r="N1602" t="b">
        <f>OR(LEFT(B1602,3)="frg",(_xlfn.XMATCH(B1602,ZZZ_Part_Id_[[#All],[FGCODE]])))</f>
        <v>1</v>
      </c>
    </row>
    <row r="1603" spans="1:14" x14ac:dyDescent="0.3">
      <c r="A1603" s="2" t="s">
        <v>7095</v>
      </c>
      <c r="B1603" s="2" t="s">
        <v>4988</v>
      </c>
      <c r="C1603" s="2" t="s">
        <v>7096</v>
      </c>
      <c r="D1603" s="3">
        <v>10080</v>
      </c>
      <c r="E1603" s="3">
        <v>10080</v>
      </c>
      <c r="F1603" s="2" t="s">
        <v>16</v>
      </c>
      <c r="G1603" s="2" t="s">
        <v>7097</v>
      </c>
      <c r="H1603" s="3">
        <v>0</v>
      </c>
      <c r="I1603" s="2" t="s">
        <v>18</v>
      </c>
      <c r="J1603" s="2" t="s">
        <v>7098</v>
      </c>
      <c r="K1603" s="2" t="s">
        <v>16</v>
      </c>
      <c r="L1603" s="2" t="s">
        <v>7099</v>
      </c>
      <c r="M1603" s="4">
        <v>1392.05</v>
      </c>
      <c r="N1603" t="b">
        <f>OR(LEFT(B1603,3)="frg",(_xlfn.XMATCH(B1603,ZZZ_Part_Id_[[#All],[FGCODE]])))</f>
        <v>1</v>
      </c>
    </row>
    <row r="1604" spans="1:14" x14ac:dyDescent="0.3">
      <c r="A1604" s="2" t="s">
        <v>7100</v>
      </c>
      <c r="B1604" s="2" t="s">
        <v>4988</v>
      </c>
      <c r="C1604" s="2" t="s">
        <v>7101</v>
      </c>
      <c r="D1604" s="3">
        <v>10080</v>
      </c>
      <c r="E1604" s="3">
        <v>10080</v>
      </c>
      <c r="F1604" s="2" t="s">
        <v>16</v>
      </c>
      <c r="G1604" s="2" t="s">
        <v>7102</v>
      </c>
      <c r="H1604" s="3">
        <v>0</v>
      </c>
      <c r="I1604" s="2" t="s">
        <v>18</v>
      </c>
      <c r="J1604" s="2" t="s">
        <v>7103</v>
      </c>
      <c r="K1604" s="2" t="s">
        <v>16</v>
      </c>
      <c r="L1604" s="2" t="s">
        <v>7104</v>
      </c>
      <c r="M1604" s="4">
        <v>1392.05</v>
      </c>
      <c r="N1604" t="b">
        <f>OR(LEFT(B1604,3)="frg",(_xlfn.XMATCH(B1604,ZZZ_Part_Id_[[#All],[FGCODE]])))</f>
        <v>1</v>
      </c>
    </row>
    <row r="1605" spans="1:14" x14ac:dyDescent="0.3">
      <c r="A1605" s="2" t="s">
        <v>7105</v>
      </c>
      <c r="B1605" s="2" t="s">
        <v>3253</v>
      </c>
      <c r="C1605" s="2" t="s">
        <v>7106</v>
      </c>
      <c r="D1605" s="3">
        <v>10</v>
      </c>
      <c r="E1605" s="3">
        <v>10</v>
      </c>
      <c r="F1605" s="2" t="s">
        <v>23</v>
      </c>
      <c r="G1605" s="2" t="s">
        <v>7107</v>
      </c>
      <c r="H1605" s="3">
        <v>0</v>
      </c>
      <c r="I1605" s="2" t="s">
        <v>18</v>
      </c>
      <c r="J1605" s="2" t="s">
        <v>7108</v>
      </c>
      <c r="K1605" s="2" t="s">
        <v>23</v>
      </c>
      <c r="L1605" s="2" t="s">
        <v>7109</v>
      </c>
      <c r="M1605" s="4">
        <v>69.36</v>
      </c>
      <c r="N1605" t="e">
        <f>OR(LEFT(B1605,3)="frg",(_xlfn.XMATCH(B1605,ZZZ_Part_Id_[[#All],[FGCODE]])))</f>
        <v>#N/A</v>
      </c>
    </row>
    <row r="1606" spans="1:14" x14ac:dyDescent="0.3">
      <c r="A1606" s="2" t="s">
        <v>7105</v>
      </c>
      <c r="B1606" s="2" t="s">
        <v>65</v>
      </c>
      <c r="C1606" s="2" t="s">
        <v>7110</v>
      </c>
      <c r="D1606" s="5">
        <v>-304</v>
      </c>
      <c r="E1606" s="5">
        <v>-304</v>
      </c>
      <c r="F1606" s="2" t="s">
        <v>23</v>
      </c>
      <c r="G1606" s="2" t="s">
        <v>7111</v>
      </c>
      <c r="H1606" s="3">
        <v>0</v>
      </c>
      <c r="I1606" s="2" t="s">
        <v>18</v>
      </c>
      <c r="J1606" s="2" t="s">
        <v>7112</v>
      </c>
      <c r="K1606" s="2" t="s">
        <v>23</v>
      </c>
      <c r="L1606" s="2" t="s">
        <v>7113</v>
      </c>
      <c r="M1606" s="6">
        <v>-781.77</v>
      </c>
      <c r="N1606" t="b">
        <f>OR(LEFT(B1606,3)="frg",(_xlfn.XMATCH(B1606,ZZZ_Part_Id_[[#All],[FGCODE]])))</f>
        <v>1</v>
      </c>
    </row>
    <row r="1607" spans="1:14" x14ac:dyDescent="0.3">
      <c r="A1607" s="2" t="s">
        <v>7105</v>
      </c>
      <c r="B1607" s="2" t="s">
        <v>2086</v>
      </c>
      <c r="C1607" s="2" t="s">
        <v>7114</v>
      </c>
      <c r="D1607" s="3">
        <v>84480</v>
      </c>
      <c r="E1607" s="3">
        <v>3041.28</v>
      </c>
      <c r="F1607" s="2" t="s">
        <v>23</v>
      </c>
      <c r="G1607" s="2" t="s">
        <v>7115</v>
      </c>
      <c r="H1607" s="3">
        <v>0</v>
      </c>
      <c r="I1607" s="2" t="s">
        <v>18</v>
      </c>
      <c r="J1607" s="2" t="s">
        <v>7116</v>
      </c>
      <c r="K1607" s="2" t="s">
        <v>23</v>
      </c>
      <c r="L1607" s="2" t="s">
        <v>7117</v>
      </c>
      <c r="M1607" s="4">
        <v>20771.990000000002</v>
      </c>
      <c r="N1607" t="b">
        <f>OR(LEFT(B1607,3)="frg",(_xlfn.XMATCH(B1607,ZZZ_Part_Id_[[#All],[FGCODE]])))</f>
        <v>1</v>
      </c>
    </row>
    <row r="1608" spans="1:14" x14ac:dyDescent="0.3">
      <c r="A1608" s="2" t="s">
        <v>7118</v>
      </c>
      <c r="B1608" s="2" t="s">
        <v>14</v>
      </c>
      <c r="C1608" s="2" t="s">
        <v>7119</v>
      </c>
      <c r="D1608" s="3">
        <v>10</v>
      </c>
      <c r="E1608" s="3">
        <v>10</v>
      </c>
      <c r="F1608" s="2" t="s">
        <v>16</v>
      </c>
      <c r="G1608" s="2" t="s">
        <v>7120</v>
      </c>
      <c r="H1608" s="3">
        <v>0</v>
      </c>
      <c r="I1608" s="2" t="s">
        <v>18</v>
      </c>
      <c r="J1608" s="2" t="s">
        <v>7121</v>
      </c>
      <c r="K1608" s="2" t="s">
        <v>16</v>
      </c>
      <c r="L1608" s="2" t="s">
        <v>7122</v>
      </c>
      <c r="M1608" s="4">
        <v>0.77</v>
      </c>
      <c r="N1608" t="e">
        <f>OR(LEFT(B1608,3)="frg",(_xlfn.XMATCH(B1608,ZZZ_Part_Id_[[#All],[FGCODE]])))</f>
        <v>#N/A</v>
      </c>
    </row>
    <row r="1609" spans="1:14" x14ac:dyDescent="0.3">
      <c r="A1609" s="2" t="s">
        <v>7118</v>
      </c>
      <c r="B1609" s="2" t="s">
        <v>7090</v>
      </c>
      <c r="C1609" s="2" t="s">
        <v>7123</v>
      </c>
      <c r="D1609" s="3">
        <v>70560</v>
      </c>
      <c r="E1609" s="3">
        <v>70560</v>
      </c>
      <c r="F1609" s="2" t="s">
        <v>16</v>
      </c>
      <c r="G1609" s="2" t="s">
        <v>7124</v>
      </c>
      <c r="H1609" s="3">
        <v>0</v>
      </c>
      <c r="I1609" s="2" t="s">
        <v>18</v>
      </c>
      <c r="J1609" s="2" t="s">
        <v>7125</v>
      </c>
      <c r="K1609" s="2" t="s">
        <v>16</v>
      </c>
      <c r="L1609" s="2" t="s">
        <v>7126</v>
      </c>
      <c r="M1609" s="4">
        <v>1773.17</v>
      </c>
      <c r="N1609" t="b">
        <f>OR(LEFT(B1609,3)="frg",(_xlfn.XMATCH(B1609,ZZZ_Part_Id_[[#All],[FGCODE]])))</f>
        <v>1</v>
      </c>
    </row>
    <row r="1610" spans="1:14" x14ac:dyDescent="0.3">
      <c r="A1610" s="2" t="s">
        <v>7127</v>
      </c>
      <c r="B1610" s="2" t="s">
        <v>14</v>
      </c>
      <c r="C1610" s="2" t="s">
        <v>7128</v>
      </c>
      <c r="D1610" s="3">
        <v>95</v>
      </c>
      <c r="E1610" s="3">
        <v>95</v>
      </c>
      <c r="F1610" s="2" t="s">
        <v>16</v>
      </c>
      <c r="G1610" s="2" t="s">
        <v>7129</v>
      </c>
      <c r="H1610" s="3">
        <v>0</v>
      </c>
      <c r="I1610" s="2" t="s">
        <v>409</v>
      </c>
      <c r="J1610" s="2" t="s">
        <v>7130</v>
      </c>
      <c r="K1610" s="2" t="s">
        <v>16</v>
      </c>
      <c r="L1610" s="2" t="s">
        <v>7131</v>
      </c>
      <c r="M1610" s="4">
        <v>7.31</v>
      </c>
      <c r="N1610" t="e">
        <f>OR(LEFT(B1610,3)="frg",(_xlfn.XMATCH(B1610,ZZZ_Part_Id_[[#All],[FGCODE]])))</f>
        <v>#N/A</v>
      </c>
    </row>
    <row r="1611" spans="1:14" x14ac:dyDescent="0.3">
      <c r="A1611" s="2" t="s">
        <v>7127</v>
      </c>
      <c r="B1611" s="2" t="s">
        <v>5357</v>
      </c>
      <c r="C1611" s="2" t="s">
        <v>7132</v>
      </c>
      <c r="D1611" s="3">
        <v>596160</v>
      </c>
      <c r="E1611" s="3">
        <v>596160</v>
      </c>
      <c r="F1611" s="2" t="s">
        <v>16</v>
      </c>
      <c r="G1611" s="2" t="s">
        <v>7133</v>
      </c>
      <c r="H1611" s="3">
        <v>0</v>
      </c>
      <c r="I1611" s="2" t="s">
        <v>409</v>
      </c>
      <c r="J1611" s="2" t="s">
        <v>7134</v>
      </c>
      <c r="K1611" s="2" t="s">
        <v>16</v>
      </c>
      <c r="L1611" s="2" t="s">
        <v>7135</v>
      </c>
      <c r="M1611" s="4">
        <v>177077.7</v>
      </c>
      <c r="N1611" t="b">
        <f>OR(LEFT(B1611,3)="frg",(_xlfn.XMATCH(B1611,ZZZ_Part_Id_[[#All],[FGCODE]])))</f>
        <v>1</v>
      </c>
    </row>
    <row r="1612" spans="1:14" x14ac:dyDescent="0.3">
      <c r="A1612" s="2" t="s">
        <v>7136</v>
      </c>
      <c r="B1612" s="2" t="s">
        <v>14</v>
      </c>
      <c r="C1612" s="2" t="s">
        <v>7137</v>
      </c>
      <c r="D1612" s="3">
        <v>30</v>
      </c>
      <c r="E1612" s="3">
        <v>30</v>
      </c>
      <c r="F1612" s="2" t="s">
        <v>16</v>
      </c>
      <c r="G1612" s="2" t="s">
        <v>7138</v>
      </c>
      <c r="H1612" s="3">
        <v>0</v>
      </c>
      <c r="I1612" s="2" t="s">
        <v>409</v>
      </c>
      <c r="J1612" s="2" t="s">
        <v>7139</v>
      </c>
      <c r="K1612" s="2" t="s">
        <v>16</v>
      </c>
      <c r="L1612" s="2" t="s">
        <v>7140</v>
      </c>
      <c r="M1612" s="4">
        <v>2.31</v>
      </c>
      <c r="N1612" t="e">
        <f>OR(LEFT(B1612,3)="frg",(_xlfn.XMATCH(B1612,ZZZ_Part_Id_[[#All],[FGCODE]])))</f>
        <v>#N/A</v>
      </c>
    </row>
    <row r="1613" spans="1:14" x14ac:dyDescent="0.3">
      <c r="A1613" s="2" t="s">
        <v>7136</v>
      </c>
      <c r="B1613" s="2" t="s">
        <v>167</v>
      </c>
      <c r="C1613" s="2" t="s">
        <v>7141</v>
      </c>
      <c r="D1613" s="3">
        <v>14</v>
      </c>
      <c r="E1613" s="3">
        <v>14</v>
      </c>
      <c r="F1613" s="2" t="s">
        <v>23</v>
      </c>
      <c r="G1613" s="2" t="s">
        <v>7142</v>
      </c>
      <c r="H1613" s="3">
        <v>0</v>
      </c>
      <c r="I1613" s="2" t="s">
        <v>409</v>
      </c>
      <c r="J1613" s="2" t="s">
        <v>7143</v>
      </c>
      <c r="K1613" s="2" t="s">
        <v>23</v>
      </c>
      <c r="L1613" s="2" t="s">
        <v>7144</v>
      </c>
      <c r="M1613" s="4">
        <v>99.51</v>
      </c>
      <c r="N1613" t="e">
        <f>OR(LEFT(B1613,3)="frg",(_xlfn.XMATCH(B1613,ZZZ_Part_Id_[[#All],[FGCODE]])))</f>
        <v>#N/A</v>
      </c>
    </row>
    <row r="1614" spans="1:14" x14ac:dyDescent="0.3">
      <c r="A1614" s="2" t="s">
        <v>7136</v>
      </c>
      <c r="B1614" s="2" t="s">
        <v>86</v>
      </c>
      <c r="C1614" s="2" t="s">
        <v>7145</v>
      </c>
      <c r="D1614" s="5">
        <v>-444</v>
      </c>
      <c r="E1614" s="5">
        <v>-444</v>
      </c>
      <c r="F1614" s="2" t="s">
        <v>23</v>
      </c>
      <c r="G1614" s="2" t="s">
        <v>7146</v>
      </c>
      <c r="H1614" s="3">
        <v>0</v>
      </c>
      <c r="I1614" s="2" t="s">
        <v>409</v>
      </c>
      <c r="J1614" s="2" t="s">
        <v>7147</v>
      </c>
      <c r="K1614" s="2" t="s">
        <v>23</v>
      </c>
      <c r="L1614" s="2" t="s">
        <v>7148</v>
      </c>
      <c r="M1614" s="6">
        <v>-1162.3</v>
      </c>
      <c r="N1614" t="b">
        <f>OR(LEFT(B1614,3)="frg",(_xlfn.XMATCH(B1614,ZZZ_Part_Id_[[#All],[FGCODE]])))</f>
        <v>1</v>
      </c>
    </row>
    <row r="1615" spans="1:14" x14ac:dyDescent="0.3">
      <c r="A1615" s="2" t="s">
        <v>7136</v>
      </c>
      <c r="B1615" s="2" t="s">
        <v>4511</v>
      </c>
      <c r="C1615" s="2" t="s">
        <v>7149</v>
      </c>
      <c r="D1615" s="3">
        <v>806760</v>
      </c>
      <c r="E1615" s="3">
        <v>806760</v>
      </c>
      <c r="F1615" s="2" t="s">
        <v>16</v>
      </c>
      <c r="G1615" s="2" t="s">
        <v>7150</v>
      </c>
      <c r="H1615" s="3">
        <v>0</v>
      </c>
      <c r="I1615" s="2" t="s">
        <v>409</v>
      </c>
      <c r="J1615" s="2" t="s">
        <v>7151</v>
      </c>
      <c r="K1615" s="2" t="s">
        <v>16</v>
      </c>
      <c r="L1615" s="2" t="s">
        <v>7152</v>
      </c>
      <c r="M1615" s="4">
        <v>46445.13</v>
      </c>
      <c r="N1615" t="b">
        <f>OR(LEFT(B1615,3)="frg",(_xlfn.XMATCH(B1615,ZZZ_Part_Id_[[#All],[FGCODE]])))</f>
        <v>1</v>
      </c>
    </row>
    <row r="1616" spans="1:14" x14ac:dyDescent="0.3">
      <c r="A1616" s="2" t="s">
        <v>7153</v>
      </c>
      <c r="B1616" s="2" t="s">
        <v>1667</v>
      </c>
      <c r="C1616" s="2" t="s">
        <v>7154</v>
      </c>
      <c r="D1616" s="3">
        <v>62640</v>
      </c>
      <c r="E1616" s="3">
        <v>62640</v>
      </c>
      <c r="F1616" s="2" t="s">
        <v>16</v>
      </c>
      <c r="G1616" s="2" t="s">
        <v>7155</v>
      </c>
      <c r="H1616" s="3">
        <v>0</v>
      </c>
      <c r="I1616" s="2" t="s">
        <v>18</v>
      </c>
      <c r="J1616" s="2" t="s">
        <v>7156</v>
      </c>
      <c r="K1616" s="2" t="s">
        <v>16</v>
      </c>
      <c r="L1616" s="2" t="s">
        <v>7157</v>
      </c>
      <c r="M1616" s="4">
        <v>5315.64</v>
      </c>
      <c r="N1616" t="b">
        <f>OR(LEFT(B1616,3)="frg",(_xlfn.XMATCH(B1616,ZZZ_Part_Id_[[#All],[FGCODE]])))</f>
        <v>1</v>
      </c>
    </row>
    <row r="1617" spans="1:14" x14ac:dyDescent="0.3">
      <c r="A1617" s="2" t="s">
        <v>7158</v>
      </c>
      <c r="B1617" s="2" t="s">
        <v>14</v>
      </c>
      <c r="C1617" s="2" t="s">
        <v>7159</v>
      </c>
      <c r="D1617" s="3">
        <v>4</v>
      </c>
      <c r="E1617" s="3">
        <v>4</v>
      </c>
      <c r="F1617" s="2" t="s">
        <v>16</v>
      </c>
      <c r="G1617" s="2" t="s">
        <v>7160</v>
      </c>
      <c r="H1617" s="3">
        <v>0</v>
      </c>
      <c r="I1617" s="2" t="s">
        <v>18</v>
      </c>
      <c r="J1617" s="2" t="s">
        <v>7161</v>
      </c>
      <c r="K1617" s="2" t="s">
        <v>16</v>
      </c>
      <c r="L1617" s="2" t="s">
        <v>7162</v>
      </c>
      <c r="M1617" s="4">
        <v>0.31</v>
      </c>
      <c r="N1617" t="e">
        <f>OR(LEFT(B1617,3)="frg",(_xlfn.XMATCH(B1617,ZZZ_Part_Id_[[#All],[FGCODE]])))</f>
        <v>#N/A</v>
      </c>
    </row>
    <row r="1618" spans="1:14" x14ac:dyDescent="0.3">
      <c r="A1618" s="2" t="s">
        <v>7158</v>
      </c>
      <c r="B1618" s="2" t="s">
        <v>121</v>
      </c>
      <c r="C1618" s="2" t="s">
        <v>7163</v>
      </c>
      <c r="D1618" s="3">
        <v>26496</v>
      </c>
      <c r="E1618" s="3">
        <v>26496</v>
      </c>
      <c r="F1618" s="2" t="s">
        <v>16</v>
      </c>
      <c r="G1618" s="2" t="s">
        <v>7164</v>
      </c>
      <c r="H1618" s="3">
        <v>0</v>
      </c>
      <c r="I1618" s="2" t="s">
        <v>18</v>
      </c>
      <c r="J1618" s="2" t="s">
        <v>7165</v>
      </c>
      <c r="K1618" s="2" t="s">
        <v>16</v>
      </c>
      <c r="L1618" s="2" t="s">
        <v>7166</v>
      </c>
      <c r="M1618" s="4">
        <v>7878.06</v>
      </c>
      <c r="N1618" t="b">
        <f>OR(LEFT(B1618,3)="frg",(_xlfn.XMATCH(B1618,ZZZ_Part_Id_[[#All],[FGCODE]])))</f>
        <v>1</v>
      </c>
    </row>
    <row r="1619" spans="1:14" x14ac:dyDescent="0.3">
      <c r="A1619" s="2" t="s">
        <v>7167</v>
      </c>
      <c r="B1619" s="2" t="s">
        <v>14</v>
      </c>
      <c r="C1619" s="2" t="s">
        <v>7168</v>
      </c>
      <c r="D1619" s="3">
        <v>14</v>
      </c>
      <c r="E1619" s="3">
        <v>14</v>
      </c>
      <c r="F1619" s="2" t="s">
        <v>16</v>
      </c>
      <c r="G1619" s="2" t="s">
        <v>7169</v>
      </c>
      <c r="H1619" s="3">
        <v>0</v>
      </c>
      <c r="I1619" s="2" t="s">
        <v>18</v>
      </c>
      <c r="J1619" s="2" t="s">
        <v>7170</v>
      </c>
      <c r="K1619" s="2" t="s">
        <v>16</v>
      </c>
      <c r="L1619" s="2" t="s">
        <v>7171</v>
      </c>
      <c r="M1619" s="4">
        <v>1.08</v>
      </c>
      <c r="N1619" t="e">
        <f>OR(LEFT(B1619,3)="frg",(_xlfn.XMATCH(B1619,ZZZ_Part_Id_[[#All],[FGCODE]])))</f>
        <v>#N/A</v>
      </c>
    </row>
    <row r="1620" spans="1:14" x14ac:dyDescent="0.3">
      <c r="A1620" s="2" t="s">
        <v>7167</v>
      </c>
      <c r="B1620" s="2" t="s">
        <v>4791</v>
      </c>
      <c r="C1620" s="2" t="s">
        <v>7172</v>
      </c>
      <c r="D1620" s="3">
        <v>72864</v>
      </c>
      <c r="E1620" s="3">
        <v>72864</v>
      </c>
      <c r="F1620" s="2" t="s">
        <v>16</v>
      </c>
      <c r="G1620" s="2" t="s">
        <v>7173</v>
      </c>
      <c r="H1620" s="3">
        <v>0</v>
      </c>
      <c r="I1620" s="2" t="s">
        <v>18</v>
      </c>
      <c r="J1620" s="2" t="s">
        <v>7174</v>
      </c>
      <c r="K1620" s="2" t="s">
        <v>16</v>
      </c>
      <c r="L1620" s="2" t="s">
        <v>7175</v>
      </c>
      <c r="M1620" s="4">
        <v>21387.77</v>
      </c>
      <c r="N1620" t="b">
        <f>OR(LEFT(B1620,3)="frg",(_xlfn.XMATCH(B1620,ZZZ_Part_Id_[[#All],[FGCODE]])))</f>
        <v>1</v>
      </c>
    </row>
    <row r="1621" spans="1:14" x14ac:dyDescent="0.3">
      <c r="A1621" s="2" t="s">
        <v>7176</v>
      </c>
      <c r="B1621" s="2" t="s">
        <v>14</v>
      </c>
      <c r="C1621" s="2" t="s">
        <v>7177</v>
      </c>
      <c r="D1621" s="3">
        <v>64</v>
      </c>
      <c r="E1621" s="3">
        <v>64</v>
      </c>
      <c r="F1621" s="2" t="s">
        <v>16</v>
      </c>
      <c r="G1621" s="2" t="s">
        <v>7178</v>
      </c>
      <c r="H1621" s="3">
        <v>0</v>
      </c>
      <c r="I1621" s="2" t="s">
        <v>18</v>
      </c>
      <c r="J1621" s="2" t="s">
        <v>7179</v>
      </c>
      <c r="K1621" s="2" t="s">
        <v>16</v>
      </c>
      <c r="L1621" s="2" t="s">
        <v>7180</v>
      </c>
      <c r="M1621" s="4">
        <v>4.92</v>
      </c>
      <c r="N1621" t="e">
        <f>OR(LEFT(B1621,3)="frg",(_xlfn.XMATCH(B1621,ZZZ_Part_Id_[[#All],[FGCODE]])))</f>
        <v>#N/A</v>
      </c>
    </row>
    <row r="1622" spans="1:14" x14ac:dyDescent="0.3">
      <c r="A1622" s="2" t="s">
        <v>7176</v>
      </c>
      <c r="B1622" s="2" t="s">
        <v>97</v>
      </c>
      <c r="C1622" s="2" t="s">
        <v>7181</v>
      </c>
      <c r="D1622" s="3">
        <v>249600</v>
      </c>
      <c r="E1622" s="3">
        <v>249600</v>
      </c>
      <c r="F1622" s="2" t="s">
        <v>16</v>
      </c>
      <c r="G1622" s="2" t="s">
        <v>7182</v>
      </c>
      <c r="H1622" s="3">
        <v>0</v>
      </c>
      <c r="I1622" s="2" t="s">
        <v>18</v>
      </c>
      <c r="J1622" s="2" t="s">
        <v>7183</v>
      </c>
      <c r="K1622" s="2" t="s">
        <v>16</v>
      </c>
      <c r="L1622" s="2" t="s">
        <v>7184</v>
      </c>
      <c r="M1622" s="4">
        <v>85562.880000000005</v>
      </c>
      <c r="N1622" t="b">
        <f>OR(LEFT(B1622,3)="frg",(_xlfn.XMATCH(B1622,ZZZ_Part_Id_[[#All],[FGCODE]])))</f>
        <v>1</v>
      </c>
    </row>
    <row r="1623" spans="1:14" x14ac:dyDescent="0.3">
      <c r="A1623" s="2" t="s">
        <v>7185</v>
      </c>
      <c r="B1623" s="2" t="s">
        <v>14</v>
      </c>
      <c r="C1623" s="2" t="s">
        <v>7186</v>
      </c>
      <c r="D1623" s="3">
        <v>35</v>
      </c>
      <c r="E1623" s="3">
        <v>35</v>
      </c>
      <c r="F1623" s="2" t="s">
        <v>16</v>
      </c>
      <c r="G1623" s="2" t="s">
        <v>7187</v>
      </c>
      <c r="H1623" s="3">
        <v>0</v>
      </c>
      <c r="I1623" s="2" t="s">
        <v>409</v>
      </c>
      <c r="J1623" s="2" t="s">
        <v>7188</v>
      </c>
      <c r="K1623" s="2" t="s">
        <v>16</v>
      </c>
      <c r="L1623" s="2" t="s">
        <v>7189</v>
      </c>
      <c r="M1623" s="4">
        <v>2.69</v>
      </c>
      <c r="N1623" t="e">
        <f>OR(LEFT(B1623,3)="frg",(_xlfn.XMATCH(B1623,ZZZ_Part_Id_[[#All],[FGCODE]])))</f>
        <v>#N/A</v>
      </c>
    </row>
    <row r="1624" spans="1:14" x14ac:dyDescent="0.3">
      <c r="A1624" s="2" t="s">
        <v>7185</v>
      </c>
      <c r="B1624" s="2" t="s">
        <v>86</v>
      </c>
      <c r="C1624" s="2" t="s">
        <v>7190</v>
      </c>
      <c r="D1624" s="3">
        <v>0</v>
      </c>
      <c r="E1624" s="3">
        <v>0</v>
      </c>
      <c r="F1624" s="2" t="s">
        <v>23</v>
      </c>
      <c r="G1624" s="2" t="s">
        <v>7191</v>
      </c>
      <c r="H1624" s="3">
        <v>0</v>
      </c>
      <c r="I1624" s="2" t="s">
        <v>409</v>
      </c>
      <c r="J1624" s="2" t="s">
        <v>7192</v>
      </c>
      <c r="K1624" s="2" t="s">
        <v>23</v>
      </c>
      <c r="L1624" s="2" t="s">
        <v>7193</v>
      </c>
      <c r="M1624" s="4">
        <v>0</v>
      </c>
      <c r="N1624" t="b">
        <f>OR(LEFT(B1624,3)="frg",(_xlfn.XMATCH(B1624,ZZZ_Part_Id_[[#All],[FGCODE]])))</f>
        <v>1</v>
      </c>
    </row>
    <row r="1625" spans="1:14" x14ac:dyDescent="0.3">
      <c r="A1625" s="2" t="s">
        <v>7185</v>
      </c>
      <c r="B1625" s="2" t="s">
        <v>4511</v>
      </c>
      <c r="C1625" s="2" t="s">
        <v>7194</v>
      </c>
      <c r="D1625" s="3">
        <v>717120</v>
      </c>
      <c r="E1625" s="3">
        <v>717120</v>
      </c>
      <c r="F1625" s="2" t="s">
        <v>16</v>
      </c>
      <c r="G1625" s="2" t="s">
        <v>7195</v>
      </c>
      <c r="H1625" s="3">
        <v>0</v>
      </c>
      <c r="I1625" s="2" t="s">
        <v>409</v>
      </c>
      <c r="J1625" s="2" t="s">
        <v>7196</v>
      </c>
      <c r="K1625" s="2" t="s">
        <v>16</v>
      </c>
      <c r="L1625" s="2" t="s">
        <v>7197</v>
      </c>
      <c r="M1625" s="4">
        <v>41284.559999999998</v>
      </c>
      <c r="N1625" t="b">
        <f>OR(LEFT(B1625,3)="frg",(_xlfn.XMATCH(B1625,ZZZ_Part_Id_[[#All],[FGCODE]])))</f>
        <v>1</v>
      </c>
    </row>
    <row r="1626" spans="1:14" x14ac:dyDescent="0.3">
      <c r="A1626" s="2" t="s">
        <v>7198</v>
      </c>
      <c r="B1626" s="2" t="s">
        <v>14</v>
      </c>
      <c r="C1626" s="2" t="s">
        <v>7199</v>
      </c>
      <c r="D1626" s="3">
        <v>10</v>
      </c>
      <c r="E1626" s="3">
        <v>10</v>
      </c>
      <c r="F1626" s="2" t="s">
        <v>16</v>
      </c>
      <c r="G1626" s="2" t="s">
        <v>7200</v>
      </c>
      <c r="H1626" s="3">
        <v>0</v>
      </c>
      <c r="I1626" s="2" t="s">
        <v>409</v>
      </c>
      <c r="J1626" s="2" t="s">
        <v>7201</v>
      </c>
      <c r="K1626" s="2" t="s">
        <v>16</v>
      </c>
      <c r="L1626" s="2" t="s">
        <v>7202</v>
      </c>
      <c r="M1626" s="4">
        <v>0.77</v>
      </c>
      <c r="N1626" t="e">
        <f>OR(LEFT(B1626,3)="frg",(_xlfn.XMATCH(B1626,ZZZ_Part_Id_[[#All],[FGCODE]])))</f>
        <v>#N/A</v>
      </c>
    </row>
    <row r="1627" spans="1:14" x14ac:dyDescent="0.3">
      <c r="A1627" s="2" t="s">
        <v>7198</v>
      </c>
      <c r="B1627" s="2" t="s">
        <v>5357</v>
      </c>
      <c r="C1627" s="2" t="s">
        <v>7203</v>
      </c>
      <c r="D1627" s="3">
        <v>39744</v>
      </c>
      <c r="E1627" s="3">
        <v>39744</v>
      </c>
      <c r="F1627" s="2" t="s">
        <v>16</v>
      </c>
      <c r="G1627" s="2" t="s">
        <v>7204</v>
      </c>
      <c r="H1627" s="3">
        <v>0</v>
      </c>
      <c r="I1627" s="2" t="s">
        <v>409</v>
      </c>
      <c r="J1627" s="2" t="s">
        <v>7205</v>
      </c>
      <c r="K1627" s="2" t="s">
        <v>16</v>
      </c>
      <c r="L1627" s="2" t="s">
        <v>7206</v>
      </c>
      <c r="M1627" s="4">
        <v>11805.18</v>
      </c>
      <c r="N1627" t="b">
        <f>OR(LEFT(B1627,3)="frg",(_xlfn.XMATCH(B1627,ZZZ_Part_Id_[[#All],[FGCODE]])))</f>
        <v>1</v>
      </c>
    </row>
    <row r="1628" spans="1:14" x14ac:dyDescent="0.3">
      <c r="A1628" s="2" t="s">
        <v>7207</v>
      </c>
      <c r="B1628" s="2" t="s">
        <v>14</v>
      </c>
      <c r="C1628" s="2" t="s">
        <v>7208</v>
      </c>
      <c r="D1628" s="3">
        <v>40</v>
      </c>
      <c r="E1628" s="3">
        <v>40</v>
      </c>
      <c r="F1628" s="2" t="s">
        <v>16</v>
      </c>
      <c r="G1628" s="2" t="s">
        <v>7209</v>
      </c>
      <c r="H1628" s="3">
        <v>0</v>
      </c>
      <c r="I1628" s="2" t="s">
        <v>409</v>
      </c>
      <c r="J1628" s="2" t="s">
        <v>7210</v>
      </c>
      <c r="K1628" s="2" t="s">
        <v>16</v>
      </c>
      <c r="L1628" s="2" t="s">
        <v>7211</v>
      </c>
      <c r="M1628" s="4">
        <v>3.08</v>
      </c>
      <c r="N1628" t="e">
        <f>OR(LEFT(B1628,3)="frg",(_xlfn.XMATCH(B1628,ZZZ_Part_Id_[[#All],[FGCODE]])))</f>
        <v>#N/A</v>
      </c>
    </row>
    <row r="1629" spans="1:14" x14ac:dyDescent="0.3">
      <c r="A1629" s="2" t="s">
        <v>7207</v>
      </c>
      <c r="B1629" s="2" t="s">
        <v>97</v>
      </c>
      <c r="C1629" s="2" t="s">
        <v>7212</v>
      </c>
      <c r="D1629" s="3">
        <v>206400</v>
      </c>
      <c r="E1629" s="3">
        <v>206400</v>
      </c>
      <c r="F1629" s="2" t="s">
        <v>16</v>
      </c>
      <c r="G1629" s="2" t="s">
        <v>7213</v>
      </c>
      <c r="H1629" s="3">
        <v>0</v>
      </c>
      <c r="I1629" s="2" t="s">
        <v>409</v>
      </c>
      <c r="J1629" s="2" t="s">
        <v>7214</v>
      </c>
      <c r="K1629" s="2" t="s">
        <v>16</v>
      </c>
      <c r="L1629" s="2" t="s">
        <v>7215</v>
      </c>
      <c r="M1629" s="4">
        <v>70753.919999999998</v>
      </c>
      <c r="N1629" t="b">
        <f>OR(LEFT(B1629,3)="frg",(_xlfn.XMATCH(B1629,ZZZ_Part_Id_[[#All],[FGCODE]])))</f>
        <v>1</v>
      </c>
    </row>
    <row r="1630" spans="1:14" x14ac:dyDescent="0.3">
      <c r="A1630" s="2" t="s">
        <v>7216</v>
      </c>
      <c r="B1630" s="2" t="s">
        <v>14</v>
      </c>
      <c r="C1630" s="2" t="s">
        <v>7217</v>
      </c>
      <c r="D1630" s="3">
        <v>15</v>
      </c>
      <c r="E1630" s="3">
        <v>15</v>
      </c>
      <c r="F1630" s="2" t="s">
        <v>16</v>
      </c>
      <c r="G1630" s="2" t="s">
        <v>7218</v>
      </c>
      <c r="H1630" s="3">
        <v>0</v>
      </c>
      <c r="I1630" s="2" t="s">
        <v>409</v>
      </c>
      <c r="J1630" s="2" t="s">
        <v>7219</v>
      </c>
      <c r="K1630" s="2" t="s">
        <v>16</v>
      </c>
      <c r="L1630" s="2" t="s">
        <v>7220</v>
      </c>
      <c r="M1630" s="4">
        <v>1.1499999999999999</v>
      </c>
      <c r="N1630" t="e">
        <f>OR(LEFT(B1630,3)="frg",(_xlfn.XMATCH(B1630,ZZZ_Part_Id_[[#All],[FGCODE]])))</f>
        <v>#N/A</v>
      </c>
    </row>
    <row r="1631" spans="1:14" x14ac:dyDescent="0.3">
      <c r="A1631" s="2" t="s">
        <v>7216</v>
      </c>
      <c r="B1631" s="2" t="s">
        <v>86</v>
      </c>
      <c r="C1631" s="2" t="s">
        <v>7221</v>
      </c>
      <c r="D1631" s="5">
        <v>-222</v>
      </c>
      <c r="E1631" s="5">
        <v>-222</v>
      </c>
      <c r="F1631" s="2" t="s">
        <v>23</v>
      </c>
      <c r="G1631" s="2" t="s">
        <v>7222</v>
      </c>
      <c r="H1631" s="3">
        <v>0</v>
      </c>
      <c r="I1631" s="2" t="s">
        <v>409</v>
      </c>
      <c r="J1631" s="2" t="s">
        <v>7223</v>
      </c>
      <c r="K1631" s="2" t="s">
        <v>23</v>
      </c>
      <c r="L1631" s="2" t="s">
        <v>7224</v>
      </c>
      <c r="M1631" s="6">
        <v>-581.15</v>
      </c>
      <c r="N1631" t="b">
        <f>OR(LEFT(B1631,3)="frg",(_xlfn.XMATCH(B1631,ZZZ_Part_Id_[[#All],[FGCODE]])))</f>
        <v>1</v>
      </c>
    </row>
    <row r="1632" spans="1:14" x14ac:dyDescent="0.3">
      <c r="A1632" s="2" t="s">
        <v>7216</v>
      </c>
      <c r="B1632" s="2" t="s">
        <v>4511</v>
      </c>
      <c r="C1632" s="2" t="s">
        <v>7225</v>
      </c>
      <c r="D1632" s="3">
        <v>478080</v>
      </c>
      <c r="E1632" s="3">
        <v>478080</v>
      </c>
      <c r="F1632" s="2" t="s">
        <v>16</v>
      </c>
      <c r="G1632" s="2" t="s">
        <v>7226</v>
      </c>
      <c r="H1632" s="3">
        <v>0</v>
      </c>
      <c r="I1632" s="2" t="s">
        <v>409</v>
      </c>
      <c r="J1632" s="2" t="s">
        <v>7227</v>
      </c>
      <c r="K1632" s="2" t="s">
        <v>16</v>
      </c>
      <c r="L1632" s="2" t="s">
        <v>7228</v>
      </c>
      <c r="M1632" s="4">
        <v>27523.040000000001</v>
      </c>
      <c r="N1632" t="b">
        <f>OR(LEFT(B1632,3)="frg",(_xlfn.XMATCH(B1632,ZZZ_Part_Id_[[#All],[FGCODE]])))</f>
        <v>1</v>
      </c>
    </row>
    <row r="1633" spans="1:14" x14ac:dyDescent="0.3">
      <c r="A1633" s="2" t="s">
        <v>7229</v>
      </c>
      <c r="B1633" s="2" t="s">
        <v>14</v>
      </c>
      <c r="C1633" s="2" t="s">
        <v>7230</v>
      </c>
      <c r="D1633" s="3">
        <v>95</v>
      </c>
      <c r="E1633" s="3">
        <v>95</v>
      </c>
      <c r="F1633" s="2" t="s">
        <v>16</v>
      </c>
      <c r="G1633" s="2" t="s">
        <v>7231</v>
      </c>
      <c r="H1633" s="3">
        <v>0</v>
      </c>
      <c r="I1633" s="2" t="s">
        <v>409</v>
      </c>
      <c r="J1633" s="2" t="s">
        <v>7232</v>
      </c>
      <c r="K1633" s="2" t="s">
        <v>16</v>
      </c>
      <c r="L1633" s="2" t="s">
        <v>7233</v>
      </c>
      <c r="M1633" s="4">
        <v>7.31</v>
      </c>
      <c r="N1633" t="e">
        <f>OR(LEFT(B1633,3)="frg",(_xlfn.XMATCH(B1633,ZZZ_Part_Id_[[#All],[FGCODE]])))</f>
        <v>#N/A</v>
      </c>
    </row>
    <row r="1634" spans="1:14" x14ac:dyDescent="0.3">
      <c r="A1634" s="2" t="s">
        <v>7229</v>
      </c>
      <c r="B1634" s="2" t="s">
        <v>5357</v>
      </c>
      <c r="C1634" s="2" t="s">
        <v>7234</v>
      </c>
      <c r="D1634" s="3">
        <v>503424</v>
      </c>
      <c r="E1634" s="3">
        <v>503424</v>
      </c>
      <c r="F1634" s="2" t="s">
        <v>16</v>
      </c>
      <c r="G1634" s="2" t="s">
        <v>7235</v>
      </c>
      <c r="H1634" s="3">
        <v>0</v>
      </c>
      <c r="I1634" s="2" t="s">
        <v>409</v>
      </c>
      <c r="J1634" s="2" t="s">
        <v>7236</v>
      </c>
      <c r="K1634" s="2" t="s">
        <v>16</v>
      </c>
      <c r="L1634" s="2" t="s">
        <v>7237</v>
      </c>
      <c r="M1634" s="4">
        <v>149532.28</v>
      </c>
      <c r="N1634" t="b">
        <f>OR(LEFT(B1634,3)="frg",(_xlfn.XMATCH(B1634,ZZZ_Part_Id_[[#All],[FGCODE]])))</f>
        <v>1</v>
      </c>
    </row>
    <row r="1635" spans="1:14" x14ac:dyDescent="0.3">
      <c r="A1635" s="2" t="s">
        <v>7238</v>
      </c>
      <c r="B1635" s="2" t="s">
        <v>14</v>
      </c>
      <c r="C1635" s="2" t="s">
        <v>7239</v>
      </c>
      <c r="D1635" s="3">
        <v>20</v>
      </c>
      <c r="E1635" s="3">
        <v>20</v>
      </c>
      <c r="F1635" s="2" t="s">
        <v>16</v>
      </c>
      <c r="G1635" s="2" t="s">
        <v>7240</v>
      </c>
      <c r="H1635" s="3">
        <v>0</v>
      </c>
      <c r="I1635" s="2" t="s">
        <v>18</v>
      </c>
      <c r="J1635" s="2" t="s">
        <v>7241</v>
      </c>
      <c r="K1635" s="2" t="s">
        <v>16</v>
      </c>
      <c r="L1635" s="2" t="s">
        <v>7242</v>
      </c>
      <c r="M1635" s="4">
        <v>1.54</v>
      </c>
      <c r="N1635" t="e">
        <f>OR(LEFT(B1635,3)="frg",(_xlfn.XMATCH(B1635,ZZZ_Part_Id_[[#All],[FGCODE]])))</f>
        <v>#N/A</v>
      </c>
    </row>
    <row r="1636" spans="1:14" x14ac:dyDescent="0.3">
      <c r="A1636" s="2" t="s">
        <v>7238</v>
      </c>
      <c r="B1636" s="2" t="s">
        <v>86</v>
      </c>
      <c r="C1636" s="2" t="s">
        <v>7243</v>
      </c>
      <c r="D1636" s="5">
        <v>-444</v>
      </c>
      <c r="E1636" s="5">
        <v>-444</v>
      </c>
      <c r="F1636" s="2" t="s">
        <v>23</v>
      </c>
      <c r="G1636" s="2" t="s">
        <v>7244</v>
      </c>
      <c r="H1636" s="3">
        <v>0</v>
      </c>
      <c r="I1636" s="2" t="s">
        <v>18</v>
      </c>
      <c r="J1636" s="2" t="s">
        <v>7245</v>
      </c>
      <c r="K1636" s="2" t="s">
        <v>23</v>
      </c>
      <c r="L1636" s="2" t="s">
        <v>7246</v>
      </c>
      <c r="M1636" s="6">
        <v>-1162.3</v>
      </c>
      <c r="N1636" t="b">
        <f>OR(LEFT(B1636,3)="frg",(_xlfn.XMATCH(B1636,ZZZ_Part_Id_[[#All],[FGCODE]])))</f>
        <v>1</v>
      </c>
    </row>
    <row r="1637" spans="1:14" x14ac:dyDescent="0.3">
      <c r="A1637" s="2" t="s">
        <v>7238</v>
      </c>
      <c r="B1637" s="2" t="s">
        <v>4511</v>
      </c>
      <c r="C1637" s="2" t="s">
        <v>7247</v>
      </c>
      <c r="D1637" s="3">
        <v>597600</v>
      </c>
      <c r="E1637" s="3">
        <v>597600</v>
      </c>
      <c r="F1637" s="2" t="s">
        <v>16</v>
      </c>
      <c r="G1637" s="2" t="s">
        <v>7248</v>
      </c>
      <c r="H1637" s="3">
        <v>0</v>
      </c>
      <c r="I1637" s="2" t="s">
        <v>18</v>
      </c>
      <c r="J1637" s="2" t="s">
        <v>7249</v>
      </c>
      <c r="K1637" s="2" t="s">
        <v>16</v>
      </c>
      <c r="L1637" s="2" t="s">
        <v>7250</v>
      </c>
      <c r="M1637" s="4">
        <v>34403.800000000003</v>
      </c>
      <c r="N1637" t="b">
        <f>OR(LEFT(B1637,3)="frg",(_xlfn.XMATCH(B1637,ZZZ_Part_Id_[[#All],[FGCODE]])))</f>
        <v>1</v>
      </c>
    </row>
    <row r="1638" spans="1:14" x14ac:dyDescent="0.3">
      <c r="A1638" s="2" t="s">
        <v>7251</v>
      </c>
      <c r="B1638" s="2" t="s">
        <v>14</v>
      </c>
      <c r="C1638" s="2" t="s">
        <v>7252</v>
      </c>
      <c r="D1638" s="3">
        <v>40</v>
      </c>
      <c r="E1638" s="3">
        <v>40</v>
      </c>
      <c r="F1638" s="2" t="s">
        <v>16</v>
      </c>
      <c r="G1638" s="2" t="s">
        <v>7253</v>
      </c>
      <c r="H1638" s="3">
        <v>0</v>
      </c>
      <c r="I1638" s="2" t="s">
        <v>18</v>
      </c>
      <c r="J1638" s="2" t="s">
        <v>7254</v>
      </c>
      <c r="K1638" s="2" t="s">
        <v>16</v>
      </c>
      <c r="L1638" s="2" t="s">
        <v>7255</v>
      </c>
      <c r="M1638" s="4">
        <v>3.08</v>
      </c>
      <c r="N1638" t="e">
        <f>OR(LEFT(B1638,3)="frg",(_xlfn.XMATCH(B1638,ZZZ_Part_Id_[[#All],[FGCODE]])))</f>
        <v>#N/A</v>
      </c>
    </row>
    <row r="1639" spans="1:14" x14ac:dyDescent="0.3">
      <c r="A1639" s="2" t="s">
        <v>7251</v>
      </c>
      <c r="B1639" s="2" t="s">
        <v>5357</v>
      </c>
      <c r="C1639" s="2" t="s">
        <v>7256</v>
      </c>
      <c r="D1639" s="3">
        <v>139104</v>
      </c>
      <c r="E1639" s="3">
        <v>139104</v>
      </c>
      <c r="F1639" s="2" t="s">
        <v>16</v>
      </c>
      <c r="G1639" s="2" t="s">
        <v>7257</v>
      </c>
      <c r="H1639" s="3">
        <v>0</v>
      </c>
      <c r="I1639" s="2" t="s">
        <v>18</v>
      </c>
      <c r="J1639" s="2" t="s">
        <v>7258</v>
      </c>
      <c r="K1639" s="2" t="s">
        <v>16</v>
      </c>
      <c r="L1639" s="2" t="s">
        <v>7259</v>
      </c>
      <c r="M1639" s="4">
        <v>41318.129999999997</v>
      </c>
      <c r="N1639" t="b">
        <f>OR(LEFT(B1639,3)="frg",(_xlfn.XMATCH(B1639,ZZZ_Part_Id_[[#All],[FGCODE]])))</f>
        <v>1</v>
      </c>
    </row>
    <row r="1640" spans="1:14" x14ac:dyDescent="0.3">
      <c r="A1640" s="2" t="s">
        <v>7260</v>
      </c>
      <c r="B1640" s="2" t="s">
        <v>14</v>
      </c>
      <c r="C1640" s="2" t="s">
        <v>7261</v>
      </c>
      <c r="D1640" s="3">
        <v>95</v>
      </c>
      <c r="E1640" s="3">
        <v>95</v>
      </c>
      <c r="F1640" s="2" t="s">
        <v>16</v>
      </c>
      <c r="G1640" s="2" t="s">
        <v>7262</v>
      </c>
      <c r="H1640" s="3">
        <v>0</v>
      </c>
      <c r="I1640" s="2" t="s">
        <v>409</v>
      </c>
      <c r="J1640" s="2" t="s">
        <v>7263</v>
      </c>
      <c r="K1640" s="2" t="s">
        <v>16</v>
      </c>
      <c r="L1640" s="2" t="s">
        <v>7264</v>
      </c>
      <c r="M1640" s="4">
        <v>7.31</v>
      </c>
      <c r="N1640" t="e">
        <f>OR(LEFT(B1640,3)="frg",(_xlfn.XMATCH(B1640,ZZZ_Part_Id_[[#All],[FGCODE]])))</f>
        <v>#N/A</v>
      </c>
    </row>
    <row r="1641" spans="1:14" x14ac:dyDescent="0.3">
      <c r="A1641" s="2" t="s">
        <v>7260</v>
      </c>
      <c r="B1641" s="2" t="s">
        <v>97</v>
      </c>
      <c r="C1641" s="2" t="s">
        <v>7265</v>
      </c>
      <c r="D1641" s="3">
        <v>436800</v>
      </c>
      <c r="E1641" s="3">
        <v>436800</v>
      </c>
      <c r="F1641" s="2" t="s">
        <v>16</v>
      </c>
      <c r="G1641" s="2" t="s">
        <v>7266</v>
      </c>
      <c r="H1641" s="3">
        <v>0</v>
      </c>
      <c r="I1641" s="2" t="s">
        <v>409</v>
      </c>
      <c r="J1641" s="2" t="s">
        <v>7267</v>
      </c>
      <c r="K1641" s="2" t="s">
        <v>16</v>
      </c>
      <c r="L1641" s="2" t="s">
        <v>7268</v>
      </c>
      <c r="M1641" s="4">
        <v>149735.04000000001</v>
      </c>
      <c r="N1641" t="b">
        <f>OR(LEFT(B1641,3)="frg",(_xlfn.XMATCH(B1641,ZZZ_Part_Id_[[#All],[FGCODE]])))</f>
        <v>1</v>
      </c>
    </row>
    <row r="1642" spans="1:14" x14ac:dyDescent="0.3">
      <c r="A1642" s="2" t="s">
        <v>7269</v>
      </c>
      <c r="B1642" s="2" t="s">
        <v>37</v>
      </c>
      <c r="C1642" s="2" t="s">
        <v>7270</v>
      </c>
      <c r="D1642" s="3">
        <v>19</v>
      </c>
      <c r="E1642" s="3">
        <v>19</v>
      </c>
      <c r="F1642" s="2" t="s">
        <v>16</v>
      </c>
      <c r="G1642" s="2" t="s">
        <v>7271</v>
      </c>
      <c r="H1642" s="3">
        <v>0</v>
      </c>
      <c r="I1642" s="2" t="s">
        <v>409</v>
      </c>
      <c r="J1642" s="2" t="s">
        <v>7272</v>
      </c>
      <c r="K1642" s="2" t="s">
        <v>16</v>
      </c>
      <c r="L1642" s="2" t="s">
        <v>7273</v>
      </c>
      <c r="M1642" s="4">
        <v>304</v>
      </c>
      <c r="N1642" t="e">
        <f>OR(LEFT(B1642,3)="frg",(_xlfn.XMATCH(B1642,ZZZ_Part_Id_[[#All],[FGCODE]])))</f>
        <v>#N/A</v>
      </c>
    </row>
    <row r="1643" spans="1:14" x14ac:dyDescent="0.3">
      <c r="A1643" s="2" t="s">
        <v>7269</v>
      </c>
      <c r="B1643" s="2" t="s">
        <v>65</v>
      </c>
      <c r="C1643" s="2" t="s">
        <v>7274</v>
      </c>
      <c r="D1643" s="5">
        <v>-498</v>
      </c>
      <c r="E1643" s="5">
        <v>-498</v>
      </c>
      <c r="F1643" s="2" t="s">
        <v>23</v>
      </c>
      <c r="G1643" s="2" t="s">
        <v>7275</v>
      </c>
      <c r="H1643" s="3">
        <v>0</v>
      </c>
      <c r="I1643" s="2" t="s">
        <v>409</v>
      </c>
      <c r="J1643" s="2" t="s">
        <v>7276</v>
      </c>
      <c r="K1643" s="2" t="s">
        <v>23</v>
      </c>
      <c r="L1643" s="2" t="s">
        <v>7277</v>
      </c>
      <c r="M1643" s="6">
        <v>-1280.6600000000001</v>
      </c>
      <c r="N1643" t="b">
        <f>OR(LEFT(B1643,3)="frg",(_xlfn.XMATCH(B1643,ZZZ_Part_Id_[[#All],[FGCODE]])))</f>
        <v>1</v>
      </c>
    </row>
    <row r="1644" spans="1:14" x14ac:dyDescent="0.3">
      <c r="A1644" s="2" t="s">
        <v>7269</v>
      </c>
      <c r="B1644" s="2" t="s">
        <v>97</v>
      </c>
      <c r="C1644" s="2" t="s">
        <v>7278</v>
      </c>
      <c r="D1644" s="3">
        <v>100800</v>
      </c>
      <c r="E1644" s="3">
        <v>100800</v>
      </c>
      <c r="F1644" s="2" t="s">
        <v>16</v>
      </c>
      <c r="G1644" s="2" t="s">
        <v>7279</v>
      </c>
      <c r="H1644" s="3">
        <v>0</v>
      </c>
      <c r="I1644" s="2" t="s">
        <v>409</v>
      </c>
      <c r="J1644" s="2" t="s">
        <v>7280</v>
      </c>
      <c r="K1644" s="2" t="s">
        <v>16</v>
      </c>
      <c r="L1644" s="2" t="s">
        <v>7281</v>
      </c>
      <c r="M1644" s="4">
        <v>34554.239999999998</v>
      </c>
      <c r="N1644" t="b">
        <f>OR(LEFT(B1644,3)="frg",(_xlfn.XMATCH(B1644,ZZZ_Part_Id_[[#All],[FGCODE]])))</f>
        <v>1</v>
      </c>
    </row>
    <row r="1645" spans="1:14" x14ac:dyDescent="0.3">
      <c r="A1645" s="2" t="s">
        <v>7282</v>
      </c>
      <c r="B1645" s="2" t="s">
        <v>14</v>
      </c>
      <c r="C1645" s="2" t="s">
        <v>7283</v>
      </c>
      <c r="D1645" s="3">
        <v>16</v>
      </c>
      <c r="E1645" s="3">
        <v>16</v>
      </c>
      <c r="F1645" s="2" t="s">
        <v>16</v>
      </c>
      <c r="G1645" s="2" t="s">
        <v>7284</v>
      </c>
      <c r="H1645" s="3">
        <v>0</v>
      </c>
      <c r="I1645" s="2" t="s">
        <v>18</v>
      </c>
      <c r="J1645" s="2" t="s">
        <v>7285</v>
      </c>
      <c r="K1645" s="2" t="s">
        <v>16</v>
      </c>
      <c r="L1645" s="2" t="s">
        <v>7286</v>
      </c>
      <c r="M1645" s="4">
        <v>1.23</v>
      </c>
      <c r="N1645" t="e">
        <f>OR(LEFT(B1645,3)="frg",(_xlfn.XMATCH(B1645,ZZZ_Part_Id_[[#All],[FGCODE]])))</f>
        <v>#N/A</v>
      </c>
    </row>
    <row r="1646" spans="1:14" x14ac:dyDescent="0.3">
      <c r="A1646" s="2" t="s">
        <v>7282</v>
      </c>
      <c r="B1646" s="2" t="s">
        <v>517</v>
      </c>
      <c r="C1646" s="2" t="s">
        <v>7287</v>
      </c>
      <c r="D1646" s="3">
        <v>161280</v>
      </c>
      <c r="E1646" s="3">
        <v>161280</v>
      </c>
      <c r="F1646" s="2" t="s">
        <v>16</v>
      </c>
      <c r="G1646" s="2" t="s">
        <v>7288</v>
      </c>
      <c r="H1646" s="3">
        <v>0</v>
      </c>
      <c r="I1646" s="2" t="s">
        <v>18</v>
      </c>
      <c r="J1646" s="2" t="s">
        <v>7289</v>
      </c>
      <c r="K1646" s="2" t="s">
        <v>16</v>
      </c>
      <c r="L1646" s="2" t="s">
        <v>7290</v>
      </c>
      <c r="M1646" s="4">
        <v>30648.03</v>
      </c>
      <c r="N1646" t="b">
        <f>OR(LEFT(B1646,3)="frg",(_xlfn.XMATCH(B1646,ZZZ_Part_Id_[[#All],[FGCODE]])))</f>
        <v>1</v>
      </c>
    </row>
    <row r="1647" spans="1:14" x14ac:dyDescent="0.3">
      <c r="A1647" s="2" t="s">
        <v>7291</v>
      </c>
      <c r="B1647" s="2" t="s">
        <v>14</v>
      </c>
      <c r="C1647" s="2" t="s">
        <v>7292</v>
      </c>
      <c r="D1647" s="3">
        <v>10</v>
      </c>
      <c r="E1647" s="3">
        <v>10</v>
      </c>
      <c r="F1647" s="2" t="s">
        <v>16</v>
      </c>
      <c r="G1647" s="2" t="s">
        <v>7293</v>
      </c>
      <c r="H1647" s="3">
        <v>0</v>
      </c>
      <c r="I1647" s="2" t="s">
        <v>18</v>
      </c>
      <c r="J1647" s="2" t="s">
        <v>7294</v>
      </c>
      <c r="K1647" s="2" t="s">
        <v>16</v>
      </c>
      <c r="L1647" s="2" t="s">
        <v>7295</v>
      </c>
      <c r="M1647" s="4">
        <v>0.77</v>
      </c>
      <c r="N1647" t="e">
        <f>OR(LEFT(B1647,3)="frg",(_xlfn.XMATCH(B1647,ZZZ_Part_Id_[[#All],[FGCODE]])))</f>
        <v>#N/A</v>
      </c>
    </row>
    <row r="1648" spans="1:14" x14ac:dyDescent="0.3">
      <c r="A1648" s="2" t="s">
        <v>7291</v>
      </c>
      <c r="B1648" s="2" t="s">
        <v>65</v>
      </c>
      <c r="C1648" s="2" t="s">
        <v>7296</v>
      </c>
      <c r="D1648" s="5">
        <v>-577</v>
      </c>
      <c r="E1648" s="5">
        <v>-577</v>
      </c>
      <c r="F1648" s="2" t="s">
        <v>23</v>
      </c>
      <c r="G1648" s="2" t="s">
        <v>7297</v>
      </c>
      <c r="H1648" s="3">
        <v>0</v>
      </c>
      <c r="I1648" s="2" t="s">
        <v>18</v>
      </c>
      <c r="J1648" s="2" t="s">
        <v>7298</v>
      </c>
      <c r="K1648" s="2" t="s">
        <v>23</v>
      </c>
      <c r="L1648" s="2" t="s">
        <v>7299</v>
      </c>
      <c r="M1648" s="6">
        <v>-1483.81</v>
      </c>
      <c r="N1648" t="b">
        <f>OR(LEFT(B1648,3)="frg",(_xlfn.XMATCH(B1648,ZZZ_Part_Id_[[#All],[FGCODE]])))</f>
        <v>1</v>
      </c>
    </row>
    <row r="1649" spans="1:14" x14ac:dyDescent="0.3">
      <c r="A1649" s="2" t="s">
        <v>7291</v>
      </c>
      <c r="B1649" s="2" t="s">
        <v>947</v>
      </c>
      <c r="C1649" s="2" t="s">
        <v>7300</v>
      </c>
      <c r="D1649" s="3">
        <v>206400</v>
      </c>
      <c r="E1649" s="3">
        <v>206400</v>
      </c>
      <c r="F1649" s="2" t="s">
        <v>16</v>
      </c>
      <c r="G1649" s="2" t="s">
        <v>7301</v>
      </c>
      <c r="H1649" s="3">
        <v>0</v>
      </c>
      <c r="I1649" s="2" t="s">
        <v>18</v>
      </c>
      <c r="J1649" s="2" t="s">
        <v>7302</v>
      </c>
      <c r="K1649" s="2" t="s">
        <v>16</v>
      </c>
      <c r="L1649" s="2" t="s">
        <v>7303</v>
      </c>
      <c r="M1649" s="4">
        <v>20225.099999999999</v>
      </c>
      <c r="N1649" t="b">
        <f>OR(LEFT(B1649,3)="frg",(_xlfn.XMATCH(B1649,ZZZ_Part_Id_[[#All],[FGCODE]])))</f>
        <v>1</v>
      </c>
    </row>
    <row r="1650" spans="1:14" x14ac:dyDescent="0.3">
      <c r="A1650" s="2" t="s">
        <v>7304</v>
      </c>
      <c r="B1650" s="2" t="s">
        <v>14</v>
      </c>
      <c r="C1650" s="2" t="s">
        <v>7305</v>
      </c>
      <c r="D1650" s="3">
        <v>64</v>
      </c>
      <c r="E1650" s="3">
        <v>64</v>
      </c>
      <c r="F1650" s="2" t="s">
        <v>16</v>
      </c>
      <c r="G1650" s="2" t="s">
        <v>7306</v>
      </c>
      <c r="H1650" s="3">
        <v>0</v>
      </c>
      <c r="I1650" s="2" t="s">
        <v>18</v>
      </c>
      <c r="J1650" s="2" t="s">
        <v>7307</v>
      </c>
      <c r="K1650" s="2" t="s">
        <v>16</v>
      </c>
      <c r="L1650" s="2" t="s">
        <v>7308</v>
      </c>
      <c r="M1650" s="4">
        <v>4.92</v>
      </c>
      <c r="N1650" t="e">
        <f>OR(LEFT(B1650,3)="frg",(_xlfn.XMATCH(B1650,ZZZ_Part_Id_[[#All],[FGCODE]])))</f>
        <v>#N/A</v>
      </c>
    </row>
    <row r="1651" spans="1:14" x14ac:dyDescent="0.3">
      <c r="A1651" s="2" t="s">
        <v>7304</v>
      </c>
      <c r="B1651" s="2" t="s">
        <v>517</v>
      </c>
      <c r="C1651" s="2" t="s">
        <v>7309</v>
      </c>
      <c r="D1651" s="3">
        <v>483840</v>
      </c>
      <c r="E1651" s="3">
        <v>483840</v>
      </c>
      <c r="F1651" s="2" t="s">
        <v>16</v>
      </c>
      <c r="G1651" s="2" t="s">
        <v>7310</v>
      </c>
      <c r="H1651" s="3">
        <v>0</v>
      </c>
      <c r="I1651" s="2" t="s">
        <v>18</v>
      </c>
      <c r="J1651" s="2" t="s">
        <v>7311</v>
      </c>
      <c r="K1651" s="2" t="s">
        <v>16</v>
      </c>
      <c r="L1651" s="2" t="s">
        <v>7312</v>
      </c>
      <c r="M1651" s="4">
        <v>91944.03</v>
      </c>
      <c r="N1651" t="b">
        <f>OR(LEFT(B1651,3)="frg",(_xlfn.XMATCH(B1651,ZZZ_Part_Id_[[#All],[FGCODE]])))</f>
        <v>1</v>
      </c>
    </row>
    <row r="1652" spans="1:14" x14ac:dyDescent="0.3">
      <c r="A1652" s="2" t="s">
        <v>7313</v>
      </c>
      <c r="B1652" s="2" t="s">
        <v>14</v>
      </c>
      <c r="C1652" s="2" t="s">
        <v>7314</v>
      </c>
      <c r="D1652" s="3">
        <v>14</v>
      </c>
      <c r="E1652" s="3">
        <v>14</v>
      </c>
      <c r="F1652" s="2" t="s">
        <v>16</v>
      </c>
      <c r="G1652" s="2" t="s">
        <v>7315</v>
      </c>
      <c r="H1652" s="3">
        <v>0</v>
      </c>
      <c r="I1652" s="2" t="s">
        <v>18</v>
      </c>
      <c r="J1652" s="2" t="s">
        <v>7316</v>
      </c>
      <c r="K1652" s="2" t="s">
        <v>16</v>
      </c>
      <c r="L1652" s="2" t="s">
        <v>7317</v>
      </c>
      <c r="M1652" s="4">
        <v>1.08</v>
      </c>
      <c r="N1652" t="e">
        <f>OR(LEFT(B1652,3)="frg",(_xlfn.XMATCH(B1652,ZZZ_Part_Id_[[#All],[FGCODE]])))</f>
        <v>#N/A</v>
      </c>
    </row>
    <row r="1653" spans="1:14" x14ac:dyDescent="0.3">
      <c r="A1653" s="2" t="s">
        <v>7313</v>
      </c>
      <c r="B1653" s="2" t="s">
        <v>86</v>
      </c>
      <c r="C1653" s="2" t="s">
        <v>7318</v>
      </c>
      <c r="D1653" s="5">
        <v>-222</v>
      </c>
      <c r="E1653" s="5">
        <v>-222</v>
      </c>
      <c r="F1653" s="2" t="s">
        <v>23</v>
      </c>
      <c r="G1653" s="2" t="s">
        <v>7319</v>
      </c>
      <c r="H1653" s="3">
        <v>0</v>
      </c>
      <c r="I1653" s="2" t="s">
        <v>18</v>
      </c>
      <c r="J1653" s="2" t="s">
        <v>7320</v>
      </c>
      <c r="K1653" s="2" t="s">
        <v>23</v>
      </c>
      <c r="L1653" s="2" t="s">
        <v>7321</v>
      </c>
      <c r="M1653" s="6">
        <v>-581.15</v>
      </c>
      <c r="N1653" t="b">
        <f>OR(LEFT(B1653,3)="frg",(_xlfn.XMATCH(B1653,ZZZ_Part_Id_[[#All],[FGCODE]])))</f>
        <v>1</v>
      </c>
    </row>
    <row r="1654" spans="1:14" x14ac:dyDescent="0.3">
      <c r="A1654" s="2" t="s">
        <v>7313</v>
      </c>
      <c r="B1654" s="2" t="s">
        <v>4511</v>
      </c>
      <c r="C1654" s="2" t="s">
        <v>7322</v>
      </c>
      <c r="D1654" s="3">
        <v>388440</v>
      </c>
      <c r="E1654" s="3">
        <v>388440</v>
      </c>
      <c r="F1654" s="2" t="s">
        <v>16</v>
      </c>
      <c r="G1654" s="2" t="s">
        <v>7323</v>
      </c>
      <c r="H1654" s="3">
        <v>0</v>
      </c>
      <c r="I1654" s="2" t="s">
        <v>18</v>
      </c>
      <c r="J1654" s="2" t="s">
        <v>7324</v>
      </c>
      <c r="K1654" s="2" t="s">
        <v>16</v>
      </c>
      <c r="L1654" s="2" t="s">
        <v>7325</v>
      </c>
      <c r="M1654" s="4">
        <v>22362.47</v>
      </c>
      <c r="N1654" t="b">
        <f>OR(LEFT(B1654,3)="frg",(_xlfn.XMATCH(B1654,ZZZ_Part_Id_[[#All],[FGCODE]])))</f>
        <v>1</v>
      </c>
    </row>
    <row r="1655" spans="1:14" x14ac:dyDescent="0.3">
      <c r="A1655" s="2" t="s">
        <v>7326</v>
      </c>
      <c r="B1655" s="2" t="s">
        <v>14</v>
      </c>
      <c r="C1655" s="2" t="s">
        <v>7327</v>
      </c>
      <c r="D1655" s="3">
        <v>10</v>
      </c>
      <c r="E1655" s="3">
        <v>10</v>
      </c>
      <c r="F1655" s="2" t="s">
        <v>16</v>
      </c>
      <c r="G1655" s="2" t="s">
        <v>7328</v>
      </c>
      <c r="H1655" s="3">
        <v>0</v>
      </c>
      <c r="I1655" s="2" t="s">
        <v>18</v>
      </c>
      <c r="J1655" s="2" t="s">
        <v>7329</v>
      </c>
      <c r="K1655" s="2" t="s">
        <v>16</v>
      </c>
      <c r="L1655" s="2" t="s">
        <v>7330</v>
      </c>
      <c r="M1655" s="4">
        <v>0.77</v>
      </c>
      <c r="N1655" t="e">
        <f>OR(LEFT(B1655,3)="frg",(_xlfn.XMATCH(B1655,ZZZ_Part_Id_[[#All],[FGCODE]])))</f>
        <v>#N/A</v>
      </c>
    </row>
    <row r="1656" spans="1:14" x14ac:dyDescent="0.3">
      <c r="A1656" s="2" t="s">
        <v>7326</v>
      </c>
      <c r="B1656" s="2" t="s">
        <v>797</v>
      </c>
      <c r="C1656" s="2" t="s">
        <v>7331</v>
      </c>
      <c r="D1656" s="3">
        <v>89640</v>
      </c>
      <c r="E1656" s="3">
        <v>89640</v>
      </c>
      <c r="F1656" s="2" t="s">
        <v>16</v>
      </c>
      <c r="G1656" s="2" t="s">
        <v>7332</v>
      </c>
      <c r="H1656" s="3">
        <v>0</v>
      </c>
      <c r="I1656" s="2" t="s">
        <v>18</v>
      </c>
      <c r="J1656" s="2" t="s">
        <v>7333</v>
      </c>
      <c r="K1656" s="2" t="s">
        <v>16</v>
      </c>
      <c r="L1656" s="2" t="s">
        <v>7334</v>
      </c>
      <c r="M1656" s="4">
        <v>5047.62</v>
      </c>
      <c r="N1656" t="b">
        <f>OR(LEFT(B1656,3)="frg",(_xlfn.XMATCH(B1656,ZZZ_Part_Id_[[#All],[FGCODE]])))</f>
        <v>1</v>
      </c>
    </row>
    <row r="1657" spans="1:14" x14ac:dyDescent="0.3">
      <c r="A1657" s="2" t="s">
        <v>7335</v>
      </c>
      <c r="B1657" s="2" t="s">
        <v>14</v>
      </c>
      <c r="C1657" s="2" t="s">
        <v>7336</v>
      </c>
      <c r="D1657" s="3">
        <v>10</v>
      </c>
      <c r="E1657" s="3">
        <v>10</v>
      </c>
      <c r="F1657" s="2" t="s">
        <v>16</v>
      </c>
      <c r="G1657" s="2" t="s">
        <v>7337</v>
      </c>
      <c r="H1657" s="3">
        <v>0</v>
      </c>
      <c r="I1657" s="2" t="s">
        <v>18</v>
      </c>
      <c r="J1657" s="2" t="s">
        <v>7338</v>
      </c>
      <c r="K1657" s="2" t="s">
        <v>16</v>
      </c>
      <c r="L1657" s="2" t="s">
        <v>7339</v>
      </c>
      <c r="M1657" s="4">
        <v>0.77</v>
      </c>
      <c r="N1657" t="e">
        <f>OR(LEFT(B1657,3)="frg",(_xlfn.XMATCH(B1657,ZZZ_Part_Id_[[#All],[FGCODE]])))</f>
        <v>#N/A</v>
      </c>
    </row>
    <row r="1658" spans="1:14" x14ac:dyDescent="0.3">
      <c r="A1658" s="2" t="s">
        <v>7335</v>
      </c>
      <c r="B1658" s="2" t="s">
        <v>2086</v>
      </c>
      <c r="C1658" s="2" t="s">
        <v>7340</v>
      </c>
      <c r="D1658" s="3">
        <v>38016</v>
      </c>
      <c r="E1658" s="3">
        <v>38016</v>
      </c>
      <c r="F1658" s="2" t="s">
        <v>16</v>
      </c>
      <c r="G1658" s="2" t="s">
        <v>7341</v>
      </c>
      <c r="H1658" s="3">
        <v>0</v>
      </c>
      <c r="I1658" s="2" t="s">
        <v>18</v>
      </c>
      <c r="J1658" s="2" t="s">
        <v>7342</v>
      </c>
      <c r="K1658" s="2" t="s">
        <v>16</v>
      </c>
      <c r="L1658" s="2" t="s">
        <v>7343</v>
      </c>
      <c r="M1658" s="4">
        <v>9347.4</v>
      </c>
      <c r="N1658" t="b">
        <f>OR(LEFT(B1658,3)="frg",(_xlfn.XMATCH(B1658,ZZZ_Part_Id_[[#All],[FGCODE]])))</f>
        <v>1</v>
      </c>
    </row>
    <row r="1659" spans="1:14" x14ac:dyDescent="0.3">
      <c r="A1659" s="2" t="s">
        <v>7344</v>
      </c>
      <c r="B1659" s="2" t="s">
        <v>65</v>
      </c>
      <c r="C1659" s="2" t="s">
        <v>7345</v>
      </c>
      <c r="D1659" s="5">
        <v>-76</v>
      </c>
      <c r="E1659" s="5">
        <v>-76</v>
      </c>
      <c r="F1659" s="2" t="s">
        <v>23</v>
      </c>
      <c r="G1659" s="2" t="s">
        <v>7346</v>
      </c>
      <c r="H1659" s="3">
        <v>0</v>
      </c>
      <c r="I1659" s="2" t="s">
        <v>18</v>
      </c>
      <c r="J1659" s="2" t="s">
        <v>7347</v>
      </c>
      <c r="K1659" s="2" t="s">
        <v>23</v>
      </c>
      <c r="L1659" s="2" t="s">
        <v>7348</v>
      </c>
      <c r="M1659" s="6">
        <v>-195.44</v>
      </c>
      <c r="N1659" t="b">
        <f>OR(LEFT(B1659,3)="frg",(_xlfn.XMATCH(B1659,ZZZ_Part_Id_[[#All],[FGCODE]])))</f>
        <v>1</v>
      </c>
    </row>
    <row r="1660" spans="1:14" x14ac:dyDescent="0.3">
      <c r="A1660" s="2" t="s">
        <v>7344</v>
      </c>
      <c r="B1660" s="2" t="s">
        <v>2086</v>
      </c>
      <c r="C1660" s="2" t="s">
        <v>7349</v>
      </c>
      <c r="D1660" s="3">
        <v>21120</v>
      </c>
      <c r="E1660" s="3">
        <v>21120</v>
      </c>
      <c r="F1660" s="2" t="s">
        <v>16</v>
      </c>
      <c r="G1660" s="2" t="s">
        <v>7350</v>
      </c>
      <c r="H1660" s="3">
        <v>0</v>
      </c>
      <c r="I1660" s="2" t="s">
        <v>18</v>
      </c>
      <c r="J1660" s="2" t="s">
        <v>7351</v>
      </c>
      <c r="K1660" s="2" t="s">
        <v>16</v>
      </c>
      <c r="L1660" s="2" t="s">
        <v>7352</v>
      </c>
      <c r="M1660" s="4">
        <v>5193</v>
      </c>
      <c r="N1660" t="b">
        <f>OR(LEFT(B1660,3)="frg",(_xlfn.XMATCH(B1660,ZZZ_Part_Id_[[#All],[FGCODE]])))</f>
        <v>1</v>
      </c>
    </row>
    <row r="1661" spans="1:14" x14ac:dyDescent="0.3">
      <c r="A1661" s="2" t="s">
        <v>7353</v>
      </c>
      <c r="B1661" s="2" t="s">
        <v>14</v>
      </c>
      <c r="C1661" s="2" t="s">
        <v>7354</v>
      </c>
      <c r="D1661" s="3">
        <v>4</v>
      </c>
      <c r="E1661" s="3">
        <v>4</v>
      </c>
      <c r="F1661" s="2" t="s">
        <v>16</v>
      </c>
      <c r="G1661" s="2" t="s">
        <v>7355</v>
      </c>
      <c r="H1661" s="3">
        <v>0</v>
      </c>
      <c r="I1661" s="2" t="s">
        <v>18</v>
      </c>
      <c r="J1661" s="2" t="s">
        <v>7356</v>
      </c>
      <c r="K1661" s="2" t="s">
        <v>16</v>
      </c>
      <c r="L1661" s="2" t="s">
        <v>7357</v>
      </c>
      <c r="M1661" s="4">
        <v>0.31</v>
      </c>
      <c r="N1661" t="e">
        <f>OR(LEFT(B1661,3)="frg",(_xlfn.XMATCH(B1661,ZZZ_Part_Id_[[#All],[FGCODE]])))</f>
        <v>#N/A</v>
      </c>
    </row>
    <row r="1662" spans="1:14" x14ac:dyDescent="0.3">
      <c r="A1662" s="2" t="s">
        <v>7353</v>
      </c>
      <c r="B1662" s="2" t="s">
        <v>2086</v>
      </c>
      <c r="C1662" s="2" t="s">
        <v>7358</v>
      </c>
      <c r="D1662" s="3">
        <v>6336</v>
      </c>
      <c r="E1662" s="3">
        <v>6336</v>
      </c>
      <c r="F1662" s="2" t="s">
        <v>16</v>
      </c>
      <c r="G1662" s="2" t="s">
        <v>7359</v>
      </c>
      <c r="H1662" s="3">
        <v>0</v>
      </c>
      <c r="I1662" s="2" t="s">
        <v>18</v>
      </c>
      <c r="J1662" s="2" t="s">
        <v>7360</v>
      </c>
      <c r="K1662" s="2" t="s">
        <v>16</v>
      </c>
      <c r="L1662" s="2" t="s">
        <v>7361</v>
      </c>
      <c r="M1662" s="4">
        <v>1557.91</v>
      </c>
      <c r="N1662" t="b">
        <f>OR(LEFT(B1662,3)="frg",(_xlfn.XMATCH(B1662,ZZZ_Part_Id_[[#All],[FGCODE]])))</f>
        <v>1</v>
      </c>
    </row>
    <row r="1663" spans="1:14" x14ac:dyDescent="0.3">
      <c r="A1663" s="2" t="s">
        <v>7362</v>
      </c>
      <c r="B1663" s="2" t="s">
        <v>14</v>
      </c>
      <c r="C1663" s="2" t="s">
        <v>7363</v>
      </c>
      <c r="D1663" s="3">
        <v>64</v>
      </c>
      <c r="E1663" s="3">
        <v>64</v>
      </c>
      <c r="F1663" s="2" t="s">
        <v>16</v>
      </c>
      <c r="G1663" s="2" t="s">
        <v>7364</v>
      </c>
      <c r="H1663" s="3">
        <v>0</v>
      </c>
      <c r="I1663" s="2" t="s">
        <v>18</v>
      </c>
      <c r="J1663" s="2" t="s">
        <v>7365</v>
      </c>
      <c r="K1663" s="2" t="s">
        <v>16</v>
      </c>
      <c r="L1663" s="2" t="s">
        <v>7366</v>
      </c>
      <c r="M1663" s="4">
        <v>4.92</v>
      </c>
      <c r="N1663" t="e">
        <f>OR(LEFT(B1663,3)="frg",(_xlfn.XMATCH(B1663,ZZZ_Part_Id_[[#All],[FGCODE]])))</f>
        <v>#N/A</v>
      </c>
    </row>
    <row r="1664" spans="1:14" x14ac:dyDescent="0.3">
      <c r="A1664" s="2" t="s">
        <v>7362</v>
      </c>
      <c r="B1664" s="2" t="s">
        <v>5357</v>
      </c>
      <c r="C1664" s="2" t="s">
        <v>7367</v>
      </c>
      <c r="D1664" s="3">
        <v>311328</v>
      </c>
      <c r="E1664" s="3">
        <v>311328</v>
      </c>
      <c r="F1664" s="2" t="s">
        <v>16</v>
      </c>
      <c r="G1664" s="2" t="s">
        <v>7368</v>
      </c>
      <c r="H1664" s="3">
        <v>0</v>
      </c>
      <c r="I1664" s="2" t="s">
        <v>18</v>
      </c>
      <c r="J1664" s="2" t="s">
        <v>7369</v>
      </c>
      <c r="K1664" s="2" t="s">
        <v>16</v>
      </c>
      <c r="L1664" s="2" t="s">
        <v>7370</v>
      </c>
      <c r="M1664" s="4">
        <v>92473.9</v>
      </c>
      <c r="N1664" t="b">
        <f>OR(LEFT(B1664,3)="frg",(_xlfn.XMATCH(B1664,ZZZ_Part_Id_[[#All],[FGCODE]])))</f>
        <v>1</v>
      </c>
    </row>
    <row r="1665" spans="1:14" x14ac:dyDescent="0.3">
      <c r="A1665" s="2" t="s">
        <v>7371</v>
      </c>
      <c r="B1665" s="2" t="s">
        <v>14</v>
      </c>
      <c r="C1665" s="2" t="s">
        <v>7372</v>
      </c>
      <c r="D1665" s="3">
        <v>64</v>
      </c>
      <c r="E1665" s="3">
        <v>64</v>
      </c>
      <c r="F1665" s="2" t="s">
        <v>16</v>
      </c>
      <c r="G1665" s="2" t="s">
        <v>7373</v>
      </c>
      <c r="H1665" s="3">
        <v>0</v>
      </c>
      <c r="I1665" s="2" t="s">
        <v>18</v>
      </c>
      <c r="J1665" s="2" t="s">
        <v>7374</v>
      </c>
      <c r="K1665" s="2" t="s">
        <v>16</v>
      </c>
      <c r="L1665" s="2" t="s">
        <v>7375</v>
      </c>
      <c r="M1665" s="4">
        <v>4.92</v>
      </c>
      <c r="N1665" t="e">
        <f>OR(LEFT(B1665,3)="frg",(_xlfn.XMATCH(B1665,ZZZ_Part_Id_[[#All],[FGCODE]])))</f>
        <v>#N/A</v>
      </c>
    </row>
    <row r="1666" spans="1:14" x14ac:dyDescent="0.3">
      <c r="A1666" s="2" t="s">
        <v>7371</v>
      </c>
      <c r="B1666" s="2" t="s">
        <v>4791</v>
      </c>
      <c r="C1666" s="2" t="s">
        <v>7376</v>
      </c>
      <c r="D1666" s="3">
        <v>317952</v>
      </c>
      <c r="E1666" s="3">
        <v>317952</v>
      </c>
      <c r="F1666" s="2" t="s">
        <v>16</v>
      </c>
      <c r="G1666" s="2" t="s">
        <v>7377</v>
      </c>
      <c r="H1666" s="3">
        <v>0</v>
      </c>
      <c r="I1666" s="2" t="s">
        <v>18</v>
      </c>
      <c r="J1666" s="2" t="s">
        <v>7378</v>
      </c>
      <c r="K1666" s="2" t="s">
        <v>16</v>
      </c>
      <c r="L1666" s="2" t="s">
        <v>7379</v>
      </c>
      <c r="M1666" s="4">
        <v>93328.320000000007</v>
      </c>
      <c r="N1666" t="b">
        <f>OR(LEFT(B1666,3)="frg",(_xlfn.XMATCH(B1666,ZZZ_Part_Id_[[#All],[FGCODE]])))</f>
        <v>1</v>
      </c>
    </row>
    <row r="1667" spans="1:14" x14ac:dyDescent="0.3">
      <c r="A1667" s="2" t="s">
        <v>7380</v>
      </c>
      <c r="B1667" s="2" t="s">
        <v>14</v>
      </c>
      <c r="C1667" s="2" t="s">
        <v>7381</v>
      </c>
      <c r="D1667" s="3">
        <v>95</v>
      </c>
      <c r="E1667" s="3">
        <v>95</v>
      </c>
      <c r="F1667" s="2" t="s">
        <v>16</v>
      </c>
      <c r="G1667" s="2" t="s">
        <v>7382</v>
      </c>
      <c r="H1667" s="3">
        <v>0</v>
      </c>
      <c r="I1667" s="2" t="s">
        <v>18</v>
      </c>
      <c r="J1667" s="2" t="s">
        <v>7383</v>
      </c>
      <c r="K1667" s="2" t="s">
        <v>16</v>
      </c>
      <c r="L1667" s="2" t="s">
        <v>7384</v>
      </c>
      <c r="M1667" s="4">
        <v>7.31</v>
      </c>
      <c r="N1667" t="e">
        <f>OR(LEFT(B1667,3)="frg",(_xlfn.XMATCH(B1667,ZZZ_Part_Id_[[#All],[FGCODE]])))</f>
        <v>#N/A</v>
      </c>
    </row>
    <row r="1668" spans="1:14" x14ac:dyDescent="0.3">
      <c r="A1668" s="2" t="s">
        <v>7380</v>
      </c>
      <c r="B1668" s="2" t="s">
        <v>4791</v>
      </c>
      <c r="C1668" s="2" t="s">
        <v>7385</v>
      </c>
      <c r="D1668" s="3">
        <v>635904</v>
      </c>
      <c r="E1668" s="3">
        <v>635904</v>
      </c>
      <c r="F1668" s="2" t="s">
        <v>16</v>
      </c>
      <c r="G1668" s="2" t="s">
        <v>7386</v>
      </c>
      <c r="H1668" s="3">
        <v>0</v>
      </c>
      <c r="I1668" s="2" t="s">
        <v>18</v>
      </c>
      <c r="J1668" s="2" t="s">
        <v>7387</v>
      </c>
      <c r="K1668" s="2" t="s">
        <v>16</v>
      </c>
      <c r="L1668" s="2" t="s">
        <v>7388</v>
      </c>
      <c r="M1668" s="4">
        <v>186656.64000000001</v>
      </c>
      <c r="N1668" t="b">
        <f>OR(LEFT(B1668,3)="frg",(_xlfn.XMATCH(B1668,ZZZ_Part_Id_[[#All],[FGCODE]])))</f>
        <v>1</v>
      </c>
    </row>
    <row r="1669" spans="1:14" x14ac:dyDescent="0.3">
      <c r="A1669" s="2" t="s">
        <v>7389</v>
      </c>
      <c r="B1669" s="2" t="s">
        <v>14</v>
      </c>
      <c r="C1669" s="2" t="s">
        <v>7390</v>
      </c>
      <c r="D1669" s="3">
        <v>14</v>
      </c>
      <c r="E1669" s="3">
        <v>14</v>
      </c>
      <c r="F1669" s="2" t="s">
        <v>16</v>
      </c>
      <c r="G1669" s="2" t="s">
        <v>7391</v>
      </c>
      <c r="H1669" s="3">
        <v>0</v>
      </c>
      <c r="I1669" s="2" t="s">
        <v>409</v>
      </c>
      <c r="J1669" s="2" t="s">
        <v>7392</v>
      </c>
      <c r="K1669" s="2" t="s">
        <v>16</v>
      </c>
      <c r="L1669" s="2" t="s">
        <v>7393</v>
      </c>
      <c r="M1669" s="4">
        <v>1.08</v>
      </c>
      <c r="N1669" t="e">
        <f>OR(LEFT(B1669,3)="frg",(_xlfn.XMATCH(B1669,ZZZ_Part_Id_[[#All],[FGCODE]])))</f>
        <v>#N/A</v>
      </c>
    </row>
    <row r="1670" spans="1:14" x14ac:dyDescent="0.3">
      <c r="A1670" s="2" t="s">
        <v>7389</v>
      </c>
      <c r="B1670" s="2" t="s">
        <v>86</v>
      </c>
      <c r="C1670" s="2" t="s">
        <v>7394</v>
      </c>
      <c r="D1670" s="5">
        <v>-222</v>
      </c>
      <c r="E1670" s="5">
        <v>-222</v>
      </c>
      <c r="F1670" s="2" t="s">
        <v>23</v>
      </c>
      <c r="G1670" s="2" t="s">
        <v>7395</v>
      </c>
      <c r="H1670" s="3">
        <v>0</v>
      </c>
      <c r="I1670" s="2" t="s">
        <v>409</v>
      </c>
      <c r="J1670" s="2" t="s">
        <v>7396</v>
      </c>
      <c r="K1670" s="2" t="s">
        <v>23</v>
      </c>
      <c r="L1670" s="2" t="s">
        <v>7397</v>
      </c>
      <c r="M1670" s="6">
        <v>-581.15</v>
      </c>
      <c r="N1670" t="b">
        <f>OR(LEFT(B1670,3)="frg",(_xlfn.XMATCH(B1670,ZZZ_Part_Id_[[#All],[FGCODE]])))</f>
        <v>1</v>
      </c>
    </row>
    <row r="1671" spans="1:14" x14ac:dyDescent="0.3">
      <c r="A1671" s="2" t="s">
        <v>7389</v>
      </c>
      <c r="B1671" s="2" t="s">
        <v>4511</v>
      </c>
      <c r="C1671" s="2" t="s">
        <v>7398</v>
      </c>
      <c r="D1671" s="3">
        <v>448200</v>
      </c>
      <c r="E1671" s="3">
        <v>448200</v>
      </c>
      <c r="F1671" s="2" t="s">
        <v>16</v>
      </c>
      <c r="G1671" s="2" t="s">
        <v>7399</v>
      </c>
      <c r="H1671" s="3">
        <v>0</v>
      </c>
      <c r="I1671" s="2" t="s">
        <v>409</v>
      </c>
      <c r="J1671" s="2" t="s">
        <v>7400</v>
      </c>
      <c r="K1671" s="2" t="s">
        <v>16</v>
      </c>
      <c r="L1671" s="2" t="s">
        <v>7401</v>
      </c>
      <c r="M1671" s="4">
        <v>25802.85</v>
      </c>
      <c r="N1671" t="b">
        <f>OR(LEFT(B1671,3)="frg",(_xlfn.XMATCH(B1671,ZZZ_Part_Id_[[#All],[FGCODE]])))</f>
        <v>1</v>
      </c>
    </row>
    <row r="1672" spans="1:14" x14ac:dyDescent="0.3">
      <c r="A1672" s="2" t="s">
        <v>7402</v>
      </c>
      <c r="B1672" s="2" t="s">
        <v>14</v>
      </c>
      <c r="C1672" s="2" t="s">
        <v>7403</v>
      </c>
      <c r="D1672" s="3">
        <v>10</v>
      </c>
      <c r="E1672" s="3">
        <v>10</v>
      </c>
      <c r="F1672" s="2" t="s">
        <v>16</v>
      </c>
      <c r="G1672" s="2" t="s">
        <v>7404</v>
      </c>
      <c r="H1672" s="3">
        <v>0</v>
      </c>
      <c r="I1672" s="2" t="s">
        <v>409</v>
      </c>
      <c r="J1672" s="2" t="s">
        <v>7405</v>
      </c>
      <c r="K1672" s="2" t="s">
        <v>16</v>
      </c>
      <c r="L1672" s="2" t="s">
        <v>7406</v>
      </c>
      <c r="M1672" s="4">
        <v>0.77</v>
      </c>
      <c r="N1672" t="e">
        <f>OR(LEFT(B1672,3)="frg",(_xlfn.XMATCH(B1672,ZZZ_Part_Id_[[#All],[FGCODE]])))</f>
        <v>#N/A</v>
      </c>
    </row>
    <row r="1673" spans="1:14" x14ac:dyDescent="0.3">
      <c r="A1673" s="2" t="s">
        <v>7402</v>
      </c>
      <c r="B1673" s="2" t="s">
        <v>86</v>
      </c>
      <c r="C1673" s="2" t="s">
        <v>7407</v>
      </c>
      <c r="D1673" s="5">
        <v>-515</v>
      </c>
      <c r="E1673" s="5">
        <v>-515</v>
      </c>
      <c r="F1673" s="2" t="s">
        <v>23</v>
      </c>
      <c r="G1673" s="2" t="s">
        <v>7408</v>
      </c>
      <c r="H1673" s="3">
        <v>0</v>
      </c>
      <c r="I1673" s="2" t="s">
        <v>409</v>
      </c>
      <c r="J1673" s="2" t="s">
        <v>7409</v>
      </c>
      <c r="K1673" s="2" t="s">
        <v>23</v>
      </c>
      <c r="L1673" s="2" t="s">
        <v>7410</v>
      </c>
      <c r="M1673" s="6">
        <v>-1348.17</v>
      </c>
      <c r="N1673" t="b">
        <f>OR(LEFT(B1673,3)="frg",(_xlfn.XMATCH(B1673,ZZZ_Part_Id_[[#All],[FGCODE]])))</f>
        <v>1</v>
      </c>
    </row>
    <row r="1674" spans="1:14" x14ac:dyDescent="0.3">
      <c r="A1674" s="2" t="s">
        <v>7402</v>
      </c>
      <c r="B1674" s="2" t="s">
        <v>1667</v>
      </c>
      <c r="C1674" s="2" t="s">
        <v>7411</v>
      </c>
      <c r="D1674" s="3">
        <v>149240</v>
      </c>
      <c r="E1674" s="3">
        <v>146160</v>
      </c>
      <c r="F1674" s="2" t="s">
        <v>16</v>
      </c>
      <c r="G1674" s="2" t="s">
        <v>7412</v>
      </c>
      <c r="H1674" s="3">
        <v>0</v>
      </c>
      <c r="I1674" s="2" t="s">
        <v>409</v>
      </c>
      <c r="J1674" s="2" t="s">
        <v>7413</v>
      </c>
      <c r="K1674" s="2" t="s">
        <v>16</v>
      </c>
      <c r="L1674" s="2" t="s">
        <v>7414</v>
      </c>
      <c r="M1674" s="4">
        <v>12403.16</v>
      </c>
      <c r="N1674" t="b">
        <f>OR(LEFT(B1674,3)="frg",(_xlfn.XMATCH(B1674,ZZZ_Part_Id_[[#All],[FGCODE]])))</f>
        <v>1</v>
      </c>
    </row>
    <row r="1675" spans="1:14" x14ac:dyDescent="0.3">
      <c r="A1675" s="2" t="s">
        <v>7415</v>
      </c>
      <c r="B1675" s="2" t="s">
        <v>14</v>
      </c>
      <c r="C1675" s="2" t="s">
        <v>7416</v>
      </c>
      <c r="D1675" s="3">
        <v>4</v>
      </c>
      <c r="E1675" s="3">
        <v>4</v>
      </c>
      <c r="F1675" s="2" t="s">
        <v>16</v>
      </c>
      <c r="G1675" s="2" t="s">
        <v>7417</v>
      </c>
      <c r="H1675" s="3">
        <v>0</v>
      </c>
      <c r="I1675" s="2" t="s">
        <v>18</v>
      </c>
      <c r="J1675" s="2" t="s">
        <v>7418</v>
      </c>
      <c r="K1675" s="2" t="s">
        <v>16</v>
      </c>
      <c r="L1675" s="2" t="s">
        <v>7419</v>
      </c>
      <c r="M1675" s="4">
        <v>0.31</v>
      </c>
      <c r="N1675" t="e">
        <f>OR(LEFT(B1675,3)="frg",(_xlfn.XMATCH(B1675,ZZZ_Part_Id_[[#All],[FGCODE]])))</f>
        <v>#N/A</v>
      </c>
    </row>
    <row r="1676" spans="1:14" x14ac:dyDescent="0.3">
      <c r="A1676" s="2" t="s">
        <v>7415</v>
      </c>
      <c r="B1676" s="2" t="s">
        <v>5357</v>
      </c>
      <c r="C1676" s="2" t="s">
        <v>7420</v>
      </c>
      <c r="D1676" s="3">
        <v>13248</v>
      </c>
      <c r="E1676" s="3">
        <v>13248</v>
      </c>
      <c r="F1676" s="2" t="s">
        <v>16</v>
      </c>
      <c r="G1676" s="2" t="s">
        <v>7421</v>
      </c>
      <c r="H1676" s="3">
        <v>0</v>
      </c>
      <c r="I1676" s="2" t="s">
        <v>18</v>
      </c>
      <c r="J1676" s="2" t="s">
        <v>7422</v>
      </c>
      <c r="K1676" s="2" t="s">
        <v>16</v>
      </c>
      <c r="L1676" s="2" t="s">
        <v>7423</v>
      </c>
      <c r="M1676" s="4">
        <v>3935.06</v>
      </c>
      <c r="N1676" t="b">
        <f>OR(LEFT(B1676,3)="frg",(_xlfn.XMATCH(B1676,ZZZ_Part_Id_[[#All],[FGCODE]])))</f>
        <v>1</v>
      </c>
    </row>
    <row r="1677" spans="1:14" x14ac:dyDescent="0.3">
      <c r="A1677" s="2" t="s">
        <v>7424</v>
      </c>
      <c r="B1677" s="2" t="s">
        <v>14</v>
      </c>
      <c r="C1677" s="2" t="s">
        <v>7425</v>
      </c>
      <c r="D1677" s="3">
        <v>1</v>
      </c>
      <c r="E1677" s="3">
        <v>1</v>
      </c>
      <c r="F1677" s="2" t="s">
        <v>16</v>
      </c>
      <c r="G1677" s="2" t="s">
        <v>7426</v>
      </c>
      <c r="H1677" s="3">
        <v>0</v>
      </c>
      <c r="I1677" s="2" t="s">
        <v>18</v>
      </c>
      <c r="J1677" s="2" t="s">
        <v>7427</v>
      </c>
      <c r="K1677" s="2" t="s">
        <v>16</v>
      </c>
      <c r="L1677" s="2" t="s">
        <v>7428</v>
      </c>
      <c r="M1677" s="4">
        <v>0.08</v>
      </c>
      <c r="N1677" t="e">
        <f>OR(LEFT(B1677,3)="frg",(_xlfn.XMATCH(B1677,ZZZ_Part_Id_[[#All],[FGCODE]])))</f>
        <v>#N/A</v>
      </c>
    </row>
    <row r="1678" spans="1:14" x14ac:dyDescent="0.3">
      <c r="A1678" s="2" t="s">
        <v>7424</v>
      </c>
      <c r="B1678" s="2" t="s">
        <v>2168</v>
      </c>
      <c r="C1678" s="2" t="s">
        <v>7429</v>
      </c>
      <c r="D1678" s="3">
        <v>10620</v>
      </c>
      <c r="E1678" s="3">
        <v>10620</v>
      </c>
      <c r="F1678" s="2" t="s">
        <v>16</v>
      </c>
      <c r="G1678" s="2" t="s">
        <v>7430</v>
      </c>
      <c r="H1678" s="3">
        <v>0</v>
      </c>
      <c r="I1678" s="2" t="s">
        <v>18</v>
      </c>
      <c r="J1678" s="2" t="s">
        <v>7431</v>
      </c>
      <c r="K1678" s="2" t="s">
        <v>16</v>
      </c>
      <c r="L1678" s="2" t="s">
        <v>7432</v>
      </c>
      <c r="M1678" s="4">
        <v>2152.9899999999998</v>
      </c>
      <c r="N1678" t="b">
        <f>OR(LEFT(B1678,3)="frg",(_xlfn.XMATCH(B1678,ZZZ_Part_Id_[[#All],[FGCODE]])))</f>
        <v>1</v>
      </c>
    </row>
    <row r="1679" spans="1:14" x14ac:dyDescent="0.3">
      <c r="A1679" s="2" t="s">
        <v>7433</v>
      </c>
      <c r="B1679" s="2" t="s">
        <v>2168</v>
      </c>
      <c r="C1679" s="2" t="s">
        <v>7434</v>
      </c>
      <c r="D1679" s="3">
        <v>13140</v>
      </c>
      <c r="E1679" s="3">
        <v>10620</v>
      </c>
      <c r="F1679" s="2" t="s">
        <v>16</v>
      </c>
      <c r="G1679" s="2" t="s">
        <v>7435</v>
      </c>
      <c r="H1679" s="3">
        <v>0</v>
      </c>
      <c r="I1679" s="2" t="s">
        <v>18</v>
      </c>
      <c r="J1679" s="2" t="s">
        <v>7436</v>
      </c>
      <c r="K1679" s="2" t="s">
        <v>16</v>
      </c>
      <c r="L1679" s="2" t="s">
        <v>7437</v>
      </c>
      <c r="M1679" s="4">
        <v>2152.9899999999998</v>
      </c>
      <c r="N1679" t="b">
        <f>OR(LEFT(B1679,3)="frg",(_xlfn.XMATCH(B1679,ZZZ_Part_Id_[[#All],[FGCODE]])))</f>
        <v>1</v>
      </c>
    </row>
    <row r="1680" spans="1:14" x14ac:dyDescent="0.3">
      <c r="A1680" s="2" t="s">
        <v>7438</v>
      </c>
      <c r="B1680" s="2" t="s">
        <v>7439</v>
      </c>
      <c r="C1680" s="2" t="s">
        <v>7440</v>
      </c>
      <c r="D1680" s="3">
        <v>43680</v>
      </c>
      <c r="E1680" s="3">
        <v>0</v>
      </c>
      <c r="F1680" s="2" t="s">
        <v>16</v>
      </c>
      <c r="G1680" s="2" t="s">
        <v>7441</v>
      </c>
      <c r="H1680" s="3">
        <v>0</v>
      </c>
      <c r="I1680" s="2" t="s">
        <v>2619</v>
      </c>
      <c r="J1680" s="2" t="s">
        <v>7442</v>
      </c>
      <c r="K1680" s="2" t="s">
        <v>16</v>
      </c>
      <c r="L1680" s="2" t="s">
        <v>7443</v>
      </c>
      <c r="M1680" s="4">
        <v>0</v>
      </c>
      <c r="N1680" t="b">
        <f>OR(LEFT(B1680,3)="frg",(_xlfn.XMATCH(B1680,ZZZ_Part_Id_[[#All],[FGCODE]])))</f>
        <v>1</v>
      </c>
    </row>
    <row r="1681" spans="1:14" x14ac:dyDescent="0.3">
      <c r="A1681" s="2" t="s">
        <v>7444</v>
      </c>
      <c r="B1681" s="2" t="s">
        <v>740</v>
      </c>
      <c r="C1681" s="2" t="s">
        <v>7445</v>
      </c>
      <c r="D1681" s="3">
        <v>509760</v>
      </c>
      <c r="E1681" s="3">
        <v>509760</v>
      </c>
      <c r="F1681" s="2" t="s">
        <v>16</v>
      </c>
      <c r="G1681" s="2" t="s">
        <v>7446</v>
      </c>
      <c r="H1681" s="3">
        <v>0</v>
      </c>
      <c r="I1681" s="2" t="s">
        <v>18</v>
      </c>
      <c r="J1681" s="2" t="s">
        <v>7447</v>
      </c>
      <c r="K1681" s="2" t="s">
        <v>16</v>
      </c>
      <c r="L1681" s="2" t="s">
        <v>7448</v>
      </c>
      <c r="M1681" s="4">
        <v>101304.48</v>
      </c>
      <c r="N1681" t="b">
        <f>OR(LEFT(B1681,3)="frg",(_xlfn.XMATCH(B1681,ZZZ_Part_Id_[[#All],[FGCODE]])))</f>
        <v>1</v>
      </c>
    </row>
    <row r="1682" spans="1:14" x14ac:dyDescent="0.3">
      <c r="A1682" s="2" t="s">
        <v>7449</v>
      </c>
      <c r="B1682" s="2" t="s">
        <v>14</v>
      </c>
      <c r="C1682" s="2" t="s">
        <v>7450</v>
      </c>
      <c r="D1682" s="3">
        <v>62</v>
      </c>
      <c r="E1682" s="3">
        <v>62</v>
      </c>
      <c r="F1682" s="2" t="s">
        <v>16</v>
      </c>
      <c r="G1682" s="2" t="s">
        <v>7451</v>
      </c>
      <c r="H1682" s="3">
        <v>0</v>
      </c>
      <c r="I1682" s="2" t="s">
        <v>18</v>
      </c>
      <c r="J1682" s="2" t="s">
        <v>7452</v>
      </c>
      <c r="K1682" s="2" t="s">
        <v>16</v>
      </c>
      <c r="L1682" s="2" t="s">
        <v>7453</v>
      </c>
      <c r="M1682" s="4">
        <v>4.7699999999999996</v>
      </c>
      <c r="N1682" t="e">
        <f>OR(LEFT(B1682,3)="frg",(_xlfn.XMATCH(B1682,ZZZ_Part_Id_[[#All],[FGCODE]])))</f>
        <v>#N/A</v>
      </c>
    </row>
    <row r="1683" spans="1:14" x14ac:dyDescent="0.3">
      <c r="A1683" s="2" t="s">
        <v>7449</v>
      </c>
      <c r="B1683" s="2" t="s">
        <v>740</v>
      </c>
      <c r="C1683" s="2" t="s">
        <v>7454</v>
      </c>
      <c r="D1683" s="3">
        <v>329220</v>
      </c>
      <c r="E1683" s="3">
        <v>329220</v>
      </c>
      <c r="F1683" s="2" t="s">
        <v>16</v>
      </c>
      <c r="G1683" s="2" t="s">
        <v>7455</v>
      </c>
      <c r="H1683" s="3">
        <v>0</v>
      </c>
      <c r="I1683" s="2" t="s">
        <v>18</v>
      </c>
      <c r="J1683" s="2" t="s">
        <v>7456</v>
      </c>
      <c r="K1683" s="2" t="s">
        <v>16</v>
      </c>
      <c r="L1683" s="2" t="s">
        <v>7457</v>
      </c>
      <c r="M1683" s="4">
        <v>65425.81</v>
      </c>
      <c r="N1683" t="b">
        <f>OR(LEFT(B1683,3)="frg",(_xlfn.XMATCH(B1683,ZZZ_Part_Id_[[#All],[FGCODE]])))</f>
        <v>1</v>
      </c>
    </row>
    <row r="1684" spans="1:14" x14ac:dyDescent="0.3">
      <c r="A1684" s="2" t="s">
        <v>7458</v>
      </c>
      <c r="B1684" s="2" t="s">
        <v>14</v>
      </c>
      <c r="C1684" s="2" t="s">
        <v>7459</v>
      </c>
      <c r="D1684" s="3">
        <v>22</v>
      </c>
      <c r="E1684" s="3">
        <v>22</v>
      </c>
      <c r="F1684" s="2" t="s">
        <v>16</v>
      </c>
      <c r="G1684" s="2" t="s">
        <v>7460</v>
      </c>
      <c r="H1684" s="3">
        <v>0</v>
      </c>
      <c r="I1684" s="2" t="s">
        <v>18</v>
      </c>
      <c r="J1684" s="2" t="s">
        <v>7461</v>
      </c>
      <c r="K1684" s="2" t="s">
        <v>16</v>
      </c>
      <c r="L1684" s="2" t="s">
        <v>7462</v>
      </c>
      <c r="M1684" s="4">
        <v>1.69</v>
      </c>
      <c r="N1684" t="e">
        <f>OR(LEFT(B1684,3)="frg",(_xlfn.XMATCH(B1684,ZZZ_Part_Id_[[#All],[FGCODE]])))</f>
        <v>#N/A</v>
      </c>
    </row>
    <row r="1685" spans="1:14" x14ac:dyDescent="0.3">
      <c r="A1685" s="2" t="s">
        <v>7458</v>
      </c>
      <c r="B1685" s="2" t="s">
        <v>86</v>
      </c>
      <c r="C1685" s="2" t="s">
        <v>7463</v>
      </c>
      <c r="D1685" s="5">
        <v>-238</v>
      </c>
      <c r="E1685" s="5">
        <v>-238</v>
      </c>
      <c r="F1685" s="2" t="s">
        <v>23</v>
      </c>
      <c r="G1685" s="2" t="s">
        <v>7464</v>
      </c>
      <c r="H1685" s="3">
        <v>0</v>
      </c>
      <c r="I1685" s="2" t="s">
        <v>18</v>
      </c>
      <c r="J1685" s="2" t="s">
        <v>7465</v>
      </c>
      <c r="K1685" s="2" t="s">
        <v>23</v>
      </c>
      <c r="L1685" s="2" t="s">
        <v>7466</v>
      </c>
      <c r="M1685" s="6">
        <v>-623.04</v>
      </c>
      <c r="N1685" t="b">
        <f>OR(LEFT(B1685,3)="frg",(_xlfn.XMATCH(B1685,ZZZ_Part_Id_[[#All],[FGCODE]])))</f>
        <v>1</v>
      </c>
    </row>
    <row r="1686" spans="1:14" x14ac:dyDescent="0.3">
      <c r="A1686" s="2" t="s">
        <v>7458</v>
      </c>
      <c r="B1686" s="2" t="s">
        <v>6977</v>
      </c>
      <c r="C1686" s="2" t="s">
        <v>7467</v>
      </c>
      <c r="D1686" s="3">
        <v>583740</v>
      </c>
      <c r="E1686" s="3">
        <v>583740</v>
      </c>
      <c r="F1686" s="2" t="s">
        <v>16</v>
      </c>
      <c r="G1686" s="2" t="s">
        <v>7468</v>
      </c>
      <c r="H1686" s="3">
        <v>0</v>
      </c>
      <c r="I1686" s="2" t="s">
        <v>18</v>
      </c>
      <c r="J1686" s="2" t="s">
        <v>7469</v>
      </c>
      <c r="K1686" s="2" t="s">
        <v>16</v>
      </c>
      <c r="L1686" s="2" t="s">
        <v>7470</v>
      </c>
      <c r="M1686" s="4">
        <v>5306.1</v>
      </c>
      <c r="N1686" t="b">
        <f>OR(LEFT(B1686,3)="frg",(_xlfn.XMATCH(B1686,ZZZ_Part_Id_[[#All],[FGCODE]])))</f>
        <v>1</v>
      </c>
    </row>
    <row r="1687" spans="1:14" x14ac:dyDescent="0.3">
      <c r="A1687" s="2" t="s">
        <v>7471</v>
      </c>
      <c r="B1687" s="2" t="s">
        <v>14</v>
      </c>
      <c r="C1687" s="2" t="s">
        <v>7472</v>
      </c>
      <c r="D1687" s="3">
        <v>4</v>
      </c>
      <c r="E1687" s="3">
        <v>4</v>
      </c>
      <c r="F1687" s="2" t="s">
        <v>16</v>
      </c>
      <c r="G1687" s="2" t="s">
        <v>7473</v>
      </c>
      <c r="H1687" s="3">
        <v>0</v>
      </c>
      <c r="I1687" s="2" t="s">
        <v>18</v>
      </c>
      <c r="J1687" s="2" t="s">
        <v>7474</v>
      </c>
      <c r="K1687" s="2" t="s">
        <v>16</v>
      </c>
      <c r="L1687" s="2" t="s">
        <v>7475</v>
      </c>
      <c r="M1687" s="4">
        <v>0.31</v>
      </c>
      <c r="N1687" t="e">
        <f>OR(LEFT(B1687,3)="frg",(_xlfn.XMATCH(B1687,ZZZ_Part_Id_[[#All],[FGCODE]])))</f>
        <v>#N/A</v>
      </c>
    </row>
    <row r="1688" spans="1:14" x14ac:dyDescent="0.3">
      <c r="A1688" s="2" t="s">
        <v>7471</v>
      </c>
      <c r="B1688" s="2" t="s">
        <v>517</v>
      </c>
      <c r="C1688" s="2" t="s">
        <v>7476</v>
      </c>
      <c r="D1688" s="3">
        <v>10080</v>
      </c>
      <c r="E1688" s="3">
        <v>10080</v>
      </c>
      <c r="F1688" s="2" t="s">
        <v>16</v>
      </c>
      <c r="G1688" s="2" t="s">
        <v>7477</v>
      </c>
      <c r="H1688" s="3">
        <v>0</v>
      </c>
      <c r="I1688" s="2" t="s">
        <v>18</v>
      </c>
      <c r="J1688" s="2" t="s">
        <v>7478</v>
      </c>
      <c r="K1688" s="2" t="s">
        <v>16</v>
      </c>
      <c r="L1688" s="2" t="s">
        <v>7479</v>
      </c>
      <c r="M1688" s="4">
        <v>1915.5</v>
      </c>
      <c r="N1688" t="b">
        <f>OR(LEFT(B1688,3)="frg",(_xlfn.XMATCH(B1688,ZZZ_Part_Id_[[#All],[FGCODE]])))</f>
        <v>1</v>
      </c>
    </row>
    <row r="1689" spans="1:14" x14ac:dyDescent="0.3">
      <c r="A1689" s="2" t="s">
        <v>7480</v>
      </c>
      <c r="B1689" s="2" t="s">
        <v>14</v>
      </c>
      <c r="C1689" s="2" t="s">
        <v>7481</v>
      </c>
      <c r="D1689" s="3">
        <v>4</v>
      </c>
      <c r="E1689" s="3">
        <v>4</v>
      </c>
      <c r="F1689" s="2" t="s">
        <v>16</v>
      </c>
      <c r="G1689" s="2" t="s">
        <v>7482</v>
      </c>
      <c r="H1689" s="3">
        <v>0</v>
      </c>
      <c r="I1689" s="2" t="s">
        <v>18</v>
      </c>
      <c r="J1689" s="2" t="s">
        <v>7483</v>
      </c>
      <c r="K1689" s="2" t="s">
        <v>16</v>
      </c>
      <c r="L1689" s="2" t="s">
        <v>7484</v>
      </c>
      <c r="M1689" s="4">
        <v>0.31</v>
      </c>
      <c r="N1689" t="e">
        <f>OR(LEFT(B1689,3)="frg",(_xlfn.XMATCH(B1689,ZZZ_Part_Id_[[#All],[FGCODE]])))</f>
        <v>#N/A</v>
      </c>
    </row>
    <row r="1690" spans="1:14" x14ac:dyDescent="0.3">
      <c r="A1690" s="2" t="s">
        <v>7480</v>
      </c>
      <c r="B1690" s="2" t="s">
        <v>517</v>
      </c>
      <c r="C1690" s="2" t="s">
        <v>7485</v>
      </c>
      <c r="D1690" s="3">
        <v>10080</v>
      </c>
      <c r="E1690" s="3">
        <v>10080</v>
      </c>
      <c r="F1690" s="2" t="s">
        <v>16</v>
      </c>
      <c r="G1690" s="2" t="s">
        <v>7486</v>
      </c>
      <c r="H1690" s="3">
        <v>0</v>
      </c>
      <c r="I1690" s="2" t="s">
        <v>18</v>
      </c>
      <c r="J1690" s="2" t="s">
        <v>7487</v>
      </c>
      <c r="K1690" s="2" t="s">
        <v>16</v>
      </c>
      <c r="L1690" s="2" t="s">
        <v>7488</v>
      </c>
      <c r="M1690" s="4">
        <v>1915.5</v>
      </c>
      <c r="N1690" t="b">
        <f>OR(LEFT(B1690,3)="frg",(_xlfn.XMATCH(B1690,ZZZ_Part_Id_[[#All],[FGCODE]])))</f>
        <v>1</v>
      </c>
    </row>
    <row r="1691" spans="1:14" x14ac:dyDescent="0.3">
      <c r="A1691" s="2" t="s">
        <v>7489</v>
      </c>
      <c r="B1691" s="2" t="s">
        <v>14</v>
      </c>
      <c r="C1691" s="2" t="s">
        <v>7490</v>
      </c>
      <c r="D1691" s="3">
        <v>4</v>
      </c>
      <c r="E1691" s="3">
        <v>4</v>
      </c>
      <c r="F1691" s="2" t="s">
        <v>16</v>
      </c>
      <c r="G1691" s="2" t="s">
        <v>7491</v>
      </c>
      <c r="H1691" s="3">
        <v>0</v>
      </c>
      <c r="I1691" s="2" t="s">
        <v>18</v>
      </c>
      <c r="J1691" s="2" t="s">
        <v>7492</v>
      </c>
      <c r="K1691" s="2" t="s">
        <v>16</v>
      </c>
      <c r="L1691" s="2" t="s">
        <v>7493</v>
      </c>
      <c r="M1691" s="4">
        <v>0.31</v>
      </c>
      <c r="N1691" t="e">
        <f>OR(LEFT(B1691,3)="frg",(_xlfn.XMATCH(B1691,ZZZ_Part_Id_[[#All],[FGCODE]])))</f>
        <v>#N/A</v>
      </c>
    </row>
    <row r="1692" spans="1:14" x14ac:dyDescent="0.3">
      <c r="A1692" s="2" t="s">
        <v>7489</v>
      </c>
      <c r="B1692" s="2" t="s">
        <v>65</v>
      </c>
      <c r="C1692" s="2" t="s">
        <v>7494</v>
      </c>
      <c r="D1692" s="5">
        <v>-268</v>
      </c>
      <c r="E1692" s="5">
        <v>-268</v>
      </c>
      <c r="F1692" s="2" t="s">
        <v>23</v>
      </c>
      <c r="G1692" s="2" t="s">
        <v>7495</v>
      </c>
      <c r="H1692" s="3">
        <v>0</v>
      </c>
      <c r="I1692" s="2" t="s">
        <v>18</v>
      </c>
      <c r="J1692" s="2" t="s">
        <v>7496</v>
      </c>
      <c r="K1692" s="2" t="s">
        <v>23</v>
      </c>
      <c r="L1692" s="2" t="s">
        <v>7497</v>
      </c>
      <c r="M1692" s="6">
        <v>-689.19</v>
      </c>
      <c r="N1692" t="b">
        <f>OR(LEFT(B1692,3)="frg",(_xlfn.XMATCH(B1692,ZZZ_Part_Id_[[#All],[FGCODE]])))</f>
        <v>1</v>
      </c>
    </row>
    <row r="1693" spans="1:14" x14ac:dyDescent="0.3">
      <c r="A1693" s="2" t="s">
        <v>7489</v>
      </c>
      <c r="B1693" s="2" t="s">
        <v>517</v>
      </c>
      <c r="C1693" s="2" t="s">
        <v>7498</v>
      </c>
      <c r="D1693" s="3">
        <v>40320</v>
      </c>
      <c r="E1693" s="3">
        <v>40320</v>
      </c>
      <c r="F1693" s="2" t="s">
        <v>16</v>
      </c>
      <c r="G1693" s="2" t="s">
        <v>7499</v>
      </c>
      <c r="H1693" s="3">
        <v>0</v>
      </c>
      <c r="I1693" s="2" t="s">
        <v>18</v>
      </c>
      <c r="J1693" s="2" t="s">
        <v>7500</v>
      </c>
      <c r="K1693" s="2" t="s">
        <v>16</v>
      </c>
      <c r="L1693" s="2" t="s">
        <v>7501</v>
      </c>
      <c r="M1693" s="4">
        <v>7662.01</v>
      </c>
      <c r="N1693" t="b">
        <f>OR(LEFT(B1693,3)="frg",(_xlfn.XMATCH(B1693,ZZZ_Part_Id_[[#All],[FGCODE]])))</f>
        <v>1</v>
      </c>
    </row>
    <row r="1694" spans="1:14" x14ac:dyDescent="0.3">
      <c r="A1694" s="2" t="s">
        <v>7502</v>
      </c>
      <c r="B1694" s="2" t="s">
        <v>2840</v>
      </c>
      <c r="C1694" s="2" t="s">
        <v>7503</v>
      </c>
      <c r="D1694" s="3">
        <v>20160</v>
      </c>
      <c r="E1694" s="3">
        <v>20160</v>
      </c>
      <c r="F1694" s="2" t="s">
        <v>16</v>
      </c>
      <c r="G1694" s="2" t="s">
        <v>7504</v>
      </c>
      <c r="H1694" s="3">
        <v>0</v>
      </c>
      <c r="I1694" s="2" t="s">
        <v>18</v>
      </c>
      <c r="J1694" s="2" t="s">
        <v>7505</v>
      </c>
      <c r="K1694" s="2" t="s">
        <v>16</v>
      </c>
      <c r="L1694" s="2" t="s">
        <v>7506</v>
      </c>
      <c r="M1694" s="4">
        <v>3868.1</v>
      </c>
      <c r="N1694" t="b">
        <f>OR(LEFT(B1694,3)="frg",(_xlfn.XMATCH(B1694,ZZZ_Part_Id_[[#All],[FGCODE]])))</f>
        <v>1</v>
      </c>
    </row>
    <row r="1695" spans="1:14" x14ac:dyDescent="0.3">
      <c r="A1695" s="2" t="s">
        <v>7507</v>
      </c>
      <c r="B1695" s="2" t="s">
        <v>86</v>
      </c>
      <c r="C1695" s="2" t="s">
        <v>7508</v>
      </c>
      <c r="D1695" s="5">
        <v>-536</v>
      </c>
      <c r="E1695" s="5">
        <v>-536</v>
      </c>
      <c r="F1695" s="2" t="s">
        <v>23</v>
      </c>
      <c r="G1695" s="2" t="s">
        <v>7509</v>
      </c>
      <c r="H1695" s="3">
        <v>0</v>
      </c>
      <c r="I1695" s="2" t="s">
        <v>18</v>
      </c>
      <c r="J1695" s="2" t="s">
        <v>7510</v>
      </c>
      <c r="K1695" s="2" t="s">
        <v>23</v>
      </c>
      <c r="L1695" s="2" t="s">
        <v>7511</v>
      </c>
      <c r="M1695" s="6">
        <v>-1403.14</v>
      </c>
      <c r="N1695" t="b">
        <f>OR(LEFT(B1695,3)="frg",(_xlfn.XMATCH(B1695,ZZZ_Part_Id_[[#All],[FGCODE]])))</f>
        <v>1</v>
      </c>
    </row>
    <row r="1696" spans="1:14" x14ac:dyDescent="0.3">
      <c r="A1696" s="2" t="s">
        <v>7507</v>
      </c>
      <c r="B1696" s="2" t="s">
        <v>7090</v>
      </c>
      <c r="C1696" s="2" t="s">
        <v>7512</v>
      </c>
      <c r="D1696" s="3">
        <v>80640</v>
      </c>
      <c r="E1696" s="3">
        <v>80640</v>
      </c>
      <c r="F1696" s="2" t="s">
        <v>16</v>
      </c>
      <c r="G1696" s="2" t="s">
        <v>7513</v>
      </c>
      <c r="H1696" s="3">
        <v>0</v>
      </c>
      <c r="I1696" s="2" t="s">
        <v>18</v>
      </c>
      <c r="J1696" s="2" t="s">
        <v>7514</v>
      </c>
      <c r="K1696" s="2" t="s">
        <v>16</v>
      </c>
      <c r="L1696" s="2" t="s">
        <v>7515</v>
      </c>
      <c r="M1696" s="4">
        <v>2026.48</v>
      </c>
      <c r="N1696" t="b">
        <f>OR(LEFT(B1696,3)="frg",(_xlfn.XMATCH(B1696,ZZZ_Part_Id_[[#All],[FGCODE]])))</f>
        <v>1</v>
      </c>
    </row>
    <row r="1697" spans="1:14" x14ac:dyDescent="0.3">
      <c r="A1697" s="2" t="s">
        <v>7516</v>
      </c>
      <c r="B1697" s="2" t="s">
        <v>65</v>
      </c>
      <c r="C1697" s="2" t="s">
        <v>7517</v>
      </c>
      <c r="D1697" s="5">
        <v>-64</v>
      </c>
      <c r="E1697" s="5">
        <v>-64</v>
      </c>
      <c r="F1697" s="2" t="s">
        <v>23</v>
      </c>
      <c r="G1697" s="2" t="s">
        <v>7518</v>
      </c>
      <c r="H1697" s="3">
        <v>0</v>
      </c>
      <c r="I1697" s="2" t="s">
        <v>18</v>
      </c>
      <c r="J1697" s="2" t="s">
        <v>7519</v>
      </c>
      <c r="K1697" s="2" t="s">
        <v>23</v>
      </c>
      <c r="L1697" s="2" t="s">
        <v>7520</v>
      </c>
      <c r="M1697" s="6">
        <v>-164.58</v>
      </c>
      <c r="N1697" t="b">
        <f>OR(LEFT(B1697,3)="frg",(_xlfn.XMATCH(B1697,ZZZ_Part_Id_[[#All],[FGCODE]])))</f>
        <v>1</v>
      </c>
    </row>
    <row r="1698" spans="1:14" x14ac:dyDescent="0.3">
      <c r="A1698" s="2" t="s">
        <v>7516</v>
      </c>
      <c r="B1698" s="2" t="s">
        <v>2086</v>
      </c>
      <c r="C1698" s="2" t="s">
        <v>7521</v>
      </c>
      <c r="D1698" s="3">
        <v>21120</v>
      </c>
      <c r="E1698" s="3">
        <v>21120</v>
      </c>
      <c r="F1698" s="2" t="s">
        <v>16</v>
      </c>
      <c r="G1698" s="2" t="s">
        <v>7522</v>
      </c>
      <c r="H1698" s="3">
        <v>0</v>
      </c>
      <c r="I1698" s="2" t="s">
        <v>18</v>
      </c>
      <c r="J1698" s="2" t="s">
        <v>7523</v>
      </c>
      <c r="K1698" s="2" t="s">
        <v>16</v>
      </c>
      <c r="L1698" s="2" t="s">
        <v>7524</v>
      </c>
      <c r="M1698" s="4">
        <v>5193.0200000000004</v>
      </c>
      <c r="N1698" t="b">
        <f>OR(LEFT(B1698,3)="frg",(_xlfn.XMATCH(B1698,ZZZ_Part_Id_[[#All],[FGCODE]])))</f>
        <v>1</v>
      </c>
    </row>
    <row r="1699" spans="1:14" x14ac:dyDescent="0.3">
      <c r="A1699" s="2" t="s">
        <v>7525</v>
      </c>
      <c r="B1699" s="2" t="s">
        <v>70</v>
      </c>
      <c r="C1699" s="2" t="s">
        <v>7526</v>
      </c>
      <c r="D1699" s="3">
        <v>44352</v>
      </c>
      <c r="E1699" s="3">
        <v>44352</v>
      </c>
      <c r="F1699" s="2" t="s">
        <v>16</v>
      </c>
      <c r="G1699" s="2" t="s">
        <v>7527</v>
      </c>
      <c r="H1699" s="3">
        <v>0</v>
      </c>
      <c r="I1699" s="2" t="s">
        <v>18</v>
      </c>
      <c r="J1699" s="2" t="s">
        <v>7528</v>
      </c>
      <c r="K1699" s="2" t="s">
        <v>16</v>
      </c>
      <c r="L1699" s="2" t="s">
        <v>7529</v>
      </c>
      <c r="M1699" s="4">
        <v>10910.15</v>
      </c>
      <c r="N1699" t="b">
        <f>OR(LEFT(B1699,3)="frg",(_xlfn.XMATCH(B1699,ZZZ_Part_Id_[[#All],[FGCODE]])))</f>
        <v>1</v>
      </c>
    </row>
    <row r="1700" spans="1:14" x14ac:dyDescent="0.3">
      <c r="A1700" s="2" t="s">
        <v>7530</v>
      </c>
      <c r="B1700" s="2" t="s">
        <v>14</v>
      </c>
      <c r="C1700" s="2" t="s">
        <v>7531</v>
      </c>
      <c r="D1700" s="3">
        <v>56</v>
      </c>
      <c r="E1700" s="3">
        <v>56</v>
      </c>
      <c r="F1700" s="2" t="s">
        <v>16</v>
      </c>
      <c r="G1700" s="2" t="s">
        <v>7532</v>
      </c>
      <c r="H1700" s="3">
        <v>0</v>
      </c>
      <c r="I1700" s="2" t="s">
        <v>18</v>
      </c>
      <c r="J1700" s="2" t="s">
        <v>7533</v>
      </c>
      <c r="K1700" s="2" t="s">
        <v>16</v>
      </c>
      <c r="L1700" s="2" t="s">
        <v>7534</v>
      </c>
      <c r="M1700" s="4">
        <v>4.3099999999999996</v>
      </c>
      <c r="N1700" t="e">
        <f>OR(LEFT(B1700,3)="frg",(_xlfn.XMATCH(B1700,ZZZ_Part_Id_[[#All],[FGCODE]])))</f>
        <v>#N/A</v>
      </c>
    </row>
    <row r="1701" spans="1:14" x14ac:dyDescent="0.3">
      <c r="A1701" s="2" t="s">
        <v>7530</v>
      </c>
      <c r="B1701" s="2" t="s">
        <v>1093</v>
      </c>
      <c r="C1701" s="2" t="s">
        <v>7535</v>
      </c>
      <c r="D1701" s="3">
        <v>1169280</v>
      </c>
      <c r="E1701" s="3">
        <v>1169280</v>
      </c>
      <c r="F1701" s="2" t="s">
        <v>16</v>
      </c>
      <c r="G1701" s="2" t="s">
        <v>7536</v>
      </c>
      <c r="H1701" s="3">
        <v>0</v>
      </c>
      <c r="I1701" s="2" t="s">
        <v>18</v>
      </c>
      <c r="J1701" s="2" t="s">
        <v>7537</v>
      </c>
      <c r="K1701" s="2" t="s">
        <v>16</v>
      </c>
      <c r="L1701" s="2" t="s">
        <v>7538</v>
      </c>
      <c r="M1701" s="4">
        <v>104311.21</v>
      </c>
      <c r="N1701" t="b">
        <f>OR(LEFT(B1701,3)="frg",(_xlfn.XMATCH(B1701,ZZZ_Part_Id_[[#All],[FGCODE]])))</f>
        <v>1</v>
      </c>
    </row>
    <row r="1702" spans="1:14" x14ac:dyDescent="0.3">
      <c r="A1702" s="2" t="s">
        <v>7539</v>
      </c>
      <c r="B1702" s="2" t="s">
        <v>2086</v>
      </c>
      <c r="C1702" s="2" t="s">
        <v>7540</v>
      </c>
      <c r="D1702" s="3">
        <v>4224</v>
      </c>
      <c r="E1702" s="3">
        <v>4224</v>
      </c>
      <c r="F1702" s="2" t="s">
        <v>16</v>
      </c>
      <c r="G1702" s="2" t="s">
        <v>7541</v>
      </c>
      <c r="H1702" s="3">
        <v>0</v>
      </c>
      <c r="I1702" s="2" t="s">
        <v>18</v>
      </c>
      <c r="J1702" s="2" t="s">
        <v>7542</v>
      </c>
      <c r="K1702" s="2" t="s">
        <v>16</v>
      </c>
      <c r="L1702" s="2" t="s">
        <v>7543</v>
      </c>
      <c r="M1702" s="4">
        <v>1038.5999999999999</v>
      </c>
      <c r="N1702" t="b">
        <f>OR(LEFT(B1702,3)="frg",(_xlfn.XMATCH(B1702,ZZZ_Part_Id_[[#All],[FGCODE]])))</f>
        <v>1</v>
      </c>
    </row>
    <row r="1703" spans="1:14" x14ac:dyDescent="0.3">
      <c r="A1703" s="2" t="s">
        <v>7544</v>
      </c>
      <c r="B1703" s="2" t="s">
        <v>14</v>
      </c>
      <c r="C1703" s="2" t="s">
        <v>7545</v>
      </c>
      <c r="D1703" s="3">
        <v>40</v>
      </c>
      <c r="E1703" s="3">
        <v>40</v>
      </c>
      <c r="F1703" s="2" t="s">
        <v>16</v>
      </c>
      <c r="G1703" s="2" t="s">
        <v>7546</v>
      </c>
      <c r="H1703" s="3">
        <v>0</v>
      </c>
      <c r="I1703" s="2" t="s">
        <v>409</v>
      </c>
      <c r="J1703" s="2" t="s">
        <v>7547</v>
      </c>
      <c r="K1703" s="2" t="s">
        <v>16</v>
      </c>
      <c r="L1703" s="2" t="s">
        <v>7548</v>
      </c>
      <c r="M1703" s="4">
        <v>3.08</v>
      </c>
      <c r="N1703" t="e">
        <f>OR(LEFT(B1703,3)="frg",(_xlfn.XMATCH(B1703,ZZZ_Part_Id_[[#All],[FGCODE]])))</f>
        <v>#N/A</v>
      </c>
    </row>
    <row r="1704" spans="1:14" x14ac:dyDescent="0.3">
      <c r="A1704" s="2" t="s">
        <v>7544</v>
      </c>
      <c r="B1704" s="2" t="s">
        <v>1170</v>
      </c>
      <c r="C1704" s="2" t="s">
        <v>7549</v>
      </c>
      <c r="D1704" s="3">
        <v>105600</v>
      </c>
      <c r="E1704" s="3">
        <v>105600</v>
      </c>
      <c r="F1704" s="2" t="s">
        <v>16</v>
      </c>
      <c r="G1704" s="2" t="s">
        <v>7550</v>
      </c>
      <c r="H1704" s="3">
        <v>0</v>
      </c>
      <c r="I1704" s="2" t="s">
        <v>409</v>
      </c>
      <c r="J1704" s="2" t="s">
        <v>7551</v>
      </c>
      <c r="K1704" s="2" t="s">
        <v>16</v>
      </c>
      <c r="L1704" s="2" t="s">
        <v>7552</v>
      </c>
      <c r="M1704" s="4">
        <v>36516.480000000003</v>
      </c>
      <c r="N1704" t="b">
        <f>OR(LEFT(B1704,3)="frg",(_xlfn.XMATCH(B1704,ZZZ_Part_Id_[[#All],[FGCODE]])))</f>
        <v>1</v>
      </c>
    </row>
    <row r="1705" spans="1:14" x14ac:dyDescent="0.3">
      <c r="A1705" s="2" t="s">
        <v>7553</v>
      </c>
      <c r="B1705" s="2" t="s">
        <v>5357</v>
      </c>
      <c r="C1705" s="2" t="s">
        <v>7554</v>
      </c>
      <c r="D1705" s="3">
        <v>6624</v>
      </c>
      <c r="E1705" s="3">
        <v>6624</v>
      </c>
      <c r="F1705" s="2" t="s">
        <v>16</v>
      </c>
      <c r="G1705" s="2" t="s">
        <v>7555</v>
      </c>
      <c r="H1705" s="3">
        <v>0</v>
      </c>
      <c r="I1705" s="2" t="s">
        <v>409</v>
      </c>
      <c r="J1705" s="2" t="s">
        <v>35</v>
      </c>
      <c r="K1705" s="2" t="s">
        <v>16</v>
      </c>
      <c r="L1705" s="2" t="s">
        <v>7556</v>
      </c>
      <c r="M1705" s="4">
        <v>1967.53</v>
      </c>
      <c r="N1705" t="b">
        <f>OR(LEFT(B1705,3)="frg",(_xlfn.XMATCH(B1705,ZZZ_Part_Id_[[#All],[FGCODE]])))</f>
        <v>1</v>
      </c>
    </row>
    <row r="1706" spans="1:14" x14ac:dyDescent="0.3">
      <c r="A1706" s="2" t="s">
        <v>7557</v>
      </c>
      <c r="B1706" s="2" t="s">
        <v>7558</v>
      </c>
      <c r="C1706" s="2" t="s">
        <v>7559</v>
      </c>
      <c r="D1706" s="3">
        <v>3500</v>
      </c>
      <c r="E1706" s="3">
        <v>3500</v>
      </c>
      <c r="F1706" s="2" t="s">
        <v>16</v>
      </c>
      <c r="G1706" s="2" t="s">
        <v>131</v>
      </c>
      <c r="H1706" s="3">
        <v>0</v>
      </c>
      <c r="I1706" s="2" t="s">
        <v>18</v>
      </c>
      <c r="J1706" s="2" t="s">
        <v>35</v>
      </c>
      <c r="K1706" s="2" t="s">
        <v>16</v>
      </c>
      <c r="L1706" s="2" t="s">
        <v>7560</v>
      </c>
      <c r="M1706" s="4">
        <v>1275.54</v>
      </c>
      <c r="N1706" t="b">
        <f>OR(LEFT(B1706,3)="frg",(_xlfn.XMATCH(B1706,ZZZ_Part_Id_[[#All],[FGCODE]])))</f>
        <v>1</v>
      </c>
    </row>
    <row r="1707" spans="1:14" x14ac:dyDescent="0.3">
      <c r="A1707" s="2" t="s">
        <v>7561</v>
      </c>
      <c r="B1707" s="2" t="s">
        <v>7562</v>
      </c>
      <c r="C1707" s="2" t="s">
        <v>7563</v>
      </c>
      <c r="D1707" s="3">
        <v>4800</v>
      </c>
      <c r="E1707" s="3">
        <v>4800</v>
      </c>
      <c r="F1707" s="2" t="s">
        <v>16</v>
      </c>
      <c r="G1707" s="2" t="s">
        <v>7564</v>
      </c>
      <c r="H1707" s="3">
        <v>0</v>
      </c>
      <c r="I1707" s="2" t="s">
        <v>409</v>
      </c>
      <c r="J1707" s="2" t="s">
        <v>35</v>
      </c>
      <c r="K1707" s="2" t="s">
        <v>16</v>
      </c>
      <c r="L1707" s="2" t="s">
        <v>7565</v>
      </c>
      <c r="M1707" s="4">
        <v>1893.89</v>
      </c>
      <c r="N1707" t="b">
        <f>OR(LEFT(B1707,3)="frg",(_xlfn.XMATCH(B1707,ZZZ_Part_Id_[[#All],[FGCODE]])))</f>
        <v>1</v>
      </c>
    </row>
    <row r="1708" spans="1:14" x14ac:dyDescent="0.3">
      <c r="A1708" s="2" t="s">
        <v>7566</v>
      </c>
      <c r="B1708" s="2" t="s">
        <v>740</v>
      </c>
      <c r="C1708" s="2" t="s">
        <v>7567</v>
      </c>
      <c r="D1708" s="3">
        <v>180540</v>
      </c>
      <c r="E1708" s="3">
        <v>180540</v>
      </c>
      <c r="F1708" s="2" t="s">
        <v>16</v>
      </c>
      <c r="G1708" s="2" t="s">
        <v>7568</v>
      </c>
      <c r="H1708" s="3">
        <v>0</v>
      </c>
      <c r="I1708" s="2" t="s">
        <v>18</v>
      </c>
      <c r="J1708" s="2" t="s">
        <v>7569</v>
      </c>
      <c r="K1708" s="2" t="s">
        <v>16</v>
      </c>
      <c r="L1708" s="2" t="s">
        <v>7570</v>
      </c>
      <c r="M1708" s="4">
        <v>35878.67</v>
      </c>
      <c r="N1708" t="b">
        <f>OR(LEFT(B1708,3)="frg",(_xlfn.XMATCH(B1708,ZZZ_Part_Id_[[#All],[FGCODE]])))</f>
        <v>1</v>
      </c>
    </row>
    <row r="1709" spans="1:14" x14ac:dyDescent="0.3">
      <c r="A1709" s="2" t="s">
        <v>7571</v>
      </c>
      <c r="B1709" s="2" t="s">
        <v>947</v>
      </c>
      <c r="C1709" s="2" t="s">
        <v>7572</v>
      </c>
      <c r="D1709" s="3">
        <v>82560</v>
      </c>
      <c r="E1709" s="3">
        <v>82560</v>
      </c>
      <c r="F1709" s="2" t="s">
        <v>16</v>
      </c>
      <c r="G1709" s="2" t="s">
        <v>7573</v>
      </c>
      <c r="H1709" s="3">
        <v>0</v>
      </c>
      <c r="I1709" s="2" t="s">
        <v>409</v>
      </c>
      <c r="J1709" s="2" t="s">
        <v>7574</v>
      </c>
      <c r="K1709" s="2" t="s">
        <v>16</v>
      </c>
      <c r="L1709" s="2" t="s">
        <v>7575</v>
      </c>
      <c r="M1709" s="4">
        <v>8090.04</v>
      </c>
      <c r="N1709" t="b">
        <f>OR(LEFT(B1709,3)="frg",(_xlfn.XMATCH(B1709,ZZZ_Part_Id_[[#All],[FGCODE]])))</f>
        <v>1</v>
      </c>
    </row>
    <row r="1710" spans="1:14" x14ac:dyDescent="0.3">
      <c r="A1710" s="2" t="s">
        <v>7576</v>
      </c>
      <c r="B1710" s="2" t="s">
        <v>14</v>
      </c>
      <c r="C1710" s="2" t="s">
        <v>7577</v>
      </c>
      <c r="D1710" s="3">
        <v>40</v>
      </c>
      <c r="E1710" s="3">
        <v>40</v>
      </c>
      <c r="F1710" s="2" t="s">
        <v>16</v>
      </c>
      <c r="G1710" s="2" t="s">
        <v>7578</v>
      </c>
      <c r="H1710" s="3">
        <v>0</v>
      </c>
      <c r="I1710" s="2" t="s">
        <v>18</v>
      </c>
      <c r="J1710" s="2" t="s">
        <v>7579</v>
      </c>
      <c r="K1710" s="2" t="s">
        <v>16</v>
      </c>
      <c r="L1710" s="2" t="s">
        <v>7580</v>
      </c>
      <c r="M1710" s="4">
        <v>3.08</v>
      </c>
      <c r="N1710" t="e">
        <f>OR(LEFT(B1710,3)="frg",(_xlfn.XMATCH(B1710,ZZZ_Part_Id_[[#All],[FGCODE]])))</f>
        <v>#N/A</v>
      </c>
    </row>
    <row r="1711" spans="1:14" x14ac:dyDescent="0.3">
      <c r="A1711" s="2" t="s">
        <v>7576</v>
      </c>
      <c r="B1711" s="2" t="s">
        <v>1093</v>
      </c>
      <c r="C1711" s="2" t="s">
        <v>7581</v>
      </c>
      <c r="D1711" s="3">
        <v>793440</v>
      </c>
      <c r="E1711" s="3">
        <v>793440</v>
      </c>
      <c r="F1711" s="2" t="s">
        <v>16</v>
      </c>
      <c r="G1711" s="2" t="s">
        <v>7582</v>
      </c>
      <c r="H1711" s="3">
        <v>0</v>
      </c>
      <c r="I1711" s="2" t="s">
        <v>18</v>
      </c>
      <c r="J1711" s="2" t="s">
        <v>7583</v>
      </c>
      <c r="K1711" s="2" t="s">
        <v>16</v>
      </c>
      <c r="L1711" s="2" t="s">
        <v>7584</v>
      </c>
      <c r="M1711" s="4">
        <v>70782.61</v>
      </c>
      <c r="N1711" t="b">
        <f>OR(LEFT(B1711,3)="frg",(_xlfn.XMATCH(B1711,ZZZ_Part_Id_[[#All],[FGCODE]])))</f>
        <v>1</v>
      </c>
    </row>
    <row r="1712" spans="1:14" x14ac:dyDescent="0.3">
      <c r="A1712" s="2" t="s">
        <v>7585</v>
      </c>
      <c r="B1712" s="2" t="s">
        <v>740</v>
      </c>
      <c r="C1712" s="2" t="s">
        <v>7586</v>
      </c>
      <c r="D1712" s="3">
        <v>509760</v>
      </c>
      <c r="E1712" s="3">
        <v>509760</v>
      </c>
      <c r="F1712" s="2" t="s">
        <v>16</v>
      </c>
      <c r="G1712" s="2" t="s">
        <v>7587</v>
      </c>
      <c r="H1712" s="3">
        <v>0</v>
      </c>
      <c r="I1712" s="2" t="s">
        <v>18</v>
      </c>
      <c r="J1712" s="2" t="s">
        <v>7588</v>
      </c>
      <c r="K1712" s="2" t="s">
        <v>16</v>
      </c>
      <c r="L1712" s="2" t="s">
        <v>7589</v>
      </c>
      <c r="M1712" s="4">
        <v>101304.48</v>
      </c>
      <c r="N1712" t="b">
        <f>OR(LEFT(B1712,3)="frg",(_xlfn.XMATCH(B1712,ZZZ_Part_Id_[[#All],[FGCODE]])))</f>
        <v>1</v>
      </c>
    </row>
    <row r="1713" spans="1:14" x14ac:dyDescent="0.3">
      <c r="A1713" s="2" t="s">
        <v>7590</v>
      </c>
      <c r="B1713" s="2" t="s">
        <v>14</v>
      </c>
      <c r="C1713" s="2" t="s">
        <v>7591</v>
      </c>
      <c r="D1713" s="3">
        <v>10</v>
      </c>
      <c r="E1713" s="3">
        <v>10</v>
      </c>
      <c r="F1713" s="2" t="s">
        <v>16</v>
      </c>
      <c r="G1713" s="2" t="s">
        <v>7592</v>
      </c>
      <c r="H1713" s="3">
        <v>0</v>
      </c>
      <c r="I1713" s="2" t="s">
        <v>18</v>
      </c>
      <c r="J1713" s="2" t="s">
        <v>7593</v>
      </c>
      <c r="K1713" s="2" t="s">
        <v>16</v>
      </c>
      <c r="L1713" s="2" t="s">
        <v>7594</v>
      </c>
      <c r="M1713" s="4">
        <v>0.77</v>
      </c>
      <c r="N1713" t="e">
        <f>OR(LEFT(B1713,3)="frg",(_xlfn.XMATCH(B1713,ZZZ_Part_Id_[[#All],[FGCODE]])))</f>
        <v>#N/A</v>
      </c>
    </row>
    <row r="1714" spans="1:14" x14ac:dyDescent="0.3">
      <c r="A1714" s="2" t="s">
        <v>7590</v>
      </c>
      <c r="B1714" s="2" t="s">
        <v>65</v>
      </c>
      <c r="C1714" s="2" t="s">
        <v>7595</v>
      </c>
      <c r="D1714" s="5">
        <v>-298</v>
      </c>
      <c r="E1714" s="5">
        <v>-298</v>
      </c>
      <c r="F1714" s="2" t="s">
        <v>23</v>
      </c>
      <c r="G1714" s="2" t="s">
        <v>7596</v>
      </c>
      <c r="H1714" s="3">
        <v>0</v>
      </c>
      <c r="I1714" s="2" t="s">
        <v>18</v>
      </c>
      <c r="J1714" s="2" t="s">
        <v>7597</v>
      </c>
      <c r="K1714" s="2" t="s">
        <v>23</v>
      </c>
      <c r="L1714" s="2" t="s">
        <v>7598</v>
      </c>
      <c r="M1714" s="6">
        <v>-766.34</v>
      </c>
      <c r="N1714" t="b">
        <f>OR(LEFT(B1714,3)="frg",(_xlfn.XMATCH(B1714,ZZZ_Part_Id_[[#All],[FGCODE]])))</f>
        <v>1</v>
      </c>
    </row>
    <row r="1715" spans="1:14" x14ac:dyDescent="0.3">
      <c r="A1715" s="2" t="s">
        <v>7590</v>
      </c>
      <c r="B1715" s="2" t="s">
        <v>5347</v>
      </c>
      <c r="C1715" s="2" t="s">
        <v>7599</v>
      </c>
      <c r="D1715" s="3">
        <v>72864</v>
      </c>
      <c r="E1715" s="3">
        <v>72864</v>
      </c>
      <c r="F1715" s="2" t="s">
        <v>16</v>
      </c>
      <c r="G1715" s="2" t="s">
        <v>7600</v>
      </c>
      <c r="H1715" s="3">
        <v>0</v>
      </c>
      <c r="I1715" s="2" t="s">
        <v>18</v>
      </c>
      <c r="J1715" s="2" t="s">
        <v>7601</v>
      </c>
      <c r="K1715" s="2" t="s">
        <v>16</v>
      </c>
      <c r="L1715" s="2" t="s">
        <v>7602</v>
      </c>
      <c r="M1715" s="4">
        <v>21387.74</v>
      </c>
      <c r="N1715" t="b">
        <f>OR(LEFT(B1715,3)="frg",(_xlfn.XMATCH(B1715,ZZZ_Part_Id_[[#All],[FGCODE]])))</f>
        <v>1</v>
      </c>
    </row>
    <row r="1716" spans="1:14" x14ac:dyDescent="0.3">
      <c r="A1716" s="2" t="s">
        <v>7603</v>
      </c>
      <c r="B1716" s="2" t="s">
        <v>4791</v>
      </c>
      <c r="C1716" s="2" t="s">
        <v>7604</v>
      </c>
      <c r="D1716" s="3">
        <v>13248</v>
      </c>
      <c r="E1716" s="3">
        <v>13248</v>
      </c>
      <c r="F1716" s="2" t="s">
        <v>16</v>
      </c>
      <c r="G1716" s="2" t="s">
        <v>7605</v>
      </c>
      <c r="H1716" s="3">
        <v>0</v>
      </c>
      <c r="I1716" s="2" t="s">
        <v>18</v>
      </c>
      <c r="J1716" s="2" t="s">
        <v>7606</v>
      </c>
      <c r="K1716" s="2" t="s">
        <v>16</v>
      </c>
      <c r="L1716" s="2" t="s">
        <v>7607</v>
      </c>
      <c r="M1716" s="4">
        <v>3888.68</v>
      </c>
      <c r="N1716" t="b">
        <f>OR(LEFT(B1716,3)="frg",(_xlfn.XMATCH(B1716,ZZZ_Part_Id_[[#All],[FGCODE]])))</f>
        <v>1</v>
      </c>
    </row>
    <row r="1717" spans="1:14" x14ac:dyDescent="0.3">
      <c r="A1717" s="2" t="s">
        <v>7608</v>
      </c>
      <c r="B1717" s="2" t="s">
        <v>3113</v>
      </c>
      <c r="C1717" s="2" t="s">
        <v>7609</v>
      </c>
      <c r="D1717" s="3">
        <v>62640</v>
      </c>
      <c r="E1717" s="3">
        <v>62640</v>
      </c>
      <c r="F1717" s="2" t="s">
        <v>16</v>
      </c>
      <c r="G1717" s="2" t="s">
        <v>7610</v>
      </c>
      <c r="H1717" s="3">
        <v>0</v>
      </c>
      <c r="I1717" s="2" t="s">
        <v>409</v>
      </c>
      <c r="J1717" s="2" t="s">
        <v>7611</v>
      </c>
      <c r="K1717" s="2" t="s">
        <v>16</v>
      </c>
      <c r="L1717" s="2" t="s">
        <v>7612</v>
      </c>
      <c r="M1717" s="4">
        <v>5113.92</v>
      </c>
      <c r="N1717" t="b">
        <f>OR(LEFT(B1717,3)="frg",(_xlfn.XMATCH(B1717,ZZZ_Part_Id_[[#All],[FGCODE]])))</f>
        <v>1</v>
      </c>
    </row>
    <row r="1718" spans="1:14" x14ac:dyDescent="0.3">
      <c r="A1718" s="2" t="s">
        <v>7613</v>
      </c>
      <c r="B1718" s="2" t="s">
        <v>65</v>
      </c>
      <c r="C1718" s="2" t="s">
        <v>7614</v>
      </c>
      <c r="D1718" s="5">
        <v>-183</v>
      </c>
      <c r="E1718" s="5">
        <v>-183</v>
      </c>
      <c r="F1718" s="2" t="s">
        <v>23</v>
      </c>
      <c r="G1718" s="2" t="s">
        <v>7615</v>
      </c>
      <c r="H1718" s="3">
        <v>0</v>
      </c>
      <c r="I1718" s="2" t="s">
        <v>409</v>
      </c>
      <c r="J1718" s="2" t="s">
        <v>7616</v>
      </c>
      <c r="K1718" s="2" t="s">
        <v>23</v>
      </c>
      <c r="L1718" s="2" t="s">
        <v>7617</v>
      </c>
      <c r="M1718" s="6">
        <v>-470.6</v>
      </c>
      <c r="N1718" t="b">
        <f>OR(LEFT(B1718,3)="frg",(_xlfn.XMATCH(B1718,ZZZ_Part_Id_[[#All],[FGCODE]])))</f>
        <v>1</v>
      </c>
    </row>
    <row r="1719" spans="1:14" x14ac:dyDescent="0.3">
      <c r="A1719" s="2" t="s">
        <v>7613</v>
      </c>
      <c r="B1719" s="2" t="s">
        <v>2115</v>
      </c>
      <c r="C1719" s="2" t="s">
        <v>7618</v>
      </c>
      <c r="D1719" s="3">
        <v>14400</v>
      </c>
      <c r="E1719" s="3">
        <v>14400</v>
      </c>
      <c r="F1719" s="2" t="s">
        <v>16</v>
      </c>
      <c r="G1719" s="2" t="s">
        <v>7619</v>
      </c>
      <c r="H1719" s="3">
        <v>0</v>
      </c>
      <c r="I1719" s="2" t="s">
        <v>409</v>
      </c>
      <c r="J1719" s="2" t="s">
        <v>7620</v>
      </c>
      <c r="K1719" s="2" t="s">
        <v>16</v>
      </c>
      <c r="L1719" s="2" t="s">
        <v>7621</v>
      </c>
      <c r="M1719" s="4">
        <v>4787.72</v>
      </c>
      <c r="N1719" t="b">
        <f>OR(LEFT(B1719,3)="frg",(_xlfn.XMATCH(B1719,ZZZ_Part_Id_[[#All],[FGCODE]])))</f>
        <v>1</v>
      </c>
    </row>
    <row r="1720" spans="1:14" x14ac:dyDescent="0.3">
      <c r="A1720" s="2" t="s">
        <v>7622</v>
      </c>
      <c r="B1720" s="2" t="s">
        <v>14</v>
      </c>
      <c r="C1720" s="2" t="s">
        <v>7623</v>
      </c>
      <c r="D1720" s="3">
        <v>4</v>
      </c>
      <c r="E1720" s="3">
        <v>4</v>
      </c>
      <c r="F1720" s="2" t="s">
        <v>16</v>
      </c>
      <c r="G1720" s="2" t="s">
        <v>7624</v>
      </c>
      <c r="H1720" s="3">
        <v>0</v>
      </c>
      <c r="I1720" s="2" t="s">
        <v>18</v>
      </c>
      <c r="J1720" s="2" t="s">
        <v>7625</v>
      </c>
      <c r="K1720" s="2" t="s">
        <v>16</v>
      </c>
      <c r="L1720" s="2" t="s">
        <v>7626</v>
      </c>
      <c r="M1720" s="4">
        <v>0.31</v>
      </c>
      <c r="N1720" t="e">
        <f>OR(LEFT(B1720,3)="frg",(_xlfn.XMATCH(B1720,ZZZ_Part_Id_[[#All],[FGCODE]])))</f>
        <v>#N/A</v>
      </c>
    </row>
    <row r="1721" spans="1:14" x14ac:dyDescent="0.3">
      <c r="A1721" s="2" t="s">
        <v>7622</v>
      </c>
      <c r="B1721" s="2" t="s">
        <v>65</v>
      </c>
      <c r="C1721" s="2" t="s">
        <v>7627</v>
      </c>
      <c r="D1721" s="5">
        <v>-168</v>
      </c>
      <c r="E1721" s="5">
        <v>-168</v>
      </c>
      <c r="F1721" s="2" t="s">
        <v>23</v>
      </c>
      <c r="G1721" s="2" t="s">
        <v>7628</v>
      </c>
      <c r="H1721" s="3">
        <v>0</v>
      </c>
      <c r="I1721" s="2" t="s">
        <v>18</v>
      </c>
      <c r="J1721" s="2" t="s">
        <v>7629</v>
      </c>
      <c r="K1721" s="2" t="s">
        <v>23</v>
      </c>
      <c r="L1721" s="2" t="s">
        <v>7630</v>
      </c>
      <c r="M1721" s="6">
        <v>-432.03</v>
      </c>
      <c r="N1721" t="b">
        <f>OR(LEFT(B1721,3)="frg",(_xlfn.XMATCH(B1721,ZZZ_Part_Id_[[#All],[FGCODE]])))</f>
        <v>1</v>
      </c>
    </row>
    <row r="1722" spans="1:14" x14ac:dyDescent="0.3">
      <c r="A1722" s="2" t="s">
        <v>7622</v>
      </c>
      <c r="B1722" s="2" t="s">
        <v>2127</v>
      </c>
      <c r="C1722" s="2" t="s">
        <v>7631</v>
      </c>
      <c r="D1722" s="3">
        <v>19872</v>
      </c>
      <c r="E1722" s="3">
        <v>19872</v>
      </c>
      <c r="F1722" s="2" t="s">
        <v>16</v>
      </c>
      <c r="G1722" s="2" t="s">
        <v>7632</v>
      </c>
      <c r="H1722" s="3">
        <v>0</v>
      </c>
      <c r="I1722" s="2" t="s">
        <v>18</v>
      </c>
      <c r="J1722" s="2" t="s">
        <v>7633</v>
      </c>
      <c r="K1722" s="2" t="s">
        <v>16</v>
      </c>
      <c r="L1722" s="2" t="s">
        <v>7634</v>
      </c>
      <c r="M1722" s="4">
        <v>4380</v>
      </c>
      <c r="N1722" t="b">
        <f>OR(LEFT(B1722,3)="frg",(_xlfn.XMATCH(B1722,ZZZ_Part_Id_[[#All],[FGCODE]])))</f>
        <v>1</v>
      </c>
    </row>
    <row r="1723" spans="1:14" x14ac:dyDescent="0.3">
      <c r="A1723" s="2" t="s">
        <v>7635</v>
      </c>
      <c r="B1723" s="2" t="s">
        <v>740</v>
      </c>
      <c r="C1723" s="2" t="s">
        <v>7636</v>
      </c>
      <c r="D1723" s="3">
        <v>82560</v>
      </c>
      <c r="E1723" s="3">
        <v>82560</v>
      </c>
      <c r="F1723" s="2" t="s">
        <v>16</v>
      </c>
      <c r="G1723" s="2" t="s">
        <v>7637</v>
      </c>
      <c r="H1723" s="3">
        <v>0</v>
      </c>
      <c r="I1723" s="2" t="s">
        <v>18</v>
      </c>
      <c r="J1723" s="2" t="s">
        <v>7638</v>
      </c>
      <c r="K1723" s="2" t="s">
        <v>16</v>
      </c>
      <c r="L1723" s="2" t="s">
        <v>7639</v>
      </c>
      <c r="M1723" s="4">
        <v>16407.13</v>
      </c>
      <c r="N1723" t="b">
        <f>OR(LEFT(B1723,3)="frg",(_xlfn.XMATCH(B1723,ZZZ_Part_Id_[[#All],[FGCODE]])))</f>
        <v>1</v>
      </c>
    </row>
    <row r="1724" spans="1:14" x14ac:dyDescent="0.3">
      <c r="A1724" s="2" t="s">
        <v>7640</v>
      </c>
      <c r="B1724" s="2" t="s">
        <v>947</v>
      </c>
      <c r="C1724" s="2" t="s">
        <v>7641</v>
      </c>
      <c r="D1724" s="3">
        <v>42480</v>
      </c>
      <c r="E1724" s="3">
        <v>41280</v>
      </c>
      <c r="F1724" s="2" t="s">
        <v>16</v>
      </c>
      <c r="G1724" s="2" t="s">
        <v>7642</v>
      </c>
      <c r="H1724" s="3">
        <v>0</v>
      </c>
      <c r="I1724" s="2" t="s">
        <v>409</v>
      </c>
      <c r="J1724" s="2" t="s">
        <v>7643</v>
      </c>
      <c r="K1724" s="2" t="s">
        <v>16</v>
      </c>
      <c r="L1724" s="2" t="s">
        <v>7644</v>
      </c>
      <c r="M1724" s="4">
        <v>4045.01</v>
      </c>
      <c r="N1724" t="b">
        <f>OR(LEFT(B1724,3)="frg",(_xlfn.XMATCH(B1724,ZZZ_Part_Id_[[#All],[FGCODE]])))</f>
        <v>1</v>
      </c>
    </row>
    <row r="1725" spans="1:14" x14ac:dyDescent="0.3">
      <c r="A1725" s="2" t="s">
        <v>7645</v>
      </c>
      <c r="B1725" s="2" t="s">
        <v>5357</v>
      </c>
      <c r="C1725" s="2" t="s">
        <v>7646</v>
      </c>
      <c r="D1725" s="3">
        <v>563040</v>
      </c>
      <c r="E1725" s="3">
        <v>563040</v>
      </c>
      <c r="F1725" s="2" t="s">
        <v>16</v>
      </c>
      <c r="G1725" s="2" t="s">
        <v>7647</v>
      </c>
      <c r="H1725" s="3">
        <v>0</v>
      </c>
      <c r="I1725" s="2" t="s">
        <v>18</v>
      </c>
      <c r="J1725" s="2" t="s">
        <v>7648</v>
      </c>
      <c r="K1725" s="2" t="s">
        <v>16</v>
      </c>
      <c r="L1725" s="2" t="s">
        <v>7649</v>
      </c>
      <c r="M1725" s="4">
        <v>167240.04999999999</v>
      </c>
      <c r="N1725" t="b">
        <f>OR(LEFT(B1725,3)="frg",(_xlfn.XMATCH(B1725,ZZZ_Part_Id_[[#All],[FGCODE]])))</f>
        <v>1</v>
      </c>
    </row>
    <row r="1726" spans="1:14" x14ac:dyDescent="0.3">
      <c r="A1726" s="2" t="s">
        <v>7650</v>
      </c>
      <c r="B1726" s="2" t="s">
        <v>5357</v>
      </c>
      <c r="C1726" s="2" t="s">
        <v>7651</v>
      </c>
      <c r="D1726" s="3">
        <v>635904</v>
      </c>
      <c r="E1726" s="3">
        <v>635904</v>
      </c>
      <c r="F1726" s="2" t="s">
        <v>16</v>
      </c>
      <c r="G1726" s="2" t="s">
        <v>7652</v>
      </c>
      <c r="H1726" s="3">
        <v>0</v>
      </c>
      <c r="I1726" s="2" t="s">
        <v>409</v>
      </c>
      <c r="J1726" s="2" t="s">
        <v>7653</v>
      </c>
      <c r="K1726" s="2" t="s">
        <v>16</v>
      </c>
      <c r="L1726" s="2" t="s">
        <v>7654</v>
      </c>
      <c r="M1726" s="4">
        <v>188882.88</v>
      </c>
      <c r="N1726" t="b">
        <f>OR(LEFT(B1726,3)="frg",(_xlfn.XMATCH(B1726,ZZZ_Part_Id_[[#All],[FGCODE]])))</f>
        <v>1</v>
      </c>
    </row>
    <row r="1727" spans="1:14" x14ac:dyDescent="0.3">
      <c r="A1727" s="2" t="s">
        <v>7655</v>
      </c>
      <c r="B1727" s="2" t="s">
        <v>740</v>
      </c>
      <c r="C1727" s="2" t="s">
        <v>7656</v>
      </c>
      <c r="D1727" s="3">
        <v>512160</v>
      </c>
      <c r="E1727" s="3">
        <v>512160</v>
      </c>
      <c r="F1727" s="2" t="s">
        <v>16</v>
      </c>
      <c r="G1727" s="2" t="s">
        <v>7657</v>
      </c>
      <c r="H1727" s="3">
        <v>0</v>
      </c>
      <c r="I1727" s="2" t="s">
        <v>409</v>
      </c>
      <c r="J1727" s="2" t="s">
        <v>7658</v>
      </c>
      <c r="K1727" s="2" t="s">
        <v>16</v>
      </c>
      <c r="L1727" s="2" t="s">
        <v>7659</v>
      </c>
      <c r="M1727" s="4">
        <v>101781.43</v>
      </c>
      <c r="N1727" t="b">
        <f>OR(LEFT(B1727,3)="frg",(_xlfn.XMATCH(B1727,ZZZ_Part_Id_[[#All],[FGCODE]])))</f>
        <v>1</v>
      </c>
    </row>
    <row r="1728" spans="1:14" x14ac:dyDescent="0.3">
      <c r="A1728" s="2" t="s">
        <v>7655</v>
      </c>
      <c r="B1728" s="2" t="s">
        <v>65</v>
      </c>
      <c r="C1728" s="2" t="s">
        <v>7660</v>
      </c>
      <c r="D1728" s="5">
        <v>-73</v>
      </c>
      <c r="E1728" s="5">
        <v>-73</v>
      </c>
      <c r="F1728" s="2" t="s">
        <v>23</v>
      </c>
      <c r="G1728" s="2" t="s">
        <v>7661</v>
      </c>
      <c r="H1728" s="3">
        <v>0</v>
      </c>
      <c r="I1728" s="2" t="s">
        <v>409</v>
      </c>
      <c r="J1728" s="2" t="s">
        <v>7662</v>
      </c>
      <c r="K1728" s="2" t="s">
        <v>23</v>
      </c>
      <c r="L1728" s="2" t="s">
        <v>7663</v>
      </c>
      <c r="M1728" s="6">
        <v>-187.73</v>
      </c>
      <c r="N1728" t="b">
        <f>OR(LEFT(B1728,3)="frg",(_xlfn.XMATCH(B1728,ZZZ_Part_Id_[[#All],[FGCODE]])))</f>
        <v>1</v>
      </c>
    </row>
    <row r="1729" spans="1:14" x14ac:dyDescent="0.3">
      <c r="A1729" s="2" t="s">
        <v>7664</v>
      </c>
      <c r="B1729" s="2" t="s">
        <v>2611</v>
      </c>
      <c r="C1729" s="2" t="s">
        <v>7665</v>
      </c>
      <c r="D1729" s="3">
        <v>170496</v>
      </c>
      <c r="E1729" s="3">
        <v>170496</v>
      </c>
      <c r="F1729" s="2" t="s">
        <v>16</v>
      </c>
      <c r="G1729" s="2" t="s">
        <v>7666</v>
      </c>
      <c r="H1729" s="3">
        <v>0</v>
      </c>
      <c r="I1729" s="2" t="s">
        <v>409</v>
      </c>
      <c r="J1729" s="2" t="s">
        <v>7667</v>
      </c>
      <c r="K1729" s="2" t="s">
        <v>16</v>
      </c>
      <c r="L1729" s="2" t="s">
        <v>7668</v>
      </c>
      <c r="M1729" s="4">
        <v>15342.88</v>
      </c>
      <c r="N1729" t="b">
        <f>OR(LEFT(B1729,3)="frg",(_xlfn.XMATCH(B1729,ZZZ_Part_Id_[[#All],[FGCODE]])))</f>
        <v>1</v>
      </c>
    </row>
    <row r="1730" spans="1:14" x14ac:dyDescent="0.3">
      <c r="A1730" s="2" t="s">
        <v>7664</v>
      </c>
      <c r="B1730" s="2" t="s">
        <v>65</v>
      </c>
      <c r="C1730" s="2" t="s">
        <v>7669</v>
      </c>
      <c r="D1730" s="5">
        <v>-270</v>
      </c>
      <c r="E1730" s="5">
        <v>-270</v>
      </c>
      <c r="F1730" s="2" t="s">
        <v>23</v>
      </c>
      <c r="G1730" s="2" t="s">
        <v>7670</v>
      </c>
      <c r="H1730" s="3">
        <v>0</v>
      </c>
      <c r="I1730" s="2" t="s">
        <v>409</v>
      </c>
      <c r="J1730" s="2" t="s">
        <v>7671</v>
      </c>
      <c r="K1730" s="2" t="s">
        <v>23</v>
      </c>
      <c r="L1730" s="2" t="s">
        <v>7672</v>
      </c>
      <c r="M1730" s="6">
        <v>-694.33</v>
      </c>
      <c r="N1730" t="b">
        <f>OR(LEFT(B1730,3)="frg",(_xlfn.XMATCH(B1730,ZZZ_Part_Id_[[#All],[FGCODE]])))</f>
        <v>1</v>
      </c>
    </row>
    <row r="1731" spans="1:14" x14ac:dyDescent="0.3">
      <c r="A1731" s="2" t="s">
        <v>7673</v>
      </c>
      <c r="B1731" s="2" t="s">
        <v>6955</v>
      </c>
      <c r="C1731" s="2" t="s">
        <v>7674</v>
      </c>
      <c r="D1731" s="3">
        <v>43440</v>
      </c>
      <c r="E1731" s="3">
        <v>0</v>
      </c>
      <c r="F1731" s="2" t="s">
        <v>16</v>
      </c>
      <c r="G1731" s="2" t="s">
        <v>6949</v>
      </c>
      <c r="H1731" s="3">
        <v>43440</v>
      </c>
      <c r="I1731" s="2" t="s">
        <v>409</v>
      </c>
      <c r="J1731" s="2" t="s">
        <v>7675</v>
      </c>
      <c r="K1731" s="2" t="s">
        <v>16</v>
      </c>
      <c r="L1731" s="2" t="s">
        <v>7676</v>
      </c>
      <c r="M1731" s="4">
        <v>0</v>
      </c>
      <c r="N1731" t="b">
        <f>OR(LEFT(B1731,3)="frg",(_xlfn.XMATCH(B1731,ZZZ_Part_Id_[[#All],[FGCODE]])))</f>
        <v>1</v>
      </c>
    </row>
    <row r="1732" spans="1:14" x14ac:dyDescent="0.3">
      <c r="A1732" s="2" t="s">
        <v>7673</v>
      </c>
      <c r="B1732" s="2" t="s">
        <v>86</v>
      </c>
      <c r="C1732" s="2" t="s">
        <v>7677</v>
      </c>
      <c r="D1732" s="5">
        <v>-21</v>
      </c>
      <c r="E1732" s="3">
        <v>0</v>
      </c>
      <c r="F1732" s="2" t="s">
        <v>23</v>
      </c>
      <c r="G1732" s="2" t="s">
        <v>6949</v>
      </c>
      <c r="H1732" s="5">
        <v>-21</v>
      </c>
      <c r="I1732" s="2" t="s">
        <v>409</v>
      </c>
      <c r="J1732" s="2" t="s">
        <v>7678</v>
      </c>
      <c r="K1732" s="2" t="s">
        <v>23</v>
      </c>
      <c r="L1732" s="2" t="s">
        <v>7679</v>
      </c>
      <c r="M1732" s="4">
        <v>0</v>
      </c>
      <c r="N1732" t="b">
        <f>OR(LEFT(B1732,3)="frg",(_xlfn.XMATCH(B1732,ZZZ_Part_Id_[[#All],[FGCODE]])))</f>
        <v>1</v>
      </c>
    </row>
    <row r="1733" spans="1:14" x14ac:dyDescent="0.3">
      <c r="A1733" s="2" t="s">
        <v>7680</v>
      </c>
      <c r="B1733" s="2" t="s">
        <v>308</v>
      </c>
      <c r="C1733" s="2" t="s">
        <v>7681</v>
      </c>
      <c r="D1733" s="3">
        <v>33600</v>
      </c>
      <c r="E1733" s="3">
        <v>33600</v>
      </c>
      <c r="F1733" s="2" t="s">
        <v>16</v>
      </c>
      <c r="G1733" s="2" t="s">
        <v>7682</v>
      </c>
      <c r="H1733" s="3">
        <v>0</v>
      </c>
      <c r="I1733" s="2" t="s">
        <v>409</v>
      </c>
      <c r="J1733" s="2" t="s">
        <v>7683</v>
      </c>
      <c r="K1733" s="2" t="s">
        <v>16</v>
      </c>
      <c r="L1733" s="2" t="s">
        <v>7684</v>
      </c>
      <c r="M1733" s="4">
        <v>2072.7800000000002</v>
      </c>
      <c r="N1733" t="b">
        <f>OR(LEFT(B1733,3)="frg",(_xlfn.XMATCH(B1733,ZZZ_Part_Id_[[#All],[FGCODE]])))</f>
        <v>1</v>
      </c>
    </row>
    <row r="1734" spans="1:14" x14ac:dyDescent="0.3">
      <c r="A1734" s="2" t="s">
        <v>7680</v>
      </c>
      <c r="B1734" s="2" t="s">
        <v>86</v>
      </c>
      <c r="C1734" s="2" t="s">
        <v>7685</v>
      </c>
      <c r="D1734" s="5">
        <v>-54</v>
      </c>
      <c r="E1734" s="5">
        <v>-54</v>
      </c>
      <c r="F1734" s="2" t="s">
        <v>23</v>
      </c>
      <c r="G1734" s="2" t="s">
        <v>7686</v>
      </c>
      <c r="H1734" s="3">
        <v>0</v>
      </c>
      <c r="I1734" s="2" t="s">
        <v>409</v>
      </c>
      <c r="J1734" s="2" t="s">
        <v>7687</v>
      </c>
      <c r="K1734" s="2" t="s">
        <v>23</v>
      </c>
      <c r="L1734" s="2" t="s">
        <v>7688</v>
      </c>
      <c r="M1734" s="6">
        <v>-141.36000000000001</v>
      </c>
      <c r="N1734" t="b">
        <f>OR(LEFT(B1734,3)="frg",(_xlfn.XMATCH(B1734,ZZZ_Part_Id_[[#All],[FGCODE]])))</f>
        <v>1</v>
      </c>
    </row>
    <row r="1735" spans="1:14" x14ac:dyDescent="0.3">
      <c r="A1735" s="2" t="s">
        <v>7689</v>
      </c>
      <c r="B1735" s="2" t="s">
        <v>91</v>
      </c>
      <c r="C1735" s="2" t="s">
        <v>7690</v>
      </c>
      <c r="D1735" s="3">
        <v>27000</v>
      </c>
      <c r="E1735" s="3">
        <v>27000</v>
      </c>
      <c r="F1735" s="2" t="s">
        <v>16</v>
      </c>
      <c r="G1735" s="2" t="s">
        <v>7691</v>
      </c>
      <c r="H1735" s="3">
        <v>0</v>
      </c>
      <c r="I1735" s="2" t="s">
        <v>409</v>
      </c>
      <c r="J1735" s="2" t="s">
        <v>7692</v>
      </c>
      <c r="K1735" s="2" t="s">
        <v>16</v>
      </c>
      <c r="L1735" s="2" t="s">
        <v>7693</v>
      </c>
      <c r="M1735" s="4">
        <v>1635.39</v>
      </c>
      <c r="N1735" t="b">
        <f>OR(LEFT(B1735,3)="frg",(_xlfn.XMATCH(B1735,ZZZ_Part_Id_[[#All],[FGCODE]])))</f>
        <v>1</v>
      </c>
    </row>
    <row r="1736" spans="1:14" x14ac:dyDescent="0.3">
      <c r="A1736" s="2" t="s">
        <v>7694</v>
      </c>
      <c r="B1736" s="2" t="s">
        <v>2121</v>
      </c>
      <c r="C1736" s="2" t="s">
        <v>7695</v>
      </c>
      <c r="D1736" s="3">
        <v>9936</v>
      </c>
      <c r="E1736" s="3">
        <v>9936</v>
      </c>
      <c r="F1736" s="2" t="s">
        <v>16</v>
      </c>
      <c r="G1736" s="2" t="s">
        <v>7696</v>
      </c>
      <c r="H1736" s="3">
        <v>0</v>
      </c>
      <c r="I1736" s="2" t="s">
        <v>409</v>
      </c>
      <c r="J1736" s="2" t="s">
        <v>7697</v>
      </c>
      <c r="K1736" s="2" t="s">
        <v>16</v>
      </c>
      <c r="L1736" s="2" t="s">
        <v>7698</v>
      </c>
      <c r="M1736" s="4">
        <v>2304.66</v>
      </c>
      <c r="N1736" t="b">
        <f>OR(LEFT(B1736,3)="frg",(_xlfn.XMATCH(B1736,ZZZ_Part_Id_[[#All],[FGCODE]])))</f>
        <v>1</v>
      </c>
    </row>
    <row r="1737" spans="1:14" x14ac:dyDescent="0.3">
      <c r="A1737" s="2" t="s">
        <v>7699</v>
      </c>
      <c r="B1737" s="2" t="s">
        <v>5357</v>
      </c>
      <c r="C1737" s="2" t="s">
        <v>7700</v>
      </c>
      <c r="D1737" s="3">
        <v>635904</v>
      </c>
      <c r="E1737" s="3">
        <v>635904</v>
      </c>
      <c r="F1737" s="2" t="s">
        <v>16</v>
      </c>
      <c r="G1737" s="2" t="s">
        <v>7701</v>
      </c>
      <c r="H1737" s="3">
        <v>0</v>
      </c>
      <c r="I1737" s="2" t="s">
        <v>409</v>
      </c>
      <c r="J1737" s="2" t="s">
        <v>7702</v>
      </c>
      <c r="K1737" s="2" t="s">
        <v>16</v>
      </c>
      <c r="L1737" s="2" t="s">
        <v>7703</v>
      </c>
      <c r="M1737" s="4">
        <v>188882.88</v>
      </c>
      <c r="N1737" t="b">
        <f>OR(LEFT(B1737,3)="frg",(_xlfn.XMATCH(B1737,ZZZ_Part_Id_[[#All],[FGCODE]])))</f>
        <v>1</v>
      </c>
    </row>
    <row r="1738" spans="1:14" x14ac:dyDescent="0.3">
      <c r="A1738" s="2" t="s">
        <v>7704</v>
      </c>
      <c r="B1738" s="2" t="s">
        <v>2934</v>
      </c>
      <c r="C1738" s="2" t="s">
        <v>7705</v>
      </c>
      <c r="D1738" s="3">
        <v>65664</v>
      </c>
      <c r="E1738" s="3">
        <v>65664</v>
      </c>
      <c r="F1738" s="2" t="s">
        <v>16</v>
      </c>
      <c r="G1738" s="2" t="s">
        <v>7706</v>
      </c>
      <c r="H1738" s="3">
        <v>0</v>
      </c>
      <c r="I1738" s="2" t="s">
        <v>409</v>
      </c>
      <c r="J1738" s="2" t="s">
        <v>7707</v>
      </c>
      <c r="K1738" s="2" t="s">
        <v>16</v>
      </c>
      <c r="L1738" s="2" t="s">
        <v>7708</v>
      </c>
      <c r="M1738" s="4">
        <v>8164</v>
      </c>
      <c r="N1738" t="b">
        <f>OR(LEFT(B1738,3)="frg",(_xlfn.XMATCH(B1738,ZZZ_Part_Id_[[#All],[FGCODE]])))</f>
        <v>1</v>
      </c>
    </row>
    <row r="1739" spans="1:14" x14ac:dyDescent="0.3">
      <c r="A1739" s="2" t="s">
        <v>7704</v>
      </c>
      <c r="B1739" s="2" t="s">
        <v>65</v>
      </c>
      <c r="C1739" s="2" t="s">
        <v>7709</v>
      </c>
      <c r="D1739" s="5">
        <v>-147</v>
      </c>
      <c r="E1739" s="5">
        <v>-147</v>
      </c>
      <c r="F1739" s="2" t="s">
        <v>23</v>
      </c>
      <c r="G1739" s="2" t="s">
        <v>7710</v>
      </c>
      <c r="H1739" s="3">
        <v>0</v>
      </c>
      <c r="I1739" s="2" t="s">
        <v>409</v>
      </c>
      <c r="J1739" s="2" t="s">
        <v>7711</v>
      </c>
      <c r="K1739" s="2" t="s">
        <v>23</v>
      </c>
      <c r="L1739" s="2" t="s">
        <v>7712</v>
      </c>
      <c r="M1739" s="6">
        <v>-378.03</v>
      </c>
      <c r="N1739" t="b">
        <f>OR(LEFT(B1739,3)="frg",(_xlfn.XMATCH(B1739,ZZZ_Part_Id_[[#All],[FGCODE]])))</f>
        <v>1</v>
      </c>
    </row>
    <row r="1740" spans="1:14" x14ac:dyDescent="0.3">
      <c r="A1740" s="2" t="s">
        <v>7713</v>
      </c>
      <c r="B1740" s="2" t="s">
        <v>6977</v>
      </c>
      <c r="C1740" s="2" t="s">
        <v>7714</v>
      </c>
      <c r="D1740" s="3">
        <v>101520</v>
      </c>
      <c r="E1740" s="3">
        <v>101520</v>
      </c>
      <c r="F1740" s="2" t="s">
        <v>16</v>
      </c>
      <c r="G1740" s="2" t="s">
        <v>7715</v>
      </c>
      <c r="H1740" s="3">
        <v>0</v>
      </c>
      <c r="I1740" s="2" t="s">
        <v>409</v>
      </c>
      <c r="J1740" s="2" t="s">
        <v>7716</v>
      </c>
      <c r="K1740" s="2" t="s">
        <v>16</v>
      </c>
      <c r="L1740" s="2" t="s">
        <v>7717</v>
      </c>
      <c r="M1740" s="4">
        <v>922.81</v>
      </c>
      <c r="N1740" t="b">
        <f>OR(LEFT(B1740,3)="frg",(_xlfn.XMATCH(B1740,ZZZ_Part_Id_[[#All],[FGCODE]])))</f>
        <v>1</v>
      </c>
    </row>
    <row r="1741" spans="1:14" x14ac:dyDescent="0.3">
      <c r="A1741" s="2" t="s">
        <v>7718</v>
      </c>
      <c r="B1741" s="2" t="s">
        <v>97</v>
      </c>
      <c r="C1741" s="2" t="s">
        <v>7719</v>
      </c>
      <c r="D1741" s="3">
        <v>249600</v>
      </c>
      <c r="E1741" s="3">
        <v>249600</v>
      </c>
      <c r="F1741" s="2" t="s">
        <v>16</v>
      </c>
      <c r="G1741" s="2" t="s">
        <v>7720</v>
      </c>
      <c r="H1741" s="3">
        <v>0</v>
      </c>
      <c r="I1741" s="2" t="s">
        <v>409</v>
      </c>
      <c r="J1741" s="2" t="s">
        <v>7721</v>
      </c>
      <c r="K1741" s="2" t="s">
        <v>16</v>
      </c>
      <c r="L1741" s="2" t="s">
        <v>7722</v>
      </c>
      <c r="M1741" s="4">
        <v>85562.880000000005</v>
      </c>
      <c r="N1741" t="b">
        <f>OR(LEFT(B1741,3)="frg",(_xlfn.XMATCH(B1741,ZZZ_Part_Id_[[#All],[FGCODE]])))</f>
        <v>1</v>
      </c>
    </row>
    <row r="1742" spans="1:14" x14ac:dyDescent="0.3">
      <c r="A1742" s="2" t="s">
        <v>7723</v>
      </c>
      <c r="B1742" s="2" t="s">
        <v>5357</v>
      </c>
      <c r="C1742" s="2" t="s">
        <v>7724</v>
      </c>
      <c r="D1742" s="3">
        <v>722016</v>
      </c>
      <c r="E1742" s="3">
        <v>722016</v>
      </c>
      <c r="F1742" s="2" t="s">
        <v>16</v>
      </c>
      <c r="G1742" s="2" t="s">
        <v>7725</v>
      </c>
      <c r="H1742" s="3">
        <v>0</v>
      </c>
      <c r="I1742" s="2" t="s">
        <v>409</v>
      </c>
      <c r="J1742" s="2" t="s">
        <v>7726</v>
      </c>
      <c r="K1742" s="2" t="s">
        <v>16</v>
      </c>
      <c r="L1742" s="2" t="s">
        <v>7727</v>
      </c>
      <c r="M1742" s="4">
        <v>214460.77</v>
      </c>
      <c r="N1742" t="b">
        <f>OR(LEFT(B1742,3)="frg",(_xlfn.XMATCH(B1742,ZZZ_Part_Id_[[#All],[FGCODE]])))</f>
        <v>1</v>
      </c>
    </row>
    <row r="1743" spans="1:14" x14ac:dyDescent="0.3">
      <c r="A1743" s="2" t="s">
        <v>7728</v>
      </c>
      <c r="B1743" s="2" t="s">
        <v>97</v>
      </c>
      <c r="C1743" s="2" t="s">
        <v>7729</v>
      </c>
      <c r="D1743" s="3">
        <v>249600</v>
      </c>
      <c r="E1743" s="3">
        <v>249600</v>
      </c>
      <c r="F1743" s="2" t="s">
        <v>16</v>
      </c>
      <c r="G1743" s="2" t="s">
        <v>7730</v>
      </c>
      <c r="H1743" s="3">
        <v>0</v>
      </c>
      <c r="I1743" s="2" t="s">
        <v>409</v>
      </c>
      <c r="J1743" s="2" t="s">
        <v>7731</v>
      </c>
      <c r="K1743" s="2" t="s">
        <v>16</v>
      </c>
      <c r="L1743" s="2" t="s">
        <v>7732</v>
      </c>
      <c r="M1743" s="4">
        <v>85562.880000000005</v>
      </c>
      <c r="N1743" t="b">
        <f>OR(LEFT(B1743,3)="frg",(_xlfn.XMATCH(B1743,ZZZ_Part_Id_[[#All],[FGCODE]])))</f>
        <v>1</v>
      </c>
    </row>
    <row r="1744" spans="1:14" x14ac:dyDescent="0.3">
      <c r="A1744" s="2" t="s">
        <v>7728</v>
      </c>
      <c r="B1744" s="2" t="s">
        <v>14</v>
      </c>
      <c r="C1744" s="2" t="s">
        <v>7733</v>
      </c>
      <c r="D1744" s="3">
        <v>52</v>
      </c>
      <c r="E1744" s="3">
        <v>52</v>
      </c>
      <c r="F1744" s="2" t="s">
        <v>16</v>
      </c>
      <c r="G1744" s="2" t="s">
        <v>7734</v>
      </c>
      <c r="H1744" s="3">
        <v>0</v>
      </c>
      <c r="I1744" s="2" t="s">
        <v>409</v>
      </c>
      <c r="J1744" s="2" t="s">
        <v>7735</v>
      </c>
      <c r="K1744" s="2" t="s">
        <v>16</v>
      </c>
      <c r="L1744" s="2" t="s">
        <v>7736</v>
      </c>
      <c r="M1744" s="4">
        <v>4</v>
      </c>
      <c r="N1744" t="e">
        <f>OR(LEFT(B1744,3)="frg",(_xlfn.XMATCH(B1744,ZZZ_Part_Id_[[#All],[FGCODE]])))</f>
        <v>#N/A</v>
      </c>
    </row>
    <row r="1745" spans="1:14" x14ac:dyDescent="0.3">
      <c r="A1745" s="2" t="s">
        <v>7728</v>
      </c>
      <c r="B1745" s="2" t="s">
        <v>140</v>
      </c>
      <c r="C1745" s="2" t="s">
        <v>7737</v>
      </c>
      <c r="D1745" s="3">
        <v>2.08</v>
      </c>
      <c r="E1745" s="3">
        <v>2.08</v>
      </c>
      <c r="F1745" s="2" t="s">
        <v>16</v>
      </c>
      <c r="G1745" s="2" t="s">
        <v>7738</v>
      </c>
      <c r="H1745" s="3">
        <v>0</v>
      </c>
      <c r="I1745" s="2" t="s">
        <v>409</v>
      </c>
      <c r="J1745" s="2" t="s">
        <v>7739</v>
      </c>
      <c r="K1745" s="2" t="s">
        <v>16</v>
      </c>
      <c r="L1745" s="2" t="s">
        <v>7740</v>
      </c>
      <c r="M1745" s="4">
        <v>3.99</v>
      </c>
      <c r="N1745" t="e">
        <f>OR(LEFT(B1745,3)="frg",(_xlfn.XMATCH(B1745,ZZZ_Part_Id_[[#All],[FGCODE]])))</f>
        <v>#N/A</v>
      </c>
    </row>
    <row r="1746" spans="1:14" x14ac:dyDescent="0.3">
      <c r="A1746" s="2" t="s">
        <v>7728</v>
      </c>
      <c r="B1746" s="2" t="s">
        <v>192</v>
      </c>
      <c r="C1746" s="2" t="s">
        <v>7741</v>
      </c>
      <c r="D1746" s="3">
        <v>0.52</v>
      </c>
      <c r="E1746" s="3">
        <v>0.52</v>
      </c>
      <c r="F1746" s="2" t="s">
        <v>194</v>
      </c>
      <c r="G1746" s="2" t="s">
        <v>7742</v>
      </c>
      <c r="H1746" s="3">
        <v>0</v>
      </c>
      <c r="I1746" s="2" t="s">
        <v>409</v>
      </c>
      <c r="J1746" s="2" t="s">
        <v>7743</v>
      </c>
      <c r="K1746" s="2" t="s">
        <v>194</v>
      </c>
      <c r="L1746" s="2" t="s">
        <v>7744</v>
      </c>
      <c r="M1746" s="4">
        <v>2.72</v>
      </c>
      <c r="N1746" t="e">
        <f>OR(LEFT(B1746,3)="frg",(_xlfn.XMATCH(B1746,ZZZ_Part_Id_[[#All],[FGCODE]])))</f>
        <v>#N/A</v>
      </c>
    </row>
    <row r="1747" spans="1:14" x14ac:dyDescent="0.3">
      <c r="A1747" s="2" t="s">
        <v>7728</v>
      </c>
      <c r="B1747" s="2" t="s">
        <v>145</v>
      </c>
      <c r="C1747" s="2" t="s">
        <v>7745</v>
      </c>
      <c r="D1747" s="3">
        <v>0.20799999999999999</v>
      </c>
      <c r="E1747" s="3">
        <v>0.20799999999999999</v>
      </c>
      <c r="F1747" s="2" t="s">
        <v>147</v>
      </c>
      <c r="G1747" s="2" t="s">
        <v>7746</v>
      </c>
      <c r="H1747" s="3">
        <v>0</v>
      </c>
      <c r="I1747" s="2" t="s">
        <v>409</v>
      </c>
      <c r="J1747" s="2" t="s">
        <v>7747</v>
      </c>
      <c r="K1747" s="2" t="s">
        <v>147</v>
      </c>
      <c r="L1747" s="2" t="s">
        <v>7748</v>
      </c>
      <c r="M1747" s="4">
        <v>32.53</v>
      </c>
      <c r="N1747" t="e">
        <f>OR(LEFT(B1747,3)="frg",(_xlfn.XMATCH(B1747,ZZZ_Part_Id_[[#All],[FGCODE]])))</f>
        <v>#N/A</v>
      </c>
    </row>
    <row r="1748" spans="1:14" x14ac:dyDescent="0.3">
      <c r="A1748" s="2" t="s">
        <v>7749</v>
      </c>
      <c r="B1748" s="2" t="s">
        <v>1027</v>
      </c>
      <c r="C1748" s="2" t="s">
        <v>7750</v>
      </c>
      <c r="D1748" s="3">
        <v>424800</v>
      </c>
      <c r="E1748" s="3">
        <v>424800</v>
      </c>
      <c r="F1748" s="2" t="s">
        <v>16</v>
      </c>
      <c r="G1748" s="2" t="s">
        <v>7751</v>
      </c>
      <c r="H1748" s="3">
        <v>0</v>
      </c>
      <c r="I1748" s="2" t="s">
        <v>409</v>
      </c>
      <c r="J1748" s="2" t="s">
        <v>7752</v>
      </c>
      <c r="K1748" s="2" t="s">
        <v>16</v>
      </c>
      <c r="L1748" s="2" t="s">
        <v>7753</v>
      </c>
      <c r="M1748" s="4">
        <v>85482.41</v>
      </c>
      <c r="N1748" t="b">
        <f>OR(LEFT(B1748,3)="frg",(_xlfn.XMATCH(B1748,ZZZ_Part_Id_[[#All],[FGCODE]])))</f>
        <v>1</v>
      </c>
    </row>
    <row r="1749" spans="1:14" x14ac:dyDescent="0.3">
      <c r="A1749" s="2" t="s">
        <v>7754</v>
      </c>
      <c r="B1749" s="2" t="s">
        <v>14</v>
      </c>
      <c r="C1749" s="2" t="s">
        <v>7755</v>
      </c>
      <c r="D1749" s="3">
        <v>40</v>
      </c>
      <c r="E1749" s="3">
        <v>40</v>
      </c>
      <c r="F1749" s="2" t="s">
        <v>16</v>
      </c>
      <c r="G1749" s="2" t="s">
        <v>7756</v>
      </c>
      <c r="H1749" s="3">
        <v>0</v>
      </c>
      <c r="I1749" s="2" t="s">
        <v>409</v>
      </c>
      <c r="J1749" s="2" t="s">
        <v>7757</v>
      </c>
      <c r="K1749" s="2" t="s">
        <v>16</v>
      </c>
      <c r="L1749" s="2" t="s">
        <v>7758</v>
      </c>
      <c r="M1749" s="4">
        <v>3.08</v>
      </c>
      <c r="N1749" t="e">
        <f>OR(LEFT(B1749,3)="frg",(_xlfn.XMATCH(B1749,ZZZ_Part_Id_[[#All],[FGCODE]])))</f>
        <v>#N/A</v>
      </c>
    </row>
    <row r="1750" spans="1:14" x14ac:dyDescent="0.3">
      <c r="A1750" s="2" t="s">
        <v>7754</v>
      </c>
      <c r="B1750" s="2" t="s">
        <v>5357</v>
      </c>
      <c r="C1750" s="2" t="s">
        <v>7759</v>
      </c>
      <c r="D1750" s="3">
        <v>258336</v>
      </c>
      <c r="E1750" s="3">
        <v>258336</v>
      </c>
      <c r="F1750" s="2" t="s">
        <v>16</v>
      </c>
      <c r="G1750" s="2" t="s">
        <v>7760</v>
      </c>
      <c r="H1750" s="3">
        <v>0</v>
      </c>
      <c r="I1750" s="2" t="s">
        <v>409</v>
      </c>
      <c r="J1750" s="2" t="s">
        <v>7761</v>
      </c>
      <c r="K1750" s="2" t="s">
        <v>16</v>
      </c>
      <c r="L1750" s="2" t="s">
        <v>7762</v>
      </c>
      <c r="M1750" s="4">
        <v>76733.67</v>
      </c>
      <c r="N1750" t="b">
        <f>OR(LEFT(B1750,3)="frg",(_xlfn.XMATCH(B1750,ZZZ_Part_Id_[[#All],[FGCODE]])))</f>
        <v>1</v>
      </c>
    </row>
    <row r="1751" spans="1:14" x14ac:dyDescent="0.3">
      <c r="A1751" s="2" t="s">
        <v>7763</v>
      </c>
      <c r="B1751" s="2" t="s">
        <v>14</v>
      </c>
      <c r="C1751" s="2" t="s">
        <v>7764</v>
      </c>
      <c r="D1751" s="3">
        <v>95</v>
      </c>
      <c r="E1751" s="3">
        <v>95</v>
      </c>
      <c r="F1751" s="2" t="s">
        <v>16</v>
      </c>
      <c r="G1751" s="2" t="s">
        <v>7765</v>
      </c>
      <c r="H1751" s="3">
        <v>0</v>
      </c>
      <c r="I1751" s="2" t="s">
        <v>409</v>
      </c>
      <c r="J1751" s="2" t="s">
        <v>7766</v>
      </c>
      <c r="K1751" s="2" t="s">
        <v>16</v>
      </c>
      <c r="L1751" s="2" t="s">
        <v>7767</v>
      </c>
      <c r="M1751" s="4">
        <v>7.31</v>
      </c>
      <c r="N1751" t="e">
        <f>OR(LEFT(B1751,3)="frg",(_xlfn.XMATCH(B1751,ZZZ_Part_Id_[[#All],[FGCODE]])))</f>
        <v>#N/A</v>
      </c>
    </row>
    <row r="1752" spans="1:14" x14ac:dyDescent="0.3">
      <c r="A1752" s="2" t="s">
        <v>7763</v>
      </c>
      <c r="B1752" s="2" t="s">
        <v>97</v>
      </c>
      <c r="C1752" s="2" t="s">
        <v>7768</v>
      </c>
      <c r="D1752" s="3">
        <v>249600</v>
      </c>
      <c r="E1752" s="3">
        <v>249600</v>
      </c>
      <c r="F1752" s="2" t="s">
        <v>16</v>
      </c>
      <c r="G1752" s="2" t="s">
        <v>7769</v>
      </c>
      <c r="H1752" s="3">
        <v>0</v>
      </c>
      <c r="I1752" s="2" t="s">
        <v>409</v>
      </c>
      <c r="J1752" s="2" t="s">
        <v>7770</v>
      </c>
      <c r="K1752" s="2" t="s">
        <v>16</v>
      </c>
      <c r="L1752" s="2" t="s">
        <v>7771</v>
      </c>
      <c r="M1752" s="4">
        <v>85562.880000000005</v>
      </c>
      <c r="N1752" t="b">
        <f>OR(LEFT(B1752,3)="frg",(_xlfn.XMATCH(B1752,ZZZ_Part_Id_[[#All],[FGCODE]])))</f>
        <v>1</v>
      </c>
    </row>
    <row r="1753" spans="1:14" x14ac:dyDescent="0.3">
      <c r="A1753" s="2" t="s">
        <v>7772</v>
      </c>
      <c r="B1753" s="2" t="s">
        <v>14</v>
      </c>
      <c r="C1753" s="2" t="s">
        <v>7773</v>
      </c>
      <c r="D1753" s="3">
        <v>140</v>
      </c>
      <c r="E1753" s="3">
        <v>140</v>
      </c>
      <c r="F1753" s="2" t="s">
        <v>16</v>
      </c>
      <c r="G1753" s="2" t="s">
        <v>7774</v>
      </c>
      <c r="H1753" s="3">
        <v>0</v>
      </c>
      <c r="I1753" s="2" t="s">
        <v>18</v>
      </c>
      <c r="J1753" s="2" t="s">
        <v>7775</v>
      </c>
      <c r="K1753" s="2" t="s">
        <v>16</v>
      </c>
      <c r="L1753" s="2" t="s">
        <v>7776</v>
      </c>
      <c r="M1753" s="4">
        <v>10.77</v>
      </c>
      <c r="N1753" t="e">
        <f>OR(LEFT(B1753,3)="frg",(_xlfn.XMATCH(B1753,ZZZ_Part_Id_[[#All],[FGCODE]])))</f>
        <v>#N/A</v>
      </c>
    </row>
    <row r="1754" spans="1:14" x14ac:dyDescent="0.3">
      <c r="A1754" s="2" t="s">
        <v>7772</v>
      </c>
      <c r="B1754" s="2" t="s">
        <v>1027</v>
      </c>
      <c r="C1754" s="2" t="s">
        <v>7777</v>
      </c>
      <c r="D1754" s="3">
        <v>615960</v>
      </c>
      <c r="E1754" s="3">
        <v>615960</v>
      </c>
      <c r="F1754" s="2" t="s">
        <v>16</v>
      </c>
      <c r="G1754" s="2" t="s">
        <v>7778</v>
      </c>
      <c r="H1754" s="3">
        <v>0</v>
      </c>
      <c r="I1754" s="2" t="s">
        <v>18</v>
      </c>
      <c r="J1754" s="2" t="s">
        <v>7779</v>
      </c>
      <c r="K1754" s="2" t="s">
        <v>16</v>
      </c>
      <c r="L1754" s="2" t="s">
        <v>7780</v>
      </c>
      <c r="M1754" s="4">
        <v>123949.49</v>
      </c>
      <c r="N1754" t="b">
        <f>OR(LEFT(B1754,3)="frg",(_xlfn.XMATCH(B1754,ZZZ_Part_Id_[[#All],[FGCODE]])))</f>
        <v>1</v>
      </c>
    </row>
    <row r="1755" spans="1:14" x14ac:dyDescent="0.3">
      <c r="A1755" s="2" t="s">
        <v>7781</v>
      </c>
      <c r="B1755" s="2" t="s">
        <v>14</v>
      </c>
      <c r="C1755" s="2" t="s">
        <v>7782</v>
      </c>
      <c r="D1755" s="3">
        <v>95</v>
      </c>
      <c r="E1755" s="3">
        <v>95</v>
      </c>
      <c r="F1755" s="2" t="s">
        <v>16</v>
      </c>
      <c r="G1755" s="2" t="s">
        <v>7783</v>
      </c>
      <c r="H1755" s="3">
        <v>0</v>
      </c>
      <c r="I1755" s="2" t="s">
        <v>18</v>
      </c>
      <c r="J1755" s="2" t="s">
        <v>7784</v>
      </c>
      <c r="K1755" s="2" t="s">
        <v>16</v>
      </c>
      <c r="L1755" s="2" t="s">
        <v>7785</v>
      </c>
      <c r="M1755" s="4">
        <v>7.31</v>
      </c>
      <c r="N1755" t="e">
        <f>OR(LEFT(B1755,3)="frg",(_xlfn.XMATCH(B1755,ZZZ_Part_Id_[[#All],[FGCODE]])))</f>
        <v>#N/A</v>
      </c>
    </row>
    <row r="1756" spans="1:14" x14ac:dyDescent="0.3">
      <c r="A1756" s="2" t="s">
        <v>7781</v>
      </c>
      <c r="B1756" s="2" t="s">
        <v>59</v>
      </c>
      <c r="C1756" s="2" t="s">
        <v>7786</v>
      </c>
      <c r="D1756" s="3">
        <v>1269000</v>
      </c>
      <c r="E1756" s="3">
        <v>1269000</v>
      </c>
      <c r="F1756" s="2" t="s">
        <v>16</v>
      </c>
      <c r="G1756" s="2" t="s">
        <v>7787</v>
      </c>
      <c r="H1756" s="3">
        <v>0</v>
      </c>
      <c r="I1756" s="2" t="s">
        <v>18</v>
      </c>
      <c r="J1756" s="2" t="s">
        <v>7788</v>
      </c>
      <c r="K1756" s="2" t="s">
        <v>16</v>
      </c>
      <c r="L1756" s="2" t="s">
        <v>7789</v>
      </c>
      <c r="M1756" s="4">
        <v>88487.5</v>
      </c>
      <c r="N1756" t="b">
        <f>OR(LEFT(B1756,3)="frg",(_xlfn.XMATCH(B1756,ZZZ_Part_Id_[[#All],[FGCODE]])))</f>
        <v>1</v>
      </c>
    </row>
    <row r="1757" spans="1:14" x14ac:dyDescent="0.3">
      <c r="A1757" s="2" t="s">
        <v>7790</v>
      </c>
      <c r="B1757" s="2" t="s">
        <v>14</v>
      </c>
      <c r="C1757" s="2" t="s">
        <v>7791</v>
      </c>
      <c r="D1757" s="3">
        <v>95</v>
      </c>
      <c r="E1757" s="3">
        <v>95</v>
      </c>
      <c r="F1757" s="2" t="s">
        <v>16</v>
      </c>
      <c r="G1757" s="2" t="s">
        <v>7792</v>
      </c>
      <c r="H1757" s="3">
        <v>0</v>
      </c>
      <c r="I1757" s="2" t="s">
        <v>18</v>
      </c>
      <c r="J1757" s="2" t="s">
        <v>7793</v>
      </c>
      <c r="K1757" s="2" t="s">
        <v>16</v>
      </c>
      <c r="L1757" s="2" t="s">
        <v>7794</v>
      </c>
      <c r="M1757" s="4">
        <v>7.31</v>
      </c>
      <c r="N1757" t="e">
        <f>OR(LEFT(B1757,3)="frg",(_xlfn.XMATCH(B1757,ZZZ_Part_Id_[[#All],[FGCODE]])))</f>
        <v>#N/A</v>
      </c>
    </row>
    <row r="1758" spans="1:14" x14ac:dyDescent="0.3">
      <c r="A1758" s="2" t="s">
        <v>7790</v>
      </c>
      <c r="B1758" s="2" t="s">
        <v>1093</v>
      </c>
      <c r="C1758" s="2" t="s">
        <v>7795</v>
      </c>
      <c r="D1758" s="3">
        <v>1962720</v>
      </c>
      <c r="E1758" s="3">
        <v>1962720</v>
      </c>
      <c r="F1758" s="2" t="s">
        <v>16</v>
      </c>
      <c r="G1758" s="2" t="s">
        <v>7796</v>
      </c>
      <c r="H1758" s="3">
        <v>0</v>
      </c>
      <c r="I1758" s="2" t="s">
        <v>18</v>
      </c>
      <c r="J1758" s="2" t="s">
        <v>7797</v>
      </c>
      <c r="K1758" s="2" t="s">
        <v>16</v>
      </c>
      <c r="L1758" s="2" t="s">
        <v>7798</v>
      </c>
      <c r="M1758" s="4">
        <v>175093.8</v>
      </c>
      <c r="N1758" t="b">
        <f>OR(LEFT(B1758,3)="frg",(_xlfn.XMATCH(B1758,ZZZ_Part_Id_[[#All],[FGCODE]])))</f>
        <v>1</v>
      </c>
    </row>
    <row r="1759" spans="1:14" x14ac:dyDescent="0.3">
      <c r="A1759" s="2" t="s">
        <v>7799</v>
      </c>
      <c r="B1759" s="2" t="s">
        <v>14</v>
      </c>
      <c r="C1759" s="2" t="s">
        <v>7800</v>
      </c>
      <c r="D1759" s="3">
        <v>95</v>
      </c>
      <c r="E1759" s="3">
        <v>95</v>
      </c>
      <c r="F1759" s="2" t="s">
        <v>16</v>
      </c>
      <c r="G1759" s="2" t="s">
        <v>7801</v>
      </c>
      <c r="H1759" s="3">
        <v>0</v>
      </c>
      <c r="I1759" s="2" t="s">
        <v>18</v>
      </c>
      <c r="J1759" s="2" t="s">
        <v>7802</v>
      </c>
      <c r="K1759" s="2" t="s">
        <v>16</v>
      </c>
      <c r="L1759" s="2" t="s">
        <v>7803</v>
      </c>
      <c r="M1759" s="4">
        <v>7.31</v>
      </c>
      <c r="N1759" t="e">
        <f>OR(LEFT(B1759,3)="frg",(_xlfn.XMATCH(B1759,ZZZ_Part_Id_[[#All],[FGCODE]])))</f>
        <v>#N/A</v>
      </c>
    </row>
    <row r="1760" spans="1:14" x14ac:dyDescent="0.3">
      <c r="A1760" s="2" t="s">
        <v>7799</v>
      </c>
      <c r="B1760" s="2" t="s">
        <v>4791</v>
      </c>
      <c r="C1760" s="2" t="s">
        <v>7804</v>
      </c>
      <c r="D1760" s="3">
        <v>463680</v>
      </c>
      <c r="E1760" s="3">
        <v>463680</v>
      </c>
      <c r="F1760" s="2" t="s">
        <v>16</v>
      </c>
      <c r="G1760" s="2" t="s">
        <v>7805</v>
      </c>
      <c r="H1760" s="3">
        <v>0</v>
      </c>
      <c r="I1760" s="2" t="s">
        <v>18</v>
      </c>
      <c r="J1760" s="2" t="s">
        <v>7806</v>
      </c>
      <c r="K1760" s="2" t="s">
        <v>16</v>
      </c>
      <c r="L1760" s="2" t="s">
        <v>7807</v>
      </c>
      <c r="M1760" s="4">
        <v>136103.79999999999</v>
      </c>
      <c r="N1760" t="b">
        <f>OR(LEFT(B1760,3)="frg",(_xlfn.XMATCH(B1760,ZZZ_Part_Id_[[#All],[FGCODE]])))</f>
        <v>1</v>
      </c>
    </row>
    <row r="1761" spans="1:14" x14ac:dyDescent="0.3">
      <c r="A1761" s="2" t="s">
        <v>7808</v>
      </c>
      <c r="B1761" s="2" t="s">
        <v>740</v>
      </c>
      <c r="C1761" s="2" t="s">
        <v>7809</v>
      </c>
      <c r="D1761" s="3">
        <v>31860</v>
      </c>
      <c r="E1761" s="3">
        <v>31860</v>
      </c>
      <c r="F1761" s="2" t="s">
        <v>16</v>
      </c>
      <c r="G1761" s="2" t="s">
        <v>7810</v>
      </c>
      <c r="H1761" s="3">
        <v>0</v>
      </c>
      <c r="I1761" s="2" t="s">
        <v>18</v>
      </c>
      <c r="J1761" s="2" t="s">
        <v>7811</v>
      </c>
      <c r="K1761" s="2" t="s">
        <v>16</v>
      </c>
      <c r="L1761" s="2" t="s">
        <v>7812</v>
      </c>
      <c r="M1761" s="4">
        <v>6331.53</v>
      </c>
      <c r="N1761" t="b">
        <f>OR(LEFT(B1761,3)="frg",(_xlfn.XMATCH(B1761,ZZZ_Part_Id_[[#All],[FGCODE]])))</f>
        <v>1</v>
      </c>
    </row>
    <row r="1762" spans="1:14" x14ac:dyDescent="0.3">
      <c r="A1762" s="2" t="s">
        <v>7813</v>
      </c>
      <c r="B1762" s="2" t="s">
        <v>65</v>
      </c>
      <c r="C1762" s="2" t="s">
        <v>7814</v>
      </c>
      <c r="D1762" s="5">
        <v>-76</v>
      </c>
      <c r="E1762" s="5">
        <v>-76</v>
      </c>
      <c r="F1762" s="2" t="s">
        <v>23</v>
      </c>
      <c r="G1762" s="2" t="s">
        <v>7815</v>
      </c>
      <c r="H1762" s="3">
        <v>0</v>
      </c>
      <c r="I1762" s="2" t="s">
        <v>18</v>
      </c>
      <c r="J1762" s="2" t="s">
        <v>7816</v>
      </c>
      <c r="K1762" s="2" t="s">
        <v>23</v>
      </c>
      <c r="L1762" s="2" t="s">
        <v>7817</v>
      </c>
      <c r="M1762" s="6">
        <v>-195.44</v>
      </c>
      <c r="N1762" t="b">
        <f>OR(LEFT(B1762,3)="frg",(_xlfn.XMATCH(B1762,ZZZ_Part_Id_[[#All],[FGCODE]])))</f>
        <v>1</v>
      </c>
    </row>
    <row r="1763" spans="1:14" x14ac:dyDescent="0.3">
      <c r="A1763" s="2" t="s">
        <v>7813</v>
      </c>
      <c r="B1763" s="2" t="s">
        <v>2100</v>
      </c>
      <c r="C1763" s="2" t="s">
        <v>7818</v>
      </c>
      <c r="D1763" s="3">
        <v>13126</v>
      </c>
      <c r="E1763" s="3">
        <v>10620</v>
      </c>
      <c r="F1763" s="2" t="s">
        <v>16</v>
      </c>
      <c r="G1763" s="2" t="s">
        <v>7819</v>
      </c>
      <c r="H1763" s="3">
        <v>0</v>
      </c>
      <c r="I1763" s="2" t="s">
        <v>18</v>
      </c>
      <c r="J1763" s="2" t="s">
        <v>7820</v>
      </c>
      <c r="K1763" s="2" t="s">
        <v>16</v>
      </c>
      <c r="L1763" s="2" t="s">
        <v>7821</v>
      </c>
      <c r="M1763" s="4">
        <v>2110.41</v>
      </c>
      <c r="N1763" t="b">
        <f>OR(LEFT(B1763,3)="frg",(_xlfn.XMATCH(B1763,ZZZ_Part_Id_[[#All],[FGCODE]])))</f>
        <v>1</v>
      </c>
    </row>
    <row r="1764" spans="1:14" x14ac:dyDescent="0.3">
      <c r="A1764" s="2" t="s">
        <v>7822</v>
      </c>
      <c r="B1764" s="2" t="s">
        <v>14</v>
      </c>
      <c r="C1764" s="2" t="s">
        <v>7823</v>
      </c>
      <c r="D1764" s="3">
        <v>64</v>
      </c>
      <c r="E1764" s="3">
        <v>64</v>
      </c>
      <c r="F1764" s="2" t="s">
        <v>16</v>
      </c>
      <c r="G1764" s="2" t="s">
        <v>7824</v>
      </c>
      <c r="H1764" s="3">
        <v>0</v>
      </c>
      <c r="I1764" s="2" t="s">
        <v>18</v>
      </c>
      <c r="J1764" s="2" t="s">
        <v>7825</v>
      </c>
      <c r="K1764" s="2" t="s">
        <v>16</v>
      </c>
      <c r="L1764" s="2" t="s">
        <v>7826</v>
      </c>
      <c r="M1764" s="4">
        <v>4.92</v>
      </c>
      <c r="N1764" t="e">
        <f>OR(LEFT(B1764,3)="frg",(_xlfn.XMATCH(B1764,ZZZ_Part_Id_[[#All],[FGCODE]])))</f>
        <v>#N/A</v>
      </c>
    </row>
    <row r="1765" spans="1:14" x14ac:dyDescent="0.3">
      <c r="A1765" s="2" t="s">
        <v>7822</v>
      </c>
      <c r="B1765" s="2" t="s">
        <v>59</v>
      </c>
      <c r="C1765" s="2" t="s">
        <v>7827</v>
      </c>
      <c r="D1765" s="3">
        <v>1040580</v>
      </c>
      <c r="E1765" s="3">
        <v>1040580</v>
      </c>
      <c r="F1765" s="2" t="s">
        <v>16</v>
      </c>
      <c r="G1765" s="2" t="s">
        <v>7828</v>
      </c>
      <c r="H1765" s="3">
        <v>0</v>
      </c>
      <c r="I1765" s="2" t="s">
        <v>18</v>
      </c>
      <c r="J1765" s="2" t="s">
        <v>7829</v>
      </c>
      <c r="K1765" s="2" t="s">
        <v>16</v>
      </c>
      <c r="L1765" s="2" t="s">
        <v>7830</v>
      </c>
      <c r="M1765" s="4">
        <v>72559.75</v>
      </c>
      <c r="N1765" t="b">
        <f>OR(LEFT(B1765,3)="frg",(_xlfn.XMATCH(B1765,ZZZ_Part_Id_[[#All],[FGCODE]])))</f>
        <v>1</v>
      </c>
    </row>
    <row r="1766" spans="1:14" x14ac:dyDescent="0.3">
      <c r="A1766" s="2" t="s">
        <v>7831</v>
      </c>
      <c r="B1766" s="2" t="s">
        <v>14</v>
      </c>
      <c r="C1766" s="2" t="s">
        <v>7832</v>
      </c>
      <c r="D1766" s="3">
        <v>40</v>
      </c>
      <c r="E1766" s="3">
        <v>40</v>
      </c>
      <c r="F1766" s="2" t="s">
        <v>16</v>
      </c>
      <c r="G1766" s="2" t="s">
        <v>7833</v>
      </c>
      <c r="H1766" s="3">
        <v>0</v>
      </c>
      <c r="I1766" s="2" t="s">
        <v>18</v>
      </c>
      <c r="J1766" s="2" t="s">
        <v>7834</v>
      </c>
      <c r="K1766" s="2" t="s">
        <v>16</v>
      </c>
      <c r="L1766" s="2" t="s">
        <v>7835</v>
      </c>
      <c r="M1766" s="4">
        <v>3.08</v>
      </c>
      <c r="N1766" t="e">
        <f>OR(LEFT(B1766,3)="frg",(_xlfn.XMATCH(B1766,ZZZ_Part_Id_[[#All],[FGCODE]])))</f>
        <v>#N/A</v>
      </c>
    </row>
    <row r="1767" spans="1:14" x14ac:dyDescent="0.3">
      <c r="A1767" s="2" t="s">
        <v>7831</v>
      </c>
      <c r="B1767" s="2" t="s">
        <v>517</v>
      </c>
      <c r="C1767" s="2" t="s">
        <v>7836</v>
      </c>
      <c r="D1767" s="3">
        <v>241920</v>
      </c>
      <c r="E1767" s="3">
        <v>241920</v>
      </c>
      <c r="F1767" s="2" t="s">
        <v>16</v>
      </c>
      <c r="G1767" s="2" t="s">
        <v>7837</v>
      </c>
      <c r="H1767" s="3">
        <v>0</v>
      </c>
      <c r="I1767" s="2" t="s">
        <v>18</v>
      </c>
      <c r="J1767" s="2" t="s">
        <v>7838</v>
      </c>
      <c r="K1767" s="2" t="s">
        <v>16</v>
      </c>
      <c r="L1767" s="2" t="s">
        <v>7839</v>
      </c>
      <c r="M1767" s="4">
        <v>45972</v>
      </c>
      <c r="N1767" t="b">
        <f>OR(LEFT(B1767,3)="frg",(_xlfn.XMATCH(B1767,ZZZ_Part_Id_[[#All],[FGCODE]])))</f>
        <v>1</v>
      </c>
    </row>
    <row r="1768" spans="1:14" x14ac:dyDescent="0.3">
      <c r="A1768" s="2" t="s">
        <v>7840</v>
      </c>
      <c r="B1768" s="2" t="s">
        <v>14</v>
      </c>
      <c r="C1768" s="2" t="s">
        <v>7841</v>
      </c>
      <c r="D1768" s="3">
        <v>95</v>
      </c>
      <c r="E1768" s="3">
        <v>95</v>
      </c>
      <c r="F1768" s="2" t="s">
        <v>16</v>
      </c>
      <c r="G1768" s="2" t="s">
        <v>7842</v>
      </c>
      <c r="H1768" s="3">
        <v>0</v>
      </c>
      <c r="I1768" s="2" t="s">
        <v>409</v>
      </c>
      <c r="J1768" s="2" t="s">
        <v>7843</v>
      </c>
      <c r="K1768" s="2" t="s">
        <v>16</v>
      </c>
      <c r="L1768" s="2" t="s">
        <v>7844</v>
      </c>
      <c r="M1768" s="4">
        <v>7.31</v>
      </c>
      <c r="N1768" t="e">
        <f>OR(LEFT(B1768,3)="frg",(_xlfn.XMATCH(B1768,ZZZ_Part_Id_[[#All],[FGCODE]])))</f>
        <v>#N/A</v>
      </c>
    </row>
    <row r="1769" spans="1:14" x14ac:dyDescent="0.3">
      <c r="A1769" s="2" t="s">
        <v>7840</v>
      </c>
      <c r="B1769" s="2" t="s">
        <v>4791</v>
      </c>
      <c r="C1769" s="2" t="s">
        <v>7845</v>
      </c>
      <c r="D1769" s="3">
        <v>496800</v>
      </c>
      <c r="E1769" s="3">
        <v>496800</v>
      </c>
      <c r="F1769" s="2" t="s">
        <v>16</v>
      </c>
      <c r="G1769" s="2" t="s">
        <v>7846</v>
      </c>
      <c r="H1769" s="3">
        <v>0</v>
      </c>
      <c r="I1769" s="2" t="s">
        <v>409</v>
      </c>
      <c r="J1769" s="2" t="s">
        <v>7847</v>
      </c>
      <c r="K1769" s="2" t="s">
        <v>16</v>
      </c>
      <c r="L1769" s="2" t="s">
        <v>7848</v>
      </c>
      <c r="M1769" s="4">
        <v>145825.5</v>
      </c>
      <c r="N1769" t="b">
        <f>OR(LEFT(B1769,3)="frg",(_xlfn.XMATCH(B1769,ZZZ_Part_Id_[[#All],[FGCODE]])))</f>
        <v>1</v>
      </c>
    </row>
    <row r="1770" spans="1:14" x14ac:dyDescent="0.3">
      <c r="A1770" s="2" t="s">
        <v>7849</v>
      </c>
      <c r="B1770" s="2" t="s">
        <v>14</v>
      </c>
      <c r="C1770" s="2" t="s">
        <v>7850</v>
      </c>
      <c r="D1770" s="3">
        <v>10</v>
      </c>
      <c r="E1770" s="3">
        <v>10</v>
      </c>
      <c r="F1770" s="2" t="s">
        <v>16</v>
      </c>
      <c r="G1770" s="2" t="s">
        <v>7851</v>
      </c>
      <c r="H1770" s="3">
        <v>0</v>
      </c>
      <c r="I1770" s="2" t="s">
        <v>18</v>
      </c>
      <c r="J1770" s="2" t="s">
        <v>7852</v>
      </c>
      <c r="K1770" s="2" t="s">
        <v>16</v>
      </c>
      <c r="L1770" s="2" t="s">
        <v>7853</v>
      </c>
      <c r="M1770" s="4">
        <v>0.77</v>
      </c>
      <c r="N1770" t="e">
        <f>OR(LEFT(B1770,3)="frg",(_xlfn.XMATCH(B1770,ZZZ_Part_Id_[[#All],[FGCODE]])))</f>
        <v>#N/A</v>
      </c>
    </row>
    <row r="1771" spans="1:14" x14ac:dyDescent="0.3">
      <c r="A1771" s="2" t="s">
        <v>7849</v>
      </c>
      <c r="B1771" s="2" t="s">
        <v>1027</v>
      </c>
      <c r="C1771" s="2" t="s">
        <v>7854</v>
      </c>
      <c r="D1771" s="3">
        <v>42480</v>
      </c>
      <c r="E1771" s="3">
        <v>42480</v>
      </c>
      <c r="F1771" s="2" t="s">
        <v>16</v>
      </c>
      <c r="G1771" s="2" t="s">
        <v>7855</v>
      </c>
      <c r="H1771" s="3">
        <v>0</v>
      </c>
      <c r="I1771" s="2" t="s">
        <v>18</v>
      </c>
      <c r="J1771" s="2" t="s">
        <v>7856</v>
      </c>
      <c r="K1771" s="2" t="s">
        <v>16</v>
      </c>
      <c r="L1771" s="2" t="s">
        <v>7857</v>
      </c>
      <c r="M1771" s="4">
        <v>8548.24</v>
      </c>
      <c r="N1771" t="b">
        <f>OR(LEFT(B1771,3)="frg",(_xlfn.XMATCH(B1771,ZZZ_Part_Id_[[#All],[FGCODE]])))</f>
        <v>1</v>
      </c>
    </row>
    <row r="1772" spans="1:14" x14ac:dyDescent="0.3">
      <c r="A1772" s="2" t="s">
        <v>7858</v>
      </c>
      <c r="B1772" s="2" t="s">
        <v>14</v>
      </c>
      <c r="C1772" s="2" t="s">
        <v>7859</v>
      </c>
      <c r="D1772" s="3">
        <v>40</v>
      </c>
      <c r="E1772" s="3">
        <v>40</v>
      </c>
      <c r="F1772" s="2" t="s">
        <v>16</v>
      </c>
      <c r="G1772" s="2" t="s">
        <v>7860</v>
      </c>
      <c r="H1772" s="3">
        <v>0</v>
      </c>
      <c r="I1772" s="2" t="s">
        <v>409</v>
      </c>
      <c r="J1772" s="2" t="s">
        <v>7861</v>
      </c>
      <c r="K1772" s="2" t="s">
        <v>16</v>
      </c>
      <c r="L1772" s="2" t="s">
        <v>7862</v>
      </c>
      <c r="M1772" s="4">
        <v>3.08</v>
      </c>
      <c r="N1772" t="e">
        <f>OR(LEFT(B1772,3)="frg",(_xlfn.XMATCH(B1772,ZZZ_Part_Id_[[#All],[FGCODE]])))</f>
        <v>#N/A</v>
      </c>
    </row>
    <row r="1773" spans="1:14" x14ac:dyDescent="0.3">
      <c r="A1773" s="2" t="s">
        <v>7858</v>
      </c>
      <c r="B1773" s="2" t="s">
        <v>59</v>
      </c>
      <c r="C1773" s="2" t="s">
        <v>7863</v>
      </c>
      <c r="D1773" s="3">
        <v>837540</v>
      </c>
      <c r="E1773" s="3">
        <v>837540</v>
      </c>
      <c r="F1773" s="2" t="s">
        <v>16</v>
      </c>
      <c r="G1773" s="2" t="s">
        <v>7864</v>
      </c>
      <c r="H1773" s="3">
        <v>0</v>
      </c>
      <c r="I1773" s="2" t="s">
        <v>409</v>
      </c>
      <c r="J1773" s="2" t="s">
        <v>7865</v>
      </c>
      <c r="K1773" s="2" t="s">
        <v>16</v>
      </c>
      <c r="L1773" s="2" t="s">
        <v>7866</v>
      </c>
      <c r="M1773" s="4">
        <v>58401.75</v>
      </c>
      <c r="N1773" t="b">
        <f>OR(LEFT(B1773,3)="frg",(_xlfn.XMATCH(B1773,ZZZ_Part_Id_[[#All],[FGCODE]])))</f>
        <v>1</v>
      </c>
    </row>
    <row r="1774" spans="1:14" x14ac:dyDescent="0.3">
      <c r="A1774" s="2" t="s">
        <v>7867</v>
      </c>
      <c r="B1774" s="2" t="s">
        <v>14</v>
      </c>
      <c r="C1774" s="2" t="s">
        <v>7868</v>
      </c>
      <c r="D1774" s="3">
        <v>40</v>
      </c>
      <c r="E1774" s="3">
        <v>40</v>
      </c>
      <c r="F1774" s="2" t="s">
        <v>16</v>
      </c>
      <c r="G1774" s="2" t="s">
        <v>7869</v>
      </c>
      <c r="H1774" s="3">
        <v>0</v>
      </c>
      <c r="I1774" s="2" t="s">
        <v>18</v>
      </c>
      <c r="J1774" s="2" t="s">
        <v>7870</v>
      </c>
      <c r="K1774" s="2" t="s">
        <v>16</v>
      </c>
      <c r="L1774" s="2" t="s">
        <v>7871</v>
      </c>
      <c r="M1774" s="4">
        <v>3.08</v>
      </c>
      <c r="N1774" t="e">
        <f>OR(LEFT(B1774,3)="frg",(_xlfn.XMATCH(B1774,ZZZ_Part_Id_[[#All],[FGCODE]])))</f>
        <v>#N/A</v>
      </c>
    </row>
    <row r="1775" spans="1:14" x14ac:dyDescent="0.3">
      <c r="A1775" s="2" t="s">
        <v>7867</v>
      </c>
      <c r="B1775" s="2" t="s">
        <v>517</v>
      </c>
      <c r="C1775" s="2" t="s">
        <v>7872</v>
      </c>
      <c r="D1775" s="3">
        <v>252000</v>
      </c>
      <c r="E1775" s="3">
        <v>252000</v>
      </c>
      <c r="F1775" s="2" t="s">
        <v>16</v>
      </c>
      <c r="G1775" s="2" t="s">
        <v>7873</v>
      </c>
      <c r="H1775" s="3">
        <v>0</v>
      </c>
      <c r="I1775" s="2" t="s">
        <v>18</v>
      </c>
      <c r="J1775" s="2" t="s">
        <v>7874</v>
      </c>
      <c r="K1775" s="2" t="s">
        <v>16</v>
      </c>
      <c r="L1775" s="2" t="s">
        <v>7875</v>
      </c>
      <c r="M1775" s="4">
        <v>47887.5</v>
      </c>
      <c r="N1775" t="b">
        <f>OR(LEFT(B1775,3)="frg",(_xlfn.XMATCH(B1775,ZZZ_Part_Id_[[#All],[FGCODE]])))</f>
        <v>1</v>
      </c>
    </row>
    <row r="1776" spans="1:14" x14ac:dyDescent="0.3">
      <c r="A1776" s="2" t="s">
        <v>7876</v>
      </c>
      <c r="B1776" s="2" t="s">
        <v>97</v>
      </c>
      <c r="C1776" s="2" t="s">
        <v>7877</v>
      </c>
      <c r="D1776" s="3">
        <v>398400</v>
      </c>
      <c r="E1776" s="3">
        <v>398400</v>
      </c>
      <c r="F1776" s="2" t="s">
        <v>16</v>
      </c>
      <c r="G1776" s="2" t="s">
        <v>7878</v>
      </c>
      <c r="H1776" s="3">
        <v>0</v>
      </c>
      <c r="I1776" s="2" t="s">
        <v>18</v>
      </c>
      <c r="J1776" s="2" t="s">
        <v>7879</v>
      </c>
      <c r="K1776" s="2" t="s">
        <v>16</v>
      </c>
      <c r="L1776" s="2" t="s">
        <v>7880</v>
      </c>
      <c r="M1776" s="4">
        <v>136571.51999999999</v>
      </c>
      <c r="N1776" t="b">
        <f>OR(LEFT(B1776,3)="frg",(_xlfn.XMATCH(B1776,ZZZ_Part_Id_[[#All],[FGCODE]])))</f>
        <v>1</v>
      </c>
    </row>
    <row r="1777" spans="1:14" x14ac:dyDescent="0.3">
      <c r="A1777" s="2" t="s">
        <v>7881</v>
      </c>
      <c r="B1777" s="2" t="s">
        <v>14</v>
      </c>
      <c r="C1777" s="2" t="s">
        <v>7882</v>
      </c>
      <c r="D1777" s="3">
        <v>10</v>
      </c>
      <c r="E1777" s="3">
        <v>0</v>
      </c>
      <c r="F1777" s="2" t="s">
        <v>16</v>
      </c>
      <c r="G1777" s="2" t="s">
        <v>6949</v>
      </c>
      <c r="H1777" s="3">
        <v>10</v>
      </c>
      <c r="I1777" s="2" t="s">
        <v>18</v>
      </c>
      <c r="J1777" s="2" t="s">
        <v>7883</v>
      </c>
      <c r="K1777" s="2" t="s">
        <v>16</v>
      </c>
      <c r="L1777" s="2" t="s">
        <v>7884</v>
      </c>
      <c r="M1777" s="4">
        <v>0</v>
      </c>
      <c r="N1777" t="e">
        <f>OR(LEFT(B1777,3)="frg",(_xlfn.XMATCH(B1777,ZZZ_Part_Id_[[#All],[FGCODE]])))</f>
        <v>#N/A</v>
      </c>
    </row>
    <row r="1778" spans="1:14" x14ac:dyDescent="0.3">
      <c r="A1778" s="2" t="s">
        <v>7881</v>
      </c>
      <c r="B1778" s="2" t="s">
        <v>86</v>
      </c>
      <c r="C1778" s="2" t="s">
        <v>7885</v>
      </c>
      <c r="D1778" s="5">
        <v>-20</v>
      </c>
      <c r="E1778" s="3">
        <v>0</v>
      </c>
      <c r="F1778" s="2" t="s">
        <v>23</v>
      </c>
      <c r="G1778" s="2" t="s">
        <v>6949</v>
      </c>
      <c r="H1778" s="5">
        <v>-20</v>
      </c>
      <c r="I1778" s="2" t="s">
        <v>18</v>
      </c>
      <c r="J1778" s="2" t="s">
        <v>7886</v>
      </c>
      <c r="K1778" s="2" t="s">
        <v>23</v>
      </c>
      <c r="L1778" s="2" t="s">
        <v>7887</v>
      </c>
      <c r="M1778" s="4">
        <v>0</v>
      </c>
      <c r="N1778" t="b">
        <f>OR(LEFT(B1778,3)="frg",(_xlfn.XMATCH(B1778,ZZZ_Part_Id_[[#All],[FGCODE]])))</f>
        <v>1</v>
      </c>
    </row>
    <row r="1779" spans="1:14" x14ac:dyDescent="0.3">
      <c r="A1779" s="2" t="s">
        <v>7881</v>
      </c>
      <c r="B1779" s="2" t="s">
        <v>6955</v>
      </c>
      <c r="C1779" s="2" t="s">
        <v>7888</v>
      </c>
      <c r="D1779" s="3">
        <v>43440</v>
      </c>
      <c r="E1779" s="3">
        <v>0</v>
      </c>
      <c r="F1779" s="2" t="s">
        <v>16</v>
      </c>
      <c r="G1779" s="2" t="s">
        <v>6949</v>
      </c>
      <c r="H1779" s="3">
        <v>43440</v>
      </c>
      <c r="I1779" s="2" t="s">
        <v>18</v>
      </c>
      <c r="J1779" s="2" t="s">
        <v>7889</v>
      </c>
      <c r="K1779" s="2" t="s">
        <v>16</v>
      </c>
      <c r="L1779" s="2" t="s">
        <v>7890</v>
      </c>
      <c r="M1779" s="4">
        <v>0</v>
      </c>
      <c r="N1779" t="b">
        <f>OR(LEFT(B1779,3)="frg",(_xlfn.XMATCH(B1779,ZZZ_Part_Id_[[#All],[FGCODE]])))</f>
        <v>1</v>
      </c>
    </row>
    <row r="1780" spans="1:14" x14ac:dyDescent="0.3">
      <c r="A1780" s="2" t="s">
        <v>7891</v>
      </c>
      <c r="B1780" s="2" t="s">
        <v>14</v>
      </c>
      <c r="C1780" s="2" t="s">
        <v>7892</v>
      </c>
      <c r="D1780" s="3">
        <v>10</v>
      </c>
      <c r="E1780" s="3">
        <v>10</v>
      </c>
      <c r="F1780" s="2" t="s">
        <v>16</v>
      </c>
      <c r="G1780" s="2" t="s">
        <v>7893</v>
      </c>
      <c r="H1780" s="3">
        <v>0</v>
      </c>
      <c r="I1780" s="2" t="s">
        <v>18</v>
      </c>
      <c r="J1780" s="2" t="s">
        <v>7894</v>
      </c>
      <c r="K1780" s="2" t="s">
        <v>16</v>
      </c>
      <c r="L1780" s="2" t="s">
        <v>7895</v>
      </c>
      <c r="M1780" s="4">
        <v>0.77</v>
      </c>
      <c r="N1780" t="e">
        <f>OR(LEFT(B1780,3)="frg",(_xlfn.XMATCH(B1780,ZZZ_Part_Id_[[#All],[FGCODE]])))</f>
        <v>#N/A</v>
      </c>
    </row>
    <row r="1781" spans="1:14" x14ac:dyDescent="0.3">
      <c r="A1781" s="2" t="s">
        <v>7891</v>
      </c>
      <c r="B1781" s="2" t="s">
        <v>65</v>
      </c>
      <c r="C1781" s="2" t="s">
        <v>7896</v>
      </c>
      <c r="D1781" s="5">
        <v>-261</v>
      </c>
      <c r="E1781" s="5">
        <v>-261</v>
      </c>
      <c r="F1781" s="2" t="s">
        <v>23</v>
      </c>
      <c r="G1781" s="2" t="s">
        <v>7897</v>
      </c>
      <c r="H1781" s="3">
        <v>0</v>
      </c>
      <c r="I1781" s="2" t="s">
        <v>18</v>
      </c>
      <c r="J1781" s="2" t="s">
        <v>7898</v>
      </c>
      <c r="K1781" s="2" t="s">
        <v>23</v>
      </c>
      <c r="L1781" s="2" t="s">
        <v>7899</v>
      </c>
      <c r="M1781" s="6">
        <v>-671.19</v>
      </c>
      <c r="N1781" t="b">
        <f>OR(LEFT(B1781,3)="frg",(_xlfn.XMATCH(B1781,ZZZ_Part_Id_[[#All],[FGCODE]])))</f>
        <v>1</v>
      </c>
    </row>
    <row r="1782" spans="1:14" x14ac:dyDescent="0.3">
      <c r="A1782" s="2" t="s">
        <v>7891</v>
      </c>
      <c r="B1782" s="2" t="s">
        <v>1093</v>
      </c>
      <c r="C1782" s="2" t="s">
        <v>7900</v>
      </c>
      <c r="D1782" s="3">
        <v>104400</v>
      </c>
      <c r="E1782" s="3">
        <v>104400</v>
      </c>
      <c r="F1782" s="2" t="s">
        <v>16</v>
      </c>
      <c r="G1782" s="2" t="s">
        <v>7901</v>
      </c>
      <c r="H1782" s="3">
        <v>0</v>
      </c>
      <c r="I1782" s="2" t="s">
        <v>18</v>
      </c>
      <c r="J1782" s="2" t="s">
        <v>7902</v>
      </c>
      <c r="K1782" s="2" t="s">
        <v>16</v>
      </c>
      <c r="L1782" s="2" t="s">
        <v>7903</v>
      </c>
      <c r="M1782" s="4">
        <v>9313.5</v>
      </c>
      <c r="N1782" t="b">
        <f>OR(LEFT(B1782,3)="frg",(_xlfn.XMATCH(B1782,ZZZ_Part_Id_[[#All],[FGCODE]])))</f>
        <v>1</v>
      </c>
    </row>
    <row r="1783" spans="1:14" x14ac:dyDescent="0.3">
      <c r="A1783" s="2" t="s">
        <v>7904</v>
      </c>
      <c r="B1783" s="2" t="s">
        <v>2168</v>
      </c>
      <c r="C1783" s="2" t="s">
        <v>7905</v>
      </c>
      <c r="D1783" s="3">
        <v>42480</v>
      </c>
      <c r="E1783" s="3">
        <v>42480</v>
      </c>
      <c r="F1783" s="2" t="s">
        <v>16</v>
      </c>
      <c r="G1783" s="2" t="s">
        <v>7906</v>
      </c>
      <c r="H1783" s="3">
        <v>0</v>
      </c>
      <c r="I1783" s="2" t="s">
        <v>18</v>
      </c>
      <c r="J1783" s="2" t="s">
        <v>7907</v>
      </c>
      <c r="K1783" s="2" t="s">
        <v>16</v>
      </c>
      <c r="L1783" s="2" t="s">
        <v>7908</v>
      </c>
      <c r="M1783" s="4">
        <v>8611.9599999999991</v>
      </c>
      <c r="N1783" t="b">
        <f>OR(LEFT(B1783,3)="frg",(_xlfn.XMATCH(B1783,ZZZ_Part_Id_[[#All],[FGCODE]])))</f>
        <v>1</v>
      </c>
    </row>
    <row r="1784" spans="1:14" x14ac:dyDescent="0.3">
      <c r="A1784" s="2" t="s">
        <v>7909</v>
      </c>
      <c r="B1784" s="2" t="s">
        <v>14</v>
      </c>
      <c r="C1784" s="2" t="s">
        <v>7910</v>
      </c>
      <c r="D1784" s="3">
        <v>52</v>
      </c>
      <c r="E1784" s="3">
        <v>52</v>
      </c>
      <c r="F1784" s="2" t="s">
        <v>16</v>
      </c>
      <c r="G1784" s="2" t="s">
        <v>7911</v>
      </c>
      <c r="H1784" s="3">
        <v>0</v>
      </c>
      <c r="I1784" s="2" t="s">
        <v>18</v>
      </c>
      <c r="J1784" s="2" t="s">
        <v>7912</v>
      </c>
      <c r="K1784" s="2" t="s">
        <v>16</v>
      </c>
      <c r="L1784" s="2" t="s">
        <v>7913</v>
      </c>
      <c r="M1784" s="4">
        <v>4</v>
      </c>
      <c r="N1784" t="e">
        <f>OR(LEFT(B1784,3)="frg",(_xlfn.XMATCH(B1784,ZZZ_Part_Id_[[#All],[FGCODE]])))</f>
        <v>#N/A</v>
      </c>
    </row>
    <row r="1785" spans="1:14" x14ac:dyDescent="0.3">
      <c r="A1785" s="2" t="s">
        <v>7909</v>
      </c>
      <c r="B1785" s="2" t="s">
        <v>517</v>
      </c>
      <c r="C1785" s="2" t="s">
        <v>7914</v>
      </c>
      <c r="D1785" s="3">
        <v>524160</v>
      </c>
      <c r="E1785" s="3">
        <v>524160</v>
      </c>
      <c r="F1785" s="2" t="s">
        <v>16</v>
      </c>
      <c r="G1785" s="2" t="s">
        <v>7915</v>
      </c>
      <c r="H1785" s="3">
        <v>0</v>
      </c>
      <c r="I1785" s="2" t="s">
        <v>18</v>
      </c>
      <c r="J1785" s="2" t="s">
        <v>7916</v>
      </c>
      <c r="K1785" s="2" t="s">
        <v>16</v>
      </c>
      <c r="L1785" s="2" t="s">
        <v>7917</v>
      </c>
      <c r="M1785" s="4">
        <v>99606.01</v>
      </c>
      <c r="N1785" t="b">
        <f>OR(LEFT(B1785,3)="frg",(_xlfn.XMATCH(B1785,ZZZ_Part_Id_[[#All],[FGCODE]])))</f>
        <v>1</v>
      </c>
    </row>
    <row r="1786" spans="1:14" x14ac:dyDescent="0.3">
      <c r="A1786" s="2" t="s">
        <v>7918</v>
      </c>
      <c r="B1786" s="2" t="s">
        <v>1027</v>
      </c>
      <c r="C1786" s="2" t="s">
        <v>7919</v>
      </c>
      <c r="D1786" s="3">
        <v>318600</v>
      </c>
      <c r="E1786" s="3">
        <v>318600</v>
      </c>
      <c r="F1786" s="2" t="s">
        <v>16</v>
      </c>
      <c r="G1786" s="2" t="s">
        <v>7920</v>
      </c>
      <c r="H1786" s="3">
        <v>0</v>
      </c>
      <c r="I1786" s="2" t="s">
        <v>18</v>
      </c>
      <c r="J1786" s="2" t="s">
        <v>7921</v>
      </c>
      <c r="K1786" s="2" t="s">
        <v>16</v>
      </c>
      <c r="L1786" s="2" t="s">
        <v>7922</v>
      </c>
      <c r="M1786" s="4">
        <v>64111.73</v>
      </c>
      <c r="N1786" t="b">
        <f>OR(LEFT(B1786,3)="frg",(_xlfn.XMATCH(B1786,ZZZ_Part_Id_[[#All],[FGCODE]])))</f>
        <v>1</v>
      </c>
    </row>
    <row r="1787" spans="1:14" x14ac:dyDescent="0.3">
      <c r="A1787" s="2" t="s">
        <v>7923</v>
      </c>
      <c r="B1787" s="2" t="s">
        <v>517</v>
      </c>
      <c r="C1787" s="2" t="s">
        <v>7924</v>
      </c>
      <c r="D1787" s="3">
        <v>10080</v>
      </c>
      <c r="E1787" s="3">
        <v>10080</v>
      </c>
      <c r="F1787" s="2" t="s">
        <v>16</v>
      </c>
      <c r="G1787" s="2" t="s">
        <v>7925</v>
      </c>
      <c r="H1787" s="3">
        <v>0</v>
      </c>
      <c r="I1787" s="2" t="s">
        <v>18</v>
      </c>
      <c r="J1787" s="2" t="s">
        <v>7926</v>
      </c>
      <c r="K1787" s="2" t="s">
        <v>16</v>
      </c>
      <c r="L1787" s="2" t="s">
        <v>7927</v>
      </c>
      <c r="M1787" s="4">
        <v>1915.5</v>
      </c>
      <c r="N1787" t="b">
        <f>OR(LEFT(B1787,3)="frg",(_xlfn.XMATCH(B1787,ZZZ_Part_Id_[[#All],[FGCODE]])))</f>
        <v>1</v>
      </c>
    </row>
    <row r="1788" spans="1:14" x14ac:dyDescent="0.3">
      <c r="A1788" s="2" t="s">
        <v>7928</v>
      </c>
      <c r="B1788" s="2" t="s">
        <v>59</v>
      </c>
      <c r="C1788" s="2" t="s">
        <v>7929</v>
      </c>
      <c r="D1788" s="3">
        <v>431460</v>
      </c>
      <c r="E1788" s="3">
        <v>431460</v>
      </c>
      <c r="F1788" s="2" t="s">
        <v>16</v>
      </c>
      <c r="G1788" s="2" t="s">
        <v>7930</v>
      </c>
      <c r="H1788" s="3">
        <v>0</v>
      </c>
      <c r="I1788" s="2" t="s">
        <v>409</v>
      </c>
      <c r="J1788" s="2" t="s">
        <v>7931</v>
      </c>
      <c r="K1788" s="2" t="s">
        <v>16</v>
      </c>
      <c r="L1788" s="2" t="s">
        <v>7932</v>
      </c>
      <c r="M1788" s="4">
        <v>30085.75</v>
      </c>
      <c r="N1788" t="b">
        <f>OR(LEFT(B1788,3)="frg",(_xlfn.XMATCH(B1788,ZZZ_Part_Id_[[#All],[FGCODE]])))</f>
        <v>1</v>
      </c>
    </row>
    <row r="1789" spans="1:14" x14ac:dyDescent="0.3">
      <c r="A1789" s="2" t="s">
        <v>7933</v>
      </c>
      <c r="B1789" s="2" t="s">
        <v>1027</v>
      </c>
      <c r="C1789" s="2" t="s">
        <v>7934</v>
      </c>
      <c r="D1789" s="3">
        <v>318600</v>
      </c>
      <c r="E1789" s="3">
        <v>318600</v>
      </c>
      <c r="F1789" s="2" t="s">
        <v>16</v>
      </c>
      <c r="G1789" s="2" t="s">
        <v>7935</v>
      </c>
      <c r="H1789" s="3">
        <v>0</v>
      </c>
      <c r="I1789" s="2" t="s">
        <v>409</v>
      </c>
      <c r="J1789" s="2" t="s">
        <v>7936</v>
      </c>
      <c r="K1789" s="2" t="s">
        <v>16</v>
      </c>
      <c r="L1789" s="2" t="s">
        <v>7937</v>
      </c>
      <c r="M1789" s="4">
        <v>64111.81</v>
      </c>
      <c r="N1789" t="b">
        <f>OR(LEFT(B1789,3)="frg",(_xlfn.XMATCH(B1789,ZZZ_Part_Id_[[#All],[FGCODE]])))</f>
        <v>1</v>
      </c>
    </row>
    <row r="1790" spans="1:14" x14ac:dyDescent="0.3">
      <c r="A1790" s="2" t="s">
        <v>7938</v>
      </c>
      <c r="B1790" s="2" t="s">
        <v>14</v>
      </c>
      <c r="C1790" s="2" t="s">
        <v>7939</v>
      </c>
      <c r="D1790" s="3">
        <v>140</v>
      </c>
      <c r="E1790" s="3">
        <v>140</v>
      </c>
      <c r="F1790" s="2" t="s">
        <v>16</v>
      </c>
      <c r="G1790" s="2" t="s">
        <v>7940</v>
      </c>
      <c r="H1790" s="3">
        <v>0</v>
      </c>
      <c r="I1790" s="2" t="s">
        <v>18</v>
      </c>
      <c r="J1790" s="2" t="s">
        <v>7941</v>
      </c>
      <c r="K1790" s="2" t="s">
        <v>16</v>
      </c>
      <c r="L1790" s="2" t="s">
        <v>7942</v>
      </c>
      <c r="M1790" s="4">
        <v>10.77</v>
      </c>
      <c r="N1790" t="e">
        <f>OR(LEFT(B1790,3)="frg",(_xlfn.XMATCH(B1790,ZZZ_Part_Id_[[#All],[FGCODE]])))</f>
        <v>#N/A</v>
      </c>
    </row>
    <row r="1791" spans="1:14" x14ac:dyDescent="0.3">
      <c r="A1791" s="2" t="s">
        <v>7938</v>
      </c>
      <c r="B1791" s="2" t="s">
        <v>1027</v>
      </c>
      <c r="C1791" s="2" t="s">
        <v>7943</v>
      </c>
      <c r="D1791" s="3">
        <v>722160</v>
      </c>
      <c r="E1791" s="3">
        <v>722160</v>
      </c>
      <c r="F1791" s="2" t="s">
        <v>16</v>
      </c>
      <c r="G1791" s="2" t="s">
        <v>7944</v>
      </c>
      <c r="H1791" s="3">
        <v>0</v>
      </c>
      <c r="I1791" s="2" t="s">
        <v>18</v>
      </c>
      <c r="J1791" s="2" t="s">
        <v>7945</v>
      </c>
      <c r="K1791" s="2" t="s">
        <v>16</v>
      </c>
      <c r="L1791" s="2" t="s">
        <v>7946</v>
      </c>
      <c r="M1791" s="4">
        <v>145320.10999999999</v>
      </c>
      <c r="N1791" t="b">
        <f>OR(LEFT(B1791,3)="frg",(_xlfn.XMATCH(B1791,ZZZ_Part_Id_[[#All],[FGCODE]])))</f>
        <v>1</v>
      </c>
    </row>
    <row r="1792" spans="1:14" x14ac:dyDescent="0.3">
      <c r="A1792" s="2" t="s">
        <v>7947</v>
      </c>
      <c r="B1792" s="2" t="s">
        <v>14</v>
      </c>
      <c r="C1792" s="2" t="s">
        <v>7948</v>
      </c>
      <c r="D1792" s="3">
        <v>4</v>
      </c>
      <c r="E1792" s="3">
        <v>4</v>
      </c>
      <c r="F1792" s="2" t="s">
        <v>16</v>
      </c>
      <c r="G1792" s="2" t="s">
        <v>7949</v>
      </c>
      <c r="H1792" s="3">
        <v>0</v>
      </c>
      <c r="I1792" s="2" t="s">
        <v>18</v>
      </c>
      <c r="J1792" s="2" t="s">
        <v>7950</v>
      </c>
      <c r="K1792" s="2" t="s">
        <v>16</v>
      </c>
      <c r="L1792" s="2" t="s">
        <v>7951</v>
      </c>
      <c r="M1792" s="4">
        <v>0.31</v>
      </c>
      <c r="N1792" t="e">
        <f>OR(LEFT(B1792,3)="frg",(_xlfn.XMATCH(B1792,ZZZ_Part_Id_[[#All],[FGCODE]])))</f>
        <v>#N/A</v>
      </c>
    </row>
    <row r="1793" spans="1:14" x14ac:dyDescent="0.3">
      <c r="A1793" s="2" t="s">
        <v>7947</v>
      </c>
      <c r="B1793" s="2" t="s">
        <v>517</v>
      </c>
      <c r="C1793" s="2" t="s">
        <v>7952</v>
      </c>
      <c r="D1793" s="3">
        <v>10080</v>
      </c>
      <c r="E1793" s="3">
        <v>10080</v>
      </c>
      <c r="F1793" s="2" t="s">
        <v>16</v>
      </c>
      <c r="G1793" s="2" t="s">
        <v>7953</v>
      </c>
      <c r="H1793" s="3">
        <v>0</v>
      </c>
      <c r="I1793" s="2" t="s">
        <v>18</v>
      </c>
      <c r="J1793" s="2" t="s">
        <v>7954</v>
      </c>
      <c r="K1793" s="2" t="s">
        <v>16</v>
      </c>
      <c r="L1793" s="2" t="s">
        <v>7955</v>
      </c>
      <c r="M1793" s="4">
        <v>1915.5</v>
      </c>
      <c r="N1793" t="b">
        <f>OR(LEFT(B1793,3)="frg",(_xlfn.XMATCH(B1793,ZZZ_Part_Id_[[#All],[FGCODE]])))</f>
        <v>1</v>
      </c>
    </row>
    <row r="1794" spans="1:14" x14ac:dyDescent="0.3">
      <c r="A1794" s="2" t="s">
        <v>7956</v>
      </c>
      <c r="B1794" s="2" t="s">
        <v>14</v>
      </c>
      <c r="C1794" s="2" t="s">
        <v>7957</v>
      </c>
      <c r="D1794" s="3">
        <v>140</v>
      </c>
      <c r="E1794" s="3">
        <v>140</v>
      </c>
      <c r="F1794" s="2" t="s">
        <v>16</v>
      </c>
      <c r="G1794" s="2" t="s">
        <v>7958</v>
      </c>
      <c r="H1794" s="3">
        <v>0</v>
      </c>
      <c r="I1794" s="2" t="s">
        <v>409</v>
      </c>
      <c r="J1794" s="2" t="s">
        <v>7959</v>
      </c>
      <c r="K1794" s="2" t="s">
        <v>16</v>
      </c>
      <c r="L1794" s="2" t="s">
        <v>7960</v>
      </c>
      <c r="M1794" s="4">
        <v>10.77</v>
      </c>
      <c r="N1794" t="e">
        <f>OR(LEFT(B1794,3)="frg",(_xlfn.XMATCH(B1794,ZZZ_Part_Id_[[#All],[FGCODE]])))</f>
        <v>#N/A</v>
      </c>
    </row>
    <row r="1795" spans="1:14" x14ac:dyDescent="0.3">
      <c r="A1795" s="2" t="s">
        <v>7956</v>
      </c>
      <c r="B1795" s="2" t="s">
        <v>97</v>
      </c>
      <c r="C1795" s="2" t="s">
        <v>7961</v>
      </c>
      <c r="D1795" s="3">
        <v>364800</v>
      </c>
      <c r="E1795" s="3">
        <v>364800</v>
      </c>
      <c r="F1795" s="2" t="s">
        <v>16</v>
      </c>
      <c r="G1795" s="2" t="s">
        <v>7962</v>
      </c>
      <c r="H1795" s="3">
        <v>0</v>
      </c>
      <c r="I1795" s="2" t="s">
        <v>409</v>
      </c>
      <c r="J1795" s="2" t="s">
        <v>7963</v>
      </c>
      <c r="K1795" s="2" t="s">
        <v>16</v>
      </c>
      <c r="L1795" s="2" t="s">
        <v>7964</v>
      </c>
      <c r="M1795" s="4">
        <v>125053.44</v>
      </c>
      <c r="N1795" t="b">
        <f>OR(LEFT(B1795,3)="frg",(_xlfn.XMATCH(B1795,ZZZ_Part_Id_[[#All],[FGCODE]])))</f>
        <v>1</v>
      </c>
    </row>
    <row r="1796" spans="1:14" x14ac:dyDescent="0.3">
      <c r="A1796" s="2" t="s">
        <v>7965</v>
      </c>
      <c r="B1796" s="2" t="s">
        <v>14</v>
      </c>
      <c r="C1796" s="2" t="s">
        <v>7966</v>
      </c>
      <c r="D1796" s="3">
        <v>64</v>
      </c>
      <c r="E1796" s="3">
        <v>64</v>
      </c>
      <c r="F1796" s="2" t="s">
        <v>16</v>
      </c>
      <c r="G1796" s="2" t="s">
        <v>7967</v>
      </c>
      <c r="H1796" s="3">
        <v>0</v>
      </c>
      <c r="I1796" s="2" t="s">
        <v>409</v>
      </c>
      <c r="J1796" s="2" t="s">
        <v>7968</v>
      </c>
      <c r="K1796" s="2" t="s">
        <v>16</v>
      </c>
      <c r="L1796" s="2" t="s">
        <v>7969</v>
      </c>
      <c r="M1796" s="4">
        <v>4.92</v>
      </c>
      <c r="N1796" t="e">
        <f>OR(LEFT(B1796,3)="frg",(_xlfn.XMATCH(B1796,ZZZ_Part_Id_[[#All],[FGCODE]])))</f>
        <v>#N/A</v>
      </c>
    </row>
    <row r="1797" spans="1:14" x14ac:dyDescent="0.3">
      <c r="A1797" s="2" t="s">
        <v>7965</v>
      </c>
      <c r="B1797" s="2" t="s">
        <v>59</v>
      </c>
      <c r="C1797" s="2" t="s">
        <v>7970</v>
      </c>
      <c r="D1797" s="3">
        <v>1675080</v>
      </c>
      <c r="E1797" s="3">
        <v>1675080</v>
      </c>
      <c r="F1797" s="2" t="s">
        <v>16</v>
      </c>
      <c r="G1797" s="2" t="s">
        <v>7971</v>
      </c>
      <c r="H1797" s="3">
        <v>0</v>
      </c>
      <c r="I1797" s="2" t="s">
        <v>409</v>
      </c>
      <c r="J1797" s="2" t="s">
        <v>7972</v>
      </c>
      <c r="K1797" s="2" t="s">
        <v>16</v>
      </c>
      <c r="L1797" s="2" t="s">
        <v>7973</v>
      </c>
      <c r="M1797" s="4">
        <v>116803.5</v>
      </c>
      <c r="N1797" t="b">
        <f>OR(LEFT(B1797,3)="frg",(_xlfn.XMATCH(B1797,ZZZ_Part_Id_[[#All],[FGCODE]])))</f>
        <v>1</v>
      </c>
    </row>
    <row r="1798" spans="1:14" x14ac:dyDescent="0.3">
      <c r="A1798" s="2" t="s">
        <v>7974</v>
      </c>
      <c r="B1798" s="2" t="s">
        <v>14</v>
      </c>
      <c r="C1798" s="2" t="s">
        <v>7975</v>
      </c>
      <c r="D1798" s="3">
        <v>40</v>
      </c>
      <c r="E1798" s="3">
        <v>40</v>
      </c>
      <c r="F1798" s="2" t="s">
        <v>16</v>
      </c>
      <c r="G1798" s="2" t="s">
        <v>7976</v>
      </c>
      <c r="H1798" s="3">
        <v>0</v>
      </c>
      <c r="I1798" s="2" t="s">
        <v>409</v>
      </c>
      <c r="J1798" s="2" t="s">
        <v>7977</v>
      </c>
      <c r="K1798" s="2" t="s">
        <v>16</v>
      </c>
      <c r="L1798" s="2" t="s">
        <v>7978</v>
      </c>
      <c r="M1798" s="4">
        <v>3.08</v>
      </c>
      <c r="N1798" t="e">
        <f>OR(LEFT(B1798,3)="frg",(_xlfn.XMATCH(B1798,ZZZ_Part_Id_[[#All],[FGCODE]])))</f>
        <v>#N/A</v>
      </c>
    </row>
    <row r="1799" spans="1:14" x14ac:dyDescent="0.3">
      <c r="A1799" s="2" t="s">
        <v>7974</v>
      </c>
      <c r="B1799" s="2" t="s">
        <v>5477</v>
      </c>
      <c r="C1799" s="2" t="s">
        <v>7979</v>
      </c>
      <c r="D1799" s="3">
        <v>264960</v>
      </c>
      <c r="E1799" s="3">
        <v>264960</v>
      </c>
      <c r="F1799" s="2" t="s">
        <v>16</v>
      </c>
      <c r="G1799" s="2" t="s">
        <v>7980</v>
      </c>
      <c r="H1799" s="3">
        <v>0</v>
      </c>
      <c r="I1799" s="2" t="s">
        <v>409</v>
      </c>
      <c r="J1799" s="2" t="s">
        <v>7981</v>
      </c>
      <c r="K1799" s="2" t="s">
        <v>16</v>
      </c>
      <c r="L1799" s="2" t="s">
        <v>7982</v>
      </c>
      <c r="M1799" s="4">
        <v>78701.2</v>
      </c>
      <c r="N1799" t="b">
        <f>OR(LEFT(B1799,3)="frg",(_xlfn.XMATCH(B1799,ZZZ_Part_Id_[[#All],[FGCODE]])))</f>
        <v>1</v>
      </c>
    </row>
    <row r="1800" spans="1:14" x14ac:dyDescent="0.3">
      <c r="A1800" s="2" t="s">
        <v>7983</v>
      </c>
      <c r="B1800" s="2" t="s">
        <v>59</v>
      </c>
      <c r="C1800" s="2" t="s">
        <v>7984</v>
      </c>
      <c r="D1800" s="3">
        <v>761400</v>
      </c>
      <c r="E1800" s="3">
        <v>761400</v>
      </c>
      <c r="F1800" s="2" t="s">
        <v>16</v>
      </c>
      <c r="G1800" s="2" t="s">
        <v>7985</v>
      </c>
      <c r="H1800" s="3">
        <v>0</v>
      </c>
      <c r="I1800" s="2" t="s">
        <v>409</v>
      </c>
      <c r="J1800" s="2" t="s">
        <v>7986</v>
      </c>
      <c r="K1800" s="2" t="s">
        <v>16</v>
      </c>
      <c r="L1800" s="2" t="s">
        <v>7987</v>
      </c>
      <c r="M1800" s="4">
        <v>53092.49</v>
      </c>
      <c r="N1800" t="b">
        <f>OR(LEFT(B1800,3)="frg",(_xlfn.XMATCH(B1800,ZZZ_Part_Id_[[#All],[FGCODE]])))</f>
        <v>1</v>
      </c>
    </row>
    <row r="1801" spans="1:14" x14ac:dyDescent="0.3">
      <c r="A1801" s="2" t="s">
        <v>7988</v>
      </c>
      <c r="B1801" s="2" t="s">
        <v>1027</v>
      </c>
      <c r="C1801" s="2" t="s">
        <v>7989</v>
      </c>
      <c r="D1801" s="3">
        <v>297360</v>
      </c>
      <c r="E1801" s="3">
        <v>297360</v>
      </c>
      <c r="F1801" s="2" t="s">
        <v>16</v>
      </c>
      <c r="G1801" s="2" t="s">
        <v>7990</v>
      </c>
      <c r="H1801" s="3">
        <v>0</v>
      </c>
      <c r="I1801" s="2" t="s">
        <v>409</v>
      </c>
      <c r="J1801" s="2" t="s">
        <v>7991</v>
      </c>
      <c r="K1801" s="2" t="s">
        <v>16</v>
      </c>
      <c r="L1801" s="2" t="s">
        <v>7992</v>
      </c>
      <c r="M1801" s="4">
        <v>59837.69</v>
      </c>
      <c r="N1801" t="b">
        <f>OR(LEFT(B1801,3)="frg",(_xlfn.XMATCH(B1801,ZZZ_Part_Id_[[#All],[FGCODE]])))</f>
        <v>1</v>
      </c>
    </row>
    <row r="1802" spans="1:14" x14ac:dyDescent="0.3">
      <c r="A1802" s="2" t="s">
        <v>7993</v>
      </c>
      <c r="B1802" s="2" t="s">
        <v>14</v>
      </c>
      <c r="C1802" s="2" t="s">
        <v>7994</v>
      </c>
      <c r="D1802" s="3">
        <v>40</v>
      </c>
      <c r="E1802" s="3">
        <v>40</v>
      </c>
      <c r="F1802" s="2" t="s">
        <v>16</v>
      </c>
      <c r="G1802" s="2" t="s">
        <v>7995</v>
      </c>
      <c r="H1802" s="3">
        <v>0</v>
      </c>
      <c r="I1802" s="2" t="s">
        <v>18</v>
      </c>
      <c r="J1802" s="2" t="s">
        <v>7996</v>
      </c>
      <c r="K1802" s="2" t="s">
        <v>16</v>
      </c>
      <c r="L1802" s="2" t="s">
        <v>7997</v>
      </c>
      <c r="M1802" s="4">
        <v>3.08</v>
      </c>
      <c r="N1802" t="e">
        <f>OR(LEFT(B1802,3)="frg",(_xlfn.XMATCH(B1802,ZZZ_Part_Id_[[#All],[FGCODE]])))</f>
        <v>#N/A</v>
      </c>
    </row>
    <row r="1803" spans="1:14" x14ac:dyDescent="0.3">
      <c r="A1803" s="2" t="s">
        <v>7993</v>
      </c>
      <c r="B1803" s="2" t="s">
        <v>517</v>
      </c>
      <c r="C1803" s="2" t="s">
        <v>7998</v>
      </c>
      <c r="D1803" s="3">
        <v>252000</v>
      </c>
      <c r="E1803" s="3">
        <v>252000</v>
      </c>
      <c r="F1803" s="2" t="s">
        <v>16</v>
      </c>
      <c r="G1803" s="2" t="s">
        <v>7999</v>
      </c>
      <c r="H1803" s="3">
        <v>0</v>
      </c>
      <c r="I1803" s="2" t="s">
        <v>18</v>
      </c>
      <c r="J1803" s="2" t="s">
        <v>8000</v>
      </c>
      <c r="K1803" s="2" t="s">
        <v>16</v>
      </c>
      <c r="L1803" s="2" t="s">
        <v>8001</v>
      </c>
      <c r="M1803" s="4">
        <v>47887.5</v>
      </c>
      <c r="N1803" t="b">
        <f>OR(LEFT(B1803,3)="frg",(_xlfn.XMATCH(B1803,ZZZ_Part_Id_[[#All],[FGCODE]])))</f>
        <v>1</v>
      </c>
    </row>
    <row r="1804" spans="1:14" x14ac:dyDescent="0.3">
      <c r="A1804" s="2" t="s">
        <v>8002</v>
      </c>
      <c r="B1804" s="2" t="s">
        <v>14</v>
      </c>
      <c r="C1804" s="2" t="s">
        <v>8003</v>
      </c>
      <c r="D1804" s="3">
        <v>20</v>
      </c>
      <c r="E1804" s="3">
        <v>20</v>
      </c>
      <c r="F1804" s="2" t="s">
        <v>16</v>
      </c>
      <c r="G1804" s="2" t="s">
        <v>8004</v>
      </c>
      <c r="H1804" s="3">
        <v>0</v>
      </c>
      <c r="I1804" s="2" t="s">
        <v>18</v>
      </c>
      <c r="J1804" s="2" t="s">
        <v>8005</v>
      </c>
      <c r="K1804" s="2" t="s">
        <v>16</v>
      </c>
      <c r="L1804" s="2" t="s">
        <v>8006</v>
      </c>
      <c r="M1804" s="4">
        <v>1.54</v>
      </c>
      <c r="N1804" t="e">
        <f>OR(LEFT(B1804,3)="frg",(_xlfn.XMATCH(B1804,ZZZ_Part_Id_[[#All],[FGCODE]])))</f>
        <v>#N/A</v>
      </c>
    </row>
    <row r="1805" spans="1:14" x14ac:dyDescent="0.3">
      <c r="A1805" s="2" t="s">
        <v>8002</v>
      </c>
      <c r="B1805" s="2" t="s">
        <v>517</v>
      </c>
      <c r="C1805" s="2" t="s">
        <v>8007</v>
      </c>
      <c r="D1805" s="3">
        <v>181440</v>
      </c>
      <c r="E1805" s="3">
        <v>181440</v>
      </c>
      <c r="F1805" s="2" t="s">
        <v>16</v>
      </c>
      <c r="G1805" s="2" t="s">
        <v>8008</v>
      </c>
      <c r="H1805" s="3">
        <v>0</v>
      </c>
      <c r="I1805" s="2" t="s">
        <v>18</v>
      </c>
      <c r="J1805" s="2" t="s">
        <v>8009</v>
      </c>
      <c r="K1805" s="2" t="s">
        <v>16</v>
      </c>
      <c r="L1805" s="2" t="s">
        <v>8010</v>
      </c>
      <c r="M1805" s="4">
        <v>34479</v>
      </c>
      <c r="N1805" t="b">
        <f>OR(LEFT(B1805,3)="frg",(_xlfn.XMATCH(B1805,ZZZ_Part_Id_[[#All],[FGCODE]])))</f>
        <v>1</v>
      </c>
    </row>
    <row r="1806" spans="1:14" x14ac:dyDescent="0.3">
      <c r="A1806" s="2" t="s">
        <v>8011</v>
      </c>
      <c r="B1806" s="2" t="s">
        <v>14</v>
      </c>
      <c r="C1806" s="2" t="s">
        <v>8012</v>
      </c>
      <c r="D1806" s="3">
        <v>64</v>
      </c>
      <c r="E1806" s="3">
        <v>64</v>
      </c>
      <c r="F1806" s="2" t="s">
        <v>16</v>
      </c>
      <c r="G1806" s="2" t="s">
        <v>8013</v>
      </c>
      <c r="H1806" s="3">
        <v>0</v>
      </c>
      <c r="I1806" s="2" t="s">
        <v>409</v>
      </c>
      <c r="J1806" s="2" t="s">
        <v>8014</v>
      </c>
      <c r="K1806" s="2" t="s">
        <v>16</v>
      </c>
      <c r="L1806" s="2" t="s">
        <v>8015</v>
      </c>
      <c r="M1806" s="4">
        <v>4.92</v>
      </c>
      <c r="N1806" t="e">
        <f>OR(LEFT(B1806,3)="frg",(_xlfn.XMATCH(B1806,ZZZ_Part_Id_[[#All],[FGCODE]])))</f>
        <v>#N/A</v>
      </c>
    </row>
    <row r="1807" spans="1:14" x14ac:dyDescent="0.3">
      <c r="A1807" s="2" t="s">
        <v>8011</v>
      </c>
      <c r="B1807" s="2" t="s">
        <v>97</v>
      </c>
      <c r="C1807" s="2" t="s">
        <v>8016</v>
      </c>
      <c r="D1807" s="3">
        <v>273600</v>
      </c>
      <c r="E1807" s="3">
        <v>273600</v>
      </c>
      <c r="F1807" s="2" t="s">
        <v>16</v>
      </c>
      <c r="G1807" s="2" t="s">
        <v>8017</v>
      </c>
      <c r="H1807" s="3">
        <v>0</v>
      </c>
      <c r="I1807" s="2" t="s">
        <v>409</v>
      </c>
      <c r="J1807" s="2" t="s">
        <v>8018</v>
      </c>
      <c r="K1807" s="2" t="s">
        <v>16</v>
      </c>
      <c r="L1807" s="2" t="s">
        <v>8019</v>
      </c>
      <c r="M1807" s="4">
        <v>93790.080000000002</v>
      </c>
      <c r="N1807" t="b">
        <f>OR(LEFT(B1807,3)="frg",(_xlfn.XMATCH(B1807,ZZZ_Part_Id_[[#All],[FGCODE]])))</f>
        <v>1</v>
      </c>
    </row>
    <row r="1808" spans="1:14" x14ac:dyDescent="0.3">
      <c r="A1808" s="2" t="s">
        <v>8020</v>
      </c>
      <c r="B1808" s="2" t="s">
        <v>14</v>
      </c>
      <c r="C1808" s="2" t="s">
        <v>8021</v>
      </c>
      <c r="D1808" s="3">
        <v>64</v>
      </c>
      <c r="E1808" s="3">
        <v>64</v>
      </c>
      <c r="F1808" s="2" t="s">
        <v>16</v>
      </c>
      <c r="G1808" s="2" t="s">
        <v>8022</v>
      </c>
      <c r="H1808" s="3">
        <v>0</v>
      </c>
      <c r="I1808" s="2" t="s">
        <v>18</v>
      </c>
      <c r="J1808" s="2" t="s">
        <v>8023</v>
      </c>
      <c r="K1808" s="2" t="s">
        <v>16</v>
      </c>
      <c r="L1808" s="2" t="s">
        <v>8024</v>
      </c>
      <c r="M1808" s="4">
        <v>4.92</v>
      </c>
      <c r="N1808" t="e">
        <f>OR(LEFT(B1808,3)="frg",(_xlfn.XMATCH(B1808,ZZZ_Part_Id_[[#All],[FGCODE]])))</f>
        <v>#N/A</v>
      </c>
    </row>
    <row r="1809" spans="1:14" x14ac:dyDescent="0.3">
      <c r="A1809" s="2" t="s">
        <v>8020</v>
      </c>
      <c r="B1809" s="2" t="s">
        <v>59</v>
      </c>
      <c r="C1809" s="2" t="s">
        <v>8025</v>
      </c>
      <c r="D1809" s="3">
        <v>1243620</v>
      </c>
      <c r="E1809" s="3">
        <v>1243620</v>
      </c>
      <c r="F1809" s="2" t="s">
        <v>16</v>
      </c>
      <c r="G1809" s="2" t="s">
        <v>8026</v>
      </c>
      <c r="H1809" s="3">
        <v>0</v>
      </c>
      <c r="I1809" s="2" t="s">
        <v>18</v>
      </c>
      <c r="J1809" s="2" t="s">
        <v>8027</v>
      </c>
      <c r="K1809" s="2" t="s">
        <v>16</v>
      </c>
      <c r="L1809" s="2" t="s">
        <v>8028</v>
      </c>
      <c r="M1809" s="4">
        <v>86717.75</v>
      </c>
      <c r="N1809" t="b">
        <f>OR(LEFT(B1809,3)="frg",(_xlfn.XMATCH(B1809,ZZZ_Part_Id_[[#All],[FGCODE]])))</f>
        <v>1</v>
      </c>
    </row>
    <row r="1810" spans="1:14" x14ac:dyDescent="0.3">
      <c r="A1810" s="2" t="s">
        <v>8029</v>
      </c>
      <c r="B1810" s="2" t="s">
        <v>1027</v>
      </c>
      <c r="C1810" s="2" t="s">
        <v>8030</v>
      </c>
      <c r="D1810" s="3">
        <v>754020</v>
      </c>
      <c r="E1810" s="3">
        <v>754020</v>
      </c>
      <c r="F1810" s="2" t="s">
        <v>16</v>
      </c>
      <c r="G1810" s="2" t="s">
        <v>8031</v>
      </c>
      <c r="H1810" s="3">
        <v>0</v>
      </c>
      <c r="I1810" s="2" t="s">
        <v>18</v>
      </c>
      <c r="J1810" s="2" t="s">
        <v>8032</v>
      </c>
      <c r="K1810" s="2" t="s">
        <v>16</v>
      </c>
      <c r="L1810" s="2" t="s">
        <v>8033</v>
      </c>
      <c r="M1810" s="4">
        <v>151731.26999999999</v>
      </c>
      <c r="N1810" t="b">
        <f>OR(LEFT(B1810,3)="frg",(_xlfn.XMATCH(B1810,ZZZ_Part_Id_[[#All],[FGCODE]])))</f>
        <v>1</v>
      </c>
    </row>
    <row r="1811" spans="1:14" x14ac:dyDescent="0.3">
      <c r="A1811" s="2" t="s">
        <v>8034</v>
      </c>
      <c r="B1811" s="2" t="s">
        <v>5477</v>
      </c>
      <c r="C1811" s="2" t="s">
        <v>8035</v>
      </c>
      <c r="D1811" s="3">
        <v>52992</v>
      </c>
      <c r="E1811" s="3">
        <v>52992</v>
      </c>
      <c r="F1811" s="2" t="s">
        <v>16</v>
      </c>
      <c r="G1811" s="2" t="s">
        <v>8036</v>
      </c>
      <c r="H1811" s="3">
        <v>0</v>
      </c>
      <c r="I1811" s="2" t="s">
        <v>18</v>
      </c>
      <c r="J1811" s="2" t="s">
        <v>8037</v>
      </c>
      <c r="K1811" s="2" t="s">
        <v>16</v>
      </c>
      <c r="L1811" s="2" t="s">
        <v>8038</v>
      </c>
      <c r="M1811" s="4">
        <v>15740.24</v>
      </c>
      <c r="N1811" t="b">
        <f>OR(LEFT(B1811,3)="frg",(_xlfn.XMATCH(B1811,ZZZ_Part_Id_[[#All],[FGCODE]])))</f>
        <v>1</v>
      </c>
    </row>
    <row r="1812" spans="1:14" x14ac:dyDescent="0.3">
      <c r="A1812" s="2" t="s">
        <v>8039</v>
      </c>
      <c r="B1812" s="2" t="s">
        <v>14</v>
      </c>
      <c r="C1812" s="2" t="s">
        <v>8040</v>
      </c>
      <c r="D1812" s="3">
        <v>64</v>
      </c>
      <c r="E1812" s="3">
        <v>64</v>
      </c>
      <c r="F1812" s="2" t="s">
        <v>16</v>
      </c>
      <c r="G1812" s="2" t="s">
        <v>8041</v>
      </c>
      <c r="H1812" s="3">
        <v>0</v>
      </c>
      <c r="I1812" s="2" t="s">
        <v>18</v>
      </c>
      <c r="J1812" s="2" t="s">
        <v>8042</v>
      </c>
      <c r="K1812" s="2" t="s">
        <v>16</v>
      </c>
      <c r="L1812" s="2" t="s">
        <v>8043</v>
      </c>
      <c r="M1812" s="4">
        <v>4.92</v>
      </c>
      <c r="N1812" t="e">
        <f>OR(LEFT(B1812,3)="frg",(_xlfn.XMATCH(B1812,ZZZ_Part_Id_[[#All],[FGCODE]])))</f>
        <v>#N/A</v>
      </c>
    </row>
    <row r="1813" spans="1:14" x14ac:dyDescent="0.3">
      <c r="A1813" s="2" t="s">
        <v>8039</v>
      </c>
      <c r="B1813" s="2" t="s">
        <v>1027</v>
      </c>
      <c r="C1813" s="2" t="s">
        <v>8044</v>
      </c>
      <c r="D1813" s="3">
        <v>265500</v>
      </c>
      <c r="E1813" s="3">
        <v>265500</v>
      </c>
      <c r="F1813" s="2" t="s">
        <v>16</v>
      </c>
      <c r="G1813" s="2" t="s">
        <v>8045</v>
      </c>
      <c r="H1813" s="3">
        <v>0</v>
      </c>
      <c r="I1813" s="2" t="s">
        <v>18</v>
      </c>
      <c r="J1813" s="2" t="s">
        <v>8046</v>
      </c>
      <c r="K1813" s="2" t="s">
        <v>16</v>
      </c>
      <c r="L1813" s="2" t="s">
        <v>8047</v>
      </c>
      <c r="M1813" s="4">
        <v>53426.5</v>
      </c>
      <c r="N1813" t="b">
        <f>OR(LEFT(B1813,3)="frg",(_xlfn.XMATCH(B1813,ZZZ_Part_Id_[[#All],[FGCODE]])))</f>
        <v>1</v>
      </c>
    </row>
    <row r="1814" spans="1:14" x14ac:dyDescent="0.3">
      <c r="A1814" s="2" t="s">
        <v>8048</v>
      </c>
      <c r="B1814" s="2" t="s">
        <v>14</v>
      </c>
      <c r="C1814" s="2" t="s">
        <v>8049</v>
      </c>
      <c r="D1814" s="3">
        <v>10</v>
      </c>
      <c r="E1814" s="3">
        <v>10</v>
      </c>
      <c r="F1814" s="2" t="s">
        <v>16</v>
      </c>
      <c r="G1814" s="2" t="s">
        <v>8050</v>
      </c>
      <c r="H1814" s="3">
        <v>0</v>
      </c>
      <c r="I1814" s="2" t="s">
        <v>18</v>
      </c>
      <c r="J1814" s="2" t="s">
        <v>8051</v>
      </c>
      <c r="K1814" s="2" t="s">
        <v>16</v>
      </c>
      <c r="L1814" s="2" t="s">
        <v>8052</v>
      </c>
      <c r="M1814" s="4">
        <v>0.77</v>
      </c>
      <c r="N1814" t="e">
        <f>OR(LEFT(B1814,3)="frg",(_xlfn.XMATCH(B1814,ZZZ_Part_Id_[[#All],[FGCODE]])))</f>
        <v>#N/A</v>
      </c>
    </row>
    <row r="1815" spans="1:14" x14ac:dyDescent="0.3">
      <c r="A1815" s="2" t="s">
        <v>8048</v>
      </c>
      <c r="B1815" s="2" t="s">
        <v>2086</v>
      </c>
      <c r="C1815" s="2" t="s">
        <v>8053</v>
      </c>
      <c r="D1815" s="3">
        <v>25344</v>
      </c>
      <c r="E1815" s="3">
        <v>25344</v>
      </c>
      <c r="F1815" s="2" t="s">
        <v>16</v>
      </c>
      <c r="G1815" s="2" t="s">
        <v>8054</v>
      </c>
      <c r="H1815" s="3">
        <v>0</v>
      </c>
      <c r="I1815" s="2" t="s">
        <v>18</v>
      </c>
      <c r="J1815" s="2" t="s">
        <v>8055</v>
      </c>
      <c r="K1815" s="2" t="s">
        <v>16</v>
      </c>
      <c r="L1815" s="2" t="s">
        <v>8056</v>
      </c>
      <c r="M1815" s="4">
        <v>6231.59</v>
      </c>
      <c r="N1815" t="b">
        <f>OR(LEFT(B1815,3)="frg",(_xlfn.XMATCH(B1815,ZZZ_Part_Id_[[#All],[FGCODE]])))</f>
        <v>1</v>
      </c>
    </row>
    <row r="1816" spans="1:14" x14ac:dyDescent="0.3">
      <c r="A1816" s="2" t="s">
        <v>8057</v>
      </c>
      <c r="B1816" s="2" t="s">
        <v>8058</v>
      </c>
      <c r="C1816" s="2" t="s">
        <v>8059</v>
      </c>
      <c r="D1816" s="3">
        <v>104400</v>
      </c>
      <c r="E1816" s="3">
        <v>104400</v>
      </c>
      <c r="F1816" s="2" t="s">
        <v>16</v>
      </c>
      <c r="G1816" s="2" t="s">
        <v>8060</v>
      </c>
      <c r="H1816" s="3">
        <v>0</v>
      </c>
      <c r="I1816" s="2" t="s">
        <v>409</v>
      </c>
      <c r="J1816" s="2" t="s">
        <v>8061</v>
      </c>
      <c r="K1816" s="2" t="s">
        <v>16</v>
      </c>
      <c r="L1816" s="2" t="s">
        <v>8062</v>
      </c>
      <c r="M1816" s="4">
        <v>8924.11</v>
      </c>
      <c r="N1816" t="b">
        <f>OR(LEFT(B1816,3)="frg",(_xlfn.XMATCH(B1816,ZZZ_Part_Id_[[#All],[FGCODE]])))</f>
        <v>1</v>
      </c>
    </row>
    <row r="1817" spans="1:14" x14ac:dyDescent="0.3">
      <c r="A1817" s="2" t="s">
        <v>8063</v>
      </c>
      <c r="B1817" s="2" t="s">
        <v>1027</v>
      </c>
      <c r="C1817" s="2" t="s">
        <v>8064</v>
      </c>
      <c r="D1817" s="3">
        <v>711540</v>
      </c>
      <c r="E1817" s="3">
        <v>711540</v>
      </c>
      <c r="F1817" s="2" t="s">
        <v>16</v>
      </c>
      <c r="G1817" s="2" t="s">
        <v>8065</v>
      </c>
      <c r="H1817" s="3">
        <v>0</v>
      </c>
      <c r="I1817" s="2" t="s">
        <v>18</v>
      </c>
      <c r="J1817" s="2" t="s">
        <v>8066</v>
      </c>
      <c r="K1817" s="2" t="s">
        <v>16</v>
      </c>
      <c r="L1817" s="2" t="s">
        <v>8067</v>
      </c>
      <c r="M1817" s="4">
        <v>143183.01999999999</v>
      </c>
      <c r="N1817" t="b">
        <f>OR(LEFT(B1817,3)="frg",(_xlfn.XMATCH(B1817,ZZZ_Part_Id_[[#All],[FGCODE]])))</f>
        <v>1</v>
      </c>
    </row>
    <row r="1818" spans="1:14" x14ac:dyDescent="0.3">
      <c r="A1818" s="2" t="s">
        <v>8068</v>
      </c>
      <c r="B1818" s="2" t="s">
        <v>14</v>
      </c>
      <c r="C1818" s="2" t="s">
        <v>8069</v>
      </c>
      <c r="D1818" s="3">
        <v>140</v>
      </c>
      <c r="E1818" s="3">
        <v>140</v>
      </c>
      <c r="F1818" s="2" t="s">
        <v>16</v>
      </c>
      <c r="G1818" s="2" t="s">
        <v>8070</v>
      </c>
      <c r="H1818" s="3">
        <v>0</v>
      </c>
      <c r="I1818" s="2" t="s">
        <v>18</v>
      </c>
      <c r="J1818" s="2" t="s">
        <v>8071</v>
      </c>
      <c r="K1818" s="2" t="s">
        <v>16</v>
      </c>
      <c r="L1818" s="2" t="s">
        <v>8072</v>
      </c>
      <c r="M1818" s="4">
        <v>10.77</v>
      </c>
      <c r="N1818" t="e">
        <f>OR(LEFT(B1818,3)="frg",(_xlfn.XMATCH(B1818,ZZZ_Part_Id_[[#All],[FGCODE]])))</f>
        <v>#N/A</v>
      </c>
    </row>
    <row r="1819" spans="1:14" x14ac:dyDescent="0.3">
      <c r="A1819" s="2" t="s">
        <v>8068</v>
      </c>
      <c r="B1819" s="2" t="s">
        <v>59</v>
      </c>
      <c r="C1819" s="2" t="s">
        <v>8073</v>
      </c>
      <c r="D1819" s="3">
        <v>2436480</v>
      </c>
      <c r="E1819" s="3">
        <v>2436480</v>
      </c>
      <c r="F1819" s="2" t="s">
        <v>16</v>
      </c>
      <c r="G1819" s="2" t="s">
        <v>8074</v>
      </c>
      <c r="H1819" s="3">
        <v>0</v>
      </c>
      <c r="I1819" s="2" t="s">
        <v>18</v>
      </c>
      <c r="J1819" s="2" t="s">
        <v>8075</v>
      </c>
      <c r="K1819" s="2" t="s">
        <v>16</v>
      </c>
      <c r="L1819" s="2" t="s">
        <v>8076</v>
      </c>
      <c r="M1819" s="4">
        <v>169896</v>
      </c>
      <c r="N1819" t="b">
        <f>OR(LEFT(B1819,3)="frg",(_xlfn.XMATCH(B1819,ZZZ_Part_Id_[[#All],[FGCODE]])))</f>
        <v>1</v>
      </c>
    </row>
    <row r="1820" spans="1:14" x14ac:dyDescent="0.3">
      <c r="A1820" s="2" t="s">
        <v>8077</v>
      </c>
      <c r="B1820" s="2" t="s">
        <v>65</v>
      </c>
      <c r="C1820" s="2" t="s">
        <v>8078</v>
      </c>
      <c r="D1820" s="5">
        <v>-40</v>
      </c>
      <c r="E1820" s="5">
        <v>-40</v>
      </c>
      <c r="F1820" s="2" t="s">
        <v>23</v>
      </c>
      <c r="G1820" s="2" t="s">
        <v>8079</v>
      </c>
      <c r="H1820" s="3">
        <v>0</v>
      </c>
      <c r="I1820" s="2" t="s">
        <v>18</v>
      </c>
      <c r="J1820" s="2" t="s">
        <v>8080</v>
      </c>
      <c r="K1820" s="2" t="s">
        <v>23</v>
      </c>
      <c r="L1820" s="2" t="s">
        <v>8081</v>
      </c>
      <c r="M1820" s="6">
        <v>-102.86</v>
      </c>
      <c r="N1820" t="b">
        <f>OR(LEFT(B1820,3)="frg",(_xlfn.XMATCH(B1820,ZZZ_Part_Id_[[#All],[FGCODE]])))</f>
        <v>1</v>
      </c>
    </row>
    <row r="1821" spans="1:14" x14ac:dyDescent="0.3">
      <c r="A1821" s="2" t="s">
        <v>8077</v>
      </c>
      <c r="B1821" s="2" t="s">
        <v>2086</v>
      </c>
      <c r="C1821" s="2" t="s">
        <v>8082</v>
      </c>
      <c r="D1821" s="3">
        <v>10560</v>
      </c>
      <c r="E1821" s="3">
        <v>10560</v>
      </c>
      <c r="F1821" s="2" t="s">
        <v>16</v>
      </c>
      <c r="G1821" s="2" t="s">
        <v>8083</v>
      </c>
      <c r="H1821" s="3">
        <v>0</v>
      </c>
      <c r="I1821" s="2" t="s">
        <v>18</v>
      </c>
      <c r="J1821" s="2" t="s">
        <v>8084</v>
      </c>
      <c r="K1821" s="2" t="s">
        <v>16</v>
      </c>
      <c r="L1821" s="2" t="s">
        <v>8085</v>
      </c>
      <c r="M1821" s="4">
        <v>2596.5</v>
      </c>
      <c r="N1821" t="b">
        <f>OR(LEFT(B1821,3)="frg",(_xlfn.XMATCH(B1821,ZZZ_Part_Id_[[#All],[FGCODE]])))</f>
        <v>1</v>
      </c>
    </row>
    <row r="1822" spans="1:14" x14ac:dyDescent="0.3">
      <c r="A1822" s="2" t="s">
        <v>8077</v>
      </c>
      <c r="B1822" s="2" t="s">
        <v>2086</v>
      </c>
      <c r="C1822" s="2" t="s">
        <v>8086</v>
      </c>
      <c r="D1822" s="3">
        <v>10560</v>
      </c>
      <c r="E1822" s="3">
        <v>10560</v>
      </c>
      <c r="F1822" s="2" t="s">
        <v>16</v>
      </c>
      <c r="G1822" s="2" t="s">
        <v>131</v>
      </c>
      <c r="H1822" s="3">
        <v>0</v>
      </c>
      <c r="I1822" s="2" t="s">
        <v>18</v>
      </c>
      <c r="J1822" s="2" t="s">
        <v>8087</v>
      </c>
      <c r="K1822" s="2" t="s">
        <v>16</v>
      </c>
      <c r="L1822" s="2" t="s">
        <v>8088</v>
      </c>
      <c r="M1822" s="4">
        <v>2596.4899999999998</v>
      </c>
      <c r="N1822" t="b">
        <f>OR(LEFT(B1822,3)="frg",(_xlfn.XMATCH(B1822,ZZZ_Part_Id_[[#All],[FGCODE]])))</f>
        <v>1</v>
      </c>
    </row>
    <row r="1823" spans="1:14" x14ac:dyDescent="0.3">
      <c r="A1823" s="2" t="s">
        <v>8089</v>
      </c>
      <c r="B1823" s="2" t="s">
        <v>70</v>
      </c>
      <c r="C1823" s="2" t="s">
        <v>8090</v>
      </c>
      <c r="D1823" s="3">
        <v>19008</v>
      </c>
      <c r="E1823" s="3">
        <v>19008</v>
      </c>
      <c r="F1823" s="2" t="s">
        <v>16</v>
      </c>
      <c r="G1823" s="2" t="s">
        <v>8091</v>
      </c>
      <c r="H1823" s="3">
        <v>0</v>
      </c>
      <c r="I1823" s="2" t="s">
        <v>18</v>
      </c>
      <c r="J1823" s="2" t="s">
        <v>8092</v>
      </c>
      <c r="K1823" s="2" t="s">
        <v>16</v>
      </c>
      <c r="L1823" s="2" t="s">
        <v>8093</v>
      </c>
      <c r="M1823" s="4">
        <v>4675.7700000000004</v>
      </c>
      <c r="N1823" t="b">
        <f>OR(LEFT(B1823,3)="frg",(_xlfn.XMATCH(B1823,ZZZ_Part_Id_[[#All],[FGCODE]])))</f>
        <v>1</v>
      </c>
    </row>
    <row r="1824" spans="1:14" x14ac:dyDescent="0.3">
      <c r="A1824" s="2" t="s">
        <v>8094</v>
      </c>
      <c r="B1824" s="2" t="s">
        <v>37</v>
      </c>
      <c r="C1824" s="2" t="s">
        <v>8095</v>
      </c>
      <c r="D1824" s="3">
        <v>13</v>
      </c>
      <c r="E1824" s="3">
        <v>13</v>
      </c>
      <c r="F1824" s="2" t="s">
        <v>16</v>
      </c>
      <c r="G1824" s="2" t="s">
        <v>8096</v>
      </c>
      <c r="H1824" s="3">
        <v>0</v>
      </c>
      <c r="I1824" s="2" t="s">
        <v>409</v>
      </c>
      <c r="J1824" s="2" t="s">
        <v>8097</v>
      </c>
      <c r="K1824" s="2" t="s">
        <v>16</v>
      </c>
      <c r="L1824" s="2" t="s">
        <v>8098</v>
      </c>
      <c r="M1824" s="4">
        <v>208</v>
      </c>
      <c r="N1824" t="e">
        <f>OR(LEFT(B1824,3)="frg",(_xlfn.XMATCH(B1824,ZZZ_Part_Id_[[#All],[FGCODE]])))</f>
        <v>#N/A</v>
      </c>
    </row>
    <row r="1825" spans="1:14" x14ac:dyDescent="0.3">
      <c r="A1825" s="2" t="s">
        <v>8094</v>
      </c>
      <c r="B1825" s="2" t="s">
        <v>65</v>
      </c>
      <c r="C1825" s="2" t="s">
        <v>8099</v>
      </c>
      <c r="D1825" s="5">
        <v>-747</v>
      </c>
      <c r="E1825" s="5">
        <v>-747</v>
      </c>
      <c r="F1825" s="2" t="s">
        <v>23</v>
      </c>
      <c r="G1825" s="2" t="s">
        <v>8100</v>
      </c>
      <c r="H1825" s="3">
        <v>0</v>
      </c>
      <c r="I1825" s="2" t="s">
        <v>409</v>
      </c>
      <c r="J1825" s="2" t="s">
        <v>8101</v>
      </c>
      <c r="K1825" s="2" t="s">
        <v>23</v>
      </c>
      <c r="L1825" s="2" t="s">
        <v>8102</v>
      </c>
      <c r="M1825" s="6">
        <v>-1920.99</v>
      </c>
      <c r="N1825" t="b">
        <f>OR(LEFT(B1825,3)="frg",(_xlfn.XMATCH(B1825,ZZZ_Part_Id_[[#All],[FGCODE]])))</f>
        <v>1</v>
      </c>
    </row>
    <row r="1826" spans="1:14" x14ac:dyDescent="0.3">
      <c r="A1826" s="2" t="s">
        <v>8094</v>
      </c>
      <c r="B1826" s="2" t="s">
        <v>97</v>
      </c>
      <c r="C1826" s="2" t="s">
        <v>8103</v>
      </c>
      <c r="D1826" s="3">
        <v>76800</v>
      </c>
      <c r="E1826" s="3">
        <v>76800</v>
      </c>
      <c r="F1826" s="2" t="s">
        <v>16</v>
      </c>
      <c r="G1826" s="2" t="s">
        <v>8104</v>
      </c>
      <c r="H1826" s="3">
        <v>0</v>
      </c>
      <c r="I1826" s="2" t="s">
        <v>409</v>
      </c>
      <c r="J1826" s="2" t="s">
        <v>8105</v>
      </c>
      <c r="K1826" s="2" t="s">
        <v>16</v>
      </c>
      <c r="L1826" s="2" t="s">
        <v>8106</v>
      </c>
      <c r="M1826" s="4">
        <v>26327.040000000001</v>
      </c>
      <c r="N1826" t="b">
        <f>OR(LEFT(B1826,3)="frg",(_xlfn.XMATCH(B1826,ZZZ_Part_Id_[[#All],[FGCODE]])))</f>
        <v>1</v>
      </c>
    </row>
    <row r="1827" spans="1:14" x14ac:dyDescent="0.3">
      <c r="A1827" s="2" t="s">
        <v>8107</v>
      </c>
      <c r="B1827" s="2" t="s">
        <v>14</v>
      </c>
      <c r="C1827" s="2" t="s">
        <v>8108</v>
      </c>
      <c r="D1827" s="3">
        <v>14</v>
      </c>
      <c r="E1827" s="3">
        <v>14</v>
      </c>
      <c r="F1827" s="2" t="s">
        <v>16</v>
      </c>
      <c r="G1827" s="2" t="s">
        <v>8109</v>
      </c>
      <c r="H1827" s="3">
        <v>0</v>
      </c>
      <c r="I1827" s="2" t="s">
        <v>18</v>
      </c>
      <c r="J1827" s="2" t="s">
        <v>8110</v>
      </c>
      <c r="K1827" s="2" t="s">
        <v>16</v>
      </c>
      <c r="L1827" s="2" t="s">
        <v>8111</v>
      </c>
      <c r="M1827" s="4">
        <v>1.08</v>
      </c>
      <c r="N1827" t="e">
        <f>OR(LEFT(B1827,3)="frg",(_xlfn.XMATCH(B1827,ZZZ_Part_Id_[[#All],[FGCODE]])))</f>
        <v>#N/A</v>
      </c>
    </row>
    <row r="1828" spans="1:14" x14ac:dyDescent="0.3">
      <c r="A1828" s="2" t="s">
        <v>8107</v>
      </c>
      <c r="B1828" s="2" t="s">
        <v>86</v>
      </c>
      <c r="C1828" s="2" t="s">
        <v>8112</v>
      </c>
      <c r="D1828" s="5">
        <v>-448</v>
      </c>
      <c r="E1828" s="5">
        <v>-448</v>
      </c>
      <c r="F1828" s="2" t="s">
        <v>23</v>
      </c>
      <c r="G1828" s="2" t="s">
        <v>8113</v>
      </c>
      <c r="H1828" s="3">
        <v>0</v>
      </c>
      <c r="I1828" s="2" t="s">
        <v>18</v>
      </c>
      <c r="J1828" s="2" t="s">
        <v>8114</v>
      </c>
      <c r="K1828" s="2" t="s">
        <v>23</v>
      </c>
      <c r="L1828" s="2" t="s">
        <v>8115</v>
      </c>
      <c r="M1828" s="6">
        <v>-1172.77</v>
      </c>
      <c r="N1828" t="b">
        <f>OR(LEFT(B1828,3)="frg",(_xlfn.XMATCH(B1828,ZZZ_Part_Id_[[#All],[FGCODE]])))</f>
        <v>1</v>
      </c>
    </row>
    <row r="1829" spans="1:14" x14ac:dyDescent="0.3">
      <c r="A1829" s="2" t="s">
        <v>8107</v>
      </c>
      <c r="B1829" s="2" t="s">
        <v>91</v>
      </c>
      <c r="C1829" s="2" t="s">
        <v>8116</v>
      </c>
      <c r="D1829" s="3">
        <v>378000</v>
      </c>
      <c r="E1829" s="3">
        <v>378000</v>
      </c>
      <c r="F1829" s="2" t="s">
        <v>16</v>
      </c>
      <c r="G1829" s="2" t="s">
        <v>8117</v>
      </c>
      <c r="H1829" s="3">
        <v>0</v>
      </c>
      <c r="I1829" s="2" t="s">
        <v>18</v>
      </c>
      <c r="J1829" s="2" t="s">
        <v>8118</v>
      </c>
      <c r="K1829" s="2" t="s">
        <v>16</v>
      </c>
      <c r="L1829" s="2" t="s">
        <v>8119</v>
      </c>
      <c r="M1829" s="4">
        <v>22895.46</v>
      </c>
      <c r="N1829" t="b">
        <f>OR(LEFT(B1829,3)="frg",(_xlfn.XMATCH(B1829,ZZZ_Part_Id_[[#All],[FGCODE]])))</f>
        <v>1</v>
      </c>
    </row>
    <row r="1830" spans="1:14" x14ac:dyDescent="0.3">
      <c r="A1830" s="2" t="s">
        <v>8120</v>
      </c>
      <c r="B1830" s="2" t="s">
        <v>14</v>
      </c>
      <c r="C1830" s="2" t="s">
        <v>8121</v>
      </c>
      <c r="D1830" s="3">
        <v>10</v>
      </c>
      <c r="E1830" s="3">
        <v>10</v>
      </c>
      <c r="F1830" s="2" t="s">
        <v>16</v>
      </c>
      <c r="G1830" s="2" t="s">
        <v>8122</v>
      </c>
      <c r="H1830" s="3">
        <v>0</v>
      </c>
      <c r="I1830" s="2" t="s">
        <v>18</v>
      </c>
      <c r="J1830" s="2" t="s">
        <v>8123</v>
      </c>
      <c r="K1830" s="2" t="s">
        <v>16</v>
      </c>
      <c r="L1830" s="2" t="s">
        <v>8124</v>
      </c>
      <c r="M1830" s="4">
        <v>0.77</v>
      </c>
      <c r="N1830" t="e">
        <f>OR(LEFT(B1830,3)="frg",(_xlfn.XMATCH(B1830,ZZZ_Part_Id_[[#All],[FGCODE]])))</f>
        <v>#N/A</v>
      </c>
    </row>
    <row r="1831" spans="1:14" x14ac:dyDescent="0.3">
      <c r="A1831" s="2" t="s">
        <v>8120</v>
      </c>
      <c r="B1831" s="2" t="s">
        <v>65</v>
      </c>
      <c r="C1831" s="2" t="s">
        <v>8125</v>
      </c>
      <c r="D1831" s="5">
        <v>-268</v>
      </c>
      <c r="E1831" s="5">
        <v>-268</v>
      </c>
      <c r="F1831" s="2" t="s">
        <v>23</v>
      </c>
      <c r="G1831" s="2" t="s">
        <v>8126</v>
      </c>
      <c r="H1831" s="3">
        <v>0</v>
      </c>
      <c r="I1831" s="2" t="s">
        <v>18</v>
      </c>
      <c r="J1831" s="2" t="s">
        <v>8127</v>
      </c>
      <c r="K1831" s="2" t="s">
        <v>23</v>
      </c>
      <c r="L1831" s="2" t="s">
        <v>8128</v>
      </c>
      <c r="M1831" s="6">
        <v>-689.19</v>
      </c>
      <c r="N1831" t="b">
        <f>OR(LEFT(B1831,3)="frg",(_xlfn.XMATCH(B1831,ZZZ_Part_Id_[[#All],[FGCODE]])))</f>
        <v>1</v>
      </c>
    </row>
    <row r="1832" spans="1:14" x14ac:dyDescent="0.3">
      <c r="A1832" s="2" t="s">
        <v>8120</v>
      </c>
      <c r="B1832" s="2" t="s">
        <v>517</v>
      </c>
      <c r="C1832" s="2" t="s">
        <v>8129</v>
      </c>
      <c r="D1832" s="3">
        <v>40320</v>
      </c>
      <c r="E1832" s="3">
        <v>40320</v>
      </c>
      <c r="F1832" s="2" t="s">
        <v>16</v>
      </c>
      <c r="G1832" s="2" t="s">
        <v>8130</v>
      </c>
      <c r="H1832" s="3">
        <v>0</v>
      </c>
      <c r="I1832" s="2" t="s">
        <v>18</v>
      </c>
      <c r="J1832" s="2" t="s">
        <v>8131</v>
      </c>
      <c r="K1832" s="2" t="s">
        <v>16</v>
      </c>
      <c r="L1832" s="2" t="s">
        <v>8132</v>
      </c>
      <c r="M1832" s="4">
        <v>7662</v>
      </c>
      <c r="N1832" t="b">
        <f>OR(LEFT(B1832,3)="frg",(_xlfn.XMATCH(B1832,ZZZ_Part_Id_[[#All],[FGCODE]])))</f>
        <v>1</v>
      </c>
    </row>
    <row r="1833" spans="1:14" x14ac:dyDescent="0.3">
      <c r="A1833" s="2" t="s">
        <v>8133</v>
      </c>
      <c r="B1833" s="2" t="s">
        <v>14</v>
      </c>
      <c r="C1833" s="2" t="s">
        <v>8134</v>
      </c>
      <c r="D1833" s="3">
        <v>64</v>
      </c>
      <c r="E1833" s="3">
        <v>64</v>
      </c>
      <c r="F1833" s="2" t="s">
        <v>16</v>
      </c>
      <c r="G1833" s="2" t="s">
        <v>8135</v>
      </c>
      <c r="H1833" s="3">
        <v>0</v>
      </c>
      <c r="I1833" s="2" t="s">
        <v>409</v>
      </c>
      <c r="J1833" s="2" t="s">
        <v>8136</v>
      </c>
      <c r="K1833" s="2" t="s">
        <v>16</v>
      </c>
      <c r="L1833" s="2" t="s">
        <v>8137</v>
      </c>
      <c r="M1833" s="4">
        <v>4.92</v>
      </c>
      <c r="N1833" t="e">
        <f>OR(LEFT(B1833,3)="frg",(_xlfn.XMATCH(B1833,ZZZ_Part_Id_[[#All],[FGCODE]])))</f>
        <v>#N/A</v>
      </c>
    </row>
    <row r="1834" spans="1:14" x14ac:dyDescent="0.3">
      <c r="A1834" s="2" t="s">
        <v>8133</v>
      </c>
      <c r="B1834" s="2" t="s">
        <v>65</v>
      </c>
      <c r="C1834" s="2" t="s">
        <v>8138</v>
      </c>
      <c r="D1834" s="5">
        <v>-738</v>
      </c>
      <c r="E1834" s="5">
        <v>-738</v>
      </c>
      <c r="F1834" s="2" t="s">
        <v>23</v>
      </c>
      <c r="G1834" s="2" t="s">
        <v>8139</v>
      </c>
      <c r="H1834" s="3">
        <v>0</v>
      </c>
      <c r="I1834" s="2" t="s">
        <v>409</v>
      </c>
      <c r="J1834" s="2" t="s">
        <v>8140</v>
      </c>
      <c r="K1834" s="2" t="s">
        <v>23</v>
      </c>
      <c r="L1834" s="2" t="s">
        <v>8141</v>
      </c>
      <c r="M1834" s="6">
        <v>-1897.84</v>
      </c>
      <c r="N1834" t="b">
        <f>OR(LEFT(B1834,3)="frg",(_xlfn.XMATCH(B1834,ZZZ_Part_Id_[[#All],[FGCODE]])))</f>
        <v>1</v>
      </c>
    </row>
    <row r="1835" spans="1:14" x14ac:dyDescent="0.3">
      <c r="A1835" s="2" t="s">
        <v>8133</v>
      </c>
      <c r="B1835" s="2" t="s">
        <v>59</v>
      </c>
      <c r="C1835" s="2" t="s">
        <v>8142</v>
      </c>
      <c r="D1835" s="3">
        <v>1294380</v>
      </c>
      <c r="E1835" s="3">
        <v>1294380</v>
      </c>
      <c r="F1835" s="2" t="s">
        <v>16</v>
      </c>
      <c r="G1835" s="2" t="s">
        <v>8143</v>
      </c>
      <c r="H1835" s="3">
        <v>0</v>
      </c>
      <c r="I1835" s="2" t="s">
        <v>409</v>
      </c>
      <c r="J1835" s="2" t="s">
        <v>8144</v>
      </c>
      <c r="K1835" s="2" t="s">
        <v>16</v>
      </c>
      <c r="L1835" s="2" t="s">
        <v>8145</v>
      </c>
      <c r="M1835" s="4">
        <v>90257.25</v>
      </c>
      <c r="N1835" t="b">
        <f>OR(LEFT(B1835,3)="frg",(_xlfn.XMATCH(B1835,ZZZ_Part_Id_[[#All],[FGCODE]])))</f>
        <v>1</v>
      </c>
    </row>
    <row r="1836" spans="1:14" x14ac:dyDescent="0.3">
      <c r="A1836" s="2" t="s">
        <v>8146</v>
      </c>
      <c r="B1836" s="2" t="s">
        <v>14</v>
      </c>
      <c r="C1836" s="2" t="s">
        <v>8147</v>
      </c>
      <c r="D1836" s="3">
        <v>140</v>
      </c>
      <c r="E1836" s="3">
        <v>140</v>
      </c>
      <c r="F1836" s="2" t="s">
        <v>16</v>
      </c>
      <c r="G1836" s="2" t="s">
        <v>8148</v>
      </c>
      <c r="H1836" s="3">
        <v>0</v>
      </c>
      <c r="I1836" s="2" t="s">
        <v>18</v>
      </c>
      <c r="J1836" s="2" t="s">
        <v>8149</v>
      </c>
      <c r="K1836" s="2" t="s">
        <v>16</v>
      </c>
      <c r="L1836" s="2" t="s">
        <v>8150</v>
      </c>
      <c r="M1836" s="4">
        <v>10.77</v>
      </c>
      <c r="N1836" t="e">
        <f>OR(LEFT(B1836,3)="frg",(_xlfn.XMATCH(B1836,ZZZ_Part_Id_[[#All],[FGCODE]])))</f>
        <v>#N/A</v>
      </c>
    </row>
    <row r="1837" spans="1:14" x14ac:dyDescent="0.3">
      <c r="A1837" s="2" t="s">
        <v>8146</v>
      </c>
      <c r="B1837" s="2" t="s">
        <v>740</v>
      </c>
      <c r="C1837" s="2" t="s">
        <v>8151</v>
      </c>
      <c r="D1837" s="3">
        <v>1019520</v>
      </c>
      <c r="E1837" s="3">
        <v>1019520</v>
      </c>
      <c r="F1837" s="2" t="s">
        <v>16</v>
      </c>
      <c r="G1837" s="2" t="s">
        <v>8152</v>
      </c>
      <c r="H1837" s="3">
        <v>0</v>
      </c>
      <c r="I1837" s="2" t="s">
        <v>18</v>
      </c>
      <c r="J1837" s="2" t="s">
        <v>8153</v>
      </c>
      <c r="K1837" s="2" t="s">
        <v>16</v>
      </c>
      <c r="L1837" s="2" t="s">
        <v>8154</v>
      </c>
      <c r="M1837" s="4">
        <v>202608.96</v>
      </c>
      <c r="N1837" t="b">
        <f>OR(LEFT(B1837,3)="frg",(_xlfn.XMATCH(B1837,ZZZ_Part_Id_[[#All],[FGCODE]])))</f>
        <v>1</v>
      </c>
    </row>
    <row r="1838" spans="1:14" x14ac:dyDescent="0.3">
      <c r="A1838" s="2" t="s">
        <v>8155</v>
      </c>
      <c r="B1838" s="2" t="s">
        <v>14</v>
      </c>
      <c r="C1838" s="2" t="s">
        <v>8156</v>
      </c>
      <c r="D1838" s="3">
        <v>10</v>
      </c>
      <c r="E1838" s="3">
        <v>10</v>
      </c>
      <c r="F1838" s="2" t="s">
        <v>16</v>
      </c>
      <c r="G1838" s="2" t="s">
        <v>8157</v>
      </c>
      <c r="H1838" s="3">
        <v>0</v>
      </c>
      <c r="I1838" s="2" t="s">
        <v>18</v>
      </c>
      <c r="J1838" s="2" t="s">
        <v>8158</v>
      </c>
      <c r="K1838" s="2" t="s">
        <v>16</v>
      </c>
      <c r="L1838" s="2" t="s">
        <v>8159</v>
      </c>
      <c r="M1838" s="4">
        <v>0.77</v>
      </c>
      <c r="N1838" t="e">
        <f>OR(LEFT(B1838,3)="frg",(_xlfn.XMATCH(B1838,ZZZ_Part_Id_[[#All],[FGCODE]])))</f>
        <v>#N/A</v>
      </c>
    </row>
    <row r="1839" spans="1:14" x14ac:dyDescent="0.3">
      <c r="A1839" s="2" t="s">
        <v>8155</v>
      </c>
      <c r="B1839" s="2" t="s">
        <v>1119</v>
      </c>
      <c r="C1839" s="2" t="s">
        <v>8160</v>
      </c>
      <c r="D1839" s="3">
        <v>50760</v>
      </c>
      <c r="E1839" s="3">
        <v>50760</v>
      </c>
      <c r="F1839" s="2" t="s">
        <v>16</v>
      </c>
      <c r="G1839" s="2" t="s">
        <v>8161</v>
      </c>
      <c r="H1839" s="3">
        <v>0</v>
      </c>
      <c r="I1839" s="2" t="s">
        <v>18</v>
      </c>
      <c r="J1839" s="2" t="s">
        <v>8162</v>
      </c>
      <c r="K1839" s="2" t="s">
        <v>16</v>
      </c>
      <c r="L1839" s="2" t="s">
        <v>8163</v>
      </c>
      <c r="M1839" s="4">
        <v>3666.4</v>
      </c>
      <c r="N1839" t="b">
        <f>OR(LEFT(B1839,3)="frg",(_xlfn.XMATCH(B1839,ZZZ_Part_Id_[[#All],[FGCODE]])))</f>
        <v>1</v>
      </c>
    </row>
    <row r="1840" spans="1:14" x14ac:dyDescent="0.3">
      <c r="A1840" s="2" t="s">
        <v>8164</v>
      </c>
      <c r="B1840" s="2" t="s">
        <v>14</v>
      </c>
      <c r="C1840" s="2" t="s">
        <v>8165</v>
      </c>
      <c r="D1840" s="3">
        <v>10</v>
      </c>
      <c r="E1840" s="3">
        <v>10</v>
      </c>
      <c r="F1840" s="2" t="s">
        <v>16</v>
      </c>
      <c r="G1840" s="2" t="s">
        <v>8166</v>
      </c>
      <c r="H1840" s="3">
        <v>0</v>
      </c>
      <c r="I1840" s="2" t="s">
        <v>18</v>
      </c>
      <c r="J1840" s="2" t="s">
        <v>8167</v>
      </c>
      <c r="K1840" s="2" t="s">
        <v>16</v>
      </c>
      <c r="L1840" s="2" t="s">
        <v>8168</v>
      </c>
      <c r="M1840" s="4">
        <v>0.77</v>
      </c>
      <c r="N1840" t="e">
        <f>OR(LEFT(B1840,3)="frg",(_xlfn.XMATCH(B1840,ZZZ_Part_Id_[[#All],[FGCODE]])))</f>
        <v>#N/A</v>
      </c>
    </row>
    <row r="1841" spans="1:14" x14ac:dyDescent="0.3">
      <c r="A1841" s="2" t="s">
        <v>8164</v>
      </c>
      <c r="B1841" s="2" t="s">
        <v>445</v>
      </c>
      <c r="C1841" s="2" t="s">
        <v>8169</v>
      </c>
      <c r="D1841" s="3">
        <v>126900</v>
      </c>
      <c r="E1841" s="3">
        <v>126900</v>
      </c>
      <c r="F1841" s="2" t="s">
        <v>16</v>
      </c>
      <c r="G1841" s="2" t="s">
        <v>8170</v>
      </c>
      <c r="H1841" s="3">
        <v>0</v>
      </c>
      <c r="I1841" s="2" t="s">
        <v>18</v>
      </c>
      <c r="J1841" s="2" t="s">
        <v>8171</v>
      </c>
      <c r="K1841" s="2" t="s">
        <v>16</v>
      </c>
      <c r="L1841" s="2" t="s">
        <v>8172</v>
      </c>
      <c r="M1841" s="4">
        <v>8819.5499999999993</v>
      </c>
      <c r="N1841" t="b">
        <f>OR(LEFT(B1841,3)="frg",(_xlfn.XMATCH(B1841,ZZZ_Part_Id_[[#All],[FGCODE]])))</f>
        <v>1</v>
      </c>
    </row>
    <row r="1842" spans="1:14" x14ac:dyDescent="0.3">
      <c r="A1842" s="2" t="s">
        <v>8173</v>
      </c>
      <c r="B1842" s="2" t="s">
        <v>14</v>
      </c>
      <c r="C1842" s="2" t="s">
        <v>8174</v>
      </c>
      <c r="D1842" s="3">
        <v>10</v>
      </c>
      <c r="E1842" s="3">
        <v>10</v>
      </c>
      <c r="F1842" s="2" t="s">
        <v>16</v>
      </c>
      <c r="G1842" s="2" t="s">
        <v>8175</v>
      </c>
      <c r="H1842" s="3">
        <v>0</v>
      </c>
      <c r="I1842" s="2" t="s">
        <v>18</v>
      </c>
      <c r="J1842" s="2" t="s">
        <v>8176</v>
      </c>
      <c r="K1842" s="2" t="s">
        <v>16</v>
      </c>
      <c r="L1842" s="2" t="s">
        <v>8177</v>
      </c>
      <c r="M1842" s="4">
        <v>0.77</v>
      </c>
      <c r="N1842" t="e">
        <f>OR(LEFT(B1842,3)="frg",(_xlfn.XMATCH(B1842,ZZZ_Part_Id_[[#All],[FGCODE]])))</f>
        <v>#N/A</v>
      </c>
    </row>
    <row r="1843" spans="1:14" x14ac:dyDescent="0.3">
      <c r="A1843" s="2" t="s">
        <v>8173</v>
      </c>
      <c r="B1843" s="2" t="s">
        <v>6977</v>
      </c>
      <c r="C1843" s="2" t="s">
        <v>8178</v>
      </c>
      <c r="D1843" s="3">
        <v>76140</v>
      </c>
      <c r="E1843" s="3">
        <v>76140</v>
      </c>
      <c r="F1843" s="2" t="s">
        <v>16</v>
      </c>
      <c r="G1843" s="2" t="s">
        <v>8179</v>
      </c>
      <c r="H1843" s="3">
        <v>0</v>
      </c>
      <c r="I1843" s="2" t="s">
        <v>18</v>
      </c>
      <c r="J1843" s="2" t="s">
        <v>8180</v>
      </c>
      <c r="K1843" s="2" t="s">
        <v>16</v>
      </c>
      <c r="L1843" s="2" t="s">
        <v>8181</v>
      </c>
      <c r="M1843" s="4">
        <v>692.1</v>
      </c>
      <c r="N1843" t="b">
        <f>OR(LEFT(B1843,3)="frg",(_xlfn.XMATCH(B1843,ZZZ_Part_Id_[[#All],[FGCODE]])))</f>
        <v>1</v>
      </c>
    </row>
    <row r="1844" spans="1:14" x14ac:dyDescent="0.3">
      <c r="A1844" s="2" t="s">
        <v>8182</v>
      </c>
      <c r="B1844" s="2" t="s">
        <v>14</v>
      </c>
      <c r="C1844" s="2" t="s">
        <v>8183</v>
      </c>
      <c r="D1844" s="3">
        <v>10</v>
      </c>
      <c r="E1844" s="3">
        <v>10</v>
      </c>
      <c r="F1844" s="2" t="s">
        <v>16</v>
      </c>
      <c r="G1844" s="2" t="s">
        <v>8184</v>
      </c>
      <c r="H1844" s="3">
        <v>0</v>
      </c>
      <c r="I1844" s="2" t="s">
        <v>409</v>
      </c>
      <c r="J1844" s="2" t="s">
        <v>8185</v>
      </c>
      <c r="K1844" s="2" t="s">
        <v>16</v>
      </c>
      <c r="L1844" s="2" t="s">
        <v>8186</v>
      </c>
      <c r="M1844" s="4">
        <v>0.77</v>
      </c>
      <c r="N1844" t="e">
        <f>OR(LEFT(B1844,3)="frg",(_xlfn.XMATCH(B1844,ZZZ_Part_Id_[[#All],[FGCODE]])))</f>
        <v>#N/A</v>
      </c>
    </row>
    <row r="1845" spans="1:14" x14ac:dyDescent="0.3">
      <c r="A1845" s="2" t="s">
        <v>8182</v>
      </c>
      <c r="B1845" s="2" t="s">
        <v>59</v>
      </c>
      <c r="C1845" s="2" t="s">
        <v>8187</v>
      </c>
      <c r="D1845" s="3">
        <v>203040</v>
      </c>
      <c r="E1845" s="3">
        <v>203040</v>
      </c>
      <c r="F1845" s="2" t="s">
        <v>16</v>
      </c>
      <c r="G1845" s="2" t="s">
        <v>8188</v>
      </c>
      <c r="H1845" s="3">
        <v>0</v>
      </c>
      <c r="I1845" s="2" t="s">
        <v>409</v>
      </c>
      <c r="J1845" s="2" t="s">
        <v>8189</v>
      </c>
      <c r="K1845" s="2" t="s">
        <v>16</v>
      </c>
      <c r="L1845" s="2" t="s">
        <v>8190</v>
      </c>
      <c r="M1845" s="4">
        <v>14158</v>
      </c>
      <c r="N1845" t="b">
        <f>OR(LEFT(B1845,3)="frg",(_xlfn.XMATCH(B1845,ZZZ_Part_Id_[[#All],[FGCODE]])))</f>
        <v>1</v>
      </c>
    </row>
    <row r="1846" spans="1:14" x14ac:dyDescent="0.3">
      <c r="A1846" s="2" t="s">
        <v>8191</v>
      </c>
      <c r="B1846" s="2" t="s">
        <v>14</v>
      </c>
      <c r="C1846" s="2" t="s">
        <v>8192</v>
      </c>
      <c r="D1846" s="3">
        <v>10</v>
      </c>
      <c r="E1846" s="3">
        <v>10</v>
      </c>
      <c r="F1846" s="2" t="s">
        <v>16</v>
      </c>
      <c r="G1846" s="2" t="s">
        <v>8193</v>
      </c>
      <c r="H1846" s="3">
        <v>0</v>
      </c>
      <c r="I1846" s="2" t="s">
        <v>18</v>
      </c>
      <c r="J1846" s="2" t="s">
        <v>8194</v>
      </c>
      <c r="K1846" s="2" t="s">
        <v>16</v>
      </c>
      <c r="L1846" s="2" t="s">
        <v>8195</v>
      </c>
      <c r="M1846" s="4">
        <v>0.77</v>
      </c>
      <c r="N1846" t="e">
        <f>OR(LEFT(B1846,3)="frg",(_xlfn.XMATCH(B1846,ZZZ_Part_Id_[[#All],[FGCODE]])))</f>
        <v>#N/A</v>
      </c>
    </row>
    <row r="1847" spans="1:14" x14ac:dyDescent="0.3">
      <c r="A1847" s="2" t="s">
        <v>8191</v>
      </c>
      <c r="B1847" s="2" t="s">
        <v>2127</v>
      </c>
      <c r="C1847" s="2" t="s">
        <v>8196</v>
      </c>
      <c r="D1847" s="3">
        <v>14904</v>
      </c>
      <c r="E1847" s="3">
        <v>14904</v>
      </c>
      <c r="F1847" s="2" t="s">
        <v>16</v>
      </c>
      <c r="G1847" s="2" t="s">
        <v>8197</v>
      </c>
      <c r="H1847" s="3">
        <v>0</v>
      </c>
      <c r="I1847" s="2" t="s">
        <v>18</v>
      </c>
      <c r="J1847" s="2" t="s">
        <v>8198</v>
      </c>
      <c r="K1847" s="2" t="s">
        <v>16</v>
      </c>
      <c r="L1847" s="2" t="s">
        <v>8199</v>
      </c>
      <c r="M1847" s="4">
        <v>3285</v>
      </c>
      <c r="N1847" t="b">
        <f>OR(LEFT(B1847,3)="frg",(_xlfn.XMATCH(B1847,ZZZ_Part_Id_[[#All],[FGCODE]])))</f>
        <v>1</v>
      </c>
    </row>
    <row r="1848" spans="1:14" x14ac:dyDescent="0.3">
      <c r="A1848" s="2" t="s">
        <v>8200</v>
      </c>
      <c r="B1848" s="2" t="s">
        <v>14</v>
      </c>
      <c r="C1848" s="2" t="s">
        <v>8201</v>
      </c>
      <c r="D1848" s="3">
        <v>140</v>
      </c>
      <c r="E1848" s="3">
        <v>140</v>
      </c>
      <c r="F1848" s="2" t="s">
        <v>16</v>
      </c>
      <c r="G1848" s="2" t="s">
        <v>8202</v>
      </c>
      <c r="H1848" s="3">
        <v>0</v>
      </c>
      <c r="I1848" s="2" t="s">
        <v>18</v>
      </c>
      <c r="J1848" s="2" t="s">
        <v>8203</v>
      </c>
      <c r="K1848" s="2" t="s">
        <v>16</v>
      </c>
      <c r="L1848" s="2" t="s">
        <v>8204</v>
      </c>
      <c r="M1848" s="4">
        <v>10.77</v>
      </c>
      <c r="N1848" t="e">
        <f>OR(LEFT(B1848,3)="frg",(_xlfn.XMATCH(B1848,ZZZ_Part_Id_[[#All],[FGCODE]])))</f>
        <v>#N/A</v>
      </c>
    </row>
    <row r="1849" spans="1:14" x14ac:dyDescent="0.3">
      <c r="A1849" s="2" t="s">
        <v>8200</v>
      </c>
      <c r="B1849" s="2" t="s">
        <v>1027</v>
      </c>
      <c r="C1849" s="2" t="s">
        <v>8205</v>
      </c>
      <c r="D1849" s="3">
        <v>573480</v>
      </c>
      <c r="E1849" s="3">
        <v>573480</v>
      </c>
      <c r="F1849" s="2" t="s">
        <v>16</v>
      </c>
      <c r="G1849" s="2" t="s">
        <v>8206</v>
      </c>
      <c r="H1849" s="3">
        <v>0</v>
      </c>
      <c r="I1849" s="2" t="s">
        <v>18</v>
      </c>
      <c r="J1849" s="2" t="s">
        <v>8207</v>
      </c>
      <c r="K1849" s="2" t="s">
        <v>16</v>
      </c>
      <c r="L1849" s="2" t="s">
        <v>8208</v>
      </c>
      <c r="M1849" s="4">
        <v>115401.24</v>
      </c>
      <c r="N1849" t="b">
        <f>OR(LEFT(B1849,3)="frg",(_xlfn.XMATCH(B1849,ZZZ_Part_Id_[[#All],[FGCODE]])))</f>
        <v>1</v>
      </c>
    </row>
    <row r="1850" spans="1:14" x14ac:dyDescent="0.3">
      <c r="A1850" s="2" t="s">
        <v>8209</v>
      </c>
      <c r="B1850" s="2" t="s">
        <v>4511</v>
      </c>
      <c r="C1850" s="2" t="s">
        <v>8210</v>
      </c>
      <c r="D1850" s="3">
        <v>268920</v>
      </c>
      <c r="E1850" s="3">
        <v>268920</v>
      </c>
      <c r="F1850" s="2" t="s">
        <v>16</v>
      </c>
      <c r="G1850" s="2" t="s">
        <v>8211</v>
      </c>
      <c r="H1850" s="3">
        <v>0</v>
      </c>
      <c r="I1850" s="2" t="s">
        <v>409</v>
      </c>
      <c r="J1850" s="2" t="s">
        <v>8212</v>
      </c>
      <c r="K1850" s="2" t="s">
        <v>16</v>
      </c>
      <c r="L1850" s="2" t="s">
        <v>8213</v>
      </c>
      <c r="M1850" s="4">
        <v>15481.71</v>
      </c>
      <c r="N1850" t="b">
        <f>OR(LEFT(B1850,3)="frg",(_xlfn.XMATCH(B1850,ZZZ_Part_Id_[[#All],[FGCODE]])))</f>
        <v>1</v>
      </c>
    </row>
    <row r="1851" spans="1:14" x14ac:dyDescent="0.3">
      <c r="A1851" s="2" t="s">
        <v>8214</v>
      </c>
      <c r="B1851" s="2" t="s">
        <v>14</v>
      </c>
      <c r="C1851" s="2" t="s">
        <v>8215</v>
      </c>
      <c r="D1851" s="3">
        <v>4</v>
      </c>
      <c r="E1851" s="3">
        <v>4</v>
      </c>
      <c r="F1851" s="2" t="s">
        <v>16</v>
      </c>
      <c r="G1851" s="2" t="s">
        <v>8216</v>
      </c>
      <c r="H1851" s="3">
        <v>0</v>
      </c>
      <c r="I1851" s="2" t="s">
        <v>18</v>
      </c>
      <c r="J1851" s="2" t="s">
        <v>8217</v>
      </c>
      <c r="K1851" s="2" t="s">
        <v>16</v>
      </c>
      <c r="L1851" s="2" t="s">
        <v>8218</v>
      </c>
      <c r="M1851" s="4">
        <v>0.31</v>
      </c>
      <c r="N1851" t="e">
        <f>OR(LEFT(B1851,3)="frg",(_xlfn.XMATCH(B1851,ZZZ_Part_Id_[[#All],[FGCODE]])))</f>
        <v>#N/A</v>
      </c>
    </row>
    <row r="1852" spans="1:14" x14ac:dyDescent="0.3">
      <c r="A1852" s="2" t="s">
        <v>8214</v>
      </c>
      <c r="B1852" s="2" t="s">
        <v>86</v>
      </c>
      <c r="C1852" s="2" t="s">
        <v>8219</v>
      </c>
      <c r="D1852" s="5">
        <v>-140</v>
      </c>
      <c r="E1852" s="5">
        <v>-140</v>
      </c>
      <c r="F1852" s="2" t="s">
        <v>23</v>
      </c>
      <c r="G1852" s="2" t="s">
        <v>8220</v>
      </c>
      <c r="H1852" s="3">
        <v>0</v>
      </c>
      <c r="I1852" s="2" t="s">
        <v>18</v>
      </c>
      <c r="J1852" s="2" t="s">
        <v>8221</v>
      </c>
      <c r="K1852" s="2" t="s">
        <v>23</v>
      </c>
      <c r="L1852" s="2" t="s">
        <v>8222</v>
      </c>
      <c r="M1852" s="6">
        <v>-366.49</v>
      </c>
      <c r="N1852" t="b">
        <f>OR(LEFT(B1852,3)="frg",(_xlfn.XMATCH(B1852,ZZZ_Part_Id_[[#All],[FGCODE]])))</f>
        <v>1</v>
      </c>
    </row>
    <row r="1853" spans="1:14" x14ac:dyDescent="0.3">
      <c r="A1853" s="2" t="s">
        <v>8214</v>
      </c>
      <c r="B1853" s="2" t="s">
        <v>2803</v>
      </c>
      <c r="C1853" s="2" t="s">
        <v>8223</v>
      </c>
      <c r="D1853" s="3">
        <v>10080</v>
      </c>
      <c r="E1853" s="3">
        <v>10080</v>
      </c>
      <c r="F1853" s="2" t="s">
        <v>16</v>
      </c>
      <c r="G1853" s="2" t="s">
        <v>8224</v>
      </c>
      <c r="H1853" s="3">
        <v>0</v>
      </c>
      <c r="I1853" s="2" t="s">
        <v>18</v>
      </c>
      <c r="J1853" s="2" t="s">
        <v>8225</v>
      </c>
      <c r="K1853" s="2" t="s">
        <v>16</v>
      </c>
      <c r="L1853" s="2" t="s">
        <v>8226</v>
      </c>
      <c r="M1853" s="4">
        <v>1961.77</v>
      </c>
      <c r="N1853" t="b">
        <f>OR(LEFT(B1853,3)="frg",(_xlfn.XMATCH(B1853,ZZZ_Part_Id_[[#All],[FGCODE]])))</f>
        <v>1</v>
      </c>
    </row>
    <row r="1854" spans="1:14" x14ac:dyDescent="0.3">
      <c r="A1854" s="2" t="s">
        <v>8227</v>
      </c>
      <c r="B1854" s="2" t="s">
        <v>2803</v>
      </c>
      <c r="C1854" s="2" t="s">
        <v>8228</v>
      </c>
      <c r="D1854" s="3">
        <v>10080</v>
      </c>
      <c r="E1854" s="3">
        <v>10080</v>
      </c>
      <c r="F1854" s="2" t="s">
        <v>16</v>
      </c>
      <c r="G1854" s="2" t="s">
        <v>8229</v>
      </c>
      <c r="H1854" s="3">
        <v>0</v>
      </c>
      <c r="I1854" s="2" t="s">
        <v>18</v>
      </c>
      <c r="J1854" s="2" t="s">
        <v>8230</v>
      </c>
      <c r="K1854" s="2" t="s">
        <v>16</v>
      </c>
      <c r="L1854" s="2" t="s">
        <v>8231</v>
      </c>
      <c r="M1854" s="4">
        <v>1961.77</v>
      </c>
      <c r="N1854" t="b">
        <f>OR(LEFT(B1854,3)="frg",(_xlfn.XMATCH(B1854,ZZZ_Part_Id_[[#All],[FGCODE]])))</f>
        <v>1</v>
      </c>
    </row>
    <row r="1855" spans="1:14" x14ac:dyDescent="0.3">
      <c r="A1855" s="2" t="s">
        <v>8227</v>
      </c>
      <c r="B1855" s="2" t="s">
        <v>2803</v>
      </c>
      <c r="C1855" s="2" t="s">
        <v>8232</v>
      </c>
      <c r="D1855" s="3">
        <v>10080</v>
      </c>
      <c r="E1855" s="3">
        <v>10080</v>
      </c>
      <c r="F1855" s="2" t="s">
        <v>16</v>
      </c>
      <c r="G1855" s="2" t="s">
        <v>8233</v>
      </c>
      <c r="H1855" s="3">
        <v>0</v>
      </c>
      <c r="I1855" s="2" t="s">
        <v>18</v>
      </c>
      <c r="J1855" s="2" t="s">
        <v>8234</v>
      </c>
      <c r="K1855" s="2" t="s">
        <v>16</v>
      </c>
      <c r="L1855" s="2" t="s">
        <v>8235</v>
      </c>
      <c r="M1855" s="4">
        <v>1961.77</v>
      </c>
      <c r="N1855" t="b">
        <f>OR(LEFT(B1855,3)="frg",(_xlfn.XMATCH(B1855,ZZZ_Part_Id_[[#All],[FGCODE]])))</f>
        <v>1</v>
      </c>
    </row>
    <row r="1856" spans="1:14" x14ac:dyDescent="0.3">
      <c r="A1856" s="2" t="s">
        <v>8236</v>
      </c>
      <c r="B1856" s="2" t="s">
        <v>6955</v>
      </c>
      <c r="C1856" s="2" t="s">
        <v>8237</v>
      </c>
      <c r="D1856" s="3">
        <v>20880</v>
      </c>
      <c r="E1856" s="3">
        <v>20880</v>
      </c>
      <c r="F1856" s="2" t="s">
        <v>16</v>
      </c>
      <c r="G1856" s="2" t="s">
        <v>8238</v>
      </c>
      <c r="H1856" s="3">
        <v>0</v>
      </c>
      <c r="I1856" s="2" t="s">
        <v>18</v>
      </c>
      <c r="J1856" s="2" t="s">
        <v>8239</v>
      </c>
      <c r="K1856" s="2" t="s">
        <v>16</v>
      </c>
      <c r="L1856" s="2" t="s">
        <v>8240</v>
      </c>
      <c r="M1856" s="4">
        <v>1887.76</v>
      </c>
      <c r="N1856" t="b">
        <f>OR(LEFT(B1856,3)="frg",(_xlfn.XMATCH(B1856,ZZZ_Part_Id_[[#All],[FGCODE]])))</f>
        <v>1</v>
      </c>
    </row>
    <row r="1857" spans="1:14" x14ac:dyDescent="0.3">
      <c r="A1857" s="2" t="s">
        <v>8241</v>
      </c>
      <c r="B1857" s="2" t="s">
        <v>1327</v>
      </c>
      <c r="C1857" s="2" t="s">
        <v>8242</v>
      </c>
      <c r="D1857" s="3">
        <v>62640</v>
      </c>
      <c r="E1857" s="3">
        <v>62640</v>
      </c>
      <c r="F1857" s="2" t="s">
        <v>16</v>
      </c>
      <c r="G1857" s="2" t="s">
        <v>8243</v>
      </c>
      <c r="H1857" s="3">
        <v>0</v>
      </c>
      <c r="I1857" s="2" t="s">
        <v>18</v>
      </c>
      <c r="J1857" s="2" t="s">
        <v>8244</v>
      </c>
      <c r="K1857" s="2" t="s">
        <v>16</v>
      </c>
      <c r="L1857" s="2" t="s">
        <v>8245</v>
      </c>
      <c r="M1857" s="4">
        <v>5804.85</v>
      </c>
      <c r="N1857" t="b">
        <f>OR(LEFT(B1857,3)="frg",(_xlfn.XMATCH(B1857,ZZZ_Part_Id_[[#All],[FGCODE]])))</f>
        <v>1</v>
      </c>
    </row>
    <row r="1858" spans="1:14" x14ac:dyDescent="0.3">
      <c r="A1858" s="2" t="s">
        <v>8246</v>
      </c>
      <c r="B1858" s="2" t="s">
        <v>86</v>
      </c>
      <c r="C1858" s="2" t="s">
        <v>8247</v>
      </c>
      <c r="D1858" s="5">
        <v>-1305</v>
      </c>
      <c r="E1858" s="5">
        <v>-1305</v>
      </c>
      <c r="F1858" s="2" t="s">
        <v>23</v>
      </c>
      <c r="G1858" s="2" t="s">
        <v>8248</v>
      </c>
      <c r="H1858" s="3">
        <v>0</v>
      </c>
      <c r="I1858" s="2" t="s">
        <v>18</v>
      </c>
      <c r="J1858" s="2" t="s">
        <v>8249</v>
      </c>
      <c r="K1858" s="2" t="s">
        <v>23</v>
      </c>
      <c r="L1858" s="2" t="s">
        <v>8250</v>
      </c>
      <c r="M1858" s="6">
        <v>-3416.23</v>
      </c>
      <c r="N1858" t="b">
        <f>OR(LEFT(B1858,3)="frg",(_xlfn.XMATCH(B1858,ZZZ_Part_Id_[[#All],[FGCODE]])))</f>
        <v>1</v>
      </c>
    </row>
    <row r="1859" spans="1:14" x14ac:dyDescent="0.3">
      <c r="A1859" s="2" t="s">
        <v>8246</v>
      </c>
      <c r="B1859" s="2" t="s">
        <v>2539</v>
      </c>
      <c r="C1859" s="2" t="s">
        <v>8251</v>
      </c>
      <c r="D1859" s="3">
        <v>146160</v>
      </c>
      <c r="E1859" s="3">
        <v>146160</v>
      </c>
      <c r="F1859" s="2" t="s">
        <v>16</v>
      </c>
      <c r="G1859" s="2" t="s">
        <v>8252</v>
      </c>
      <c r="H1859" s="3">
        <v>0</v>
      </c>
      <c r="I1859" s="2" t="s">
        <v>18</v>
      </c>
      <c r="J1859" s="2" t="s">
        <v>8253</v>
      </c>
      <c r="K1859" s="2" t="s">
        <v>16</v>
      </c>
      <c r="L1859" s="2" t="s">
        <v>8254</v>
      </c>
      <c r="M1859" s="4">
        <v>13318.13</v>
      </c>
      <c r="N1859" t="b">
        <f>OR(LEFT(B1859,3)="frg",(_xlfn.XMATCH(B1859,ZZZ_Part_Id_[[#All],[FGCODE]])))</f>
        <v>1</v>
      </c>
    </row>
    <row r="1860" spans="1:14" x14ac:dyDescent="0.3">
      <c r="A1860" s="2" t="s">
        <v>8255</v>
      </c>
      <c r="B1860" s="2" t="s">
        <v>8256</v>
      </c>
      <c r="C1860" s="2" t="s">
        <v>8257</v>
      </c>
      <c r="D1860" s="3">
        <v>19456</v>
      </c>
      <c r="E1860" s="3">
        <v>19456</v>
      </c>
      <c r="F1860" s="2" t="s">
        <v>16</v>
      </c>
      <c r="G1860" s="2" t="s">
        <v>8258</v>
      </c>
      <c r="H1860" s="3">
        <v>0</v>
      </c>
      <c r="I1860" s="2" t="s">
        <v>409</v>
      </c>
      <c r="J1860" s="2" t="s">
        <v>8259</v>
      </c>
      <c r="K1860" s="2" t="s">
        <v>16</v>
      </c>
      <c r="L1860" s="2" t="s">
        <v>8260</v>
      </c>
      <c r="M1860" s="4">
        <v>6630.6</v>
      </c>
      <c r="N1860" t="b">
        <f>OR(LEFT(B1860,3)="frg",(_xlfn.XMATCH(B1860,ZZZ_Part_Id_[[#All],[FGCODE]])))</f>
        <v>1</v>
      </c>
    </row>
    <row r="1861" spans="1:14" x14ac:dyDescent="0.3">
      <c r="A1861" s="2" t="s">
        <v>8261</v>
      </c>
      <c r="B1861" s="2" t="s">
        <v>5347</v>
      </c>
      <c r="C1861" s="2" t="s">
        <v>8262</v>
      </c>
      <c r="D1861" s="3">
        <v>6624</v>
      </c>
      <c r="E1861" s="3">
        <v>6624</v>
      </c>
      <c r="F1861" s="2" t="s">
        <v>16</v>
      </c>
      <c r="G1861" s="2" t="s">
        <v>8263</v>
      </c>
      <c r="H1861" s="3">
        <v>0</v>
      </c>
      <c r="I1861" s="2" t="s">
        <v>18</v>
      </c>
      <c r="J1861" s="2" t="s">
        <v>35</v>
      </c>
      <c r="K1861" s="2" t="s">
        <v>16</v>
      </c>
      <c r="L1861" s="2" t="s">
        <v>8264</v>
      </c>
      <c r="M1861" s="4">
        <v>1944.34</v>
      </c>
      <c r="N1861" t="b">
        <f>OR(LEFT(B1861,3)="frg",(_xlfn.XMATCH(B1861,ZZZ_Part_Id_[[#All],[FGCODE]])))</f>
        <v>1</v>
      </c>
    </row>
    <row r="1862" spans="1:14" x14ac:dyDescent="0.3">
      <c r="A1862" s="2" t="s">
        <v>8261</v>
      </c>
      <c r="B1862" s="2" t="s">
        <v>4791</v>
      </c>
      <c r="C1862" s="2" t="s">
        <v>8265</v>
      </c>
      <c r="D1862" s="3">
        <v>6624</v>
      </c>
      <c r="E1862" s="3">
        <v>6624</v>
      </c>
      <c r="F1862" s="2" t="s">
        <v>16</v>
      </c>
      <c r="G1862" s="2" t="s">
        <v>8266</v>
      </c>
      <c r="H1862" s="3">
        <v>0</v>
      </c>
      <c r="I1862" s="2" t="s">
        <v>18</v>
      </c>
      <c r="J1862" s="2" t="s">
        <v>35</v>
      </c>
      <c r="K1862" s="2" t="s">
        <v>16</v>
      </c>
      <c r="L1862" s="2" t="s">
        <v>8267</v>
      </c>
      <c r="M1862" s="4">
        <v>1944.34</v>
      </c>
      <c r="N1862" t="b">
        <f>OR(LEFT(B1862,3)="frg",(_xlfn.XMATCH(B1862,ZZZ_Part_Id_[[#All],[FGCODE]])))</f>
        <v>1</v>
      </c>
    </row>
    <row r="1863" spans="1:14" x14ac:dyDescent="0.3">
      <c r="A1863" s="2" t="s">
        <v>8268</v>
      </c>
      <c r="B1863" s="2" t="s">
        <v>8269</v>
      </c>
      <c r="C1863" s="2" t="s">
        <v>8270</v>
      </c>
      <c r="D1863" s="3">
        <v>9550</v>
      </c>
      <c r="E1863" s="3">
        <v>3985.3649999999998</v>
      </c>
      <c r="F1863" s="2" t="s">
        <v>16</v>
      </c>
      <c r="G1863" s="2" t="s">
        <v>8271</v>
      </c>
      <c r="H1863" s="3">
        <v>0</v>
      </c>
      <c r="I1863" s="2" t="s">
        <v>18</v>
      </c>
      <c r="J1863" s="2" t="s">
        <v>8272</v>
      </c>
      <c r="K1863" s="2" t="s">
        <v>16</v>
      </c>
      <c r="L1863" s="2" t="s">
        <v>8273</v>
      </c>
      <c r="M1863" s="4">
        <v>88.79</v>
      </c>
      <c r="N1863" t="e">
        <f>OR(LEFT(B1863,3)="frg",(_xlfn.XMATCH(B1863,ZZZ_Part_Id_[[#All],[FGCODE]])))</f>
        <v>#N/A</v>
      </c>
    </row>
    <row r="1864" spans="1:14" x14ac:dyDescent="0.3">
      <c r="A1864" s="2" t="s">
        <v>8268</v>
      </c>
      <c r="B1864" s="2" t="s">
        <v>2209</v>
      </c>
      <c r="C1864" s="2" t="s">
        <v>8274</v>
      </c>
      <c r="D1864" s="3">
        <v>50</v>
      </c>
      <c r="E1864" s="3">
        <v>50</v>
      </c>
      <c r="F1864" s="2" t="s">
        <v>47</v>
      </c>
      <c r="G1864" s="2" t="s">
        <v>8275</v>
      </c>
      <c r="H1864" s="3">
        <v>0</v>
      </c>
      <c r="I1864" s="2" t="s">
        <v>18</v>
      </c>
      <c r="J1864" s="2" t="s">
        <v>8276</v>
      </c>
      <c r="K1864" s="2" t="s">
        <v>47</v>
      </c>
      <c r="L1864" s="2" t="s">
        <v>8277</v>
      </c>
      <c r="M1864" s="4">
        <v>76.88</v>
      </c>
      <c r="N1864" t="e">
        <f>OR(LEFT(B1864,3)="frg",(_xlfn.XMATCH(B1864,ZZZ_Part_Id_[[#All],[FGCODE]])))</f>
        <v>#N/A</v>
      </c>
    </row>
    <row r="1865" spans="1:14" x14ac:dyDescent="0.3">
      <c r="A1865" s="2" t="s">
        <v>8268</v>
      </c>
      <c r="B1865" s="2" t="s">
        <v>8278</v>
      </c>
      <c r="C1865" s="2" t="s">
        <v>8279</v>
      </c>
      <c r="D1865" s="3">
        <v>7.415</v>
      </c>
      <c r="E1865" s="3">
        <v>7.415</v>
      </c>
      <c r="F1865" s="2" t="s">
        <v>23</v>
      </c>
      <c r="G1865" s="2" t="s">
        <v>8280</v>
      </c>
      <c r="H1865" s="3">
        <v>0</v>
      </c>
      <c r="I1865" s="2" t="s">
        <v>18</v>
      </c>
      <c r="J1865" s="2" t="s">
        <v>8281</v>
      </c>
      <c r="K1865" s="2" t="s">
        <v>23</v>
      </c>
      <c r="L1865" s="2" t="s">
        <v>8282</v>
      </c>
      <c r="M1865" s="4">
        <v>53.02</v>
      </c>
      <c r="N1865" t="e">
        <f>OR(LEFT(B1865,3)="frg",(_xlfn.XMATCH(B1865,ZZZ_Part_Id_[[#All],[FGCODE]])))</f>
        <v>#N/A</v>
      </c>
    </row>
    <row r="1866" spans="1:14" x14ac:dyDescent="0.3">
      <c r="A1866" s="2" t="s">
        <v>8268</v>
      </c>
      <c r="B1866" s="2" t="s">
        <v>14</v>
      </c>
      <c r="C1866" s="2" t="s">
        <v>8283</v>
      </c>
      <c r="D1866" s="3">
        <v>5</v>
      </c>
      <c r="E1866" s="3">
        <v>5</v>
      </c>
      <c r="F1866" s="2" t="s">
        <v>16</v>
      </c>
      <c r="G1866" s="2" t="s">
        <v>8284</v>
      </c>
      <c r="H1866" s="3">
        <v>0</v>
      </c>
      <c r="I1866" s="2" t="s">
        <v>18</v>
      </c>
      <c r="J1866" s="2" t="s">
        <v>8285</v>
      </c>
      <c r="K1866" s="2" t="s">
        <v>16</v>
      </c>
      <c r="L1866" s="2" t="s">
        <v>8286</v>
      </c>
      <c r="M1866" s="4">
        <v>0.38</v>
      </c>
      <c r="N1866" t="e">
        <f>OR(LEFT(B1866,3)="frg",(_xlfn.XMATCH(B1866,ZZZ_Part_Id_[[#All],[FGCODE]])))</f>
        <v>#N/A</v>
      </c>
    </row>
    <row r="1867" spans="1:14" x14ac:dyDescent="0.3">
      <c r="A1867" s="2" t="s">
        <v>8268</v>
      </c>
      <c r="B1867" s="2" t="s">
        <v>140</v>
      </c>
      <c r="C1867" s="2" t="s">
        <v>8287</v>
      </c>
      <c r="D1867" s="3">
        <v>0.83499999999999996</v>
      </c>
      <c r="E1867" s="3">
        <v>0.83499999999999996</v>
      </c>
      <c r="F1867" s="2" t="s">
        <v>16</v>
      </c>
      <c r="G1867" s="2" t="s">
        <v>8288</v>
      </c>
      <c r="H1867" s="3">
        <v>0</v>
      </c>
      <c r="I1867" s="2" t="s">
        <v>18</v>
      </c>
      <c r="J1867" s="2" t="s">
        <v>8289</v>
      </c>
      <c r="K1867" s="2" t="s">
        <v>16</v>
      </c>
      <c r="L1867" s="2" t="s">
        <v>8290</v>
      </c>
      <c r="M1867" s="4">
        <v>1.6</v>
      </c>
      <c r="N1867" t="e">
        <f>OR(LEFT(B1867,3)="frg",(_xlfn.XMATCH(B1867,ZZZ_Part_Id_[[#All],[FGCODE]])))</f>
        <v>#N/A</v>
      </c>
    </row>
    <row r="1868" spans="1:14" x14ac:dyDescent="0.3">
      <c r="A1868" s="2" t="s">
        <v>8268</v>
      </c>
      <c r="B1868" s="2" t="s">
        <v>8291</v>
      </c>
      <c r="C1868" s="2" t="s">
        <v>8292</v>
      </c>
      <c r="D1868" s="3">
        <v>0.32</v>
      </c>
      <c r="E1868" s="3">
        <v>0.32</v>
      </c>
      <c r="F1868" s="2" t="s">
        <v>23</v>
      </c>
      <c r="G1868" s="2" t="s">
        <v>8293</v>
      </c>
      <c r="H1868" s="3">
        <v>0</v>
      </c>
      <c r="I1868" s="2" t="s">
        <v>18</v>
      </c>
      <c r="J1868" s="2" t="s">
        <v>8294</v>
      </c>
      <c r="K1868" s="2" t="s">
        <v>23</v>
      </c>
      <c r="L1868" s="2" t="s">
        <v>8295</v>
      </c>
      <c r="M1868" s="4">
        <v>5.84</v>
      </c>
      <c r="N1868" t="e">
        <f>OR(LEFT(B1868,3)="frg",(_xlfn.XMATCH(B1868,ZZZ_Part_Id_[[#All],[FGCODE]])))</f>
        <v>#N/A</v>
      </c>
    </row>
    <row r="1869" spans="1:14" x14ac:dyDescent="0.3">
      <c r="A1869" s="2" t="s">
        <v>8268</v>
      </c>
      <c r="B1869" s="2" t="s">
        <v>8296</v>
      </c>
      <c r="C1869" s="2" t="s">
        <v>8297</v>
      </c>
      <c r="D1869" s="3">
        <v>0.02</v>
      </c>
      <c r="E1869" s="3">
        <v>0.02</v>
      </c>
      <c r="F1869" s="2" t="s">
        <v>23</v>
      </c>
      <c r="G1869" s="2" t="s">
        <v>8298</v>
      </c>
      <c r="H1869" s="3">
        <v>0</v>
      </c>
      <c r="I1869" s="2" t="s">
        <v>18</v>
      </c>
      <c r="J1869" s="2" t="s">
        <v>8299</v>
      </c>
      <c r="K1869" s="2" t="s">
        <v>23</v>
      </c>
      <c r="L1869" s="2" t="s">
        <v>8300</v>
      </c>
      <c r="M1869" s="4">
        <v>1.53</v>
      </c>
      <c r="N1869" t="e">
        <f>OR(LEFT(B1869,3)="frg",(_xlfn.XMATCH(B1869,ZZZ_Part_Id_[[#All],[FGCODE]])))</f>
        <v>#N/A</v>
      </c>
    </row>
    <row r="1870" spans="1:14" x14ac:dyDescent="0.3">
      <c r="A1870" s="2" t="s">
        <v>8268</v>
      </c>
      <c r="B1870" s="2" t="s">
        <v>264</v>
      </c>
      <c r="C1870" s="2" t="s">
        <v>8301</v>
      </c>
      <c r="D1870" s="3">
        <v>5.0000000000000001E-3</v>
      </c>
      <c r="E1870" s="3">
        <v>5.0000000000000001E-3</v>
      </c>
      <c r="F1870" s="2" t="s">
        <v>16</v>
      </c>
      <c r="G1870" s="2" t="s">
        <v>8302</v>
      </c>
      <c r="H1870" s="3">
        <v>0</v>
      </c>
      <c r="I1870" s="2" t="s">
        <v>18</v>
      </c>
      <c r="J1870" s="2" t="s">
        <v>8303</v>
      </c>
      <c r="K1870" s="2" t="s">
        <v>16</v>
      </c>
      <c r="L1870" s="2" t="s">
        <v>8304</v>
      </c>
      <c r="M1870" s="4">
        <v>0.19</v>
      </c>
      <c r="N1870" t="e">
        <f>OR(LEFT(B1870,3)="frg",(_xlfn.XMATCH(B1870,ZZZ_Part_Id_[[#All],[FGCODE]])))</f>
        <v>#N/A</v>
      </c>
    </row>
    <row r="1871" spans="1:14" x14ac:dyDescent="0.3">
      <c r="A1871" s="2" t="s">
        <v>8268</v>
      </c>
      <c r="B1871" s="2" t="s">
        <v>45</v>
      </c>
      <c r="C1871" s="2" t="s">
        <v>8305</v>
      </c>
      <c r="D1871" s="3">
        <v>0.42</v>
      </c>
      <c r="E1871" s="3">
        <v>0.42</v>
      </c>
      <c r="F1871" s="2" t="s">
        <v>47</v>
      </c>
      <c r="G1871" s="2" t="s">
        <v>8306</v>
      </c>
      <c r="H1871" s="3">
        <v>0</v>
      </c>
      <c r="I1871" s="2" t="s">
        <v>18</v>
      </c>
      <c r="J1871" s="2" t="s">
        <v>8307</v>
      </c>
      <c r="K1871" s="2" t="s">
        <v>47</v>
      </c>
      <c r="L1871" s="2" t="s">
        <v>8308</v>
      </c>
      <c r="M1871" s="4">
        <v>25.51</v>
      </c>
      <c r="N1871" t="e">
        <f>OR(LEFT(B1871,3)="frg",(_xlfn.XMATCH(B1871,ZZZ_Part_Id_[[#All],[FGCODE]])))</f>
        <v>#N/A</v>
      </c>
    </row>
    <row r="1872" spans="1:14" x14ac:dyDescent="0.3">
      <c r="A1872" s="2" t="s">
        <v>8268</v>
      </c>
      <c r="B1872" s="2" t="s">
        <v>4365</v>
      </c>
      <c r="C1872" s="2" t="s">
        <v>8309</v>
      </c>
      <c r="D1872" s="3">
        <v>9450</v>
      </c>
      <c r="E1872" s="3">
        <v>9450</v>
      </c>
      <c r="F1872" s="2" t="s">
        <v>16</v>
      </c>
      <c r="G1872" s="2" t="s">
        <v>8310</v>
      </c>
      <c r="H1872" s="3">
        <v>0</v>
      </c>
      <c r="I1872" s="2" t="s">
        <v>18</v>
      </c>
      <c r="J1872" s="2" t="s">
        <v>8311</v>
      </c>
      <c r="K1872" s="2" t="s">
        <v>16</v>
      </c>
      <c r="L1872" s="2" t="s">
        <v>8312</v>
      </c>
      <c r="M1872" s="4">
        <v>3561.05</v>
      </c>
      <c r="N1872" t="b">
        <f>OR(LEFT(B1872,3)="frg",(_xlfn.XMATCH(B1872,ZZZ_Part_Id_[[#All],[FGCODE]])))</f>
        <v>1</v>
      </c>
    </row>
    <row r="1873" spans="1:14" x14ac:dyDescent="0.3">
      <c r="A1873" s="2" t="s">
        <v>8313</v>
      </c>
      <c r="B1873" s="2" t="s">
        <v>740</v>
      </c>
      <c r="C1873" s="2" t="s">
        <v>8314</v>
      </c>
      <c r="D1873" s="3">
        <v>106200</v>
      </c>
      <c r="E1873" s="3">
        <v>0</v>
      </c>
      <c r="F1873" s="2" t="s">
        <v>16</v>
      </c>
      <c r="G1873" s="2" t="s">
        <v>8315</v>
      </c>
      <c r="H1873" s="3">
        <v>0</v>
      </c>
      <c r="I1873" s="2" t="s">
        <v>18</v>
      </c>
      <c r="J1873" s="2" t="s">
        <v>8316</v>
      </c>
      <c r="K1873" s="2" t="s">
        <v>16</v>
      </c>
      <c r="L1873" s="2" t="s">
        <v>8317</v>
      </c>
      <c r="M1873" s="4">
        <v>0</v>
      </c>
      <c r="N1873" t="b">
        <f>OR(LEFT(B1873,3)="frg",(_xlfn.XMATCH(B1873,ZZZ_Part_Id_[[#All],[FGCODE]])))</f>
        <v>1</v>
      </c>
    </row>
    <row r="1874" spans="1:14" x14ac:dyDescent="0.3">
      <c r="A1874" s="2" t="s">
        <v>8313</v>
      </c>
      <c r="B1874" s="2" t="s">
        <v>103</v>
      </c>
      <c r="C1874" s="2" t="s">
        <v>8318</v>
      </c>
      <c r="D1874" s="3">
        <v>106200</v>
      </c>
      <c r="E1874" s="3">
        <v>106200</v>
      </c>
      <c r="F1874" s="2" t="s">
        <v>16</v>
      </c>
      <c r="G1874" s="2" t="s">
        <v>131</v>
      </c>
      <c r="H1874" s="3">
        <v>0</v>
      </c>
      <c r="I1874" s="2" t="s">
        <v>18</v>
      </c>
      <c r="J1874" s="2" t="s">
        <v>8319</v>
      </c>
      <c r="K1874" s="2" t="s">
        <v>16</v>
      </c>
      <c r="L1874" s="2" t="s">
        <v>8320</v>
      </c>
      <c r="M1874" s="4">
        <v>21255.9</v>
      </c>
      <c r="N1874" t="b">
        <f>OR(LEFT(B1874,3)="frg",(_xlfn.XMATCH(B1874,ZZZ_Part_Id_[[#All],[FGCODE]])))</f>
        <v>1</v>
      </c>
    </row>
    <row r="1875" spans="1:14" x14ac:dyDescent="0.3">
      <c r="A1875" s="2" t="s">
        <v>8321</v>
      </c>
      <c r="B1875" s="2" t="s">
        <v>65</v>
      </c>
      <c r="C1875" s="2" t="s">
        <v>8322</v>
      </c>
      <c r="D1875" s="5">
        <v>-323</v>
      </c>
      <c r="E1875" s="5">
        <v>-323</v>
      </c>
      <c r="F1875" s="2" t="s">
        <v>23</v>
      </c>
      <c r="G1875" s="2" t="s">
        <v>8323</v>
      </c>
      <c r="H1875" s="3">
        <v>0</v>
      </c>
      <c r="I1875" s="2" t="s">
        <v>18</v>
      </c>
      <c r="J1875" s="2" t="s">
        <v>8324</v>
      </c>
      <c r="K1875" s="2" t="s">
        <v>23</v>
      </c>
      <c r="L1875" s="2" t="s">
        <v>8325</v>
      </c>
      <c r="M1875" s="6">
        <v>-830.63</v>
      </c>
      <c r="N1875" t="b">
        <f>OR(LEFT(B1875,3)="frg",(_xlfn.XMATCH(B1875,ZZZ_Part_Id_[[#All],[FGCODE]])))</f>
        <v>1</v>
      </c>
    </row>
    <row r="1876" spans="1:14" x14ac:dyDescent="0.3">
      <c r="A1876" s="2" t="s">
        <v>8321</v>
      </c>
      <c r="B1876" s="2" t="s">
        <v>740</v>
      </c>
      <c r="C1876" s="2" t="s">
        <v>8326</v>
      </c>
      <c r="D1876" s="3">
        <v>63720</v>
      </c>
      <c r="E1876" s="3">
        <v>63720</v>
      </c>
      <c r="F1876" s="2" t="s">
        <v>16</v>
      </c>
      <c r="G1876" s="2" t="s">
        <v>8327</v>
      </c>
      <c r="H1876" s="3">
        <v>0</v>
      </c>
      <c r="I1876" s="2" t="s">
        <v>18</v>
      </c>
      <c r="J1876" s="2" t="s">
        <v>8328</v>
      </c>
      <c r="K1876" s="2" t="s">
        <v>16</v>
      </c>
      <c r="L1876" s="2" t="s">
        <v>8329</v>
      </c>
      <c r="M1876" s="4">
        <v>12663.06</v>
      </c>
      <c r="N1876" t="b">
        <f>OR(LEFT(B1876,3)="frg",(_xlfn.XMATCH(B1876,ZZZ_Part_Id_[[#All],[FGCODE]])))</f>
        <v>1</v>
      </c>
    </row>
    <row r="1877" spans="1:14" x14ac:dyDescent="0.3">
      <c r="A1877" s="2" t="s">
        <v>8330</v>
      </c>
      <c r="B1877" s="2" t="s">
        <v>2100</v>
      </c>
      <c r="C1877" s="2" t="s">
        <v>8331</v>
      </c>
      <c r="D1877" s="3">
        <v>10620</v>
      </c>
      <c r="E1877" s="3">
        <v>10620</v>
      </c>
      <c r="F1877" s="2" t="s">
        <v>16</v>
      </c>
      <c r="G1877" s="2" t="s">
        <v>8332</v>
      </c>
      <c r="H1877" s="3">
        <v>0</v>
      </c>
      <c r="I1877" s="2" t="s">
        <v>18</v>
      </c>
      <c r="J1877" s="2" t="s">
        <v>8333</v>
      </c>
      <c r="K1877" s="2" t="s">
        <v>16</v>
      </c>
      <c r="L1877" s="2" t="s">
        <v>8334</v>
      </c>
      <c r="M1877" s="4">
        <v>2110.41</v>
      </c>
      <c r="N1877" t="b">
        <f>OR(LEFT(B1877,3)="frg",(_xlfn.XMATCH(B1877,ZZZ_Part_Id_[[#All],[FGCODE]])))</f>
        <v>1</v>
      </c>
    </row>
    <row r="1878" spans="1:14" x14ac:dyDescent="0.3">
      <c r="A1878" s="2" t="s">
        <v>8335</v>
      </c>
      <c r="B1878" s="2" t="s">
        <v>1512</v>
      </c>
      <c r="C1878" s="2" t="s">
        <v>8336</v>
      </c>
      <c r="D1878" s="3">
        <v>31860</v>
      </c>
      <c r="E1878" s="3">
        <v>31860</v>
      </c>
      <c r="F1878" s="2" t="s">
        <v>16</v>
      </c>
      <c r="G1878" s="2" t="s">
        <v>8337</v>
      </c>
      <c r="H1878" s="3">
        <v>0</v>
      </c>
      <c r="I1878" s="2" t="s">
        <v>18</v>
      </c>
      <c r="J1878" s="2" t="s">
        <v>8338</v>
      </c>
      <c r="K1878" s="2" t="s">
        <v>16</v>
      </c>
      <c r="L1878" s="2" t="s">
        <v>8339</v>
      </c>
      <c r="M1878" s="4">
        <v>6411.18</v>
      </c>
      <c r="N1878" t="b">
        <f>OR(LEFT(B1878,3)="frg",(_xlfn.XMATCH(B1878,ZZZ_Part_Id_[[#All],[FGCODE]])))</f>
        <v>1</v>
      </c>
    </row>
    <row r="1879" spans="1:14" x14ac:dyDescent="0.3">
      <c r="A1879" s="2" t="s">
        <v>8340</v>
      </c>
      <c r="B1879" s="2" t="s">
        <v>21</v>
      </c>
      <c r="C1879" s="2" t="s">
        <v>8341</v>
      </c>
      <c r="D1879" s="5">
        <v>-140</v>
      </c>
      <c r="E1879" s="5">
        <v>-140</v>
      </c>
      <c r="F1879" s="2" t="s">
        <v>23</v>
      </c>
      <c r="G1879" s="2" t="s">
        <v>8342</v>
      </c>
      <c r="H1879" s="3">
        <v>0</v>
      </c>
      <c r="I1879" s="2" t="s">
        <v>18</v>
      </c>
      <c r="J1879" s="2" t="s">
        <v>8343</v>
      </c>
      <c r="K1879" s="2" t="s">
        <v>23</v>
      </c>
      <c r="L1879" s="2" t="s">
        <v>8344</v>
      </c>
      <c r="M1879" s="6">
        <v>-340.2</v>
      </c>
      <c r="N1879" t="b">
        <f>OR(LEFT(B1879,3)="frg",(_xlfn.XMATCH(B1879,ZZZ_Part_Id_[[#All],[FGCODE]])))</f>
        <v>1</v>
      </c>
    </row>
    <row r="1880" spans="1:14" x14ac:dyDescent="0.3">
      <c r="A1880" s="2" t="s">
        <v>8340</v>
      </c>
      <c r="B1880" s="2" t="s">
        <v>1027</v>
      </c>
      <c r="C1880" s="2" t="s">
        <v>8345</v>
      </c>
      <c r="D1880" s="3">
        <v>42480</v>
      </c>
      <c r="E1880" s="3">
        <v>42480</v>
      </c>
      <c r="F1880" s="2" t="s">
        <v>16</v>
      </c>
      <c r="G1880" s="2" t="s">
        <v>8346</v>
      </c>
      <c r="H1880" s="3">
        <v>0</v>
      </c>
      <c r="I1880" s="2" t="s">
        <v>18</v>
      </c>
      <c r="J1880" s="2" t="s">
        <v>8347</v>
      </c>
      <c r="K1880" s="2" t="s">
        <v>16</v>
      </c>
      <c r="L1880" s="2" t="s">
        <v>8348</v>
      </c>
      <c r="M1880" s="4">
        <v>8548.24</v>
      </c>
      <c r="N1880" t="b">
        <f>OR(LEFT(B1880,3)="frg",(_xlfn.XMATCH(B1880,ZZZ_Part_Id_[[#All],[FGCODE]])))</f>
        <v>1</v>
      </c>
    </row>
    <row r="1881" spans="1:14" x14ac:dyDescent="0.3">
      <c r="A1881" s="2" t="s">
        <v>8349</v>
      </c>
      <c r="B1881" s="2" t="s">
        <v>14</v>
      </c>
      <c r="C1881" s="2" t="s">
        <v>8350</v>
      </c>
      <c r="D1881" s="3">
        <v>4</v>
      </c>
      <c r="E1881" s="3">
        <v>4</v>
      </c>
      <c r="F1881" s="2" t="s">
        <v>16</v>
      </c>
      <c r="G1881" s="2" t="s">
        <v>8351</v>
      </c>
      <c r="H1881" s="3">
        <v>0</v>
      </c>
      <c r="I1881" s="2" t="s">
        <v>409</v>
      </c>
      <c r="J1881" s="2" t="s">
        <v>8352</v>
      </c>
      <c r="K1881" s="2" t="s">
        <v>16</v>
      </c>
      <c r="L1881" s="2" t="s">
        <v>8353</v>
      </c>
      <c r="M1881" s="4">
        <v>0.31</v>
      </c>
      <c r="N1881" t="e">
        <f>OR(LEFT(B1881,3)="frg",(_xlfn.XMATCH(B1881,ZZZ_Part_Id_[[#All],[FGCODE]])))</f>
        <v>#N/A</v>
      </c>
    </row>
    <row r="1882" spans="1:14" x14ac:dyDescent="0.3">
      <c r="A1882" s="2" t="s">
        <v>8349</v>
      </c>
      <c r="B1882" s="2" t="s">
        <v>4511</v>
      </c>
      <c r="C1882" s="2" t="s">
        <v>8354</v>
      </c>
      <c r="D1882" s="3">
        <v>89640</v>
      </c>
      <c r="E1882" s="3">
        <v>89640</v>
      </c>
      <c r="F1882" s="2" t="s">
        <v>16</v>
      </c>
      <c r="G1882" s="2" t="s">
        <v>8355</v>
      </c>
      <c r="H1882" s="3">
        <v>0</v>
      </c>
      <c r="I1882" s="2" t="s">
        <v>409</v>
      </c>
      <c r="J1882" s="2" t="s">
        <v>8356</v>
      </c>
      <c r="K1882" s="2" t="s">
        <v>16</v>
      </c>
      <c r="L1882" s="2" t="s">
        <v>8357</v>
      </c>
      <c r="M1882" s="4">
        <v>5160.57</v>
      </c>
      <c r="N1882" t="b">
        <f>OR(LEFT(B1882,3)="frg",(_xlfn.XMATCH(B1882,ZZZ_Part_Id_[[#All],[FGCODE]])))</f>
        <v>1</v>
      </c>
    </row>
    <row r="1883" spans="1:14" x14ac:dyDescent="0.3">
      <c r="A1883" s="2" t="s">
        <v>8358</v>
      </c>
      <c r="B1883" s="2" t="s">
        <v>14</v>
      </c>
      <c r="C1883" s="2" t="s">
        <v>8359</v>
      </c>
      <c r="D1883" s="3">
        <v>4</v>
      </c>
      <c r="E1883" s="3">
        <v>4</v>
      </c>
      <c r="F1883" s="2" t="s">
        <v>16</v>
      </c>
      <c r="G1883" s="2" t="s">
        <v>8360</v>
      </c>
      <c r="H1883" s="3">
        <v>0</v>
      </c>
      <c r="I1883" s="2" t="s">
        <v>409</v>
      </c>
      <c r="J1883" s="2" t="s">
        <v>8361</v>
      </c>
      <c r="K1883" s="2" t="s">
        <v>16</v>
      </c>
      <c r="L1883" s="2" t="s">
        <v>8362</v>
      </c>
      <c r="M1883" s="4">
        <v>0.31</v>
      </c>
      <c r="N1883" t="e">
        <f>OR(LEFT(B1883,3)="frg",(_xlfn.XMATCH(B1883,ZZZ_Part_Id_[[#All],[FGCODE]])))</f>
        <v>#N/A</v>
      </c>
    </row>
    <row r="1884" spans="1:14" x14ac:dyDescent="0.3">
      <c r="A1884" s="2" t="s">
        <v>8358</v>
      </c>
      <c r="B1884" s="2" t="s">
        <v>2727</v>
      </c>
      <c r="C1884" s="2" t="s">
        <v>8363</v>
      </c>
      <c r="D1884" s="3">
        <v>25380</v>
      </c>
      <c r="E1884" s="3">
        <v>25380</v>
      </c>
      <c r="F1884" s="2" t="s">
        <v>16</v>
      </c>
      <c r="G1884" s="2" t="s">
        <v>8364</v>
      </c>
      <c r="H1884" s="3">
        <v>0</v>
      </c>
      <c r="I1884" s="2" t="s">
        <v>409</v>
      </c>
      <c r="J1884" s="2" t="s">
        <v>8365</v>
      </c>
      <c r="K1884" s="2" t="s">
        <v>16</v>
      </c>
      <c r="L1884" s="2" t="s">
        <v>8366</v>
      </c>
      <c r="M1884" s="4">
        <v>1704.01</v>
      </c>
      <c r="N1884" t="b">
        <f>OR(LEFT(B1884,3)="frg",(_xlfn.XMATCH(B1884,ZZZ_Part_Id_[[#All],[FGCODE]])))</f>
        <v>1</v>
      </c>
    </row>
    <row r="1885" spans="1:14" x14ac:dyDescent="0.3">
      <c r="A1885" s="2" t="s">
        <v>8367</v>
      </c>
      <c r="B1885" s="2" t="s">
        <v>7090</v>
      </c>
      <c r="C1885" s="2" t="s">
        <v>8368</v>
      </c>
      <c r="D1885" s="3">
        <v>30240</v>
      </c>
      <c r="E1885" s="3">
        <v>30240</v>
      </c>
      <c r="F1885" s="2" t="s">
        <v>16</v>
      </c>
      <c r="G1885" s="2" t="s">
        <v>8369</v>
      </c>
      <c r="H1885" s="3">
        <v>0</v>
      </c>
      <c r="I1885" s="2" t="s">
        <v>18</v>
      </c>
      <c r="J1885" s="2" t="s">
        <v>8370</v>
      </c>
      <c r="K1885" s="2" t="s">
        <v>16</v>
      </c>
      <c r="L1885" s="2" t="s">
        <v>8371</v>
      </c>
      <c r="M1885" s="4">
        <v>759.93</v>
      </c>
      <c r="N1885" t="b">
        <f>OR(LEFT(B1885,3)="frg",(_xlfn.XMATCH(B1885,ZZZ_Part_Id_[[#All],[FGCODE]])))</f>
        <v>1</v>
      </c>
    </row>
    <row r="1886" spans="1:14" x14ac:dyDescent="0.3">
      <c r="A1886" s="2" t="s">
        <v>8372</v>
      </c>
      <c r="B1886" s="2" t="s">
        <v>65</v>
      </c>
      <c r="C1886" s="2" t="s">
        <v>8373</v>
      </c>
      <c r="D1886" s="5">
        <v>-306</v>
      </c>
      <c r="E1886" s="5">
        <v>-306</v>
      </c>
      <c r="F1886" s="2" t="s">
        <v>23</v>
      </c>
      <c r="G1886" s="2" t="s">
        <v>8374</v>
      </c>
      <c r="H1886" s="3">
        <v>0</v>
      </c>
      <c r="I1886" s="2" t="s">
        <v>18</v>
      </c>
      <c r="J1886" s="2" t="s">
        <v>8375</v>
      </c>
      <c r="K1886" s="2" t="s">
        <v>23</v>
      </c>
      <c r="L1886" s="2" t="s">
        <v>8376</v>
      </c>
      <c r="M1886" s="6">
        <v>-786.91</v>
      </c>
      <c r="N1886" t="b">
        <f>OR(LEFT(B1886,3)="frg",(_xlfn.XMATCH(B1886,ZZZ_Part_Id_[[#All],[FGCODE]])))</f>
        <v>1</v>
      </c>
    </row>
    <row r="1887" spans="1:14" x14ac:dyDescent="0.3">
      <c r="A1887" s="2" t="s">
        <v>8372</v>
      </c>
      <c r="B1887" s="2" t="s">
        <v>2086</v>
      </c>
      <c r="C1887" s="2" t="s">
        <v>8377</v>
      </c>
      <c r="D1887" s="3">
        <v>67584</v>
      </c>
      <c r="E1887" s="3">
        <v>67584</v>
      </c>
      <c r="F1887" s="2" t="s">
        <v>16</v>
      </c>
      <c r="G1887" s="2" t="s">
        <v>8378</v>
      </c>
      <c r="H1887" s="3">
        <v>0</v>
      </c>
      <c r="I1887" s="2" t="s">
        <v>18</v>
      </c>
      <c r="J1887" s="2" t="s">
        <v>8379</v>
      </c>
      <c r="K1887" s="2" t="s">
        <v>16</v>
      </c>
      <c r="L1887" s="2" t="s">
        <v>8380</v>
      </c>
      <c r="M1887" s="4">
        <v>16617.599999999999</v>
      </c>
      <c r="N1887" t="b">
        <f>OR(LEFT(B1887,3)="frg",(_xlfn.XMATCH(B1887,ZZZ_Part_Id_[[#All],[FGCODE]])))</f>
        <v>1</v>
      </c>
    </row>
    <row r="1888" spans="1:14" x14ac:dyDescent="0.3">
      <c r="A1888" s="2" t="s">
        <v>8381</v>
      </c>
      <c r="B1888" s="2" t="s">
        <v>14</v>
      </c>
      <c r="C1888" s="2" t="s">
        <v>8382</v>
      </c>
      <c r="D1888" s="3">
        <v>14</v>
      </c>
      <c r="E1888" s="3">
        <v>14</v>
      </c>
      <c r="F1888" s="2" t="s">
        <v>16</v>
      </c>
      <c r="G1888" s="2" t="s">
        <v>8383</v>
      </c>
      <c r="H1888" s="3">
        <v>0</v>
      </c>
      <c r="I1888" s="2" t="s">
        <v>409</v>
      </c>
      <c r="J1888" s="2" t="s">
        <v>8384</v>
      </c>
      <c r="K1888" s="2" t="s">
        <v>16</v>
      </c>
      <c r="L1888" s="2" t="s">
        <v>8385</v>
      </c>
      <c r="M1888" s="4">
        <v>1.08</v>
      </c>
      <c r="N1888" t="e">
        <f>OR(LEFT(B1888,3)="frg",(_xlfn.XMATCH(B1888,ZZZ_Part_Id_[[#All],[FGCODE]])))</f>
        <v>#N/A</v>
      </c>
    </row>
    <row r="1889" spans="1:14" x14ac:dyDescent="0.3">
      <c r="A1889" s="2" t="s">
        <v>8381</v>
      </c>
      <c r="B1889" s="2" t="s">
        <v>65</v>
      </c>
      <c r="C1889" s="2" t="s">
        <v>8386</v>
      </c>
      <c r="D1889" s="5">
        <v>-135</v>
      </c>
      <c r="E1889" s="5">
        <v>-135</v>
      </c>
      <c r="F1889" s="2" t="s">
        <v>23</v>
      </c>
      <c r="G1889" s="2" t="s">
        <v>8387</v>
      </c>
      <c r="H1889" s="3">
        <v>0</v>
      </c>
      <c r="I1889" s="2" t="s">
        <v>409</v>
      </c>
      <c r="J1889" s="2" t="s">
        <v>8388</v>
      </c>
      <c r="K1889" s="2" t="s">
        <v>23</v>
      </c>
      <c r="L1889" s="2" t="s">
        <v>8389</v>
      </c>
      <c r="M1889" s="6">
        <v>-347.17</v>
      </c>
      <c r="N1889" t="b">
        <f>OR(LEFT(B1889,3)="frg",(_xlfn.XMATCH(B1889,ZZZ_Part_Id_[[#All],[FGCODE]])))</f>
        <v>1</v>
      </c>
    </row>
    <row r="1890" spans="1:14" x14ac:dyDescent="0.3">
      <c r="A1890" s="2" t="s">
        <v>8381</v>
      </c>
      <c r="B1890" s="2" t="s">
        <v>2611</v>
      </c>
      <c r="C1890" s="2" t="s">
        <v>8390</v>
      </c>
      <c r="D1890" s="3">
        <v>127872</v>
      </c>
      <c r="E1890" s="3">
        <v>127872</v>
      </c>
      <c r="F1890" s="2" t="s">
        <v>16</v>
      </c>
      <c r="G1890" s="2" t="s">
        <v>8391</v>
      </c>
      <c r="H1890" s="3">
        <v>0</v>
      </c>
      <c r="I1890" s="2" t="s">
        <v>409</v>
      </c>
      <c r="J1890" s="2" t="s">
        <v>8392</v>
      </c>
      <c r="K1890" s="2" t="s">
        <v>16</v>
      </c>
      <c r="L1890" s="2" t="s">
        <v>8393</v>
      </c>
      <c r="M1890" s="4">
        <v>11507.16</v>
      </c>
      <c r="N1890" t="b">
        <f>OR(LEFT(B1890,3)="frg",(_xlfn.XMATCH(B1890,ZZZ_Part_Id_[[#All],[FGCODE]])))</f>
        <v>1</v>
      </c>
    </row>
    <row r="1891" spans="1:14" x14ac:dyDescent="0.3">
      <c r="A1891" s="2" t="s">
        <v>8394</v>
      </c>
      <c r="B1891" s="2" t="s">
        <v>14</v>
      </c>
      <c r="C1891" s="2" t="s">
        <v>8395</v>
      </c>
      <c r="D1891" s="3">
        <v>40</v>
      </c>
      <c r="E1891" s="3">
        <v>40</v>
      </c>
      <c r="F1891" s="2" t="s">
        <v>16</v>
      </c>
      <c r="G1891" s="2" t="s">
        <v>8396</v>
      </c>
      <c r="H1891" s="3">
        <v>0</v>
      </c>
      <c r="I1891" s="2" t="s">
        <v>409</v>
      </c>
      <c r="J1891" s="2" t="s">
        <v>8397</v>
      </c>
      <c r="K1891" s="2" t="s">
        <v>16</v>
      </c>
      <c r="L1891" s="2" t="s">
        <v>8398</v>
      </c>
      <c r="M1891" s="4">
        <v>3.08</v>
      </c>
      <c r="N1891" t="e">
        <f>OR(LEFT(B1891,3)="frg",(_xlfn.XMATCH(B1891,ZZZ_Part_Id_[[#All],[FGCODE]])))</f>
        <v>#N/A</v>
      </c>
    </row>
    <row r="1892" spans="1:14" x14ac:dyDescent="0.3">
      <c r="A1892" s="2" t="s">
        <v>8394</v>
      </c>
      <c r="B1892" s="2" t="s">
        <v>59</v>
      </c>
      <c r="C1892" s="2" t="s">
        <v>8399</v>
      </c>
      <c r="D1892" s="3">
        <v>736020</v>
      </c>
      <c r="E1892" s="3">
        <v>736020</v>
      </c>
      <c r="F1892" s="2" t="s">
        <v>16</v>
      </c>
      <c r="G1892" s="2" t="s">
        <v>8400</v>
      </c>
      <c r="H1892" s="3">
        <v>0</v>
      </c>
      <c r="I1892" s="2" t="s">
        <v>409</v>
      </c>
      <c r="J1892" s="2" t="s">
        <v>8401</v>
      </c>
      <c r="K1892" s="2" t="s">
        <v>16</v>
      </c>
      <c r="L1892" s="2" t="s">
        <v>8402</v>
      </c>
      <c r="M1892" s="4">
        <v>51322.75</v>
      </c>
      <c r="N1892" t="b">
        <f>OR(LEFT(B1892,3)="frg",(_xlfn.XMATCH(B1892,ZZZ_Part_Id_[[#All],[FGCODE]])))</f>
        <v>1</v>
      </c>
    </row>
    <row r="1893" spans="1:14" x14ac:dyDescent="0.3">
      <c r="A1893" s="2" t="s">
        <v>8403</v>
      </c>
      <c r="B1893" s="2" t="s">
        <v>65</v>
      </c>
      <c r="C1893" s="2" t="s">
        <v>8404</v>
      </c>
      <c r="D1893" s="5">
        <v>-323</v>
      </c>
      <c r="E1893" s="5">
        <v>-323</v>
      </c>
      <c r="F1893" s="2" t="s">
        <v>23</v>
      </c>
      <c r="G1893" s="2" t="s">
        <v>8405</v>
      </c>
      <c r="H1893" s="3">
        <v>0</v>
      </c>
      <c r="I1893" s="2" t="s">
        <v>18</v>
      </c>
      <c r="J1893" s="2" t="s">
        <v>8406</v>
      </c>
      <c r="K1893" s="2" t="s">
        <v>23</v>
      </c>
      <c r="L1893" s="2" t="s">
        <v>8407</v>
      </c>
      <c r="M1893" s="6">
        <v>-830.63</v>
      </c>
      <c r="N1893" t="b">
        <f>OR(LEFT(B1893,3)="frg",(_xlfn.XMATCH(B1893,ZZZ_Part_Id_[[#All],[FGCODE]])))</f>
        <v>1</v>
      </c>
    </row>
    <row r="1894" spans="1:14" x14ac:dyDescent="0.3">
      <c r="A1894" s="2" t="s">
        <v>8403</v>
      </c>
      <c r="B1894" s="2" t="s">
        <v>103</v>
      </c>
      <c r="C1894" s="2" t="s">
        <v>8408</v>
      </c>
      <c r="D1894" s="3">
        <v>138060</v>
      </c>
      <c r="E1894" s="3">
        <v>138060</v>
      </c>
      <c r="F1894" s="2" t="s">
        <v>16</v>
      </c>
      <c r="G1894" s="2" t="s">
        <v>8409</v>
      </c>
      <c r="H1894" s="3">
        <v>0</v>
      </c>
      <c r="I1894" s="2" t="s">
        <v>18</v>
      </c>
      <c r="J1894" s="2" t="s">
        <v>8410</v>
      </c>
      <c r="K1894" s="2" t="s">
        <v>16</v>
      </c>
      <c r="L1894" s="2" t="s">
        <v>8411</v>
      </c>
      <c r="M1894" s="4">
        <v>27632.67</v>
      </c>
      <c r="N1894" t="b">
        <f>OR(LEFT(B1894,3)="frg",(_xlfn.XMATCH(B1894,ZZZ_Part_Id_[[#All],[FGCODE]])))</f>
        <v>1</v>
      </c>
    </row>
    <row r="1895" spans="1:14" x14ac:dyDescent="0.3">
      <c r="A1895" s="2" t="s">
        <v>8412</v>
      </c>
      <c r="B1895" s="2" t="s">
        <v>14</v>
      </c>
      <c r="C1895" s="2" t="s">
        <v>8413</v>
      </c>
      <c r="D1895" s="3">
        <v>64</v>
      </c>
      <c r="E1895" s="3">
        <v>64</v>
      </c>
      <c r="F1895" s="2" t="s">
        <v>16</v>
      </c>
      <c r="G1895" s="2" t="s">
        <v>8414</v>
      </c>
      <c r="H1895" s="3">
        <v>0</v>
      </c>
      <c r="I1895" s="2" t="s">
        <v>409</v>
      </c>
      <c r="J1895" s="2" t="s">
        <v>8415</v>
      </c>
      <c r="K1895" s="2" t="s">
        <v>16</v>
      </c>
      <c r="L1895" s="2" t="s">
        <v>8416</v>
      </c>
      <c r="M1895" s="4">
        <v>4.92</v>
      </c>
      <c r="N1895" t="e">
        <f>OR(LEFT(B1895,3)="frg",(_xlfn.XMATCH(B1895,ZZZ_Part_Id_[[#All],[FGCODE]])))</f>
        <v>#N/A</v>
      </c>
    </row>
    <row r="1896" spans="1:14" x14ac:dyDescent="0.3">
      <c r="A1896" s="2" t="s">
        <v>8412</v>
      </c>
      <c r="B1896" s="2" t="s">
        <v>59</v>
      </c>
      <c r="C1896" s="2" t="s">
        <v>8417</v>
      </c>
      <c r="D1896" s="3">
        <v>1243620</v>
      </c>
      <c r="E1896" s="3">
        <v>1243620</v>
      </c>
      <c r="F1896" s="2" t="s">
        <v>16</v>
      </c>
      <c r="G1896" s="2" t="s">
        <v>8418</v>
      </c>
      <c r="H1896" s="3">
        <v>0</v>
      </c>
      <c r="I1896" s="2" t="s">
        <v>409</v>
      </c>
      <c r="J1896" s="2" t="s">
        <v>8419</v>
      </c>
      <c r="K1896" s="2" t="s">
        <v>16</v>
      </c>
      <c r="L1896" s="2" t="s">
        <v>8420</v>
      </c>
      <c r="M1896" s="4">
        <v>86717.75</v>
      </c>
      <c r="N1896" t="b">
        <f>OR(LEFT(B1896,3)="frg",(_xlfn.XMATCH(B1896,ZZZ_Part_Id_[[#All],[FGCODE]])))</f>
        <v>1</v>
      </c>
    </row>
    <row r="1897" spans="1:14" x14ac:dyDescent="0.3">
      <c r="A1897" s="2" t="s">
        <v>8421</v>
      </c>
      <c r="B1897" s="2" t="s">
        <v>14</v>
      </c>
      <c r="C1897" s="2" t="s">
        <v>8422</v>
      </c>
      <c r="D1897" s="3">
        <v>64</v>
      </c>
      <c r="E1897" s="3">
        <v>64</v>
      </c>
      <c r="F1897" s="2" t="s">
        <v>16</v>
      </c>
      <c r="G1897" s="2" t="s">
        <v>8423</v>
      </c>
      <c r="H1897" s="3">
        <v>0</v>
      </c>
      <c r="I1897" s="2" t="s">
        <v>18</v>
      </c>
      <c r="J1897" s="2" t="s">
        <v>8424</v>
      </c>
      <c r="K1897" s="2" t="s">
        <v>16</v>
      </c>
      <c r="L1897" s="2" t="s">
        <v>8425</v>
      </c>
      <c r="M1897" s="4">
        <v>4.92</v>
      </c>
      <c r="N1897" t="e">
        <f>OR(LEFT(B1897,3)="frg",(_xlfn.XMATCH(B1897,ZZZ_Part_Id_[[#All],[FGCODE]])))</f>
        <v>#N/A</v>
      </c>
    </row>
    <row r="1898" spans="1:14" x14ac:dyDescent="0.3">
      <c r="A1898" s="2" t="s">
        <v>8421</v>
      </c>
      <c r="B1898" s="2" t="s">
        <v>5357</v>
      </c>
      <c r="C1898" s="2" t="s">
        <v>8426</v>
      </c>
      <c r="D1898" s="3">
        <v>331200</v>
      </c>
      <c r="E1898" s="3">
        <v>331200</v>
      </c>
      <c r="F1898" s="2" t="s">
        <v>16</v>
      </c>
      <c r="G1898" s="2" t="s">
        <v>8427</v>
      </c>
      <c r="H1898" s="3">
        <v>0</v>
      </c>
      <c r="I1898" s="2" t="s">
        <v>18</v>
      </c>
      <c r="J1898" s="2" t="s">
        <v>8428</v>
      </c>
      <c r="K1898" s="2" t="s">
        <v>16</v>
      </c>
      <c r="L1898" s="2" t="s">
        <v>8429</v>
      </c>
      <c r="M1898" s="4">
        <v>98376.5</v>
      </c>
      <c r="N1898" t="b">
        <f>OR(LEFT(B1898,3)="frg",(_xlfn.XMATCH(B1898,ZZZ_Part_Id_[[#All],[FGCODE]])))</f>
        <v>1</v>
      </c>
    </row>
    <row r="1899" spans="1:14" x14ac:dyDescent="0.3">
      <c r="A1899" s="2" t="s">
        <v>8430</v>
      </c>
      <c r="B1899" s="2" t="s">
        <v>103</v>
      </c>
      <c r="C1899" s="2" t="s">
        <v>8431</v>
      </c>
      <c r="D1899" s="3">
        <v>42480</v>
      </c>
      <c r="E1899" s="3">
        <v>42480</v>
      </c>
      <c r="F1899" s="2" t="s">
        <v>16</v>
      </c>
      <c r="G1899" s="2" t="s">
        <v>8432</v>
      </c>
      <c r="H1899" s="3">
        <v>0</v>
      </c>
      <c r="I1899" s="2" t="s">
        <v>18</v>
      </c>
      <c r="J1899" s="2" t="s">
        <v>8433</v>
      </c>
      <c r="K1899" s="2" t="s">
        <v>16</v>
      </c>
      <c r="L1899" s="2" t="s">
        <v>8434</v>
      </c>
      <c r="M1899" s="4">
        <v>8502.36</v>
      </c>
      <c r="N1899" t="b">
        <f>OR(LEFT(B1899,3)="frg",(_xlfn.XMATCH(B1899,ZZZ_Part_Id_[[#All],[FGCODE]])))</f>
        <v>1</v>
      </c>
    </row>
    <row r="1900" spans="1:14" x14ac:dyDescent="0.3">
      <c r="A1900" s="2" t="s">
        <v>8435</v>
      </c>
      <c r="B1900" s="2" t="s">
        <v>740</v>
      </c>
      <c r="C1900" s="2" t="s">
        <v>8436</v>
      </c>
      <c r="D1900" s="3">
        <v>605340</v>
      </c>
      <c r="E1900" s="3">
        <v>605340</v>
      </c>
      <c r="F1900" s="2" t="s">
        <v>16</v>
      </c>
      <c r="G1900" s="2" t="s">
        <v>8437</v>
      </c>
      <c r="H1900" s="3">
        <v>0</v>
      </c>
      <c r="I1900" s="2" t="s">
        <v>18</v>
      </c>
      <c r="J1900" s="2" t="s">
        <v>8438</v>
      </c>
      <c r="K1900" s="2" t="s">
        <v>16</v>
      </c>
      <c r="L1900" s="2" t="s">
        <v>8439</v>
      </c>
      <c r="M1900" s="4">
        <v>120299.07</v>
      </c>
      <c r="N1900" t="b">
        <f>OR(LEFT(B1900,3)="frg",(_xlfn.XMATCH(B1900,ZZZ_Part_Id_[[#All],[FGCODE]])))</f>
        <v>1</v>
      </c>
    </row>
    <row r="1901" spans="1:14" x14ac:dyDescent="0.3">
      <c r="A1901" s="2" t="s">
        <v>8440</v>
      </c>
      <c r="B1901" s="2" t="s">
        <v>517</v>
      </c>
      <c r="C1901" s="2" t="s">
        <v>8441</v>
      </c>
      <c r="D1901" s="3">
        <v>221760</v>
      </c>
      <c r="E1901" s="3">
        <v>221760</v>
      </c>
      <c r="F1901" s="2" t="s">
        <v>16</v>
      </c>
      <c r="G1901" s="2" t="s">
        <v>8442</v>
      </c>
      <c r="H1901" s="3">
        <v>0</v>
      </c>
      <c r="I1901" s="2" t="s">
        <v>18</v>
      </c>
      <c r="J1901" s="2" t="s">
        <v>8443</v>
      </c>
      <c r="K1901" s="2" t="s">
        <v>16</v>
      </c>
      <c r="L1901" s="2" t="s">
        <v>8444</v>
      </c>
      <c r="M1901" s="4">
        <v>42141</v>
      </c>
      <c r="N1901" t="b">
        <f>OR(LEFT(B1901,3)="frg",(_xlfn.XMATCH(B1901,ZZZ_Part_Id_[[#All],[FGCODE]])))</f>
        <v>1</v>
      </c>
    </row>
    <row r="1902" spans="1:14" x14ac:dyDescent="0.3">
      <c r="A1902" s="2" t="s">
        <v>8445</v>
      </c>
      <c r="B1902" s="2" t="s">
        <v>14</v>
      </c>
      <c r="C1902" s="2" t="s">
        <v>8446</v>
      </c>
      <c r="D1902" s="3">
        <v>20</v>
      </c>
      <c r="E1902" s="3">
        <v>20</v>
      </c>
      <c r="F1902" s="2" t="s">
        <v>16</v>
      </c>
      <c r="G1902" s="2" t="s">
        <v>8447</v>
      </c>
      <c r="H1902" s="3">
        <v>0</v>
      </c>
      <c r="I1902" s="2" t="s">
        <v>409</v>
      </c>
      <c r="J1902" s="2" t="s">
        <v>8448</v>
      </c>
      <c r="K1902" s="2" t="s">
        <v>16</v>
      </c>
      <c r="L1902" s="2" t="s">
        <v>8449</v>
      </c>
      <c r="M1902" s="4">
        <v>1.54</v>
      </c>
      <c r="N1902" t="e">
        <f>OR(LEFT(B1902,3)="frg",(_xlfn.XMATCH(B1902,ZZZ_Part_Id_[[#All],[FGCODE]])))</f>
        <v>#N/A</v>
      </c>
    </row>
    <row r="1903" spans="1:14" x14ac:dyDescent="0.3">
      <c r="A1903" s="2" t="s">
        <v>8445</v>
      </c>
      <c r="B1903" s="2" t="s">
        <v>59</v>
      </c>
      <c r="C1903" s="2" t="s">
        <v>8450</v>
      </c>
      <c r="D1903" s="3">
        <v>456840</v>
      </c>
      <c r="E1903" s="3">
        <v>456840</v>
      </c>
      <c r="F1903" s="2" t="s">
        <v>16</v>
      </c>
      <c r="G1903" s="2" t="s">
        <v>8451</v>
      </c>
      <c r="H1903" s="3">
        <v>0</v>
      </c>
      <c r="I1903" s="2" t="s">
        <v>409</v>
      </c>
      <c r="J1903" s="2" t="s">
        <v>8452</v>
      </c>
      <c r="K1903" s="2" t="s">
        <v>16</v>
      </c>
      <c r="L1903" s="2" t="s">
        <v>8453</v>
      </c>
      <c r="M1903" s="4">
        <v>31855.5</v>
      </c>
      <c r="N1903" t="b">
        <f>OR(LEFT(B1903,3)="frg",(_xlfn.XMATCH(B1903,ZZZ_Part_Id_[[#All],[FGCODE]])))</f>
        <v>1</v>
      </c>
    </row>
    <row r="1904" spans="1:14" x14ac:dyDescent="0.3">
      <c r="A1904" s="2" t="s">
        <v>8454</v>
      </c>
      <c r="B1904" s="2" t="s">
        <v>14</v>
      </c>
      <c r="C1904" s="2" t="s">
        <v>8455</v>
      </c>
      <c r="D1904" s="3">
        <v>40</v>
      </c>
      <c r="E1904" s="3">
        <v>40</v>
      </c>
      <c r="F1904" s="2" t="s">
        <v>16</v>
      </c>
      <c r="G1904" s="2" t="s">
        <v>8456</v>
      </c>
      <c r="H1904" s="3">
        <v>0</v>
      </c>
      <c r="I1904" s="2" t="s">
        <v>18</v>
      </c>
      <c r="J1904" s="2" t="s">
        <v>8457</v>
      </c>
      <c r="K1904" s="2" t="s">
        <v>16</v>
      </c>
      <c r="L1904" s="2" t="s">
        <v>8458</v>
      </c>
      <c r="M1904" s="4">
        <v>3.08</v>
      </c>
      <c r="N1904" t="e">
        <f>OR(LEFT(B1904,3)="frg",(_xlfn.XMATCH(B1904,ZZZ_Part_Id_[[#All],[FGCODE]])))</f>
        <v>#N/A</v>
      </c>
    </row>
    <row r="1905" spans="1:14" x14ac:dyDescent="0.3">
      <c r="A1905" s="2" t="s">
        <v>8454</v>
      </c>
      <c r="B1905" s="2" t="s">
        <v>517</v>
      </c>
      <c r="C1905" s="2" t="s">
        <v>8459</v>
      </c>
      <c r="D1905" s="3">
        <v>262080</v>
      </c>
      <c r="E1905" s="3">
        <v>262080</v>
      </c>
      <c r="F1905" s="2" t="s">
        <v>16</v>
      </c>
      <c r="G1905" s="2" t="s">
        <v>8460</v>
      </c>
      <c r="H1905" s="3">
        <v>0</v>
      </c>
      <c r="I1905" s="2" t="s">
        <v>18</v>
      </c>
      <c r="J1905" s="2" t="s">
        <v>8461</v>
      </c>
      <c r="K1905" s="2" t="s">
        <v>16</v>
      </c>
      <c r="L1905" s="2" t="s">
        <v>8462</v>
      </c>
      <c r="M1905" s="4">
        <v>49803</v>
      </c>
      <c r="N1905" t="b">
        <f>OR(LEFT(B1905,3)="frg",(_xlfn.XMATCH(B1905,ZZZ_Part_Id_[[#All],[FGCODE]])))</f>
        <v>1</v>
      </c>
    </row>
    <row r="1906" spans="1:14" x14ac:dyDescent="0.3">
      <c r="A1906" s="2" t="s">
        <v>8463</v>
      </c>
      <c r="B1906" s="2" t="s">
        <v>2086</v>
      </c>
      <c r="C1906" s="2" t="s">
        <v>8464</v>
      </c>
      <c r="D1906" s="3">
        <v>21120</v>
      </c>
      <c r="E1906" s="3">
        <v>21120</v>
      </c>
      <c r="F1906" s="2" t="s">
        <v>16</v>
      </c>
      <c r="G1906" s="2" t="s">
        <v>8465</v>
      </c>
      <c r="H1906" s="3">
        <v>0</v>
      </c>
      <c r="I1906" s="2" t="s">
        <v>18</v>
      </c>
      <c r="J1906" s="2" t="s">
        <v>8466</v>
      </c>
      <c r="K1906" s="2" t="s">
        <v>16</v>
      </c>
      <c r="L1906" s="2" t="s">
        <v>8467</v>
      </c>
      <c r="M1906" s="4">
        <v>5193.01</v>
      </c>
      <c r="N1906" t="b">
        <f>OR(LEFT(B1906,3)="frg",(_xlfn.XMATCH(B1906,ZZZ_Part_Id_[[#All],[FGCODE]])))</f>
        <v>1</v>
      </c>
    </row>
    <row r="1907" spans="1:14" x14ac:dyDescent="0.3">
      <c r="A1907" s="2" t="s">
        <v>8468</v>
      </c>
      <c r="B1907" s="2" t="s">
        <v>97</v>
      </c>
      <c r="C1907" s="2" t="s">
        <v>8469</v>
      </c>
      <c r="D1907" s="3">
        <v>4800</v>
      </c>
      <c r="E1907" s="3">
        <v>4800</v>
      </c>
      <c r="F1907" s="2" t="s">
        <v>16</v>
      </c>
      <c r="G1907" s="2" t="s">
        <v>8470</v>
      </c>
      <c r="H1907" s="3">
        <v>0</v>
      </c>
      <c r="I1907" s="2" t="s">
        <v>409</v>
      </c>
      <c r="J1907" s="2" t="s">
        <v>8471</v>
      </c>
      <c r="K1907" s="2" t="s">
        <v>16</v>
      </c>
      <c r="L1907" s="2" t="s">
        <v>8472</v>
      </c>
      <c r="M1907" s="4">
        <v>1645.44</v>
      </c>
      <c r="N1907" t="b">
        <f>OR(LEFT(B1907,3)="frg",(_xlfn.XMATCH(B1907,ZZZ_Part_Id_[[#All],[FGCODE]])))</f>
        <v>1</v>
      </c>
    </row>
    <row r="1908" spans="1:14" x14ac:dyDescent="0.3">
      <c r="A1908" s="2" t="s">
        <v>8473</v>
      </c>
      <c r="B1908" s="2" t="s">
        <v>1170</v>
      </c>
      <c r="C1908" s="2" t="s">
        <v>8474</v>
      </c>
      <c r="D1908" s="3">
        <v>33600</v>
      </c>
      <c r="E1908" s="3">
        <v>33600</v>
      </c>
      <c r="F1908" s="2" t="s">
        <v>16</v>
      </c>
      <c r="G1908" s="2" t="s">
        <v>8475</v>
      </c>
      <c r="H1908" s="3">
        <v>0</v>
      </c>
      <c r="I1908" s="2" t="s">
        <v>409</v>
      </c>
      <c r="J1908" s="2" t="s">
        <v>8476</v>
      </c>
      <c r="K1908" s="2" t="s">
        <v>16</v>
      </c>
      <c r="L1908" s="2" t="s">
        <v>8477</v>
      </c>
      <c r="M1908" s="4">
        <v>11618.88</v>
      </c>
      <c r="N1908" t="b">
        <f>OR(LEFT(B1908,3)="frg",(_xlfn.XMATCH(B1908,ZZZ_Part_Id_[[#All],[FGCODE]])))</f>
        <v>1</v>
      </c>
    </row>
    <row r="1909" spans="1:14" x14ac:dyDescent="0.3">
      <c r="A1909" s="2" t="s">
        <v>8478</v>
      </c>
      <c r="B1909" s="2" t="s">
        <v>740</v>
      </c>
      <c r="C1909" s="2" t="s">
        <v>8479</v>
      </c>
      <c r="D1909" s="3">
        <v>1040760</v>
      </c>
      <c r="E1909" s="3">
        <v>1040760</v>
      </c>
      <c r="F1909" s="2" t="s">
        <v>16</v>
      </c>
      <c r="G1909" s="2" t="s">
        <v>8480</v>
      </c>
      <c r="H1909" s="3">
        <v>0</v>
      </c>
      <c r="I1909" s="2" t="s">
        <v>18</v>
      </c>
      <c r="J1909" s="2" t="s">
        <v>8481</v>
      </c>
      <c r="K1909" s="2" t="s">
        <v>16</v>
      </c>
      <c r="L1909" s="2" t="s">
        <v>8482</v>
      </c>
      <c r="M1909" s="4">
        <v>206829.98</v>
      </c>
      <c r="N1909" t="b">
        <f>OR(LEFT(B1909,3)="frg",(_xlfn.XMATCH(B1909,ZZZ_Part_Id_[[#All],[FGCODE]])))</f>
        <v>1</v>
      </c>
    </row>
    <row r="1910" spans="1:14" x14ac:dyDescent="0.3">
      <c r="A1910" s="2" t="s">
        <v>8483</v>
      </c>
      <c r="B1910" s="2" t="s">
        <v>14</v>
      </c>
      <c r="C1910" s="2" t="s">
        <v>8484</v>
      </c>
      <c r="D1910" s="3">
        <v>140</v>
      </c>
      <c r="E1910" s="3">
        <v>140</v>
      </c>
      <c r="F1910" s="2" t="s">
        <v>16</v>
      </c>
      <c r="G1910" s="2" t="s">
        <v>8485</v>
      </c>
      <c r="H1910" s="3">
        <v>0</v>
      </c>
      <c r="I1910" s="2" t="s">
        <v>18</v>
      </c>
      <c r="J1910" s="2" t="s">
        <v>8486</v>
      </c>
      <c r="K1910" s="2" t="s">
        <v>16</v>
      </c>
      <c r="L1910" s="2" t="s">
        <v>8487</v>
      </c>
      <c r="M1910" s="4">
        <v>10.77</v>
      </c>
      <c r="N1910" t="e">
        <f>OR(LEFT(B1910,3)="frg",(_xlfn.XMATCH(B1910,ZZZ_Part_Id_[[#All],[FGCODE]])))</f>
        <v>#N/A</v>
      </c>
    </row>
    <row r="1911" spans="1:14" x14ac:dyDescent="0.3">
      <c r="A1911" s="2" t="s">
        <v>8483</v>
      </c>
      <c r="B1911" s="2" t="s">
        <v>21</v>
      </c>
      <c r="C1911" s="2" t="s">
        <v>8488</v>
      </c>
      <c r="D1911" s="5">
        <v>-298</v>
      </c>
      <c r="E1911" s="5">
        <v>-298</v>
      </c>
      <c r="F1911" s="2" t="s">
        <v>23</v>
      </c>
      <c r="G1911" s="2" t="s">
        <v>8489</v>
      </c>
      <c r="H1911" s="3">
        <v>0</v>
      </c>
      <c r="I1911" s="2" t="s">
        <v>18</v>
      </c>
      <c r="J1911" s="2" t="s">
        <v>8490</v>
      </c>
      <c r="K1911" s="2" t="s">
        <v>23</v>
      </c>
      <c r="L1911" s="2" t="s">
        <v>8491</v>
      </c>
      <c r="M1911" s="6">
        <v>-724.14</v>
      </c>
      <c r="N1911" t="b">
        <f>OR(LEFT(B1911,3)="frg",(_xlfn.XMATCH(B1911,ZZZ_Part_Id_[[#All],[FGCODE]])))</f>
        <v>1</v>
      </c>
    </row>
    <row r="1912" spans="1:14" x14ac:dyDescent="0.3">
      <c r="A1912" s="2" t="s">
        <v>8483</v>
      </c>
      <c r="B1912" s="2" t="s">
        <v>5357</v>
      </c>
      <c r="C1912" s="2" t="s">
        <v>8492</v>
      </c>
      <c r="D1912" s="3">
        <v>662400</v>
      </c>
      <c r="E1912" s="3">
        <v>662400</v>
      </c>
      <c r="F1912" s="2" t="s">
        <v>16</v>
      </c>
      <c r="G1912" s="2" t="s">
        <v>8493</v>
      </c>
      <c r="H1912" s="3">
        <v>0</v>
      </c>
      <c r="I1912" s="2" t="s">
        <v>18</v>
      </c>
      <c r="J1912" s="2" t="s">
        <v>8494</v>
      </c>
      <c r="K1912" s="2" t="s">
        <v>16</v>
      </c>
      <c r="L1912" s="2" t="s">
        <v>8495</v>
      </c>
      <c r="M1912" s="4">
        <v>196753</v>
      </c>
      <c r="N1912" t="b">
        <f>OR(LEFT(B1912,3)="frg",(_xlfn.XMATCH(B1912,ZZZ_Part_Id_[[#All],[FGCODE]])))</f>
        <v>1</v>
      </c>
    </row>
    <row r="1913" spans="1:14" x14ac:dyDescent="0.3">
      <c r="A1913" s="2" t="s">
        <v>8496</v>
      </c>
      <c r="B1913" s="2" t="s">
        <v>14</v>
      </c>
      <c r="C1913" s="2" t="s">
        <v>8497</v>
      </c>
      <c r="D1913" s="3">
        <v>64</v>
      </c>
      <c r="E1913" s="3">
        <v>64</v>
      </c>
      <c r="F1913" s="2" t="s">
        <v>16</v>
      </c>
      <c r="G1913" s="2" t="s">
        <v>8498</v>
      </c>
      <c r="H1913" s="3">
        <v>0</v>
      </c>
      <c r="I1913" s="2" t="s">
        <v>409</v>
      </c>
      <c r="J1913" s="2" t="s">
        <v>8499</v>
      </c>
      <c r="K1913" s="2" t="s">
        <v>16</v>
      </c>
      <c r="L1913" s="2" t="s">
        <v>8500</v>
      </c>
      <c r="M1913" s="4">
        <v>4.92</v>
      </c>
      <c r="N1913" t="e">
        <f>OR(LEFT(B1913,3)="frg",(_xlfn.XMATCH(B1913,ZZZ_Part_Id_[[#All],[FGCODE]])))</f>
        <v>#N/A</v>
      </c>
    </row>
    <row r="1914" spans="1:14" x14ac:dyDescent="0.3">
      <c r="A1914" s="2" t="s">
        <v>8496</v>
      </c>
      <c r="B1914" s="2" t="s">
        <v>59</v>
      </c>
      <c r="C1914" s="2" t="s">
        <v>8501</v>
      </c>
      <c r="D1914" s="3">
        <v>1472040</v>
      </c>
      <c r="E1914" s="3">
        <v>1472040</v>
      </c>
      <c r="F1914" s="2" t="s">
        <v>16</v>
      </c>
      <c r="G1914" s="2" t="s">
        <v>8502</v>
      </c>
      <c r="H1914" s="3">
        <v>0</v>
      </c>
      <c r="I1914" s="2" t="s">
        <v>409</v>
      </c>
      <c r="J1914" s="2" t="s">
        <v>8503</v>
      </c>
      <c r="K1914" s="2" t="s">
        <v>16</v>
      </c>
      <c r="L1914" s="2" t="s">
        <v>8504</v>
      </c>
      <c r="M1914" s="4">
        <v>102645.5</v>
      </c>
      <c r="N1914" t="b">
        <f>OR(LEFT(B1914,3)="frg",(_xlfn.XMATCH(B1914,ZZZ_Part_Id_[[#All],[FGCODE]])))</f>
        <v>1</v>
      </c>
    </row>
    <row r="1915" spans="1:14" x14ac:dyDescent="0.3">
      <c r="A1915" s="2" t="s">
        <v>8505</v>
      </c>
      <c r="B1915" s="2" t="s">
        <v>14</v>
      </c>
      <c r="C1915" s="2" t="s">
        <v>8506</v>
      </c>
      <c r="D1915" s="3">
        <v>40</v>
      </c>
      <c r="E1915" s="3">
        <v>40</v>
      </c>
      <c r="F1915" s="2" t="s">
        <v>16</v>
      </c>
      <c r="G1915" s="2" t="s">
        <v>8507</v>
      </c>
      <c r="H1915" s="3">
        <v>0</v>
      </c>
      <c r="I1915" s="2" t="s">
        <v>18</v>
      </c>
      <c r="J1915" s="2" t="s">
        <v>8508</v>
      </c>
      <c r="K1915" s="2" t="s">
        <v>16</v>
      </c>
      <c r="L1915" s="2" t="s">
        <v>8509</v>
      </c>
      <c r="M1915" s="4">
        <v>3.08</v>
      </c>
      <c r="N1915" t="e">
        <f>OR(LEFT(B1915,3)="frg",(_xlfn.XMATCH(B1915,ZZZ_Part_Id_[[#All],[FGCODE]])))</f>
        <v>#N/A</v>
      </c>
    </row>
    <row r="1916" spans="1:14" x14ac:dyDescent="0.3">
      <c r="A1916" s="2" t="s">
        <v>8505</v>
      </c>
      <c r="B1916" s="2" t="s">
        <v>517</v>
      </c>
      <c r="C1916" s="2" t="s">
        <v>8510</v>
      </c>
      <c r="D1916" s="3">
        <v>241920</v>
      </c>
      <c r="E1916" s="3">
        <v>241920</v>
      </c>
      <c r="F1916" s="2" t="s">
        <v>16</v>
      </c>
      <c r="G1916" s="2" t="s">
        <v>8511</v>
      </c>
      <c r="H1916" s="3">
        <v>0</v>
      </c>
      <c r="I1916" s="2" t="s">
        <v>18</v>
      </c>
      <c r="J1916" s="2" t="s">
        <v>8512</v>
      </c>
      <c r="K1916" s="2" t="s">
        <v>16</v>
      </c>
      <c r="L1916" s="2" t="s">
        <v>8513</v>
      </c>
      <c r="M1916" s="4">
        <v>45972</v>
      </c>
      <c r="N1916" t="b">
        <f>OR(LEFT(B1916,3)="frg",(_xlfn.XMATCH(B1916,ZZZ_Part_Id_[[#All],[FGCODE]])))</f>
        <v>1</v>
      </c>
    </row>
    <row r="1917" spans="1:14" x14ac:dyDescent="0.3">
      <c r="A1917" s="2" t="s">
        <v>8514</v>
      </c>
      <c r="B1917" s="2" t="s">
        <v>97</v>
      </c>
      <c r="C1917" s="2" t="s">
        <v>8515</v>
      </c>
      <c r="D1917" s="3">
        <v>81600</v>
      </c>
      <c r="E1917" s="3">
        <v>81600</v>
      </c>
      <c r="F1917" s="2" t="s">
        <v>16</v>
      </c>
      <c r="G1917" s="2" t="s">
        <v>8516</v>
      </c>
      <c r="H1917" s="3">
        <v>0</v>
      </c>
      <c r="I1917" s="2" t="s">
        <v>409</v>
      </c>
      <c r="J1917" s="2" t="s">
        <v>8517</v>
      </c>
      <c r="K1917" s="2" t="s">
        <v>16</v>
      </c>
      <c r="L1917" s="2" t="s">
        <v>8518</v>
      </c>
      <c r="M1917" s="4">
        <v>27972.48</v>
      </c>
      <c r="N1917" t="b">
        <f>OR(LEFT(B1917,3)="frg",(_xlfn.XMATCH(B1917,ZZZ_Part_Id_[[#All],[FGCODE]])))</f>
        <v>1</v>
      </c>
    </row>
    <row r="1918" spans="1:14" x14ac:dyDescent="0.3">
      <c r="A1918" s="2" t="s">
        <v>8519</v>
      </c>
      <c r="B1918" s="2" t="s">
        <v>517</v>
      </c>
      <c r="C1918" s="2" t="s">
        <v>8520</v>
      </c>
      <c r="D1918" s="3">
        <v>493920</v>
      </c>
      <c r="E1918" s="3">
        <v>493920</v>
      </c>
      <c r="F1918" s="2" t="s">
        <v>16</v>
      </c>
      <c r="G1918" s="2" t="s">
        <v>8521</v>
      </c>
      <c r="H1918" s="3">
        <v>0</v>
      </c>
      <c r="I1918" s="2" t="s">
        <v>409</v>
      </c>
      <c r="J1918" s="2" t="s">
        <v>8522</v>
      </c>
      <c r="K1918" s="2" t="s">
        <v>16</v>
      </c>
      <c r="L1918" s="2" t="s">
        <v>8523</v>
      </c>
      <c r="M1918" s="4">
        <v>93859.5</v>
      </c>
      <c r="N1918" t="b">
        <f>OR(LEFT(B1918,3)="frg",(_xlfn.XMATCH(B1918,ZZZ_Part_Id_[[#All],[FGCODE]])))</f>
        <v>1</v>
      </c>
    </row>
    <row r="1919" spans="1:14" x14ac:dyDescent="0.3">
      <c r="A1919" s="2" t="s">
        <v>8524</v>
      </c>
      <c r="B1919" s="2" t="s">
        <v>1027</v>
      </c>
      <c r="C1919" s="2" t="s">
        <v>8525</v>
      </c>
      <c r="D1919" s="3">
        <v>647820</v>
      </c>
      <c r="E1919" s="3">
        <v>647820</v>
      </c>
      <c r="F1919" s="2" t="s">
        <v>16</v>
      </c>
      <c r="G1919" s="2" t="s">
        <v>8526</v>
      </c>
      <c r="H1919" s="3">
        <v>0</v>
      </c>
      <c r="I1919" s="2" t="s">
        <v>409</v>
      </c>
      <c r="J1919" s="2" t="s">
        <v>8527</v>
      </c>
      <c r="K1919" s="2" t="s">
        <v>16</v>
      </c>
      <c r="L1919" s="2" t="s">
        <v>8528</v>
      </c>
      <c r="M1919" s="4">
        <v>130360.66</v>
      </c>
      <c r="N1919" t="b">
        <f>OR(LEFT(B1919,3)="frg",(_xlfn.XMATCH(B1919,ZZZ_Part_Id_[[#All],[FGCODE]])))</f>
        <v>1</v>
      </c>
    </row>
    <row r="1920" spans="1:14" x14ac:dyDescent="0.3">
      <c r="A1920" s="2" t="s">
        <v>8524</v>
      </c>
      <c r="B1920" s="2" t="s">
        <v>172</v>
      </c>
      <c r="C1920" s="2" t="s">
        <v>8529</v>
      </c>
      <c r="D1920" s="3">
        <v>100</v>
      </c>
      <c r="E1920" s="3">
        <v>100</v>
      </c>
      <c r="F1920" s="2" t="s">
        <v>23</v>
      </c>
      <c r="G1920" s="2" t="s">
        <v>131</v>
      </c>
      <c r="H1920" s="3">
        <v>0</v>
      </c>
      <c r="I1920" s="2" t="s">
        <v>409</v>
      </c>
      <c r="J1920" s="2" t="s">
        <v>8530</v>
      </c>
      <c r="K1920" s="2" t="s">
        <v>23</v>
      </c>
      <c r="L1920" s="2" t="s">
        <v>8531</v>
      </c>
      <c r="M1920" s="4">
        <v>707.37</v>
      </c>
      <c r="N1920" t="e">
        <f>OR(LEFT(B1920,3)="frg",(_xlfn.XMATCH(B1920,ZZZ_Part_Id_[[#All],[FGCODE]])))</f>
        <v>#N/A</v>
      </c>
    </row>
    <row r="1921" spans="1:14" x14ac:dyDescent="0.3">
      <c r="A1921" s="2" t="s">
        <v>8532</v>
      </c>
      <c r="B1921" s="2" t="s">
        <v>97</v>
      </c>
      <c r="C1921" s="2" t="s">
        <v>8533</v>
      </c>
      <c r="D1921" s="3">
        <v>417600</v>
      </c>
      <c r="E1921" s="3">
        <v>417600</v>
      </c>
      <c r="F1921" s="2" t="s">
        <v>16</v>
      </c>
      <c r="G1921" s="2" t="s">
        <v>8534</v>
      </c>
      <c r="H1921" s="3">
        <v>0</v>
      </c>
      <c r="I1921" s="2" t="s">
        <v>409</v>
      </c>
      <c r="J1921" s="2" t="s">
        <v>8535</v>
      </c>
      <c r="K1921" s="2" t="s">
        <v>16</v>
      </c>
      <c r="L1921" s="2" t="s">
        <v>8536</v>
      </c>
      <c r="M1921" s="4">
        <v>143153.28</v>
      </c>
      <c r="N1921" t="b">
        <f>OR(LEFT(B1921,3)="frg",(_xlfn.XMATCH(B1921,ZZZ_Part_Id_[[#All],[FGCODE]])))</f>
        <v>1</v>
      </c>
    </row>
    <row r="1922" spans="1:14" x14ac:dyDescent="0.3">
      <c r="A1922" s="2" t="s">
        <v>8537</v>
      </c>
      <c r="B1922" s="2" t="s">
        <v>5357</v>
      </c>
      <c r="C1922" s="2" t="s">
        <v>8538</v>
      </c>
      <c r="D1922" s="3">
        <v>609408</v>
      </c>
      <c r="E1922" s="3">
        <v>609408</v>
      </c>
      <c r="F1922" s="2" t="s">
        <v>16</v>
      </c>
      <c r="G1922" s="2" t="s">
        <v>8539</v>
      </c>
      <c r="H1922" s="3">
        <v>0</v>
      </c>
      <c r="I1922" s="2" t="s">
        <v>409</v>
      </c>
      <c r="J1922" s="2" t="s">
        <v>8540</v>
      </c>
      <c r="K1922" s="2" t="s">
        <v>16</v>
      </c>
      <c r="L1922" s="2" t="s">
        <v>8541</v>
      </c>
      <c r="M1922" s="4">
        <v>181012.76</v>
      </c>
      <c r="N1922" t="b">
        <f>OR(LEFT(B1922,3)="frg",(_xlfn.XMATCH(B1922,ZZZ_Part_Id_[[#All],[FGCODE]])))</f>
        <v>1</v>
      </c>
    </row>
    <row r="1923" spans="1:14" x14ac:dyDescent="0.3">
      <c r="A1923" s="2" t="s">
        <v>8542</v>
      </c>
      <c r="B1923" s="2" t="s">
        <v>740</v>
      </c>
      <c r="C1923" s="2" t="s">
        <v>8543</v>
      </c>
      <c r="D1923" s="3">
        <v>350460</v>
      </c>
      <c r="E1923" s="3">
        <v>350460</v>
      </c>
      <c r="F1923" s="2" t="s">
        <v>16</v>
      </c>
      <c r="G1923" s="2" t="s">
        <v>8544</v>
      </c>
      <c r="H1923" s="3">
        <v>0</v>
      </c>
      <c r="I1923" s="2" t="s">
        <v>409</v>
      </c>
      <c r="J1923" s="2" t="s">
        <v>8545</v>
      </c>
      <c r="K1923" s="2" t="s">
        <v>16</v>
      </c>
      <c r="L1923" s="2" t="s">
        <v>8546</v>
      </c>
      <c r="M1923" s="4">
        <v>69646.83</v>
      </c>
      <c r="N1923" t="b">
        <f>OR(LEFT(B1923,3)="frg",(_xlfn.XMATCH(B1923,ZZZ_Part_Id_[[#All],[FGCODE]])))</f>
        <v>1</v>
      </c>
    </row>
    <row r="1924" spans="1:14" x14ac:dyDescent="0.3">
      <c r="A1924" s="2" t="s">
        <v>8547</v>
      </c>
      <c r="B1924" s="2" t="s">
        <v>2934</v>
      </c>
      <c r="C1924" s="2" t="s">
        <v>8548</v>
      </c>
      <c r="D1924" s="3">
        <v>90288</v>
      </c>
      <c r="E1924" s="3">
        <v>90288</v>
      </c>
      <c r="F1924" s="2" t="s">
        <v>16</v>
      </c>
      <c r="G1924" s="2" t="s">
        <v>8549</v>
      </c>
      <c r="H1924" s="3">
        <v>0</v>
      </c>
      <c r="I1924" s="2" t="s">
        <v>409</v>
      </c>
      <c r="J1924" s="2" t="s">
        <v>8550</v>
      </c>
      <c r="K1924" s="2" t="s">
        <v>16</v>
      </c>
      <c r="L1924" s="2" t="s">
        <v>8551</v>
      </c>
      <c r="M1924" s="4">
        <v>11225.5</v>
      </c>
      <c r="N1924" t="b">
        <f>OR(LEFT(B1924,3)="frg",(_xlfn.XMATCH(B1924,ZZZ_Part_Id_[[#All],[FGCODE]])))</f>
        <v>1</v>
      </c>
    </row>
    <row r="1925" spans="1:14" x14ac:dyDescent="0.3">
      <c r="A1925" s="2" t="s">
        <v>8547</v>
      </c>
      <c r="B1925" s="2" t="s">
        <v>65</v>
      </c>
      <c r="C1925" s="2" t="s">
        <v>8552</v>
      </c>
      <c r="D1925" s="5">
        <v>-147</v>
      </c>
      <c r="E1925" s="5">
        <v>-147</v>
      </c>
      <c r="F1925" s="2" t="s">
        <v>23</v>
      </c>
      <c r="G1925" s="2" t="s">
        <v>8553</v>
      </c>
      <c r="H1925" s="3">
        <v>0</v>
      </c>
      <c r="I1925" s="2" t="s">
        <v>409</v>
      </c>
      <c r="J1925" s="2" t="s">
        <v>8554</v>
      </c>
      <c r="K1925" s="2" t="s">
        <v>23</v>
      </c>
      <c r="L1925" s="2" t="s">
        <v>8555</v>
      </c>
      <c r="M1925" s="6">
        <v>-378.03</v>
      </c>
      <c r="N1925" t="b">
        <f>OR(LEFT(B1925,3)="frg",(_xlfn.XMATCH(B1925,ZZZ_Part_Id_[[#All],[FGCODE]])))</f>
        <v>1</v>
      </c>
    </row>
    <row r="1926" spans="1:14" x14ac:dyDescent="0.3">
      <c r="A1926" s="2" t="s">
        <v>8556</v>
      </c>
      <c r="B1926" s="2" t="s">
        <v>2115</v>
      </c>
      <c r="C1926" s="2" t="s">
        <v>8557</v>
      </c>
      <c r="D1926" s="3">
        <v>7200</v>
      </c>
      <c r="E1926" s="3">
        <v>7200</v>
      </c>
      <c r="F1926" s="2" t="s">
        <v>16</v>
      </c>
      <c r="G1926" s="2" t="s">
        <v>8558</v>
      </c>
      <c r="H1926" s="3">
        <v>0</v>
      </c>
      <c r="I1926" s="2" t="s">
        <v>409</v>
      </c>
      <c r="J1926" s="2" t="s">
        <v>8559</v>
      </c>
      <c r="K1926" s="2" t="s">
        <v>16</v>
      </c>
      <c r="L1926" s="2" t="s">
        <v>8560</v>
      </c>
      <c r="M1926" s="4">
        <v>2393.86</v>
      </c>
      <c r="N1926" t="b">
        <f>OR(LEFT(B1926,3)="frg",(_xlfn.XMATCH(B1926,ZZZ_Part_Id_[[#All],[FGCODE]])))</f>
        <v>1</v>
      </c>
    </row>
    <row r="1927" spans="1:14" x14ac:dyDescent="0.3">
      <c r="A1927" s="2" t="s">
        <v>8561</v>
      </c>
      <c r="B1927" s="2" t="s">
        <v>1027</v>
      </c>
      <c r="C1927" s="2" t="s">
        <v>8562</v>
      </c>
      <c r="D1927" s="3">
        <v>1030140</v>
      </c>
      <c r="E1927" s="3">
        <v>1030140</v>
      </c>
      <c r="F1927" s="2" t="s">
        <v>16</v>
      </c>
      <c r="G1927" s="2" t="s">
        <v>8563</v>
      </c>
      <c r="H1927" s="3">
        <v>0</v>
      </c>
      <c r="I1927" s="2" t="s">
        <v>18</v>
      </c>
      <c r="J1927" s="2" t="s">
        <v>8564</v>
      </c>
      <c r="K1927" s="2" t="s">
        <v>16</v>
      </c>
      <c r="L1927" s="2" t="s">
        <v>8565</v>
      </c>
      <c r="M1927" s="4">
        <v>207294.82</v>
      </c>
      <c r="N1927" t="b">
        <f>OR(LEFT(B1927,3)="frg",(_xlfn.XMATCH(B1927,ZZZ_Part_Id_[[#All],[FGCODE]])))</f>
        <v>1</v>
      </c>
    </row>
    <row r="1928" spans="1:14" x14ac:dyDescent="0.3">
      <c r="A1928" s="2" t="s">
        <v>8566</v>
      </c>
      <c r="B1928" s="2" t="s">
        <v>14</v>
      </c>
      <c r="C1928" s="2" t="s">
        <v>8567</v>
      </c>
      <c r="D1928" s="3">
        <v>64</v>
      </c>
      <c r="E1928" s="3">
        <v>64</v>
      </c>
      <c r="F1928" s="2" t="s">
        <v>16</v>
      </c>
      <c r="G1928" s="2" t="s">
        <v>8568</v>
      </c>
      <c r="H1928" s="3">
        <v>0</v>
      </c>
      <c r="I1928" s="2" t="s">
        <v>409</v>
      </c>
      <c r="J1928" s="2" t="s">
        <v>8569</v>
      </c>
      <c r="K1928" s="2" t="s">
        <v>16</v>
      </c>
      <c r="L1928" s="2" t="s">
        <v>8570</v>
      </c>
      <c r="M1928" s="4">
        <v>4.92</v>
      </c>
      <c r="N1928" t="e">
        <f>OR(LEFT(B1928,3)="frg",(_xlfn.XMATCH(B1928,ZZZ_Part_Id_[[#All],[FGCODE]])))</f>
        <v>#N/A</v>
      </c>
    </row>
    <row r="1929" spans="1:14" x14ac:dyDescent="0.3">
      <c r="A1929" s="2" t="s">
        <v>8566</v>
      </c>
      <c r="B1929" s="2" t="s">
        <v>5357</v>
      </c>
      <c r="C1929" s="2" t="s">
        <v>8571</v>
      </c>
      <c r="D1929" s="3">
        <v>331200</v>
      </c>
      <c r="E1929" s="3">
        <v>331200</v>
      </c>
      <c r="F1929" s="2" t="s">
        <v>16</v>
      </c>
      <c r="G1929" s="2" t="s">
        <v>8572</v>
      </c>
      <c r="H1929" s="3">
        <v>0</v>
      </c>
      <c r="I1929" s="2" t="s">
        <v>409</v>
      </c>
      <c r="J1929" s="2" t="s">
        <v>8573</v>
      </c>
      <c r="K1929" s="2" t="s">
        <v>16</v>
      </c>
      <c r="L1929" s="2" t="s">
        <v>8574</v>
      </c>
      <c r="M1929" s="4">
        <v>98376.5</v>
      </c>
      <c r="N1929" t="b">
        <f>OR(LEFT(B1929,3)="frg",(_xlfn.XMATCH(B1929,ZZZ_Part_Id_[[#All],[FGCODE]])))</f>
        <v>1</v>
      </c>
    </row>
    <row r="1930" spans="1:14" x14ac:dyDescent="0.3">
      <c r="A1930" s="2" t="s">
        <v>8575</v>
      </c>
      <c r="B1930" s="2" t="s">
        <v>14</v>
      </c>
      <c r="C1930" s="2" t="s">
        <v>8576</v>
      </c>
      <c r="D1930" s="3">
        <v>140</v>
      </c>
      <c r="E1930" s="3">
        <v>140</v>
      </c>
      <c r="F1930" s="2" t="s">
        <v>16</v>
      </c>
      <c r="G1930" s="2" t="s">
        <v>8577</v>
      </c>
      <c r="H1930" s="3">
        <v>0</v>
      </c>
      <c r="I1930" s="2" t="s">
        <v>409</v>
      </c>
      <c r="J1930" s="2" t="s">
        <v>8578</v>
      </c>
      <c r="K1930" s="2" t="s">
        <v>16</v>
      </c>
      <c r="L1930" s="2" t="s">
        <v>8579</v>
      </c>
      <c r="M1930" s="4">
        <v>10.77</v>
      </c>
      <c r="N1930" t="e">
        <f>OR(LEFT(B1930,3)="frg",(_xlfn.XMATCH(B1930,ZZZ_Part_Id_[[#All],[FGCODE]])))</f>
        <v>#N/A</v>
      </c>
    </row>
    <row r="1931" spans="1:14" x14ac:dyDescent="0.3">
      <c r="A1931" s="2" t="s">
        <v>8575</v>
      </c>
      <c r="B1931" s="2" t="s">
        <v>4791</v>
      </c>
      <c r="C1931" s="2" t="s">
        <v>8580</v>
      </c>
      <c r="D1931" s="3">
        <v>483552</v>
      </c>
      <c r="E1931" s="3">
        <v>482552</v>
      </c>
      <c r="F1931" s="2" t="s">
        <v>16</v>
      </c>
      <c r="G1931" s="2" t="s">
        <v>8581</v>
      </c>
      <c r="H1931" s="3">
        <v>0</v>
      </c>
      <c r="I1931" s="2" t="s">
        <v>409</v>
      </c>
      <c r="J1931" s="2" t="s">
        <v>8582</v>
      </c>
      <c r="K1931" s="2" t="s">
        <v>16</v>
      </c>
      <c r="L1931" s="2" t="s">
        <v>8583</v>
      </c>
      <c r="M1931" s="4">
        <v>141643.29</v>
      </c>
      <c r="N1931" t="b">
        <f>OR(LEFT(B1931,3)="frg",(_xlfn.XMATCH(B1931,ZZZ_Part_Id_[[#All],[FGCODE]])))</f>
        <v>1</v>
      </c>
    </row>
    <row r="1932" spans="1:14" x14ac:dyDescent="0.3">
      <c r="A1932" s="2" t="s">
        <v>8584</v>
      </c>
      <c r="B1932" s="2" t="s">
        <v>517</v>
      </c>
      <c r="C1932" s="2" t="s">
        <v>8585</v>
      </c>
      <c r="D1932" s="3">
        <v>504000</v>
      </c>
      <c r="E1932" s="3">
        <v>504000</v>
      </c>
      <c r="F1932" s="2" t="s">
        <v>16</v>
      </c>
      <c r="G1932" s="2" t="s">
        <v>8586</v>
      </c>
      <c r="H1932" s="3">
        <v>0</v>
      </c>
      <c r="I1932" s="2" t="s">
        <v>18</v>
      </c>
      <c r="J1932" s="2" t="s">
        <v>8587</v>
      </c>
      <c r="K1932" s="2" t="s">
        <v>16</v>
      </c>
      <c r="L1932" s="2" t="s">
        <v>8588</v>
      </c>
      <c r="M1932" s="4">
        <v>95775</v>
      </c>
      <c r="N1932" t="b">
        <f>OR(LEFT(B1932,3)="frg",(_xlfn.XMATCH(B1932,ZZZ_Part_Id_[[#All],[FGCODE]])))</f>
        <v>1</v>
      </c>
    </row>
    <row r="1933" spans="1:14" x14ac:dyDescent="0.3">
      <c r="A1933" s="2" t="s">
        <v>8589</v>
      </c>
      <c r="B1933" s="2" t="s">
        <v>97</v>
      </c>
      <c r="C1933" s="2" t="s">
        <v>8590</v>
      </c>
      <c r="D1933" s="3">
        <v>249600</v>
      </c>
      <c r="E1933" s="3">
        <v>249600</v>
      </c>
      <c r="F1933" s="2" t="s">
        <v>16</v>
      </c>
      <c r="G1933" s="2" t="s">
        <v>8591</v>
      </c>
      <c r="H1933" s="3">
        <v>0</v>
      </c>
      <c r="I1933" s="2" t="s">
        <v>18</v>
      </c>
      <c r="J1933" s="2" t="s">
        <v>8592</v>
      </c>
      <c r="K1933" s="2" t="s">
        <v>16</v>
      </c>
      <c r="L1933" s="2" t="s">
        <v>8593</v>
      </c>
      <c r="M1933" s="4">
        <v>85562.880000000005</v>
      </c>
      <c r="N1933" t="b">
        <f>OR(LEFT(B1933,3)="frg",(_xlfn.XMATCH(B1933,ZZZ_Part_Id_[[#All],[FGCODE]])))</f>
        <v>1</v>
      </c>
    </row>
    <row r="1934" spans="1:14" x14ac:dyDescent="0.3">
      <c r="A1934" s="2" t="s">
        <v>8594</v>
      </c>
      <c r="B1934" s="2" t="s">
        <v>517</v>
      </c>
      <c r="C1934" s="2" t="s">
        <v>8595</v>
      </c>
      <c r="D1934" s="3">
        <v>211680</v>
      </c>
      <c r="E1934" s="3">
        <v>211680</v>
      </c>
      <c r="F1934" s="2" t="s">
        <v>16</v>
      </c>
      <c r="G1934" s="2" t="s">
        <v>8596</v>
      </c>
      <c r="H1934" s="3">
        <v>0</v>
      </c>
      <c r="I1934" s="2" t="s">
        <v>18</v>
      </c>
      <c r="J1934" s="2" t="s">
        <v>8597</v>
      </c>
      <c r="K1934" s="2" t="s">
        <v>16</v>
      </c>
      <c r="L1934" s="2" t="s">
        <v>8598</v>
      </c>
      <c r="M1934" s="4">
        <v>40225.5</v>
      </c>
      <c r="N1934" t="b">
        <f>OR(LEFT(B1934,3)="frg",(_xlfn.XMATCH(B1934,ZZZ_Part_Id_[[#All],[FGCODE]])))</f>
        <v>1</v>
      </c>
    </row>
    <row r="1935" spans="1:14" x14ac:dyDescent="0.3">
      <c r="A1935" s="2" t="s">
        <v>8599</v>
      </c>
      <c r="B1935" s="2" t="s">
        <v>14</v>
      </c>
      <c r="C1935" s="2" t="s">
        <v>8600</v>
      </c>
      <c r="D1935" s="3">
        <v>64</v>
      </c>
      <c r="E1935" s="3">
        <v>64</v>
      </c>
      <c r="F1935" s="2" t="s">
        <v>16</v>
      </c>
      <c r="G1935" s="2" t="s">
        <v>8601</v>
      </c>
      <c r="H1935" s="3">
        <v>0</v>
      </c>
      <c r="I1935" s="2" t="s">
        <v>409</v>
      </c>
      <c r="J1935" s="2" t="s">
        <v>8602</v>
      </c>
      <c r="K1935" s="2" t="s">
        <v>16</v>
      </c>
      <c r="L1935" s="2" t="s">
        <v>8603</v>
      </c>
      <c r="M1935" s="4">
        <v>4.92</v>
      </c>
      <c r="N1935" t="e">
        <f>OR(LEFT(B1935,3)="frg",(_xlfn.XMATCH(B1935,ZZZ_Part_Id_[[#All],[FGCODE]])))</f>
        <v>#N/A</v>
      </c>
    </row>
    <row r="1936" spans="1:14" x14ac:dyDescent="0.3">
      <c r="A1936" s="2" t="s">
        <v>8599</v>
      </c>
      <c r="B1936" s="2" t="s">
        <v>97</v>
      </c>
      <c r="C1936" s="2" t="s">
        <v>8604</v>
      </c>
      <c r="D1936" s="3">
        <v>249600</v>
      </c>
      <c r="E1936" s="3">
        <v>249600</v>
      </c>
      <c r="F1936" s="2" t="s">
        <v>16</v>
      </c>
      <c r="G1936" s="2" t="s">
        <v>8605</v>
      </c>
      <c r="H1936" s="3">
        <v>0</v>
      </c>
      <c r="I1936" s="2" t="s">
        <v>409</v>
      </c>
      <c r="J1936" s="2" t="s">
        <v>8606</v>
      </c>
      <c r="K1936" s="2" t="s">
        <v>16</v>
      </c>
      <c r="L1936" s="2" t="s">
        <v>8607</v>
      </c>
      <c r="M1936" s="4">
        <v>85562.880000000005</v>
      </c>
      <c r="N1936" t="b">
        <f>OR(LEFT(B1936,3)="frg",(_xlfn.XMATCH(B1936,ZZZ_Part_Id_[[#All],[FGCODE]])))</f>
        <v>1</v>
      </c>
    </row>
    <row r="1937" spans="1:14" x14ac:dyDescent="0.3">
      <c r="A1937" s="2" t="s">
        <v>8608</v>
      </c>
      <c r="B1937" s="2" t="s">
        <v>172</v>
      </c>
      <c r="C1937" s="2" t="s">
        <v>8609</v>
      </c>
      <c r="D1937" s="3">
        <v>40</v>
      </c>
      <c r="E1937" s="3">
        <v>40</v>
      </c>
      <c r="F1937" s="2" t="s">
        <v>23</v>
      </c>
      <c r="G1937" s="2" t="s">
        <v>8610</v>
      </c>
      <c r="H1937" s="3">
        <v>0</v>
      </c>
      <c r="I1937" s="2" t="s">
        <v>18</v>
      </c>
      <c r="J1937" s="2" t="s">
        <v>8611</v>
      </c>
      <c r="K1937" s="2" t="s">
        <v>23</v>
      </c>
      <c r="L1937" s="2" t="s">
        <v>8612</v>
      </c>
      <c r="M1937" s="4">
        <v>282.95</v>
      </c>
      <c r="N1937" t="e">
        <f>OR(LEFT(B1937,3)="frg",(_xlfn.XMATCH(B1937,ZZZ_Part_Id_[[#All],[FGCODE]])))</f>
        <v>#N/A</v>
      </c>
    </row>
    <row r="1938" spans="1:14" x14ac:dyDescent="0.3">
      <c r="A1938" s="2" t="s">
        <v>8608</v>
      </c>
      <c r="B1938" s="2" t="s">
        <v>1027</v>
      </c>
      <c r="C1938" s="2" t="s">
        <v>8613</v>
      </c>
      <c r="D1938" s="3">
        <v>817740</v>
      </c>
      <c r="E1938" s="3">
        <v>817740</v>
      </c>
      <c r="F1938" s="2" t="s">
        <v>16</v>
      </c>
      <c r="G1938" s="2" t="s">
        <v>8614</v>
      </c>
      <c r="H1938" s="3">
        <v>0</v>
      </c>
      <c r="I1938" s="2" t="s">
        <v>18</v>
      </c>
      <c r="J1938" s="2" t="s">
        <v>8615</v>
      </c>
      <c r="K1938" s="2" t="s">
        <v>16</v>
      </c>
      <c r="L1938" s="2" t="s">
        <v>8616</v>
      </c>
      <c r="M1938" s="4">
        <v>164553.62</v>
      </c>
      <c r="N1938" t="b">
        <f>OR(LEFT(B1938,3)="frg",(_xlfn.XMATCH(B1938,ZZZ_Part_Id_[[#All],[FGCODE]])))</f>
        <v>1</v>
      </c>
    </row>
    <row r="1939" spans="1:14" x14ac:dyDescent="0.3">
      <c r="A1939" s="2" t="s">
        <v>8617</v>
      </c>
      <c r="B1939" s="2" t="s">
        <v>14</v>
      </c>
      <c r="C1939" s="2" t="s">
        <v>8618</v>
      </c>
      <c r="D1939" s="3">
        <v>40</v>
      </c>
      <c r="E1939" s="3">
        <v>40</v>
      </c>
      <c r="F1939" s="2" t="s">
        <v>16</v>
      </c>
      <c r="G1939" s="2" t="s">
        <v>8619</v>
      </c>
      <c r="H1939" s="3">
        <v>0</v>
      </c>
      <c r="I1939" s="2" t="s">
        <v>18</v>
      </c>
      <c r="J1939" s="2" t="s">
        <v>8620</v>
      </c>
      <c r="K1939" s="2" t="s">
        <v>16</v>
      </c>
      <c r="L1939" s="2" t="s">
        <v>8621</v>
      </c>
      <c r="M1939" s="4">
        <v>3.08</v>
      </c>
      <c r="N1939" t="e">
        <f>OR(LEFT(B1939,3)="frg",(_xlfn.XMATCH(B1939,ZZZ_Part_Id_[[#All],[FGCODE]])))</f>
        <v>#N/A</v>
      </c>
    </row>
    <row r="1940" spans="1:14" x14ac:dyDescent="0.3">
      <c r="A1940" s="2" t="s">
        <v>8617</v>
      </c>
      <c r="B1940" s="2" t="s">
        <v>172</v>
      </c>
      <c r="C1940" s="2" t="s">
        <v>8622</v>
      </c>
      <c r="D1940" s="3">
        <v>20</v>
      </c>
      <c r="E1940" s="3">
        <v>20</v>
      </c>
      <c r="F1940" s="2" t="s">
        <v>23</v>
      </c>
      <c r="G1940" s="2" t="s">
        <v>8623</v>
      </c>
      <c r="H1940" s="3">
        <v>0</v>
      </c>
      <c r="I1940" s="2" t="s">
        <v>18</v>
      </c>
      <c r="J1940" s="2" t="s">
        <v>8624</v>
      </c>
      <c r="K1940" s="2" t="s">
        <v>23</v>
      </c>
      <c r="L1940" s="2" t="s">
        <v>8625</v>
      </c>
      <c r="M1940" s="4">
        <v>141.47</v>
      </c>
      <c r="N1940" t="e">
        <f>OR(LEFT(B1940,3)="frg",(_xlfn.XMATCH(B1940,ZZZ_Part_Id_[[#All],[FGCODE]])))</f>
        <v>#N/A</v>
      </c>
    </row>
    <row r="1941" spans="1:14" x14ac:dyDescent="0.3">
      <c r="A1941" s="2" t="s">
        <v>8617</v>
      </c>
      <c r="B1941" s="2" t="s">
        <v>517</v>
      </c>
      <c r="C1941" s="2" t="s">
        <v>8626</v>
      </c>
      <c r="D1941" s="3">
        <v>383040</v>
      </c>
      <c r="E1941" s="3">
        <v>383040</v>
      </c>
      <c r="F1941" s="2" t="s">
        <v>16</v>
      </c>
      <c r="G1941" s="2" t="s">
        <v>8627</v>
      </c>
      <c r="H1941" s="3">
        <v>0</v>
      </c>
      <c r="I1941" s="2" t="s">
        <v>18</v>
      </c>
      <c r="J1941" s="2" t="s">
        <v>8628</v>
      </c>
      <c r="K1941" s="2" t="s">
        <v>16</v>
      </c>
      <c r="L1941" s="2" t="s">
        <v>8629</v>
      </c>
      <c r="M1941" s="4">
        <v>72789</v>
      </c>
      <c r="N1941" t="b">
        <f>OR(LEFT(B1941,3)="frg",(_xlfn.XMATCH(B1941,ZZZ_Part_Id_[[#All],[FGCODE]])))</f>
        <v>1</v>
      </c>
    </row>
    <row r="1942" spans="1:14" x14ac:dyDescent="0.3">
      <c r="A1942" s="2" t="s">
        <v>8630</v>
      </c>
      <c r="B1942" s="2" t="s">
        <v>14</v>
      </c>
      <c r="C1942" s="2" t="s">
        <v>8631</v>
      </c>
      <c r="D1942" s="3">
        <v>10</v>
      </c>
      <c r="E1942" s="3">
        <v>10</v>
      </c>
      <c r="F1942" s="2" t="s">
        <v>16</v>
      </c>
      <c r="G1942" s="2" t="s">
        <v>8632</v>
      </c>
      <c r="H1942" s="3">
        <v>0</v>
      </c>
      <c r="I1942" s="2" t="s">
        <v>409</v>
      </c>
      <c r="J1942" s="2" t="s">
        <v>8633</v>
      </c>
      <c r="K1942" s="2" t="s">
        <v>16</v>
      </c>
      <c r="L1942" s="2" t="s">
        <v>8634</v>
      </c>
      <c r="M1942" s="4">
        <v>0.77</v>
      </c>
      <c r="N1942" t="e">
        <f>OR(LEFT(B1942,3)="frg",(_xlfn.XMATCH(B1942,ZZZ_Part_Id_[[#All],[FGCODE]])))</f>
        <v>#N/A</v>
      </c>
    </row>
    <row r="1943" spans="1:14" x14ac:dyDescent="0.3">
      <c r="A1943" s="2" t="s">
        <v>8630</v>
      </c>
      <c r="B1943" s="2" t="s">
        <v>59</v>
      </c>
      <c r="C1943" s="2" t="s">
        <v>8635</v>
      </c>
      <c r="D1943" s="3">
        <v>253800</v>
      </c>
      <c r="E1943" s="3">
        <v>253800</v>
      </c>
      <c r="F1943" s="2" t="s">
        <v>16</v>
      </c>
      <c r="G1943" s="2" t="s">
        <v>8636</v>
      </c>
      <c r="H1943" s="3">
        <v>0</v>
      </c>
      <c r="I1943" s="2" t="s">
        <v>409</v>
      </c>
      <c r="J1943" s="2" t="s">
        <v>8637</v>
      </c>
      <c r="K1943" s="2" t="s">
        <v>16</v>
      </c>
      <c r="L1943" s="2" t="s">
        <v>8638</v>
      </c>
      <c r="M1943" s="4">
        <v>17697.5</v>
      </c>
      <c r="N1943" t="b">
        <f>OR(LEFT(B1943,3)="frg",(_xlfn.XMATCH(B1943,ZZZ_Part_Id_[[#All],[FGCODE]])))</f>
        <v>1</v>
      </c>
    </row>
    <row r="1944" spans="1:14" x14ac:dyDescent="0.3">
      <c r="A1944" s="2" t="s">
        <v>8639</v>
      </c>
      <c r="B1944" s="2" t="s">
        <v>5357</v>
      </c>
      <c r="C1944" s="2" t="s">
        <v>8640</v>
      </c>
      <c r="D1944" s="3">
        <v>13248</v>
      </c>
      <c r="E1944" s="3">
        <v>13248</v>
      </c>
      <c r="F1944" s="2" t="s">
        <v>16</v>
      </c>
      <c r="G1944" s="2" t="s">
        <v>8641</v>
      </c>
      <c r="H1944" s="3">
        <v>0</v>
      </c>
      <c r="I1944" s="2" t="s">
        <v>409</v>
      </c>
      <c r="J1944" s="2" t="s">
        <v>8642</v>
      </c>
      <c r="K1944" s="2" t="s">
        <v>16</v>
      </c>
      <c r="L1944" s="2" t="s">
        <v>8643</v>
      </c>
      <c r="M1944" s="4">
        <v>3935.06</v>
      </c>
      <c r="N1944" t="b">
        <f>OR(LEFT(B1944,3)="frg",(_xlfn.XMATCH(B1944,ZZZ_Part_Id_[[#All],[FGCODE]])))</f>
        <v>1</v>
      </c>
    </row>
    <row r="1945" spans="1:14" x14ac:dyDescent="0.3">
      <c r="A1945" s="2" t="s">
        <v>8644</v>
      </c>
      <c r="B1945" s="2" t="s">
        <v>5477</v>
      </c>
      <c r="C1945" s="2" t="s">
        <v>8645</v>
      </c>
      <c r="D1945" s="3">
        <v>6624</v>
      </c>
      <c r="E1945" s="3">
        <v>6624</v>
      </c>
      <c r="F1945" s="2" t="s">
        <v>16</v>
      </c>
      <c r="G1945" s="2" t="s">
        <v>8646</v>
      </c>
      <c r="H1945" s="3">
        <v>0</v>
      </c>
      <c r="I1945" s="2" t="s">
        <v>409</v>
      </c>
      <c r="J1945" s="2" t="s">
        <v>8647</v>
      </c>
      <c r="K1945" s="2" t="s">
        <v>16</v>
      </c>
      <c r="L1945" s="2" t="s">
        <v>8648</v>
      </c>
      <c r="M1945" s="4">
        <v>1967.53</v>
      </c>
      <c r="N1945" t="b">
        <f>OR(LEFT(B1945,3)="frg",(_xlfn.XMATCH(B1945,ZZZ_Part_Id_[[#All],[FGCODE]])))</f>
        <v>1</v>
      </c>
    </row>
    <row r="1946" spans="1:14" x14ac:dyDescent="0.3">
      <c r="A1946" s="2" t="s">
        <v>8649</v>
      </c>
      <c r="B1946" s="2" t="s">
        <v>86</v>
      </c>
      <c r="C1946" s="2" t="s">
        <v>8650</v>
      </c>
      <c r="D1946" s="5">
        <v>-624</v>
      </c>
      <c r="E1946" s="5">
        <v>-624</v>
      </c>
      <c r="F1946" s="2" t="s">
        <v>23</v>
      </c>
      <c r="G1946" s="2" t="s">
        <v>8651</v>
      </c>
      <c r="H1946" s="3">
        <v>0</v>
      </c>
      <c r="I1946" s="2" t="s">
        <v>409</v>
      </c>
      <c r="J1946" s="2" t="s">
        <v>8652</v>
      </c>
      <c r="K1946" s="2" t="s">
        <v>23</v>
      </c>
      <c r="L1946" s="2" t="s">
        <v>8653</v>
      </c>
      <c r="M1946" s="6">
        <v>-1633.51</v>
      </c>
      <c r="N1946" t="b">
        <f>OR(LEFT(B1946,3)="frg",(_xlfn.XMATCH(B1946,ZZZ_Part_Id_[[#All],[FGCODE]])))</f>
        <v>1</v>
      </c>
    </row>
    <row r="1947" spans="1:14" x14ac:dyDescent="0.3">
      <c r="A1947" s="2" t="s">
        <v>8649</v>
      </c>
      <c r="B1947" s="2" t="s">
        <v>416</v>
      </c>
      <c r="C1947" s="2" t="s">
        <v>8654</v>
      </c>
      <c r="D1947" s="3">
        <v>73440</v>
      </c>
      <c r="E1947" s="3">
        <v>73440</v>
      </c>
      <c r="F1947" s="2" t="s">
        <v>16</v>
      </c>
      <c r="G1947" s="2" t="s">
        <v>8655</v>
      </c>
      <c r="H1947" s="3">
        <v>0</v>
      </c>
      <c r="I1947" s="2" t="s">
        <v>409</v>
      </c>
      <c r="J1947" s="2" t="s">
        <v>8656</v>
      </c>
      <c r="K1947" s="2" t="s">
        <v>16</v>
      </c>
      <c r="L1947" s="2" t="s">
        <v>8657</v>
      </c>
      <c r="M1947" s="4">
        <v>26452.32</v>
      </c>
      <c r="N1947" t="b">
        <f>OR(LEFT(B1947,3)="frg",(_xlfn.XMATCH(B1947,ZZZ_Part_Id_[[#All],[FGCODE]])))</f>
        <v>1</v>
      </c>
    </row>
    <row r="1948" spans="1:14" x14ac:dyDescent="0.3">
      <c r="A1948" s="2" t="s">
        <v>8658</v>
      </c>
      <c r="B1948" s="2" t="s">
        <v>14</v>
      </c>
      <c r="C1948" s="2" t="s">
        <v>8659</v>
      </c>
      <c r="D1948" s="3">
        <v>40</v>
      </c>
      <c r="E1948" s="3">
        <v>40</v>
      </c>
      <c r="F1948" s="2" t="s">
        <v>16</v>
      </c>
      <c r="G1948" s="2" t="s">
        <v>8660</v>
      </c>
      <c r="H1948" s="3">
        <v>0</v>
      </c>
      <c r="I1948" s="2" t="s">
        <v>18</v>
      </c>
      <c r="J1948" s="2" t="s">
        <v>8661</v>
      </c>
      <c r="K1948" s="2" t="s">
        <v>16</v>
      </c>
      <c r="L1948" s="2" t="s">
        <v>8662</v>
      </c>
      <c r="M1948" s="4">
        <v>3.08</v>
      </c>
      <c r="N1948" t="e">
        <f>OR(LEFT(B1948,3)="frg",(_xlfn.XMATCH(B1948,ZZZ_Part_Id_[[#All],[FGCODE]])))</f>
        <v>#N/A</v>
      </c>
    </row>
    <row r="1949" spans="1:14" x14ac:dyDescent="0.3">
      <c r="A1949" s="2" t="s">
        <v>8658</v>
      </c>
      <c r="B1949" s="2" t="s">
        <v>4791</v>
      </c>
      <c r="C1949" s="2" t="s">
        <v>8663</v>
      </c>
      <c r="D1949" s="3">
        <v>172224</v>
      </c>
      <c r="E1949" s="3">
        <v>172224</v>
      </c>
      <c r="F1949" s="2" t="s">
        <v>16</v>
      </c>
      <c r="G1949" s="2" t="s">
        <v>8664</v>
      </c>
      <c r="H1949" s="3">
        <v>0</v>
      </c>
      <c r="I1949" s="2" t="s">
        <v>18</v>
      </c>
      <c r="J1949" s="2" t="s">
        <v>8665</v>
      </c>
      <c r="K1949" s="2" t="s">
        <v>16</v>
      </c>
      <c r="L1949" s="2" t="s">
        <v>8666</v>
      </c>
      <c r="M1949" s="4">
        <v>50552.85</v>
      </c>
      <c r="N1949" t="b">
        <f>OR(LEFT(B1949,3)="frg",(_xlfn.XMATCH(B1949,ZZZ_Part_Id_[[#All],[FGCODE]])))</f>
        <v>1</v>
      </c>
    </row>
    <row r="1950" spans="1:14" x14ac:dyDescent="0.3">
      <c r="A1950" s="2" t="s">
        <v>8667</v>
      </c>
      <c r="B1950" s="2" t="s">
        <v>65</v>
      </c>
      <c r="C1950" s="2" t="s">
        <v>8668</v>
      </c>
      <c r="D1950" s="5">
        <v>-268</v>
      </c>
      <c r="E1950" s="5">
        <v>-268</v>
      </c>
      <c r="F1950" s="2" t="s">
        <v>23</v>
      </c>
      <c r="G1950" s="2" t="s">
        <v>8669</v>
      </c>
      <c r="H1950" s="3">
        <v>0</v>
      </c>
      <c r="I1950" s="2" t="s">
        <v>18</v>
      </c>
      <c r="J1950" s="2" t="s">
        <v>8670</v>
      </c>
      <c r="K1950" s="2" t="s">
        <v>23</v>
      </c>
      <c r="L1950" s="2" t="s">
        <v>8671</v>
      </c>
      <c r="M1950" s="6">
        <v>-689.19</v>
      </c>
      <c r="N1950" t="b">
        <f>OR(LEFT(B1950,3)="frg",(_xlfn.XMATCH(B1950,ZZZ_Part_Id_[[#All],[FGCODE]])))</f>
        <v>1</v>
      </c>
    </row>
    <row r="1951" spans="1:14" x14ac:dyDescent="0.3">
      <c r="A1951" s="2" t="s">
        <v>8667</v>
      </c>
      <c r="B1951" s="2" t="s">
        <v>517</v>
      </c>
      <c r="C1951" s="2" t="s">
        <v>8672</v>
      </c>
      <c r="D1951" s="3">
        <v>141120</v>
      </c>
      <c r="E1951" s="3">
        <v>141120</v>
      </c>
      <c r="F1951" s="2" t="s">
        <v>16</v>
      </c>
      <c r="G1951" s="2" t="s">
        <v>8673</v>
      </c>
      <c r="H1951" s="3">
        <v>0</v>
      </c>
      <c r="I1951" s="2" t="s">
        <v>18</v>
      </c>
      <c r="J1951" s="2" t="s">
        <v>8674</v>
      </c>
      <c r="K1951" s="2" t="s">
        <v>16</v>
      </c>
      <c r="L1951" s="2" t="s">
        <v>8675</v>
      </c>
      <c r="M1951" s="4">
        <v>26817</v>
      </c>
      <c r="N1951" t="b">
        <f>OR(LEFT(B1951,3)="frg",(_xlfn.XMATCH(B1951,ZZZ_Part_Id_[[#All],[FGCODE]])))</f>
        <v>1</v>
      </c>
    </row>
    <row r="1952" spans="1:14" x14ac:dyDescent="0.3">
      <c r="A1952" s="2" t="s">
        <v>8676</v>
      </c>
      <c r="B1952" s="2" t="s">
        <v>7090</v>
      </c>
      <c r="C1952" s="2" t="s">
        <v>8677</v>
      </c>
      <c r="D1952" s="3">
        <v>30240</v>
      </c>
      <c r="E1952" s="3">
        <v>30240</v>
      </c>
      <c r="F1952" s="2" t="s">
        <v>16</v>
      </c>
      <c r="G1952" s="2" t="s">
        <v>8678</v>
      </c>
      <c r="H1952" s="3">
        <v>0</v>
      </c>
      <c r="I1952" s="2" t="s">
        <v>18</v>
      </c>
      <c r="J1952" s="2" t="s">
        <v>8679</v>
      </c>
      <c r="K1952" s="2" t="s">
        <v>16</v>
      </c>
      <c r="L1952" s="2" t="s">
        <v>8680</v>
      </c>
      <c r="M1952" s="4">
        <v>759.93</v>
      </c>
      <c r="N1952" t="b">
        <f>OR(LEFT(B1952,3)="frg",(_xlfn.XMATCH(B1952,ZZZ_Part_Id_[[#All],[FGCODE]])))</f>
        <v>1</v>
      </c>
    </row>
    <row r="1953" spans="1:14" x14ac:dyDescent="0.3">
      <c r="A1953" s="2" t="s">
        <v>8681</v>
      </c>
      <c r="B1953" s="2" t="s">
        <v>2840</v>
      </c>
      <c r="C1953" s="2" t="s">
        <v>8682</v>
      </c>
      <c r="D1953" s="3">
        <v>20160</v>
      </c>
      <c r="E1953" s="3">
        <v>20160</v>
      </c>
      <c r="F1953" s="2" t="s">
        <v>16</v>
      </c>
      <c r="G1953" s="2" t="s">
        <v>8683</v>
      </c>
      <c r="H1953" s="3">
        <v>0</v>
      </c>
      <c r="I1953" s="2" t="s">
        <v>18</v>
      </c>
      <c r="J1953" s="2" t="s">
        <v>8684</v>
      </c>
      <c r="K1953" s="2" t="s">
        <v>16</v>
      </c>
      <c r="L1953" s="2" t="s">
        <v>8685</v>
      </c>
      <c r="M1953" s="4">
        <v>3868.1</v>
      </c>
      <c r="N1953" t="b">
        <f>OR(LEFT(B1953,3)="frg",(_xlfn.XMATCH(B1953,ZZZ_Part_Id_[[#All],[FGCODE]])))</f>
        <v>1</v>
      </c>
    </row>
    <row r="1954" spans="1:14" x14ac:dyDescent="0.3">
      <c r="A1954" s="2" t="s">
        <v>8686</v>
      </c>
      <c r="B1954" s="2" t="s">
        <v>1027</v>
      </c>
      <c r="C1954" s="2" t="s">
        <v>8687</v>
      </c>
      <c r="D1954" s="3">
        <v>138060</v>
      </c>
      <c r="E1954" s="3">
        <v>138060</v>
      </c>
      <c r="F1954" s="2" t="s">
        <v>16</v>
      </c>
      <c r="G1954" s="2" t="s">
        <v>8688</v>
      </c>
      <c r="H1954" s="3">
        <v>0</v>
      </c>
      <c r="I1954" s="2" t="s">
        <v>18</v>
      </c>
      <c r="J1954" s="2" t="s">
        <v>8689</v>
      </c>
      <c r="K1954" s="2" t="s">
        <v>16</v>
      </c>
      <c r="L1954" s="2" t="s">
        <v>8690</v>
      </c>
      <c r="M1954" s="4">
        <v>27781.78</v>
      </c>
      <c r="N1954" t="b">
        <f>OR(LEFT(B1954,3)="frg",(_xlfn.XMATCH(B1954,ZZZ_Part_Id_[[#All],[FGCODE]])))</f>
        <v>1</v>
      </c>
    </row>
    <row r="1955" spans="1:14" x14ac:dyDescent="0.3">
      <c r="A1955" s="2" t="s">
        <v>8686</v>
      </c>
      <c r="B1955" s="2" t="s">
        <v>172</v>
      </c>
      <c r="C1955" s="2" t="s">
        <v>8691</v>
      </c>
      <c r="D1955" s="3">
        <v>40</v>
      </c>
      <c r="E1955" s="3">
        <v>60</v>
      </c>
      <c r="F1955" s="2" t="s">
        <v>23</v>
      </c>
      <c r="G1955" s="2" t="s">
        <v>131</v>
      </c>
      <c r="H1955" s="3">
        <v>0</v>
      </c>
      <c r="I1955" s="2" t="s">
        <v>18</v>
      </c>
      <c r="J1955" s="2" t="s">
        <v>8692</v>
      </c>
      <c r="K1955" s="2" t="s">
        <v>23</v>
      </c>
      <c r="L1955" s="2" t="s">
        <v>8693</v>
      </c>
      <c r="M1955" s="4">
        <v>424.42</v>
      </c>
      <c r="N1955" t="e">
        <f>OR(LEFT(B1955,3)="frg",(_xlfn.XMATCH(B1955,ZZZ_Part_Id_[[#All],[FGCODE]])))</f>
        <v>#N/A</v>
      </c>
    </row>
    <row r="1956" spans="1:14" x14ac:dyDescent="0.3">
      <c r="A1956" s="2" t="s">
        <v>8694</v>
      </c>
      <c r="B1956" s="2" t="s">
        <v>14</v>
      </c>
      <c r="C1956" s="2" t="s">
        <v>8695</v>
      </c>
      <c r="D1956" s="3">
        <v>14</v>
      </c>
      <c r="E1956" s="3">
        <v>14</v>
      </c>
      <c r="F1956" s="2" t="s">
        <v>16</v>
      </c>
      <c r="G1956" s="2" t="s">
        <v>8696</v>
      </c>
      <c r="H1956" s="3">
        <v>0</v>
      </c>
      <c r="I1956" s="2" t="s">
        <v>18</v>
      </c>
      <c r="J1956" s="2" t="s">
        <v>8697</v>
      </c>
      <c r="K1956" s="2" t="s">
        <v>16</v>
      </c>
      <c r="L1956" s="2" t="s">
        <v>8698</v>
      </c>
      <c r="M1956" s="4">
        <v>1.08</v>
      </c>
      <c r="N1956" t="e">
        <f>OR(LEFT(B1956,3)="frg",(_xlfn.XMATCH(B1956,ZZZ_Part_Id_[[#All],[FGCODE]])))</f>
        <v>#N/A</v>
      </c>
    </row>
    <row r="1957" spans="1:14" x14ac:dyDescent="0.3">
      <c r="A1957" s="2" t="s">
        <v>8694</v>
      </c>
      <c r="B1957" s="2" t="s">
        <v>86</v>
      </c>
      <c r="C1957" s="2" t="s">
        <v>8699</v>
      </c>
      <c r="D1957" s="5">
        <v>-222</v>
      </c>
      <c r="E1957" s="5">
        <v>-222</v>
      </c>
      <c r="F1957" s="2" t="s">
        <v>23</v>
      </c>
      <c r="G1957" s="2" t="s">
        <v>8700</v>
      </c>
      <c r="H1957" s="3">
        <v>0</v>
      </c>
      <c r="I1957" s="2" t="s">
        <v>18</v>
      </c>
      <c r="J1957" s="2" t="s">
        <v>8701</v>
      </c>
      <c r="K1957" s="2" t="s">
        <v>23</v>
      </c>
      <c r="L1957" s="2" t="s">
        <v>8702</v>
      </c>
      <c r="M1957" s="6">
        <v>-581.15</v>
      </c>
      <c r="N1957" t="b">
        <f>OR(LEFT(B1957,3)="frg",(_xlfn.XMATCH(B1957,ZZZ_Part_Id_[[#All],[FGCODE]])))</f>
        <v>1</v>
      </c>
    </row>
    <row r="1958" spans="1:14" x14ac:dyDescent="0.3">
      <c r="A1958" s="2" t="s">
        <v>8694</v>
      </c>
      <c r="B1958" s="2" t="s">
        <v>797</v>
      </c>
      <c r="C1958" s="2" t="s">
        <v>8703</v>
      </c>
      <c r="D1958" s="3">
        <v>448200</v>
      </c>
      <c r="E1958" s="3">
        <v>448200</v>
      </c>
      <c r="F1958" s="2" t="s">
        <v>16</v>
      </c>
      <c r="G1958" s="2" t="s">
        <v>8704</v>
      </c>
      <c r="H1958" s="3">
        <v>0</v>
      </c>
      <c r="I1958" s="2" t="s">
        <v>18</v>
      </c>
      <c r="J1958" s="2" t="s">
        <v>8705</v>
      </c>
      <c r="K1958" s="2" t="s">
        <v>16</v>
      </c>
      <c r="L1958" s="2" t="s">
        <v>8706</v>
      </c>
      <c r="M1958" s="4">
        <v>25238.1</v>
      </c>
      <c r="N1958" t="b">
        <f>OR(LEFT(B1958,3)="frg",(_xlfn.XMATCH(B1958,ZZZ_Part_Id_[[#All],[FGCODE]])))</f>
        <v>1</v>
      </c>
    </row>
    <row r="1959" spans="1:14" x14ac:dyDescent="0.3">
      <c r="A1959" s="2" t="s">
        <v>8707</v>
      </c>
      <c r="B1959" s="2" t="s">
        <v>740</v>
      </c>
      <c r="C1959" s="2" t="s">
        <v>8708</v>
      </c>
      <c r="D1959" s="3">
        <v>95580</v>
      </c>
      <c r="E1959" s="3">
        <v>95580</v>
      </c>
      <c r="F1959" s="2" t="s">
        <v>16</v>
      </c>
      <c r="G1959" s="2" t="s">
        <v>8709</v>
      </c>
      <c r="H1959" s="3">
        <v>0</v>
      </c>
      <c r="I1959" s="2" t="s">
        <v>18</v>
      </c>
      <c r="J1959" s="2" t="s">
        <v>8710</v>
      </c>
      <c r="K1959" s="2" t="s">
        <v>16</v>
      </c>
      <c r="L1959" s="2" t="s">
        <v>8711</v>
      </c>
      <c r="M1959" s="4">
        <v>18994.59</v>
      </c>
      <c r="N1959" t="b">
        <f>OR(LEFT(B1959,3)="frg",(_xlfn.XMATCH(B1959,ZZZ_Part_Id_[[#All],[FGCODE]])))</f>
        <v>1</v>
      </c>
    </row>
    <row r="1960" spans="1:14" x14ac:dyDescent="0.3">
      <c r="A1960" s="2" t="s">
        <v>8712</v>
      </c>
      <c r="B1960" s="2" t="s">
        <v>65</v>
      </c>
      <c r="C1960" s="2" t="s">
        <v>8713</v>
      </c>
      <c r="D1960" s="5">
        <v>-249</v>
      </c>
      <c r="E1960" s="5">
        <v>-249</v>
      </c>
      <c r="F1960" s="2" t="s">
        <v>23</v>
      </c>
      <c r="G1960" s="2" t="s">
        <v>8714</v>
      </c>
      <c r="H1960" s="3">
        <v>0</v>
      </c>
      <c r="I1960" s="2" t="s">
        <v>409</v>
      </c>
      <c r="J1960" s="2" t="s">
        <v>8715</v>
      </c>
      <c r="K1960" s="2" t="s">
        <v>23</v>
      </c>
      <c r="L1960" s="2" t="s">
        <v>8716</v>
      </c>
      <c r="M1960" s="6">
        <v>-640.33000000000004</v>
      </c>
      <c r="N1960" t="b">
        <f>OR(LEFT(B1960,3)="frg",(_xlfn.XMATCH(B1960,ZZZ_Part_Id_[[#All],[FGCODE]])))</f>
        <v>1</v>
      </c>
    </row>
    <row r="1961" spans="1:14" x14ac:dyDescent="0.3">
      <c r="A1961" s="2" t="s">
        <v>8712</v>
      </c>
      <c r="B1961" s="2" t="s">
        <v>97</v>
      </c>
      <c r="C1961" s="2" t="s">
        <v>8717</v>
      </c>
      <c r="D1961" s="3">
        <v>57600</v>
      </c>
      <c r="E1961" s="3">
        <v>57600</v>
      </c>
      <c r="F1961" s="2" t="s">
        <v>16</v>
      </c>
      <c r="G1961" s="2" t="s">
        <v>8718</v>
      </c>
      <c r="H1961" s="3">
        <v>0</v>
      </c>
      <c r="I1961" s="2" t="s">
        <v>409</v>
      </c>
      <c r="J1961" s="2" t="s">
        <v>8719</v>
      </c>
      <c r="K1961" s="2" t="s">
        <v>16</v>
      </c>
      <c r="L1961" s="2" t="s">
        <v>8720</v>
      </c>
      <c r="M1961" s="4">
        <v>19745.28</v>
      </c>
      <c r="N1961" t="b">
        <f>OR(LEFT(B1961,3)="frg",(_xlfn.XMATCH(B1961,ZZZ_Part_Id_[[#All],[FGCODE]])))</f>
        <v>1</v>
      </c>
    </row>
    <row r="1962" spans="1:14" x14ac:dyDescent="0.3">
      <c r="A1962" s="2" t="s">
        <v>8721</v>
      </c>
      <c r="B1962" s="2" t="s">
        <v>14</v>
      </c>
      <c r="C1962" s="2" t="s">
        <v>8722</v>
      </c>
      <c r="D1962" s="3">
        <v>28</v>
      </c>
      <c r="E1962" s="3">
        <v>28</v>
      </c>
      <c r="F1962" s="2" t="s">
        <v>16</v>
      </c>
      <c r="G1962" s="2" t="s">
        <v>8723</v>
      </c>
      <c r="H1962" s="3">
        <v>0</v>
      </c>
      <c r="I1962" s="2" t="s">
        <v>409</v>
      </c>
      <c r="J1962" s="2" t="s">
        <v>8724</v>
      </c>
      <c r="K1962" s="2" t="s">
        <v>16</v>
      </c>
      <c r="L1962" s="2" t="s">
        <v>8725</v>
      </c>
      <c r="M1962" s="4">
        <v>2.15</v>
      </c>
      <c r="N1962" t="e">
        <f>OR(LEFT(B1962,3)="frg",(_xlfn.XMATCH(B1962,ZZZ_Part_Id_[[#All],[FGCODE]])))</f>
        <v>#N/A</v>
      </c>
    </row>
    <row r="1963" spans="1:14" x14ac:dyDescent="0.3">
      <c r="A1963" s="2" t="s">
        <v>8721</v>
      </c>
      <c r="B1963" s="2" t="s">
        <v>140</v>
      </c>
      <c r="C1963" s="2" t="s">
        <v>8726</v>
      </c>
      <c r="D1963" s="3">
        <v>1.1200000000000001</v>
      </c>
      <c r="E1963" s="3">
        <v>1.1200000000000001</v>
      </c>
      <c r="F1963" s="2" t="s">
        <v>16</v>
      </c>
      <c r="G1963" s="2" t="s">
        <v>8727</v>
      </c>
      <c r="H1963" s="3">
        <v>0</v>
      </c>
      <c r="I1963" s="2" t="s">
        <v>409</v>
      </c>
      <c r="J1963" s="2" t="s">
        <v>8728</v>
      </c>
      <c r="K1963" s="2" t="s">
        <v>16</v>
      </c>
      <c r="L1963" s="2" t="s">
        <v>8729</v>
      </c>
      <c r="M1963" s="4">
        <v>2.15</v>
      </c>
      <c r="N1963" t="e">
        <f>OR(LEFT(B1963,3)="frg",(_xlfn.XMATCH(B1963,ZZZ_Part_Id_[[#All],[FGCODE]])))</f>
        <v>#N/A</v>
      </c>
    </row>
    <row r="1964" spans="1:14" x14ac:dyDescent="0.3">
      <c r="A1964" s="2" t="s">
        <v>8721</v>
      </c>
      <c r="B1964" s="2" t="s">
        <v>192</v>
      </c>
      <c r="C1964" s="2" t="s">
        <v>8730</v>
      </c>
      <c r="D1964" s="3">
        <v>0.28000000000000003</v>
      </c>
      <c r="E1964" s="3">
        <v>0.28000000000000003</v>
      </c>
      <c r="F1964" s="2" t="s">
        <v>194</v>
      </c>
      <c r="G1964" s="2" t="s">
        <v>8731</v>
      </c>
      <c r="H1964" s="3">
        <v>0</v>
      </c>
      <c r="I1964" s="2" t="s">
        <v>409</v>
      </c>
      <c r="J1964" s="2" t="s">
        <v>8732</v>
      </c>
      <c r="K1964" s="2" t="s">
        <v>194</v>
      </c>
      <c r="L1964" s="2" t="s">
        <v>8733</v>
      </c>
      <c r="M1964" s="4">
        <v>1.46</v>
      </c>
      <c r="N1964" t="e">
        <f>OR(LEFT(B1964,3)="frg",(_xlfn.XMATCH(B1964,ZZZ_Part_Id_[[#All],[FGCODE]])))</f>
        <v>#N/A</v>
      </c>
    </row>
    <row r="1965" spans="1:14" x14ac:dyDescent="0.3">
      <c r="A1965" s="2" t="s">
        <v>8721</v>
      </c>
      <c r="B1965" s="2" t="s">
        <v>145</v>
      </c>
      <c r="C1965" s="2" t="s">
        <v>8734</v>
      </c>
      <c r="D1965" s="3">
        <v>0.112</v>
      </c>
      <c r="E1965" s="3">
        <v>0.112</v>
      </c>
      <c r="F1965" s="2" t="s">
        <v>147</v>
      </c>
      <c r="G1965" s="2" t="s">
        <v>8735</v>
      </c>
      <c r="H1965" s="3">
        <v>0</v>
      </c>
      <c r="I1965" s="2" t="s">
        <v>409</v>
      </c>
      <c r="J1965" s="2" t="s">
        <v>8736</v>
      </c>
      <c r="K1965" s="2" t="s">
        <v>147</v>
      </c>
      <c r="L1965" s="2" t="s">
        <v>8737</v>
      </c>
      <c r="M1965" s="4">
        <v>17.52</v>
      </c>
      <c r="N1965" t="e">
        <f>OR(LEFT(B1965,3)="frg",(_xlfn.XMATCH(B1965,ZZZ_Part_Id_[[#All],[FGCODE]])))</f>
        <v>#N/A</v>
      </c>
    </row>
    <row r="1966" spans="1:14" x14ac:dyDescent="0.3">
      <c r="A1966" s="2" t="s">
        <v>8721</v>
      </c>
      <c r="B1966" s="2" t="s">
        <v>8738</v>
      </c>
      <c r="C1966" s="2" t="s">
        <v>8739</v>
      </c>
      <c r="D1966" s="3">
        <v>0.28000000000000003</v>
      </c>
      <c r="E1966" s="3">
        <v>0</v>
      </c>
      <c r="F1966" s="2" t="s">
        <v>16</v>
      </c>
      <c r="G1966" s="2" t="s">
        <v>8740</v>
      </c>
      <c r="H1966" s="3">
        <v>0</v>
      </c>
      <c r="I1966" s="2" t="s">
        <v>409</v>
      </c>
      <c r="J1966" s="2" t="s">
        <v>8741</v>
      </c>
      <c r="K1966" s="2" t="s">
        <v>16</v>
      </c>
      <c r="L1966" s="2" t="s">
        <v>8742</v>
      </c>
      <c r="M1966" s="4">
        <v>0</v>
      </c>
      <c r="N1966" t="e">
        <f>OR(LEFT(B1966,3)="frg",(_xlfn.XMATCH(B1966,ZZZ_Part_Id_[[#All],[FGCODE]])))</f>
        <v>#N/A</v>
      </c>
    </row>
    <row r="1967" spans="1:14" x14ac:dyDescent="0.3">
      <c r="A1967" s="2" t="s">
        <v>8721</v>
      </c>
      <c r="B1967" s="2" t="s">
        <v>167</v>
      </c>
      <c r="C1967" s="2" t="s">
        <v>8743</v>
      </c>
      <c r="D1967" s="3">
        <v>14.084</v>
      </c>
      <c r="E1967" s="3">
        <v>14.084</v>
      </c>
      <c r="F1967" s="2" t="s">
        <v>23</v>
      </c>
      <c r="G1967" s="2" t="s">
        <v>8744</v>
      </c>
      <c r="H1967" s="3">
        <v>0</v>
      </c>
      <c r="I1967" s="2" t="s">
        <v>409</v>
      </c>
      <c r="J1967" s="2" t="s">
        <v>8745</v>
      </c>
      <c r="K1967" s="2" t="s">
        <v>23</v>
      </c>
      <c r="L1967" s="2" t="s">
        <v>8746</v>
      </c>
      <c r="M1967" s="4">
        <v>100.11</v>
      </c>
      <c r="N1967" t="e">
        <f>OR(LEFT(B1967,3)="frg",(_xlfn.XMATCH(B1967,ZZZ_Part_Id_[[#All],[FGCODE]])))</f>
        <v>#N/A</v>
      </c>
    </row>
    <row r="1968" spans="1:14" x14ac:dyDescent="0.3">
      <c r="A1968" s="2" t="s">
        <v>8721</v>
      </c>
      <c r="B1968" s="2" t="s">
        <v>172</v>
      </c>
      <c r="C1968" s="2" t="s">
        <v>8747</v>
      </c>
      <c r="D1968" s="3">
        <v>7.8959999999999999</v>
      </c>
      <c r="E1968" s="3">
        <v>7.8959999999999999</v>
      </c>
      <c r="F1968" s="2" t="s">
        <v>23</v>
      </c>
      <c r="G1968" s="2" t="s">
        <v>8748</v>
      </c>
      <c r="H1968" s="3">
        <v>0</v>
      </c>
      <c r="I1968" s="2" t="s">
        <v>409</v>
      </c>
      <c r="J1968" s="2" t="s">
        <v>8749</v>
      </c>
      <c r="K1968" s="2" t="s">
        <v>23</v>
      </c>
      <c r="L1968" s="2" t="s">
        <v>8750</v>
      </c>
      <c r="M1968" s="4">
        <v>55.85</v>
      </c>
      <c r="N1968" t="e">
        <f>OR(LEFT(B1968,3)="frg",(_xlfn.XMATCH(B1968,ZZZ_Part_Id_[[#All],[FGCODE]])))</f>
        <v>#N/A</v>
      </c>
    </row>
    <row r="1969" spans="1:14" x14ac:dyDescent="0.3">
      <c r="A1969" s="2" t="s">
        <v>8721</v>
      </c>
      <c r="B1969" s="2" t="s">
        <v>3349</v>
      </c>
      <c r="C1969" s="2" t="s">
        <v>8751</v>
      </c>
      <c r="D1969" s="3">
        <v>126900</v>
      </c>
      <c r="E1969" s="3">
        <v>126900</v>
      </c>
      <c r="F1969" s="2" t="s">
        <v>16</v>
      </c>
      <c r="G1969" s="2" t="s">
        <v>8752</v>
      </c>
      <c r="H1969" s="3">
        <v>0</v>
      </c>
      <c r="I1969" s="2" t="s">
        <v>409</v>
      </c>
      <c r="J1969" s="2" t="s">
        <v>8753</v>
      </c>
      <c r="K1969" s="2" t="s">
        <v>16</v>
      </c>
      <c r="L1969" s="2" t="s">
        <v>8754</v>
      </c>
      <c r="M1969" s="4">
        <v>9346.19</v>
      </c>
      <c r="N1969" t="b">
        <f>OR(LEFT(B1969,3)="frg",(_xlfn.XMATCH(B1969,ZZZ_Part_Id_[[#All],[FGCODE]])))</f>
        <v>1</v>
      </c>
    </row>
    <row r="1970" spans="1:14" x14ac:dyDescent="0.3">
      <c r="A1970" s="2" t="s">
        <v>8721</v>
      </c>
      <c r="B1970" s="2" t="s">
        <v>2305</v>
      </c>
      <c r="C1970" s="2" t="s">
        <v>8755</v>
      </c>
      <c r="D1970" s="3">
        <v>582912</v>
      </c>
      <c r="E1970" s="3">
        <v>582912</v>
      </c>
      <c r="F1970" s="2" t="s">
        <v>16</v>
      </c>
      <c r="G1970" s="2" t="s">
        <v>8756</v>
      </c>
      <c r="H1970" s="3">
        <v>0</v>
      </c>
      <c r="I1970" s="2" t="s">
        <v>409</v>
      </c>
      <c r="J1970" s="2" t="s">
        <v>8757</v>
      </c>
      <c r="K1970" s="2" t="s">
        <v>16</v>
      </c>
      <c r="L1970" s="2" t="s">
        <v>8758</v>
      </c>
      <c r="M1970" s="4">
        <v>44108.94</v>
      </c>
      <c r="N1970" t="b">
        <f>OR(LEFT(B1970,3)="frg",(_xlfn.XMATCH(B1970,ZZZ_Part_Id_[[#All],[FGCODE]])))</f>
        <v>1</v>
      </c>
    </row>
    <row r="1971" spans="1:14" x14ac:dyDescent="0.3">
      <c r="A1971" s="2" t="s">
        <v>8721</v>
      </c>
      <c r="B1971" s="2" t="s">
        <v>65</v>
      </c>
      <c r="C1971" s="2" t="s">
        <v>8759</v>
      </c>
      <c r="D1971" s="5">
        <v>-2</v>
      </c>
      <c r="E1971" s="5">
        <v>-2</v>
      </c>
      <c r="F1971" s="2" t="s">
        <v>23</v>
      </c>
      <c r="G1971" s="2" t="s">
        <v>8760</v>
      </c>
      <c r="H1971" s="3">
        <v>0</v>
      </c>
      <c r="I1971" s="2" t="s">
        <v>409</v>
      </c>
      <c r="J1971" s="2" t="s">
        <v>8761</v>
      </c>
      <c r="K1971" s="2" t="s">
        <v>23</v>
      </c>
      <c r="L1971" s="2" t="s">
        <v>8762</v>
      </c>
      <c r="M1971" s="6">
        <v>-5.14</v>
      </c>
      <c r="N1971" t="b">
        <f>OR(LEFT(B1971,3)="frg",(_xlfn.XMATCH(B1971,ZZZ_Part_Id_[[#All],[FGCODE]])))</f>
        <v>1</v>
      </c>
    </row>
    <row r="1972" spans="1:14" x14ac:dyDescent="0.3">
      <c r="A1972" s="2" t="s">
        <v>8763</v>
      </c>
      <c r="B1972" s="2" t="s">
        <v>5477</v>
      </c>
      <c r="C1972" s="2" t="s">
        <v>8764</v>
      </c>
      <c r="D1972" s="3">
        <v>6624</v>
      </c>
      <c r="E1972" s="3">
        <v>6624</v>
      </c>
      <c r="F1972" s="2" t="s">
        <v>16</v>
      </c>
      <c r="G1972" s="2" t="s">
        <v>8765</v>
      </c>
      <c r="H1972" s="3">
        <v>0</v>
      </c>
      <c r="I1972" s="2" t="s">
        <v>409</v>
      </c>
      <c r="J1972" s="2" t="s">
        <v>8766</v>
      </c>
      <c r="K1972" s="2" t="s">
        <v>16</v>
      </c>
      <c r="L1972" s="2" t="s">
        <v>8767</v>
      </c>
      <c r="M1972" s="4">
        <v>1967.53</v>
      </c>
      <c r="N1972" t="b">
        <f>OR(LEFT(B1972,3)="frg",(_xlfn.XMATCH(B1972,ZZZ_Part_Id_[[#All],[FGCODE]])))</f>
        <v>1</v>
      </c>
    </row>
    <row r="1973" spans="1:14" x14ac:dyDescent="0.3">
      <c r="A1973" s="2" t="s">
        <v>8768</v>
      </c>
      <c r="B1973" s="2" t="s">
        <v>65</v>
      </c>
      <c r="C1973" s="2" t="s">
        <v>8769</v>
      </c>
      <c r="D1973" s="5">
        <v>-498</v>
      </c>
      <c r="E1973" s="5">
        <v>-498</v>
      </c>
      <c r="F1973" s="2" t="s">
        <v>23</v>
      </c>
      <c r="G1973" s="2" t="s">
        <v>8770</v>
      </c>
      <c r="H1973" s="3">
        <v>0</v>
      </c>
      <c r="I1973" s="2" t="s">
        <v>18</v>
      </c>
      <c r="J1973" s="2" t="s">
        <v>8771</v>
      </c>
      <c r="K1973" s="2" t="s">
        <v>23</v>
      </c>
      <c r="L1973" s="2" t="s">
        <v>8772</v>
      </c>
      <c r="M1973" s="6">
        <v>-1280.6600000000001</v>
      </c>
      <c r="N1973" t="b">
        <f>OR(LEFT(B1973,3)="frg",(_xlfn.XMATCH(B1973,ZZZ_Part_Id_[[#All],[FGCODE]])))</f>
        <v>1</v>
      </c>
    </row>
    <row r="1974" spans="1:14" x14ac:dyDescent="0.3">
      <c r="A1974" s="2" t="s">
        <v>8768</v>
      </c>
      <c r="B1974" s="2" t="s">
        <v>97</v>
      </c>
      <c r="C1974" s="2" t="s">
        <v>8773</v>
      </c>
      <c r="D1974" s="3">
        <v>67200</v>
      </c>
      <c r="E1974" s="3">
        <v>3494.4</v>
      </c>
      <c r="F1974" s="2" t="s">
        <v>23</v>
      </c>
      <c r="G1974" s="2" t="s">
        <v>8774</v>
      </c>
      <c r="H1974" s="3">
        <v>0</v>
      </c>
      <c r="I1974" s="2" t="s">
        <v>18</v>
      </c>
      <c r="J1974" s="2" t="s">
        <v>8775</v>
      </c>
      <c r="K1974" s="2" t="s">
        <v>23</v>
      </c>
      <c r="L1974" s="2" t="s">
        <v>8776</v>
      </c>
      <c r="M1974" s="4">
        <v>23036.16</v>
      </c>
      <c r="N1974" t="b">
        <f>OR(LEFT(B1974,3)="frg",(_xlfn.XMATCH(B1974,ZZZ_Part_Id_[[#All],[FGCODE]])))</f>
        <v>1</v>
      </c>
    </row>
    <row r="1975" spans="1:14" x14ac:dyDescent="0.3">
      <c r="A1975" s="2" t="s">
        <v>8777</v>
      </c>
      <c r="B1975" s="2" t="s">
        <v>86</v>
      </c>
      <c r="C1975" s="2" t="s">
        <v>8778</v>
      </c>
      <c r="D1975" s="5">
        <v>-220</v>
      </c>
      <c r="E1975" s="5">
        <v>-220</v>
      </c>
      <c r="F1975" s="2" t="s">
        <v>23</v>
      </c>
      <c r="G1975" s="2" t="s">
        <v>8779</v>
      </c>
      <c r="H1975" s="3">
        <v>0</v>
      </c>
      <c r="I1975" s="2" t="s">
        <v>409</v>
      </c>
      <c r="J1975" s="2" t="s">
        <v>8780</v>
      </c>
      <c r="K1975" s="2" t="s">
        <v>23</v>
      </c>
      <c r="L1975" s="2" t="s">
        <v>8781</v>
      </c>
      <c r="M1975" s="6">
        <v>-575.91999999999996</v>
      </c>
      <c r="N1975" t="b">
        <f>OR(LEFT(B1975,3)="frg",(_xlfn.XMATCH(B1975,ZZZ_Part_Id_[[#All],[FGCODE]])))</f>
        <v>1</v>
      </c>
    </row>
    <row r="1976" spans="1:14" x14ac:dyDescent="0.3">
      <c r="A1976" s="2" t="s">
        <v>8777</v>
      </c>
      <c r="B1976" s="2" t="s">
        <v>797</v>
      </c>
      <c r="C1976" s="2" t="s">
        <v>8782</v>
      </c>
      <c r="D1976" s="3">
        <v>478080</v>
      </c>
      <c r="E1976" s="3">
        <v>3561.6959999999999</v>
      </c>
      <c r="F1976" s="2" t="s">
        <v>23</v>
      </c>
      <c r="G1976" s="2" t="s">
        <v>8783</v>
      </c>
      <c r="H1976" s="3">
        <v>0</v>
      </c>
      <c r="I1976" s="2" t="s">
        <v>409</v>
      </c>
      <c r="J1976" s="2" t="s">
        <v>8784</v>
      </c>
      <c r="K1976" s="2" t="s">
        <v>23</v>
      </c>
      <c r="L1976" s="2" t="s">
        <v>8785</v>
      </c>
      <c r="M1976" s="4">
        <v>26920.639999999999</v>
      </c>
      <c r="N1976" t="b">
        <f>OR(LEFT(B1976,3)="frg",(_xlfn.XMATCH(B1976,ZZZ_Part_Id_[[#All],[FGCODE]])))</f>
        <v>1</v>
      </c>
    </row>
    <row r="1977" spans="1:14" x14ac:dyDescent="0.3">
      <c r="A1977" s="2" t="s">
        <v>8786</v>
      </c>
      <c r="B1977" s="2" t="s">
        <v>3113</v>
      </c>
      <c r="C1977" s="2" t="s">
        <v>8787</v>
      </c>
      <c r="D1977" s="3">
        <v>83520</v>
      </c>
      <c r="E1977" s="3">
        <v>83520</v>
      </c>
      <c r="F1977" s="2" t="s">
        <v>16</v>
      </c>
      <c r="G1977" s="2" t="s">
        <v>8788</v>
      </c>
      <c r="H1977" s="3">
        <v>0</v>
      </c>
      <c r="I1977" s="2" t="s">
        <v>409</v>
      </c>
      <c r="J1977" s="2" t="s">
        <v>8789</v>
      </c>
      <c r="K1977" s="2" t="s">
        <v>16</v>
      </c>
      <c r="L1977" s="2" t="s">
        <v>8790</v>
      </c>
      <c r="M1977" s="4">
        <v>6818.56</v>
      </c>
      <c r="N1977" t="b">
        <f>OR(LEFT(B1977,3)="frg",(_xlfn.XMATCH(B1977,ZZZ_Part_Id_[[#All],[FGCODE]])))</f>
        <v>1</v>
      </c>
    </row>
    <row r="1978" spans="1:14" x14ac:dyDescent="0.3">
      <c r="A1978" s="2" t="s">
        <v>8791</v>
      </c>
      <c r="B1978" s="2" t="s">
        <v>65</v>
      </c>
      <c r="C1978" s="2" t="s">
        <v>8792</v>
      </c>
      <c r="D1978" s="5">
        <v>-220</v>
      </c>
      <c r="E1978" s="5">
        <v>-220</v>
      </c>
      <c r="F1978" s="2" t="s">
        <v>23</v>
      </c>
      <c r="G1978" s="2" t="s">
        <v>8793</v>
      </c>
      <c r="H1978" s="3">
        <v>0</v>
      </c>
      <c r="I1978" s="2" t="s">
        <v>409</v>
      </c>
      <c r="J1978" s="2" t="s">
        <v>8794</v>
      </c>
      <c r="K1978" s="2" t="s">
        <v>23</v>
      </c>
      <c r="L1978" s="2" t="s">
        <v>8795</v>
      </c>
      <c r="M1978" s="6">
        <v>-565.75</v>
      </c>
      <c r="N1978" t="b">
        <f>OR(LEFT(B1978,3)="frg",(_xlfn.XMATCH(B1978,ZZZ_Part_Id_[[#All],[FGCODE]])))</f>
        <v>1</v>
      </c>
    </row>
    <row r="1979" spans="1:14" x14ac:dyDescent="0.3">
      <c r="A1979" s="2" t="s">
        <v>8791</v>
      </c>
      <c r="B1979" s="2" t="s">
        <v>3113</v>
      </c>
      <c r="C1979" s="2" t="s">
        <v>8796</v>
      </c>
      <c r="D1979" s="3">
        <v>92400</v>
      </c>
      <c r="E1979" s="3">
        <v>92400</v>
      </c>
      <c r="F1979" s="2" t="s">
        <v>16</v>
      </c>
      <c r="G1979" s="2" t="s">
        <v>8797</v>
      </c>
      <c r="H1979" s="3">
        <v>0</v>
      </c>
      <c r="I1979" s="2" t="s">
        <v>409</v>
      </c>
      <c r="J1979" s="2" t="s">
        <v>8798</v>
      </c>
      <c r="K1979" s="2" t="s">
        <v>16</v>
      </c>
      <c r="L1979" s="2" t="s">
        <v>8799</v>
      </c>
      <c r="M1979" s="4">
        <v>7219.21</v>
      </c>
      <c r="N1979" t="b">
        <f>OR(LEFT(B1979,3)="frg",(_xlfn.XMATCH(B1979,ZZZ_Part_Id_[[#All],[FGCODE]])))</f>
        <v>1</v>
      </c>
    </row>
    <row r="1980" spans="1:14" x14ac:dyDescent="0.3">
      <c r="A1980" s="2" t="s">
        <v>8800</v>
      </c>
      <c r="B1980" s="2" t="s">
        <v>740</v>
      </c>
      <c r="C1980" s="2" t="s">
        <v>8801</v>
      </c>
      <c r="D1980" s="3">
        <v>31860</v>
      </c>
      <c r="E1980" s="3">
        <v>31860</v>
      </c>
      <c r="F1980" s="2" t="s">
        <v>16</v>
      </c>
      <c r="G1980" s="2" t="s">
        <v>8802</v>
      </c>
      <c r="H1980" s="3">
        <v>0</v>
      </c>
      <c r="I1980" s="2" t="s">
        <v>18</v>
      </c>
      <c r="J1980" s="2" t="s">
        <v>8803</v>
      </c>
      <c r="K1980" s="2" t="s">
        <v>16</v>
      </c>
      <c r="L1980" s="2" t="s">
        <v>8804</v>
      </c>
      <c r="M1980" s="4">
        <v>6333.45</v>
      </c>
      <c r="N1980" t="b">
        <f>OR(LEFT(B1980,3)="frg",(_xlfn.XMATCH(B1980,ZZZ_Part_Id_[[#All],[FGCODE]])))</f>
        <v>1</v>
      </c>
    </row>
    <row r="1981" spans="1:14" x14ac:dyDescent="0.3">
      <c r="A1981" s="2" t="s">
        <v>8805</v>
      </c>
      <c r="B1981" s="2" t="s">
        <v>2100</v>
      </c>
      <c r="C1981" s="2" t="s">
        <v>8806</v>
      </c>
      <c r="D1981" s="3">
        <v>21240</v>
      </c>
      <c r="E1981" s="3">
        <v>21240</v>
      </c>
      <c r="F1981" s="2" t="s">
        <v>16</v>
      </c>
      <c r="G1981" s="2" t="s">
        <v>8807</v>
      </c>
      <c r="H1981" s="3">
        <v>0</v>
      </c>
      <c r="I1981" s="2" t="s">
        <v>18</v>
      </c>
      <c r="J1981" s="2" t="s">
        <v>8808</v>
      </c>
      <c r="K1981" s="2" t="s">
        <v>16</v>
      </c>
      <c r="L1981" s="2" t="s">
        <v>8809</v>
      </c>
      <c r="M1981" s="4">
        <v>4222.3</v>
      </c>
      <c r="N1981" t="b">
        <f>OR(LEFT(B1981,3)="frg",(_xlfn.XMATCH(B1981,ZZZ_Part_Id_[[#All],[FGCODE]])))</f>
        <v>1</v>
      </c>
    </row>
    <row r="1982" spans="1:14" x14ac:dyDescent="0.3">
      <c r="A1982" s="2" t="s">
        <v>8810</v>
      </c>
      <c r="B1982" s="2" t="s">
        <v>65</v>
      </c>
      <c r="C1982" s="2" t="s">
        <v>8811</v>
      </c>
      <c r="D1982" s="5">
        <v>-343</v>
      </c>
      <c r="E1982" s="5">
        <v>-343</v>
      </c>
      <c r="F1982" s="2" t="s">
        <v>23</v>
      </c>
      <c r="G1982" s="2" t="s">
        <v>8812</v>
      </c>
      <c r="H1982" s="3">
        <v>0</v>
      </c>
      <c r="I1982" s="2" t="s">
        <v>409</v>
      </c>
      <c r="J1982" s="2" t="s">
        <v>8813</v>
      </c>
      <c r="K1982" s="2" t="s">
        <v>23</v>
      </c>
      <c r="L1982" s="2" t="s">
        <v>8814</v>
      </c>
      <c r="M1982" s="6">
        <v>-882.06</v>
      </c>
      <c r="N1982" t="b">
        <f>OR(LEFT(B1982,3)="frg",(_xlfn.XMATCH(B1982,ZZZ_Part_Id_[[#All],[FGCODE]])))</f>
        <v>1</v>
      </c>
    </row>
    <row r="1983" spans="1:14" x14ac:dyDescent="0.3">
      <c r="A1983" s="2" t="s">
        <v>8810</v>
      </c>
      <c r="B1983" s="2" t="s">
        <v>4791</v>
      </c>
      <c r="C1983" s="2" t="s">
        <v>8815</v>
      </c>
      <c r="D1983" s="3">
        <v>34120</v>
      </c>
      <c r="E1983" s="3">
        <v>34120</v>
      </c>
      <c r="F1983" s="2" t="s">
        <v>16</v>
      </c>
      <c r="G1983" s="2" t="s">
        <v>8816</v>
      </c>
      <c r="H1983" s="3">
        <v>0</v>
      </c>
      <c r="I1983" s="2" t="s">
        <v>409</v>
      </c>
      <c r="J1983" s="2" t="s">
        <v>8817</v>
      </c>
      <c r="K1983" s="2" t="s">
        <v>16</v>
      </c>
      <c r="L1983" s="2" t="s">
        <v>8818</v>
      </c>
      <c r="M1983" s="4">
        <v>10018.99</v>
      </c>
      <c r="N1983" t="b">
        <f>OR(LEFT(B1983,3)="frg",(_xlfn.XMATCH(B1983,ZZZ_Part_Id_[[#All],[FGCODE]])))</f>
        <v>1</v>
      </c>
    </row>
    <row r="1984" spans="1:14" x14ac:dyDescent="0.3">
      <c r="A1984" s="2" t="s">
        <v>8819</v>
      </c>
      <c r="B1984" s="2" t="s">
        <v>65</v>
      </c>
      <c r="C1984" s="2" t="s">
        <v>8820</v>
      </c>
      <c r="D1984" s="5">
        <v>-498</v>
      </c>
      <c r="E1984" s="5">
        <v>-498</v>
      </c>
      <c r="F1984" s="2" t="s">
        <v>23</v>
      </c>
      <c r="G1984" s="2" t="s">
        <v>8821</v>
      </c>
      <c r="H1984" s="3">
        <v>0</v>
      </c>
      <c r="I1984" s="2" t="s">
        <v>18</v>
      </c>
      <c r="J1984" s="2" t="s">
        <v>8822</v>
      </c>
      <c r="K1984" s="2" t="s">
        <v>23</v>
      </c>
      <c r="L1984" s="2" t="s">
        <v>8823</v>
      </c>
      <c r="M1984" s="6">
        <v>-1280.6600000000001</v>
      </c>
      <c r="N1984" t="b">
        <f>OR(LEFT(B1984,3)="frg",(_xlfn.XMATCH(B1984,ZZZ_Part_Id_[[#All],[FGCODE]])))</f>
        <v>1</v>
      </c>
    </row>
    <row r="1985" spans="1:14" x14ac:dyDescent="0.3">
      <c r="A1985" s="2" t="s">
        <v>8819</v>
      </c>
      <c r="B1985" s="2" t="s">
        <v>97</v>
      </c>
      <c r="C1985" s="2" t="s">
        <v>8824</v>
      </c>
      <c r="D1985" s="3">
        <v>81600</v>
      </c>
      <c r="E1985" s="3">
        <v>81600</v>
      </c>
      <c r="F1985" s="2" t="s">
        <v>16</v>
      </c>
      <c r="G1985" s="2" t="s">
        <v>8825</v>
      </c>
      <c r="H1985" s="3">
        <v>0</v>
      </c>
      <c r="I1985" s="2" t="s">
        <v>18</v>
      </c>
      <c r="J1985" s="2" t="s">
        <v>8826</v>
      </c>
      <c r="K1985" s="2" t="s">
        <v>16</v>
      </c>
      <c r="L1985" s="2" t="s">
        <v>8827</v>
      </c>
      <c r="M1985" s="4">
        <v>27984.720000000001</v>
      </c>
      <c r="N1985" t="b">
        <f>OR(LEFT(B1985,3)="frg",(_xlfn.XMATCH(B1985,ZZZ_Part_Id_[[#All],[FGCODE]])))</f>
        <v>1</v>
      </c>
    </row>
    <row r="1986" spans="1:14" x14ac:dyDescent="0.3">
      <c r="A1986" s="2" t="s">
        <v>8828</v>
      </c>
      <c r="B1986" s="2" t="s">
        <v>1170</v>
      </c>
      <c r="C1986" s="2" t="s">
        <v>8829</v>
      </c>
      <c r="D1986" s="3">
        <v>4800</v>
      </c>
      <c r="E1986" s="3">
        <v>4800</v>
      </c>
      <c r="F1986" s="2" t="s">
        <v>16</v>
      </c>
      <c r="G1986" s="2" t="s">
        <v>8830</v>
      </c>
      <c r="H1986" s="3">
        <v>0</v>
      </c>
      <c r="I1986" s="2" t="s">
        <v>18</v>
      </c>
      <c r="J1986" s="2" t="s">
        <v>8831</v>
      </c>
      <c r="K1986" s="2" t="s">
        <v>16</v>
      </c>
      <c r="L1986" s="2" t="s">
        <v>8832</v>
      </c>
      <c r="M1986" s="4">
        <v>1660.56</v>
      </c>
      <c r="N1986" t="b">
        <f>OR(LEFT(B1986,3)="frg",(_xlfn.XMATCH(B1986,ZZZ_Part_Id_[[#All],[FGCODE]])))</f>
        <v>1</v>
      </c>
    </row>
    <row r="1987" spans="1:14" x14ac:dyDescent="0.3">
      <c r="A1987" s="2" t="s">
        <v>8833</v>
      </c>
      <c r="B1987" s="2" t="s">
        <v>172</v>
      </c>
      <c r="C1987" s="2" t="s">
        <v>8834</v>
      </c>
      <c r="D1987" s="3">
        <v>10</v>
      </c>
      <c r="E1987" s="3">
        <v>10</v>
      </c>
      <c r="F1987" s="2" t="s">
        <v>23</v>
      </c>
      <c r="G1987" s="2" t="s">
        <v>8835</v>
      </c>
      <c r="H1987" s="3">
        <v>0</v>
      </c>
      <c r="I1987" s="2" t="s">
        <v>18</v>
      </c>
      <c r="J1987" s="2" t="s">
        <v>8836</v>
      </c>
      <c r="K1987" s="2" t="s">
        <v>23</v>
      </c>
      <c r="L1987" s="2" t="s">
        <v>8837</v>
      </c>
      <c r="M1987" s="4">
        <v>70.739999999999995</v>
      </c>
      <c r="N1987" t="e">
        <f>OR(LEFT(B1987,3)="frg",(_xlfn.XMATCH(B1987,ZZZ_Part_Id_[[#All],[FGCODE]])))</f>
        <v>#N/A</v>
      </c>
    </row>
    <row r="1988" spans="1:14" x14ac:dyDescent="0.3">
      <c r="A1988" s="2" t="s">
        <v>8833</v>
      </c>
      <c r="B1988" s="2" t="s">
        <v>2100</v>
      </c>
      <c r="C1988" s="2" t="s">
        <v>8838</v>
      </c>
      <c r="D1988" s="3">
        <v>84960</v>
      </c>
      <c r="E1988" s="3">
        <v>84960</v>
      </c>
      <c r="F1988" s="2" t="s">
        <v>16</v>
      </c>
      <c r="G1988" s="2" t="s">
        <v>8839</v>
      </c>
      <c r="H1988" s="3">
        <v>0</v>
      </c>
      <c r="I1988" s="2" t="s">
        <v>18</v>
      </c>
      <c r="J1988" s="2" t="s">
        <v>8840</v>
      </c>
      <c r="K1988" s="2" t="s">
        <v>16</v>
      </c>
      <c r="L1988" s="2" t="s">
        <v>8841</v>
      </c>
      <c r="M1988" s="4">
        <v>16889.2</v>
      </c>
      <c r="N1988" t="b">
        <f>OR(LEFT(B1988,3)="frg",(_xlfn.XMATCH(B1988,ZZZ_Part_Id_[[#All],[FGCODE]])))</f>
        <v>1</v>
      </c>
    </row>
    <row r="1989" spans="1:14" x14ac:dyDescent="0.3">
      <c r="A1989" s="2" t="s">
        <v>8842</v>
      </c>
      <c r="B1989" s="2" t="s">
        <v>14</v>
      </c>
      <c r="C1989" s="2" t="s">
        <v>8843</v>
      </c>
      <c r="D1989" s="3">
        <v>10</v>
      </c>
      <c r="E1989" s="3">
        <v>10</v>
      </c>
      <c r="F1989" s="2" t="s">
        <v>16</v>
      </c>
      <c r="G1989" s="2" t="s">
        <v>8844</v>
      </c>
      <c r="H1989" s="3">
        <v>0</v>
      </c>
      <c r="I1989" s="2" t="s">
        <v>18</v>
      </c>
      <c r="J1989" s="2" t="s">
        <v>8845</v>
      </c>
      <c r="K1989" s="2" t="s">
        <v>16</v>
      </c>
      <c r="L1989" s="2" t="s">
        <v>8846</v>
      </c>
      <c r="M1989" s="4">
        <v>0.77</v>
      </c>
      <c r="N1989" t="e">
        <f>OR(LEFT(B1989,3)="frg",(_xlfn.XMATCH(B1989,ZZZ_Part_Id_[[#All],[FGCODE]])))</f>
        <v>#N/A</v>
      </c>
    </row>
    <row r="1990" spans="1:14" x14ac:dyDescent="0.3">
      <c r="A1990" s="2" t="s">
        <v>8842</v>
      </c>
      <c r="B1990" s="2" t="s">
        <v>86</v>
      </c>
      <c r="C1990" s="2" t="s">
        <v>8847</v>
      </c>
      <c r="D1990" s="5">
        <v>-170</v>
      </c>
      <c r="E1990" s="5">
        <v>-170</v>
      </c>
      <c r="F1990" s="2" t="s">
        <v>23</v>
      </c>
      <c r="G1990" s="2" t="s">
        <v>8848</v>
      </c>
      <c r="H1990" s="3">
        <v>0</v>
      </c>
      <c r="I1990" s="2" t="s">
        <v>18</v>
      </c>
      <c r="J1990" s="2" t="s">
        <v>8849</v>
      </c>
      <c r="K1990" s="2" t="s">
        <v>23</v>
      </c>
      <c r="L1990" s="2" t="s">
        <v>8850</v>
      </c>
      <c r="M1990" s="6">
        <v>-445.03</v>
      </c>
      <c r="N1990" t="b">
        <f>OR(LEFT(B1990,3)="frg",(_xlfn.XMATCH(B1990,ZZZ_Part_Id_[[#All],[FGCODE]])))</f>
        <v>1</v>
      </c>
    </row>
    <row r="1991" spans="1:14" x14ac:dyDescent="0.3">
      <c r="A1991" s="2" t="s">
        <v>8842</v>
      </c>
      <c r="B1991" s="2" t="s">
        <v>308</v>
      </c>
      <c r="C1991" s="2" t="s">
        <v>8851</v>
      </c>
      <c r="D1991" s="3">
        <v>155400</v>
      </c>
      <c r="E1991" s="3">
        <v>155400</v>
      </c>
      <c r="F1991" s="2" t="s">
        <v>16</v>
      </c>
      <c r="G1991" s="2" t="s">
        <v>8852</v>
      </c>
      <c r="H1991" s="3">
        <v>0</v>
      </c>
      <c r="I1991" s="2" t="s">
        <v>18</v>
      </c>
      <c r="J1991" s="2" t="s">
        <v>8853</v>
      </c>
      <c r="K1991" s="2" t="s">
        <v>16</v>
      </c>
      <c r="L1991" s="2" t="s">
        <v>8854</v>
      </c>
      <c r="M1991" s="4">
        <v>9195.02</v>
      </c>
      <c r="N1991" t="b">
        <f>OR(LEFT(B1991,3)="frg",(_xlfn.XMATCH(B1991,ZZZ_Part_Id_[[#All],[FGCODE]])))</f>
        <v>1</v>
      </c>
    </row>
    <row r="1992" spans="1:14" x14ac:dyDescent="0.3">
      <c r="A1992" s="2" t="s">
        <v>8855</v>
      </c>
      <c r="B1992" s="2" t="s">
        <v>14</v>
      </c>
      <c r="C1992" s="2" t="s">
        <v>8856</v>
      </c>
      <c r="D1992" s="3">
        <v>10</v>
      </c>
      <c r="E1992" s="3">
        <v>10</v>
      </c>
      <c r="F1992" s="2" t="s">
        <v>16</v>
      </c>
      <c r="G1992" s="2" t="s">
        <v>8857</v>
      </c>
      <c r="H1992" s="3">
        <v>0</v>
      </c>
      <c r="I1992" s="2" t="s">
        <v>18</v>
      </c>
      <c r="J1992" s="2" t="s">
        <v>8858</v>
      </c>
      <c r="K1992" s="2" t="s">
        <v>16</v>
      </c>
      <c r="L1992" s="2" t="s">
        <v>8859</v>
      </c>
      <c r="M1992" s="4">
        <v>0.77</v>
      </c>
      <c r="N1992" t="e">
        <f>OR(LEFT(B1992,3)="frg",(_xlfn.XMATCH(B1992,ZZZ_Part_Id_[[#All],[FGCODE]])))</f>
        <v>#N/A</v>
      </c>
    </row>
    <row r="1993" spans="1:14" x14ac:dyDescent="0.3">
      <c r="A1993" s="2" t="s">
        <v>8855</v>
      </c>
      <c r="B1993" s="2" t="s">
        <v>91</v>
      </c>
      <c r="C1993" s="2" t="s">
        <v>8860</v>
      </c>
      <c r="D1993" s="3">
        <v>108000</v>
      </c>
      <c r="E1993" s="3">
        <v>108000</v>
      </c>
      <c r="F1993" s="2" t="s">
        <v>16</v>
      </c>
      <c r="G1993" s="2" t="s">
        <v>8861</v>
      </c>
      <c r="H1993" s="3">
        <v>0</v>
      </c>
      <c r="I1993" s="2" t="s">
        <v>18</v>
      </c>
      <c r="J1993" s="2" t="s">
        <v>8862</v>
      </c>
      <c r="K1993" s="2" t="s">
        <v>16</v>
      </c>
      <c r="L1993" s="2" t="s">
        <v>8863</v>
      </c>
      <c r="M1993" s="4">
        <v>6269.4</v>
      </c>
      <c r="N1993" t="b">
        <f>OR(LEFT(B1993,3)="frg",(_xlfn.XMATCH(B1993,ZZZ_Part_Id_[[#All],[FGCODE]])))</f>
        <v>1</v>
      </c>
    </row>
    <row r="1994" spans="1:14" x14ac:dyDescent="0.3">
      <c r="A1994" s="2" t="s">
        <v>8864</v>
      </c>
      <c r="B1994" s="2" t="s">
        <v>14</v>
      </c>
      <c r="C1994" s="2" t="s">
        <v>8865</v>
      </c>
      <c r="D1994" s="3">
        <v>10</v>
      </c>
      <c r="E1994" s="3">
        <v>10</v>
      </c>
      <c r="F1994" s="2" t="s">
        <v>16</v>
      </c>
      <c r="G1994" s="2" t="s">
        <v>8866</v>
      </c>
      <c r="H1994" s="3">
        <v>0</v>
      </c>
      <c r="I1994" s="2" t="s">
        <v>18</v>
      </c>
      <c r="J1994" s="2" t="s">
        <v>8867</v>
      </c>
      <c r="K1994" s="2" t="s">
        <v>16</v>
      </c>
      <c r="L1994" s="2" t="s">
        <v>8868</v>
      </c>
      <c r="M1994" s="4">
        <v>0.77</v>
      </c>
      <c r="N1994" t="e">
        <f>OR(LEFT(B1994,3)="frg",(_xlfn.XMATCH(B1994,ZZZ_Part_Id_[[#All],[FGCODE]])))</f>
        <v>#N/A</v>
      </c>
    </row>
    <row r="1995" spans="1:14" x14ac:dyDescent="0.3">
      <c r="A1995" s="2" t="s">
        <v>8864</v>
      </c>
      <c r="B1995" s="2" t="s">
        <v>65</v>
      </c>
      <c r="C1995" s="2" t="s">
        <v>8869</v>
      </c>
      <c r="D1995" s="5">
        <v>-140</v>
      </c>
      <c r="E1995" s="5">
        <v>-140</v>
      </c>
      <c r="F1995" s="2" t="s">
        <v>23</v>
      </c>
      <c r="G1995" s="2" t="s">
        <v>8870</v>
      </c>
      <c r="H1995" s="3">
        <v>0</v>
      </c>
      <c r="I1995" s="2" t="s">
        <v>18</v>
      </c>
      <c r="J1995" s="2" t="s">
        <v>8871</v>
      </c>
      <c r="K1995" s="2" t="s">
        <v>23</v>
      </c>
      <c r="L1995" s="2" t="s">
        <v>8872</v>
      </c>
      <c r="M1995" s="6">
        <v>-360.02</v>
      </c>
      <c r="N1995" t="b">
        <f>OR(LEFT(B1995,3)="frg",(_xlfn.XMATCH(B1995,ZZZ_Part_Id_[[#All],[FGCODE]])))</f>
        <v>1</v>
      </c>
    </row>
    <row r="1996" spans="1:14" x14ac:dyDescent="0.3">
      <c r="A1996" s="2" t="s">
        <v>8864</v>
      </c>
      <c r="B1996" s="2" t="s">
        <v>2086</v>
      </c>
      <c r="C1996" s="2" t="s">
        <v>8873</v>
      </c>
      <c r="D1996" s="3">
        <v>46464</v>
      </c>
      <c r="E1996" s="3">
        <v>46464</v>
      </c>
      <c r="F1996" s="2" t="s">
        <v>16</v>
      </c>
      <c r="G1996" s="2" t="s">
        <v>8874</v>
      </c>
      <c r="H1996" s="3">
        <v>0</v>
      </c>
      <c r="I1996" s="2" t="s">
        <v>18</v>
      </c>
      <c r="J1996" s="2" t="s">
        <v>8875</v>
      </c>
      <c r="K1996" s="2" t="s">
        <v>16</v>
      </c>
      <c r="L1996" s="2" t="s">
        <v>8876</v>
      </c>
      <c r="M1996" s="4">
        <v>10909.8</v>
      </c>
      <c r="N1996" t="b">
        <f>OR(LEFT(B1996,3)="frg",(_xlfn.XMATCH(B1996,ZZZ_Part_Id_[[#All],[FGCODE]])))</f>
        <v>1</v>
      </c>
    </row>
    <row r="1997" spans="1:14" x14ac:dyDescent="0.3">
      <c r="A1997" s="2" t="s">
        <v>8877</v>
      </c>
      <c r="B1997" s="2" t="s">
        <v>172</v>
      </c>
      <c r="C1997" s="2" t="s">
        <v>8878</v>
      </c>
      <c r="D1997" s="3">
        <v>30</v>
      </c>
      <c r="E1997" s="3">
        <v>30</v>
      </c>
      <c r="F1997" s="2" t="s">
        <v>23</v>
      </c>
      <c r="G1997" s="2" t="s">
        <v>8879</v>
      </c>
      <c r="H1997" s="3">
        <v>0</v>
      </c>
      <c r="I1997" s="2" t="s">
        <v>18</v>
      </c>
      <c r="J1997" s="2" t="s">
        <v>8880</v>
      </c>
      <c r="K1997" s="2" t="s">
        <v>23</v>
      </c>
      <c r="L1997" s="2" t="s">
        <v>8881</v>
      </c>
      <c r="M1997" s="4">
        <v>212.21</v>
      </c>
      <c r="N1997" t="e">
        <f>OR(LEFT(B1997,3)="frg",(_xlfn.XMATCH(B1997,ZZZ_Part_Id_[[#All],[FGCODE]])))</f>
        <v>#N/A</v>
      </c>
    </row>
    <row r="1998" spans="1:14" x14ac:dyDescent="0.3">
      <c r="A1998" s="2" t="s">
        <v>8877</v>
      </c>
      <c r="B1998" s="2" t="s">
        <v>740</v>
      </c>
      <c r="C1998" s="2" t="s">
        <v>8882</v>
      </c>
      <c r="D1998" s="3">
        <v>1019520</v>
      </c>
      <c r="E1998" s="3">
        <v>1019520</v>
      </c>
      <c r="F1998" s="2" t="s">
        <v>16</v>
      </c>
      <c r="G1998" s="2" t="s">
        <v>8883</v>
      </c>
      <c r="H1998" s="3">
        <v>0</v>
      </c>
      <c r="I1998" s="2" t="s">
        <v>18</v>
      </c>
      <c r="J1998" s="2" t="s">
        <v>8884</v>
      </c>
      <c r="K1998" s="2" t="s">
        <v>16</v>
      </c>
      <c r="L1998" s="2" t="s">
        <v>8885</v>
      </c>
      <c r="M1998" s="4">
        <v>202670.4</v>
      </c>
      <c r="N1998" t="b">
        <f>OR(LEFT(B1998,3)="frg",(_xlfn.XMATCH(B1998,ZZZ_Part_Id_[[#All],[FGCODE]])))</f>
        <v>1</v>
      </c>
    </row>
    <row r="1999" spans="1:14" x14ac:dyDescent="0.3">
      <c r="A1999" s="2" t="s">
        <v>8886</v>
      </c>
      <c r="B1999" s="2" t="s">
        <v>1027</v>
      </c>
      <c r="C1999" s="2" t="s">
        <v>8887</v>
      </c>
      <c r="D1999" s="3">
        <v>180540</v>
      </c>
      <c r="E1999" s="3">
        <v>180540</v>
      </c>
      <c r="F1999" s="2" t="s">
        <v>16</v>
      </c>
      <c r="G1999" s="2" t="s">
        <v>8888</v>
      </c>
      <c r="H1999" s="3">
        <v>0</v>
      </c>
      <c r="I1999" s="2" t="s">
        <v>409</v>
      </c>
      <c r="J1999" s="2" t="s">
        <v>8889</v>
      </c>
      <c r="K1999" s="2" t="s">
        <v>16</v>
      </c>
      <c r="L1999" s="2" t="s">
        <v>8890</v>
      </c>
      <c r="M1999" s="4">
        <v>36349.910000000003</v>
      </c>
      <c r="N1999" t="b">
        <f>OR(LEFT(B1999,3)="frg",(_xlfn.XMATCH(B1999,ZZZ_Part_Id_[[#All],[FGCODE]])))</f>
        <v>1</v>
      </c>
    </row>
    <row r="2000" spans="1:14" x14ac:dyDescent="0.3">
      <c r="A2000" s="2" t="s">
        <v>8891</v>
      </c>
      <c r="B2000" s="2" t="s">
        <v>2086</v>
      </c>
      <c r="C2000" s="2" t="s">
        <v>8892</v>
      </c>
      <c r="D2000" s="3">
        <v>31680</v>
      </c>
      <c r="E2000" s="3">
        <v>31680</v>
      </c>
      <c r="F2000" s="2" t="s">
        <v>16</v>
      </c>
      <c r="G2000" s="2" t="s">
        <v>8893</v>
      </c>
      <c r="H2000" s="3">
        <v>0</v>
      </c>
      <c r="I2000" s="2" t="s">
        <v>409</v>
      </c>
      <c r="J2000" s="2" t="s">
        <v>8894</v>
      </c>
      <c r="K2000" s="2" t="s">
        <v>16</v>
      </c>
      <c r="L2000" s="2" t="s">
        <v>8895</v>
      </c>
      <c r="M2000" s="4">
        <v>7438.48</v>
      </c>
      <c r="N2000" t="b">
        <f>OR(LEFT(B2000,3)="frg",(_xlfn.XMATCH(B2000,ZZZ_Part_Id_[[#All],[FGCODE]])))</f>
        <v>1</v>
      </c>
    </row>
    <row r="2001" spans="1:14" x14ac:dyDescent="0.3">
      <c r="A2001" s="2" t="s">
        <v>8891</v>
      </c>
      <c r="B2001" s="2" t="s">
        <v>65</v>
      </c>
      <c r="C2001" s="2" t="s">
        <v>8896</v>
      </c>
      <c r="D2001" s="5">
        <v>-304</v>
      </c>
      <c r="E2001" s="5">
        <v>-304</v>
      </c>
      <c r="F2001" s="2" t="s">
        <v>23</v>
      </c>
      <c r="G2001" s="2" t="s">
        <v>8897</v>
      </c>
      <c r="H2001" s="3">
        <v>0</v>
      </c>
      <c r="I2001" s="2" t="s">
        <v>409</v>
      </c>
      <c r="J2001" s="2" t="s">
        <v>8898</v>
      </c>
      <c r="K2001" s="2" t="s">
        <v>23</v>
      </c>
      <c r="L2001" s="2" t="s">
        <v>8899</v>
      </c>
      <c r="M2001" s="6">
        <v>-781.77</v>
      </c>
      <c r="N2001" t="b">
        <f>OR(LEFT(B2001,3)="frg",(_xlfn.XMATCH(B2001,ZZZ_Part_Id_[[#All],[FGCODE]])))</f>
        <v>1</v>
      </c>
    </row>
    <row r="2002" spans="1:14" x14ac:dyDescent="0.3">
      <c r="A2002" s="2" t="s">
        <v>8900</v>
      </c>
      <c r="B2002" s="2" t="s">
        <v>2086</v>
      </c>
      <c r="C2002" s="2" t="s">
        <v>8901</v>
      </c>
      <c r="D2002" s="3">
        <v>8448</v>
      </c>
      <c r="E2002" s="3">
        <v>8448</v>
      </c>
      <c r="F2002" s="2" t="s">
        <v>16</v>
      </c>
      <c r="G2002" s="2" t="s">
        <v>8902</v>
      </c>
      <c r="H2002" s="3">
        <v>0</v>
      </c>
      <c r="I2002" s="2" t="s">
        <v>409</v>
      </c>
      <c r="J2002" s="2" t="s">
        <v>8903</v>
      </c>
      <c r="K2002" s="2" t="s">
        <v>16</v>
      </c>
      <c r="L2002" s="2" t="s">
        <v>8904</v>
      </c>
      <c r="M2002" s="4">
        <v>1983.6</v>
      </c>
      <c r="N2002" t="b">
        <f>OR(LEFT(B2002,3)="frg",(_xlfn.XMATCH(B2002,ZZZ_Part_Id_[[#All],[FGCODE]])))</f>
        <v>1</v>
      </c>
    </row>
    <row r="2003" spans="1:14" x14ac:dyDescent="0.3">
      <c r="A2003" s="2" t="s">
        <v>8905</v>
      </c>
      <c r="B2003" s="2" t="s">
        <v>1667</v>
      </c>
      <c r="C2003" s="2" t="s">
        <v>8906</v>
      </c>
      <c r="D2003" s="3">
        <v>104400</v>
      </c>
      <c r="E2003" s="3">
        <v>104400</v>
      </c>
      <c r="F2003" s="2" t="s">
        <v>16</v>
      </c>
      <c r="G2003" s="2" t="s">
        <v>8907</v>
      </c>
      <c r="H2003" s="3">
        <v>0</v>
      </c>
      <c r="I2003" s="2" t="s">
        <v>409</v>
      </c>
      <c r="J2003" s="2" t="s">
        <v>8908</v>
      </c>
      <c r="K2003" s="2" t="s">
        <v>16</v>
      </c>
      <c r="L2003" s="2" t="s">
        <v>8909</v>
      </c>
      <c r="M2003" s="4">
        <v>8492.94</v>
      </c>
      <c r="N2003" t="b">
        <f>OR(LEFT(B2003,3)="frg",(_xlfn.XMATCH(B2003,ZZZ_Part_Id_[[#All],[FGCODE]])))</f>
        <v>1</v>
      </c>
    </row>
    <row r="2004" spans="1:14" x14ac:dyDescent="0.3">
      <c r="A2004" s="2" t="s">
        <v>8905</v>
      </c>
      <c r="B2004" s="2" t="s">
        <v>14</v>
      </c>
      <c r="C2004" s="2" t="s">
        <v>8910</v>
      </c>
      <c r="D2004" s="3">
        <v>5</v>
      </c>
      <c r="E2004" s="3">
        <v>5</v>
      </c>
      <c r="F2004" s="2" t="s">
        <v>16</v>
      </c>
      <c r="G2004" s="2" t="s">
        <v>8911</v>
      </c>
      <c r="H2004" s="3">
        <v>0</v>
      </c>
      <c r="I2004" s="2" t="s">
        <v>409</v>
      </c>
      <c r="J2004" s="2" t="s">
        <v>8912</v>
      </c>
      <c r="K2004" s="2" t="s">
        <v>16</v>
      </c>
      <c r="L2004" s="2" t="s">
        <v>8913</v>
      </c>
      <c r="M2004" s="4">
        <v>0.38</v>
      </c>
      <c r="N2004" t="e">
        <f>OR(LEFT(B2004,3)="frg",(_xlfn.XMATCH(B2004,ZZZ_Part_Id_[[#All],[FGCODE]])))</f>
        <v>#N/A</v>
      </c>
    </row>
    <row r="2005" spans="1:14" x14ac:dyDescent="0.3">
      <c r="A2005" s="2" t="s">
        <v>8905</v>
      </c>
      <c r="B2005" s="2" t="s">
        <v>140</v>
      </c>
      <c r="C2005" s="2" t="s">
        <v>8914</v>
      </c>
      <c r="D2005" s="3">
        <v>0.2</v>
      </c>
      <c r="E2005" s="3">
        <v>0.2</v>
      </c>
      <c r="F2005" s="2" t="s">
        <v>16</v>
      </c>
      <c r="G2005" s="2" t="s">
        <v>8915</v>
      </c>
      <c r="H2005" s="3">
        <v>0</v>
      </c>
      <c r="I2005" s="2" t="s">
        <v>409</v>
      </c>
      <c r="J2005" s="2" t="s">
        <v>8916</v>
      </c>
      <c r="K2005" s="2" t="s">
        <v>16</v>
      </c>
      <c r="L2005" s="2" t="s">
        <v>8917</v>
      </c>
      <c r="M2005" s="4">
        <v>0.42</v>
      </c>
      <c r="N2005" t="e">
        <f>OR(LEFT(B2005,3)="frg",(_xlfn.XMATCH(B2005,ZZZ_Part_Id_[[#All],[FGCODE]])))</f>
        <v>#N/A</v>
      </c>
    </row>
    <row r="2006" spans="1:14" x14ac:dyDescent="0.3">
      <c r="A2006" s="2" t="s">
        <v>8905</v>
      </c>
      <c r="B2006" s="2" t="s">
        <v>192</v>
      </c>
      <c r="C2006" s="2" t="s">
        <v>8918</v>
      </c>
      <c r="D2006" s="3">
        <v>0.05</v>
      </c>
      <c r="E2006" s="3">
        <v>0.05</v>
      </c>
      <c r="F2006" s="2" t="s">
        <v>194</v>
      </c>
      <c r="G2006" s="2" t="s">
        <v>8919</v>
      </c>
      <c r="H2006" s="3">
        <v>0</v>
      </c>
      <c r="I2006" s="2" t="s">
        <v>409</v>
      </c>
      <c r="J2006" s="2" t="s">
        <v>8920</v>
      </c>
      <c r="K2006" s="2" t="s">
        <v>194</v>
      </c>
      <c r="L2006" s="2" t="s">
        <v>8921</v>
      </c>
      <c r="M2006" s="4">
        <v>0.26</v>
      </c>
      <c r="N2006" t="e">
        <f>OR(LEFT(B2006,3)="frg",(_xlfn.XMATCH(B2006,ZZZ_Part_Id_[[#All],[FGCODE]])))</f>
        <v>#N/A</v>
      </c>
    </row>
    <row r="2007" spans="1:14" x14ac:dyDescent="0.3">
      <c r="A2007" s="2" t="s">
        <v>8922</v>
      </c>
      <c r="B2007" s="2" t="s">
        <v>1027</v>
      </c>
      <c r="C2007" s="2" t="s">
        <v>8923</v>
      </c>
      <c r="D2007" s="3">
        <v>838980</v>
      </c>
      <c r="E2007" s="3">
        <v>838980</v>
      </c>
      <c r="F2007" s="2" t="s">
        <v>16</v>
      </c>
      <c r="G2007" s="2" t="s">
        <v>8924</v>
      </c>
      <c r="H2007" s="3">
        <v>0</v>
      </c>
      <c r="I2007" s="2" t="s">
        <v>409</v>
      </c>
      <c r="J2007" s="2" t="s">
        <v>8925</v>
      </c>
      <c r="K2007" s="2" t="s">
        <v>16</v>
      </c>
      <c r="L2007" s="2" t="s">
        <v>8926</v>
      </c>
      <c r="M2007" s="4">
        <v>168920.17</v>
      </c>
      <c r="N2007" t="b">
        <f>OR(LEFT(B2007,3)="frg",(_xlfn.XMATCH(B2007,ZZZ_Part_Id_[[#All],[FGCODE]])))</f>
        <v>1</v>
      </c>
    </row>
    <row r="2008" spans="1:14" x14ac:dyDescent="0.3">
      <c r="A2008" s="2" t="s">
        <v>8927</v>
      </c>
      <c r="B2008" s="2" t="s">
        <v>4791</v>
      </c>
      <c r="C2008" s="2" t="s">
        <v>8928</v>
      </c>
      <c r="D2008" s="3">
        <v>271584</v>
      </c>
      <c r="E2008" s="3">
        <v>271584</v>
      </c>
      <c r="F2008" s="2" t="s">
        <v>16</v>
      </c>
      <c r="G2008" s="2" t="s">
        <v>8929</v>
      </c>
      <c r="H2008" s="3">
        <v>0</v>
      </c>
      <c r="I2008" s="2" t="s">
        <v>409</v>
      </c>
      <c r="J2008" s="2" t="s">
        <v>8930</v>
      </c>
      <c r="K2008" s="2" t="s">
        <v>16</v>
      </c>
      <c r="L2008" s="2" t="s">
        <v>8931</v>
      </c>
      <c r="M2008" s="4">
        <v>79747.87</v>
      </c>
      <c r="N2008" t="b">
        <f>OR(LEFT(B2008,3)="frg",(_xlfn.XMATCH(B2008,ZZZ_Part_Id_[[#All],[FGCODE]])))</f>
        <v>1</v>
      </c>
    </row>
    <row r="2009" spans="1:14" x14ac:dyDescent="0.3">
      <c r="A2009" s="2" t="s">
        <v>8932</v>
      </c>
      <c r="B2009" s="2" t="s">
        <v>2100</v>
      </c>
      <c r="C2009" s="2" t="s">
        <v>8933</v>
      </c>
      <c r="D2009" s="3">
        <v>212400</v>
      </c>
      <c r="E2009" s="3">
        <v>212400</v>
      </c>
      <c r="F2009" s="2" t="s">
        <v>16</v>
      </c>
      <c r="G2009" s="2" t="s">
        <v>8934</v>
      </c>
      <c r="H2009" s="3">
        <v>0</v>
      </c>
      <c r="I2009" s="2" t="s">
        <v>409</v>
      </c>
      <c r="J2009" s="2" t="s">
        <v>8935</v>
      </c>
      <c r="K2009" s="2" t="s">
        <v>16</v>
      </c>
      <c r="L2009" s="2" t="s">
        <v>8936</v>
      </c>
      <c r="M2009" s="4">
        <v>42223</v>
      </c>
      <c r="N2009" t="b">
        <f>OR(LEFT(B2009,3)="frg",(_xlfn.XMATCH(B2009,ZZZ_Part_Id_[[#All],[FGCODE]])))</f>
        <v>1</v>
      </c>
    </row>
    <row r="2010" spans="1:14" x14ac:dyDescent="0.3">
      <c r="A2010" s="2" t="s">
        <v>8932</v>
      </c>
      <c r="B2010" s="2" t="s">
        <v>65</v>
      </c>
      <c r="C2010" s="2" t="s">
        <v>8937</v>
      </c>
      <c r="D2010" s="5">
        <v>-323</v>
      </c>
      <c r="E2010" s="5">
        <v>-323</v>
      </c>
      <c r="F2010" s="2" t="s">
        <v>23</v>
      </c>
      <c r="G2010" s="2" t="s">
        <v>8938</v>
      </c>
      <c r="H2010" s="3">
        <v>0</v>
      </c>
      <c r="I2010" s="2" t="s">
        <v>409</v>
      </c>
      <c r="J2010" s="2" t="s">
        <v>8939</v>
      </c>
      <c r="K2010" s="2" t="s">
        <v>23</v>
      </c>
      <c r="L2010" s="2" t="s">
        <v>8940</v>
      </c>
      <c r="M2010" s="6">
        <v>-830.63</v>
      </c>
      <c r="N2010" t="b">
        <f>OR(LEFT(B2010,3)="frg",(_xlfn.XMATCH(B2010,ZZZ_Part_Id_[[#All],[FGCODE]])))</f>
        <v>1</v>
      </c>
    </row>
    <row r="2011" spans="1:14" x14ac:dyDescent="0.3">
      <c r="A2011" s="2" t="s">
        <v>8932</v>
      </c>
      <c r="B2011" s="2" t="s">
        <v>14</v>
      </c>
      <c r="C2011" s="2" t="s">
        <v>8941</v>
      </c>
      <c r="D2011" s="3">
        <v>20</v>
      </c>
      <c r="E2011" s="3">
        <v>20</v>
      </c>
      <c r="F2011" s="2" t="s">
        <v>16</v>
      </c>
      <c r="G2011" s="2" t="s">
        <v>8942</v>
      </c>
      <c r="H2011" s="3">
        <v>0</v>
      </c>
      <c r="I2011" s="2" t="s">
        <v>409</v>
      </c>
      <c r="J2011" s="2" t="s">
        <v>8943</v>
      </c>
      <c r="K2011" s="2" t="s">
        <v>16</v>
      </c>
      <c r="L2011" s="2" t="s">
        <v>8944</v>
      </c>
      <c r="M2011" s="4">
        <v>1.54</v>
      </c>
      <c r="N2011" t="e">
        <f>OR(LEFT(B2011,3)="frg",(_xlfn.XMATCH(B2011,ZZZ_Part_Id_[[#All],[FGCODE]])))</f>
        <v>#N/A</v>
      </c>
    </row>
    <row r="2012" spans="1:14" x14ac:dyDescent="0.3">
      <c r="A2012" s="2" t="s">
        <v>8932</v>
      </c>
      <c r="B2012" s="2" t="s">
        <v>140</v>
      </c>
      <c r="C2012" s="2" t="s">
        <v>8945</v>
      </c>
      <c r="D2012" s="3">
        <v>0.8</v>
      </c>
      <c r="E2012" s="3">
        <v>0.8</v>
      </c>
      <c r="F2012" s="2" t="s">
        <v>16</v>
      </c>
      <c r="G2012" s="2" t="s">
        <v>8946</v>
      </c>
      <c r="H2012" s="3">
        <v>0</v>
      </c>
      <c r="I2012" s="2" t="s">
        <v>409</v>
      </c>
      <c r="J2012" s="2" t="s">
        <v>8947</v>
      </c>
      <c r="K2012" s="2" t="s">
        <v>16</v>
      </c>
      <c r="L2012" s="2" t="s">
        <v>8948</v>
      </c>
      <c r="M2012" s="4">
        <v>1.66</v>
      </c>
      <c r="N2012" t="e">
        <f>OR(LEFT(B2012,3)="frg",(_xlfn.XMATCH(B2012,ZZZ_Part_Id_[[#All],[FGCODE]])))</f>
        <v>#N/A</v>
      </c>
    </row>
    <row r="2013" spans="1:14" x14ac:dyDescent="0.3">
      <c r="A2013" s="2" t="s">
        <v>8932</v>
      </c>
      <c r="B2013" s="2" t="s">
        <v>192</v>
      </c>
      <c r="C2013" s="2" t="s">
        <v>8949</v>
      </c>
      <c r="D2013" s="3">
        <v>0.2</v>
      </c>
      <c r="E2013" s="3">
        <v>0.2</v>
      </c>
      <c r="F2013" s="2" t="s">
        <v>194</v>
      </c>
      <c r="G2013" s="2" t="s">
        <v>8950</v>
      </c>
      <c r="H2013" s="3">
        <v>0</v>
      </c>
      <c r="I2013" s="2" t="s">
        <v>409</v>
      </c>
      <c r="J2013" s="2" t="s">
        <v>8951</v>
      </c>
      <c r="K2013" s="2" t="s">
        <v>194</v>
      </c>
      <c r="L2013" s="2" t="s">
        <v>8952</v>
      </c>
      <c r="M2013" s="4">
        <v>1.05</v>
      </c>
      <c r="N2013" t="e">
        <f>OR(LEFT(B2013,3)="frg",(_xlfn.XMATCH(B2013,ZZZ_Part_Id_[[#All],[FGCODE]])))</f>
        <v>#N/A</v>
      </c>
    </row>
    <row r="2014" spans="1:14" x14ac:dyDescent="0.3">
      <c r="A2014" s="2" t="s">
        <v>8953</v>
      </c>
      <c r="B2014" s="2" t="s">
        <v>76</v>
      </c>
      <c r="C2014" s="2" t="s">
        <v>8954</v>
      </c>
      <c r="D2014" s="3">
        <v>964440</v>
      </c>
      <c r="E2014" s="3">
        <v>964440</v>
      </c>
      <c r="F2014" s="2" t="s">
        <v>16</v>
      </c>
      <c r="G2014" s="2" t="s">
        <v>8955</v>
      </c>
      <c r="H2014" s="3">
        <v>0</v>
      </c>
      <c r="I2014" s="2" t="s">
        <v>409</v>
      </c>
      <c r="J2014" s="2" t="s">
        <v>8956</v>
      </c>
      <c r="K2014" s="2" t="s">
        <v>16</v>
      </c>
      <c r="L2014" s="2" t="s">
        <v>8957</v>
      </c>
      <c r="M2014" s="4">
        <v>8004.7</v>
      </c>
      <c r="N2014" t="b">
        <f>OR(LEFT(B2014,3)="frg",(_xlfn.XMATCH(B2014,ZZZ_Part_Id_[[#All],[FGCODE]])))</f>
        <v>1</v>
      </c>
    </row>
    <row r="2015" spans="1:14" x14ac:dyDescent="0.3">
      <c r="A2015" s="2" t="s">
        <v>8953</v>
      </c>
      <c r="B2015" s="2" t="s">
        <v>14</v>
      </c>
      <c r="C2015" s="2" t="s">
        <v>8958</v>
      </c>
      <c r="D2015" s="3">
        <v>38</v>
      </c>
      <c r="E2015" s="3">
        <v>38</v>
      </c>
      <c r="F2015" s="2" t="s">
        <v>16</v>
      </c>
      <c r="G2015" s="2" t="s">
        <v>8959</v>
      </c>
      <c r="H2015" s="3">
        <v>0</v>
      </c>
      <c r="I2015" s="2" t="s">
        <v>409</v>
      </c>
      <c r="J2015" s="2" t="s">
        <v>8960</v>
      </c>
      <c r="K2015" s="2" t="s">
        <v>16</v>
      </c>
      <c r="L2015" s="2" t="s">
        <v>8961</v>
      </c>
      <c r="M2015" s="4">
        <v>2.92</v>
      </c>
      <c r="N2015" t="e">
        <f>OR(LEFT(B2015,3)="frg",(_xlfn.XMATCH(B2015,ZZZ_Part_Id_[[#All],[FGCODE]])))</f>
        <v>#N/A</v>
      </c>
    </row>
    <row r="2016" spans="1:14" x14ac:dyDescent="0.3">
      <c r="A2016" s="2" t="s">
        <v>8953</v>
      </c>
      <c r="B2016" s="2" t="s">
        <v>140</v>
      </c>
      <c r="C2016" s="2" t="s">
        <v>8962</v>
      </c>
      <c r="D2016" s="3">
        <v>1.52</v>
      </c>
      <c r="E2016" s="3">
        <v>1.52</v>
      </c>
      <c r="F2016" s="2" t="s">
        <v>16</v>
      </c>
      <c r="G2016" s="2" t="s">
        <v>8963</v>
      </c>
      <c r="H2016" s="3">
        <v>0</v>
      </c>
      <c r="I2016" s="2" t="s">
        <v>409</v>
      </c>
      <c r="J2016" s="2" t="s">
        <v>8964</v>
      </c>
      <c r="K2016" s="2" t="s">
        <v>16</v>
      </c>
      <c r="L2016" s="2" t="s">
        <v>8965</v>
      </c>
      <c r="M2016" s="4">
        <v>3.15</v>
      </c>
      <c r="N2016" t="e">
        <f>OR(LEFT(B2016,3)="frg",(_xlfn.XMATCH(B2016,ZZZ_Part_Id_[[#All],[FGCODE]])))</f>
        <v>#N/A</v>
      </c>
    </row>
    <row r="2017" spans="1:14" x14ac:dyDescent="0.3">
      <c r="A2017" s="2" t="s">
        <v>8953</v>
      </c>
      <c r="B2017" s="2" t="s">
        <v>192</v>
      </c>
      <c r="C2017" s="2" t="s">
        <v>8966</v>
      </c>
      <c r="D2017" s="3">
        <v>0.38</v>
      </c>
      <c r="E2017" s="3">
        <v>0.38</v>
      </c>
      <c r="F2017" s="2" t="s">
        <v>194</v>
      </c>
      <c r="G2017" s="2" t="s">
        <v>8967</v>
      </c>
      <c r="H2017" s="3">
        <v>0</v>
      </c>
      <c r="I2017" s="2" t="s">
        <v>409</v>
      </c>
      <c r="J2017" s="2" t="s">
        <v>8968</v>
      </c>
      <c r="K2017" s="2" t="s">
        <v>194</v>
      </c>
      <c r="L2017" s="2" t="s">
        <v>8969</v>
      </c>
      <c r="M2017" s="4">
        <v>1.99</v>
      </c>
      <c r="N2017" t="e">
        <f>OR(LEFT(B2017,3)="frg",(_xlfn.XMATCH(B2017,ZZZ_Part_Id_[[#All],[FGCODE]])))</f>
        <v>#N/A</v>
      </c>
    </row>
    <row r="2018" spans="1:14" x14ac:dyDescent="0.3">
      <c r="A2018" s="2" t="s">
        <v>8953</v>
      </c>
      <c r="B2018" s="2" t="s">
        <v>86</v>
      </c>
      <c r="C2018" s="2" t="s">
        <v>8970</v>
      </c>
      <c r="D2018" s="5">
        <v>-238</v>
      </c>
      <c r="E2018" s="5">
        <v>-238</v>
      </c>
      <c r="F2018" s="2" t="s">
        <v>23</v>
      </c>
      <c r="G2018" s="2" t="s">
        <v>8971</v>
      </c>
      <c r="H2018" s="3">
        <v>0</v>
      </c>
      <c r="I2018" s="2" t="s">
        <v>409</v>
      </c>
      <c r="J2018" s="2" t="s">
        <v>8972</v>
      </c>
      <c r="K2018" s="2" t="s">
        <v>23</v>
      </c>
      <c r="L2018" s="2" t="s">
        <v>8973</v>
      </c>
      <c r="M2018" s="6">
        <v>-623.04</v>
      </c>
      <c r="N2018" t="b">
        <f>OR(LEFT(B2018,3)="frg",(_xlfn.XMATCH(B2018,ZZZ_Part_Id_[[#All],[FGCODE]])))</f>
        <v>1</v>
      </c>
    </row>
    <row r="2019" spans="1:14" x14ac:dyDescent="0.3">
      <c r="A2019" s="2" t="s">
        <v>8974</v>
      </c>
      <c r="B2019" s="2" t="s">
        <v>5357</v>
      </c>
      <c r="C2019" s="2" t="s">
        <v>8975</v>
      </c>
      <c r="D2019" s="3">
        <v>311328</v>
      </c>
      <c r="E2019" s="3">
        <v>311328</v>
      </c>
      <c r="F2019" s="2" t="s">
        <v>16</v>
      </c>
      <c r="G2019" s="2" t="s">
        <v>8976</v>
      </c>
      <c r="H2019" s="3">
        <v>0</v>
      </c>
      <c r="I2019" s="2" t="s">
        <v>409</v>
      </c>
      <c r="J2019" s="2" t="s">
        <v>8977</v>
      </c>
      <c r="K2019" s="2" t="s">
        <v>16</v>
      </c>
      <c r="L2019" s="2" t="s">
        <v>8978</v>
      </c>
      <c r="M2019" s="4">
        <v>92523.73</v>
      </c>
      <c r="N2019" t="b">
        <f>OR(LEFT(B2019,3)="frg",(_xlfn.XMATCH(B2019,ZZZ_Part_Id_[[#All],[FGCODE]])))</f>
        <v>1</v>
      </c>
    </row>
    <row r="2020" spans="1:14" x14ac:dyDescent="0.3">
      <c r="A2020" s="2" t="s">
        <v>8979</v>
      </c>
      <c r="B2020" s="2" t="s">
        <v>3028</v>
      </c>
      <c r="C2020" s="2" t="s">
        <v>8980</v>
      </c>
      <c r="D2020" s="3">
        <v>76140</v>
      </c>
      <c r="E2020" s="3">
        <v>0</v>
      </c>
      <c r="F2020" s="2" t="s">
        <v>16</v>
      </c>
      <c r="G2020" s="2" t="s">
        <v>8981</v>
      </c>
      <c r="H2020" s="3">
        <v>0</v>
      </c>
      <c r="I2020" s="2" t="s">
        <v>409</v>
      </c>
      <c r="J2020" s="2" t="s">
        <v>8982</v>
      </c>
      <c r="K2020" s="2" t="s">
        <v>16</v>
      </c>
      <c r="L2020" s="2" t="s">
        <v>8983</v>
      </c>
      <c r="M2020" s="4">
        <v>0</v>
      </c>
      <c r="N2020" t="b">
        <f>OR(LEFT(B2020,3)="frg",(_xlfn.XMATCH(B2020,ZZZ_Part_Id_[[#All],[FGCODE]])))</f>
        <v>1</v>
      </c>
    </row>
    <row r="2021" spans="1:14" x14ac:dyDescent="0.3">
      <c r="A2021" s="2" t="s">
        <v>8979</v>
      </c>
      <c r="B2021" s="2" t="s">
        <v>14</v>
      </c>
      <c r="C2021" s="2" t="s">
        <v>8984</v>
      </c>
      <c r="D2021" s="3">
        <v>3</v>
      </c>
      <c r="E2021" s="3">
        <v>3</v>
      </c>
      <c r="F2021" s="2" t="s">
        <v>16</v>
      </c>
      <c r="G2021" s="2" t="s">
        <v>8985</v>
      </c>
      <c r="H2021" s="3">
        <v>0</v>
      </c>
      <c r="I2021" s="2" t="s">
        <v>409</v>
      </c>
      <c r="J2021" s="2" t="s">
        <v>8986</v>
      </c>
      <c r="K2021" s="2" t="s">
        <v>16</v>
      </c>
      <c r="L2021" s="2" t="s">
        <v>8987</v>
      </c>
      <c r="M2021" s="4">
        <v>0.23</v>
      </c>
      <c r="N2021" t="e">
        <f>OR(LEFT(B2021,3)="frg",(_xlfn.XMATCH(B2021,ZZZ_Part_Id_[[#All],[FGCODE]])))</f>
        <v>#N/A</v>
      </c>
    </row>
    <row r="2022" spans="1:14" x14ac:dyDescent="0.3">
      <c r="A2022" s="2" t="s">
        <v>8979</v>
      </c>
      <c r="B2022" s="2" t="s">
        <v>140</v>
      </c>
      <c r="C2022" s="2" t="s">
        <v>8988</v>
      </c>
      <c r="D2022" s="3">
        <v>0.12</v>
      </c>
      <c r="E2022" s="3">
        <v>0.12</v>
      </c>
      <c r="F2022" s="2" t="s">
        <v>16</v>
      </c>
      <c r="G2022" s="2" t="s">
        <v>8989</v>
      </c>
      <c r="H2022" s="3">
        <v>0</v>
      </c>
      <c r="I2022" s="2" t="s">
        <v>409</v>
      </c>
      <c r="J2022" s="2" t="s">
        <v>8990</v>
      </c>
      <c r="K2022" s="2" t="s">
        <v>16</v>
      </c>
      <c r="L2022" s="2" t="s">
        <v>8991</v>
      </c>
      <c r="M2022" s="4">
        <v>0.26</v>
      </c>
      <c r="N2022" t="e">
        <f>OR(LEFT(B2022,3)="frg",(_xlfn.XMATCH(B2022,ZZZ_Part_Id_[[#All],[FGCODE]])))</f>
        <v>#N/A</v>
      </c>
    </row>
    <row r="2023" spans="1:14" x14ac:dyDescent="0.3">
      <c r="A2023" s="2" t="s">
        <v>8979</v>
      </c>
      <c r="B2023" s="2" t="s">
        <v>192</v>
      </c>
      <c r="C2023" s="2" t="s">
        <v>8992</v>
      </c>
      <c r="D2023" s="3">
        <v>0.03</v>
      </c>
      <c r="E2023" s="3">
        <v>0.03</v>
      </c>
      <c r="F2023" s="2" t="s">
        <v>194</v>
      </c>
      <c r="G2023" s="2" t="s">
        <v>8993</v>
      </c>
      <c r="H2023" s="3">
        <v>0</v>
      </c>
      <c r="I2023" s="2" t="s">
        <v>409</v>
      </c>
      <c r="J2023" s="2" t="s">
        <v>8994</v>
      </c>
      <c r="K2023" s="2" t="s">
        <v>194</v>
      </c>
      <c r="L2023" s="2" t="s">
        <v>8995</v>
      </c>
      <c r="M2023" s="4">
        <v>0.16</v>
      </c>
      <c r="N2023" t="e">
        <f>OR(LEFT(B2023,3)="frg",(_xlfn.XMATCH(B2023,ZZZ_Part_Id_[[#All],[FGCODE]])))</f>
        <v>#N/A</v>
      </c>
    </row>
    <row r="2024" spans="1:14" x14ac:dyDescent="0.3">
      <c r="A2024" s="2" t="s">
        <v>8979</v>
      </c>
      <c r="B2024" s="2" t="s">
        <v>6977</v>
      </c>
      <c r="C2024" s="2" t="s">
        <v>8996</v>
      </c>
      <c r="D2024" s="3">
        <v>76140</v>
      </c>
      <c r="E2024" s="3">
        <v>76140</v>
      </c>
      <c r="F2024" s="2" t="s">
        <v>16</v>
      </c>
      <c r="G2024" s="2" t="s">
        <v>131</v>
      </c>
      <c r="H2024" s="3">
        <v>0</v>
      </c>
      <c r="I2024" s="2" t="s">
        <v>409</v>
      </c>
      <c r="J2024" s="2" t="s">
        <v>8997</v>
      </c>
      <c r="K2024" s="2" t="s">
        <v>16</v>
      </c>
      <c r="L2024" s="2" t="s">
        <v>8998</v>
      </c>
      <c r="M2024" s="4">
        <v>698.2</v>
      </c>
      <c r="N2024" t="b">
        <f>OR(LEFT(B2024,3)="frg",(_xlfn.XMATCH(B2024,ZZZ_Part_Id_[[#All],[FGCODE]])))</f>
        <v>1</v>
      </c>
    </row>
    <row r="2025" spans="1:14" x14ac:dyDescent="0.3">
      <c r="A2025" s="2" t="s">
        <v>8999</v>
      </c>
      <c r="B2025" s="2" t="s">
        <v>3028</v>
      </c>
      <c r="C2025" s="2" t="s">
        <v>9000</v>
      </c>
      <c r="D2025" s="3">
        <v>25380</v>
      </c>
      <c r="E2025" s="3">
        <v>25380</v>
      </c>
      <c r="F2025" s="2" t="s">
        <v>16</v>
      </c>
      <c r="G2025" s="2" t="s">
        <v>9001</v>
      </c>
      <c r="H2025" s="3">
        <v>0</v>
      </c>
      <c r="I2025" s="2" t="s">
        <v>409</v>
      </c>
      <c r="J2025" s="2" t="s">
        <v>9002</v>
      </c>
      <c r="K2025" s="2" t="s">
        <v>16</v>
      </c>
      <c r="L2025" s="2" t="s">
        <v>9003</v>
      </c>
      <c r="M2025" s="4">
        <v>1663.91</v>
      </c>
      <c r="N2025" t="b">
        <f>OR(LEFT(B2025,3)="frg",(_xlfn.XMATCH(B2025,ZZZ_Part_Id_[[#All],[FGCODE]])))</f>
        <v>1</v>
      </c>
    </row>
    <row r="2026" spans="1:14" x14ac:dyDescent="0.3">
      <c r="A2026" s="2" t="s">
        <v>9004</v>
      </c>
      <c r="B2026" s="2" t="s">
        <v>76</v>
      </c>
      <c r="C2026" s="2" t="s">
        <v>9005</v>
      </c>
      <c r="D2026" s="3">
        <v>177660</v>
      </c>
      <c r="E2026" s="3">
        <v>177660</v>
      </c>
      <c r="F2026" s="2" t="s">
        <v>16</v>
      </c>
      <c r="G2026" s="2" t="s">
        <v>9006</v>
      </c>
      <c r="H2026" s="3">
        <v>0</v>
      </c>
      <c r="I2026" s="2" t="s">
        <v>409</v>
      </c>
      <c r="J2026" s="2" t="s">
        <v>9007</v>
      </c>
      <c r="K2026" s="2" t="s">
        <v>16</v>
      </c>
      <c r="L2026" s="2" t="s">
        <v>9008</v>
      </c>
      <c r="M2026" s="4">
        <v>1474.55</v>
      </c>
      <c r="N2026" t="b">
        <f>OR(LEFT(B2026,3)="frg",(_xlfn.XMATCH(B2026,ZZZ_Part_Id_[[#All],[FGCODE]])))</f>
        <v>1</v>
      </c>
    </row>
    <row r="2027" spans="1:14" x14ac:dyDescent="0.3">
      <c r="A2027" s="2" t="s">
        <v>9004</v>
      </c>
      <c r="B2027" s="2" t="s">
        <v>86</v>
      </c>
      <c r="C2027" s="2" t="s">
        <v>9009</v>
      </c>
      <c r="D2027" s="5">
        <v>-238</v>
      </c>
      <c r="E2027" s="5">
        <v>-238</v>
      </c>
      <c r="F2027" s="2" t="s">
        <v>23</v>
      </c>
      <c r="G2027" s="2" t="s">
        <v>9010</v>
      </c>
      <c r="H2027" s="3">
        <v>0</v>
      </c>
      <c r="I2027" s="2" t="s">
        <v>409</v>
      </c>
      <c r="J2027" s="2" t="s">
        <v>9011</v>
      </c>
      <c r="K2027" s="2" t="s">
        <v>23</v>
      </c>
      <c r="L2027" s="2" t="s">
        <v>9012</v>
      </c>
      <c r="M2027" s="6">
        <v>-623.04</v>
      </c>
      <c r="N2027" t="b">
        <f>OR(LEFT(B2027,3)="frg",(_xlfn.XMATCH(B2027,ZZZ_Part_Id_[[#All],[FGCODE]])))</f>
        <v>1</v>
      </c>
    </row>
    <row r="2028" spans="1:14" x14ac:dyDescent="0.3">
      <c r="A2028" s="2" t="s">
        <v>9004</v>
      </c>
      <c r="B2028" s="2" t="s">
        <v>14</v>
      </c>
      <c r="C2028" s="2" t="s">
        <v>9013</v>
      </c>
      <c r="D2028" s="3">
        <v>6</v>
      </c>
      <c r="E2028" s="3">
        <v>6</v>
      </c>
      <c r="F2028" s="2" t="s">
        <v>16</v>
      </c>
      <c r="G2028" s="2" t="s">
        <v>9014</v>
      </c>
      <c r="H2028" s="3">
        <v>0</v>
      </c>
      <c r="I2028" s="2" t="s">
        <v>409</v>
      </c>
      <c r="J2028" s="2" t="s">
        <v>9015</v>
      </c>
      <c r="K2028" s="2" t="s">
        <v>16</v>
      </c>
      <c r="L2028" s="2" t="s">
        <v>9016</v>
      </c>
      <c r="M2028" s="4">
        <v>0.46</v>
      </c>
      <c r="N2028" t="e">
        <f>OR(LEFT(B2028,3)="frg",(_xlfn.XMATCH(B2028,ZZZ_Part_Id_[[#All],[FGCODE]])))</f>
        <v>#N/A</v>
      </c>
    </row>
    <row r="2029" spans="1:14" x14ac:dyDescent="0.3">
      <c r="A2029" s="2" t="s">
        <v>9004</v>
      </c>
      <c r="B2029" s="2" t="s">
        <v>140</v>
      </c>
      <c r="C2029" s="2" t="s">
        <v>9017</v>
      </c>
      <c r="D2029" s="3">
        <v>0.24</v>
      </c>
      <c r="E2029" s="3">
        <v>0.24</v>
      </c>
      <c r="F2029" s="2" t="s">
        <v>16</v>
      </c>
      <c r="G2029" s="2" t="s">
        <v>9018</v>
      </c>
      <c r="H2029" s="3">
        <v>0</v>
      </c>
      <c r="I2029" s="2" t="s">
        <v>409</v>
      </c>
      <c r="J2029" s="2" t="s">
        <v>9019</v>
      </c>
      <c r="K2029" s="2" t="s">
        <v>16</v>
      </c>
      <c r="L2029" s="2" t="s">
        <v>9020</v>
      </c>
      <c r="M2029" s="4">
        <v>0.5</v>
      </c>
      <c r="N2029" t="e">
        <f>OR(LEFT(B2029,3)="frg",(_xlfn.XMATCH(B2029,ZZZ_Part_Id_[[#All],[FGCODE]])))</f>
        <v>#N/A</v>
      </c>
    </row>
    <row r="2030" spans="1:14" x14ac:dyDescent="0.3">
      <c r="A2030" s="2" t="s">
        <v>9004</v>
      </c>
      <c r="B2030" s="2" t="s">
        <v>192</v>
      </c>
      <c r="C2030" s="2" t="s">
        <v>9021</v>
      </c>
      <c r="D2030" s="3">
        <v>0.06</v>
      </c>
      <c r="E2030" s="3">
        <v>0.06</v>
      </c>
      <c r="F2030" s="2" t="s">
        <v>194</v>
      </c>
      <c r="G2030" s="2" t="s">
        <v>9022</v>
      </c>
      <c r="H2030" s="3">
        <v>0</v>
      </c>
      <c r="I2030" s="2" t="s">
        <v>409</v>
      </c>
      <c r="J2030" s="2" t="s">
        <v>9023</v>
      </c>
      <c r="K2030" s="2" t="s">
        <v>194</v>
      </c>
      <c r="L2030" s="2" t="s">
        <v>9024</v>
      </c>
      <c r="M2030" s="4">
        <v>0.31</v>
      </c>
      <c r="N2030" t="e">
        <f>OR(LEFT(B2030,3)="frg",(_xlfn.XMATCH(B2030,ZZZ_Part_Id_[[#All],[FGCODE]])))</f>
        <v>#N/A</v>
      </c>
    </row>
    <row r="2031" spans="1:14" x14ac:dyDescent="0.3">
      <c r="A2031" s="2" t="s">
        <v>9025</v>
      </c>
      <c r="B2031" s="2" t="s">
        <v>91</v>
      </c>
      <c r="C2031" s="2" t="s">
        <v>9026</v>
      </c>
      <c r="D2031" s="3">
        <v>135000</v>
      </c>
      <c r="E2031" s="3">
        <v>135000</v>
      </c>
      <c r="F2031" s="2" t="s">
        <v>16</v>
      </c>
      <c r="G2031" s="2" t="s">
        <v>9027</v>
      </c>
      <c r="H2031" s="3">
        <v>0</v>
      </c>
      <c r="I2031" s="2" t="s">
        <v>18</v>
      </c>
      <c r="J2031" s="2" t="s">
        <v>9028</v>
      </c>
      <c r="K2031" s="2" t="s">
        <v>16</v>
      </c>
      <c r="L2031" s="2" t="s">
        <v>9029</v>
      </c>
      <c r="M2031" s="4">
        <v>7836.75</v>
      </c>
      <c r="N2031" t="b">
        <f>OR(LEFT(B2031,3)="frg",(_xlfn.XMATCH(B2031,ZZZ_Part_Id_[[#All],[FGCODE]])))</f>
        <v>1</v>
      </c>
    </row>
    <row r="2032" spans="1:14" x14ac:dyDescent="0.3">
      <c r="A2032" s="2" t="s">
        <v>9030</v>
      </c>
      <c r="B2032" s="2" t="s">
        <v>14</v>
      </c>
      <c r="C2032" s="2" t="s">
        <v>9031</v>
      </c>
      <c r="D2032" s="3">
        <v>10</v>
      </c>
      <c r="E2032" s="3">
        <v>10</v>
      </c>
      <c r="F2032" s="2" t="s">
        <v>16</v>
      </c>
      <c r="G2032" s="2" t="s">
        <v>9032</v>
      </c>
      <c r="H2032" s="3">
        <v>0</v>
      </c>
      <c r="I2032" s="2" t="s">
        <v>18</v>
      </c>
      <c r="J2032" s="2" t="s">
        <v>9033</v>
      </c>
      <c r="K2032" s="2" t="s">
        <v>16</v>
      </c>
      <c r="L2032" s="2" t="s">
        <v>9034</v>
      </c>
      <c r="M2032" s="4">
        <v>0.77</v>
      </c>
      <c r="N2032" t="e">
        <f>OR(LEFT(B2032,3)="frg",(_xlfn.XMATCH(B2032,ZZZ_Part_Id_[[#All],[FGCODE]])))</f>
        <v>#N/A</v>
      </c>
    </row>
    <row r="2033" spans="1:14" x14ac:dyDescent="0.3">
      <c r="A2033" s="2" t="s">
        <v>9030</v>
      </c>
      <c r="B2033" s="2" t="s">
        <v>76</v>
      </c>
      <c r="C2033" s="2" t="s">
        <v>9035</v>
      </c>
      <c r="D2033" s="3">
        <v>50760</v>
      </c>
      <c r="E2033" s="3">
        <v>50760</v>
      </c>
      <c r="F2033" s="2" t="s">
        <v>16</v>
      </c>
      <c r="G2033" s="2" t="s">
        <v>9036</v>
      </c>
      <c r="H2033" s="3">
        <v>0</v>
      </c>
      <c r="I2033" s="2" t="s">
        <v>18</v>
      </c>
      <c r="J2033" s="2" t="s">
        <v>9037</v>
      </c>
      <c r="K2033" s="2" t="s">
        <v>16</v>
      </c>
      <c r="L2033" s="2" t="s">
        <v>9038</v>
      </c>
      <c r="M2033" s="4">
        <v>421.3</v>
      </c>
      <c r="N2033" t="b">
        <f>OR(LEFT(B2033,3)="frg",(_xlfn.XMATCH(B2033,ZZZ_Part_Id_[[#All],[FGCODE]])))</f>
        <v>1</v>
      </c>
    </row>
    <row r="2034" spans="1:14" x14ac:dyDescent="0.3">
      <c r="A2034" s="2" t="s">
        <v>9039</v>
      </c>
      <c r="B2034" s="2" t="s">
        <v>3759</v>
      </c>
      <c r="C2034" s="2" t="s">
        <v>9040</v>
      </c>
      <c r="D2034" s="3">
        <v>29880</v>
      </c>
      <c r="E2034" s="3">
        <v>29880</v>
      </c>
      <c r="F2034" s="2" t="s">
        <v>16</v>
      </c>
      <c r="G2034" s="2" t="s">
        <v>9041</v>
      </c>
      <c r="H2034" s="3">
        <v>0</v>
      </c>
      <c r="I2034" s="2" t="s">
        <v>409</v>
      </c>
      <c r="J2034" s="2" t="s">
        <v>9042</v>
      </c>
      <c r="K2034" s="2" t="s">
        <v>16</v>
      </c>
      <c r="L2034" s="2" t="s">
        <v>9043</v>
      </c>
      <c r="M2034" s="4">
        <v>1640.11</v>
      </c>
      <c r="N2034" t="b">
        <f>OR(LEFT(B2034,3)="frg",(_xlfn.XMATCH(B2034,ZZZ_Part_Id_[[#All],[FGCODE]])))</f>
        <v>1</v>
      </c>
    </row>
    <row r="2035" spans="1:14" x14ac:dyDescent="0.3">
      <c r="A2035" s="2" t="s">
        <v>9044</v>
      </c>
      <c r="B2035" s="2" t="s">
        <v>172</v>
      </c>
      <c r="C2035" s="2" t="s">
        <v>9045</v>
      </c>
      <c r="D2035" s="3">
        <v>40</v>
      </c>
      <c r="E2035" s="3">
        <v>40</v>
      </c>
      <c r="F2035" s="2" t="s">
        <v>23</v>
      </c>
      <c r="G2035" s="2" t="s">
        <v>9046</v>
      </c>
      <c r="H2035" s="3">
        <v>0</v>
      </c>
      <c r="I2035" s="2" t="s">
        <v>18</v>
      </c>
      <c r="J2035" s="2" t="s">
        <v>9047</v>
      </c>
      <c r="K2035" s="2" t="s">
        <v>23</v>
      </c>
      <c r="L2035" s="2" t="s">
        <v>9048</v>
      </c>
      <c r="M2035" s="4">
        <v>282.95</v>
      </c>
      <c r="N2035" t="e">
        <f>OR(LEFT(B2035,3)="frg",(_xlfn.XMATCH(B2035,ZZZ_Part_Id_[[#All],[FGCODE]])))</f>
        <v>#N/A</v>
      </c>
    </row>
    <row r="2036" spans="1:14" x14ac:dyDescent="0.3">
      <c r="A2036" s="2" t="s">
        <v>9044</v>
      </c>
      <c r="B2036" s="2" t="s">
        <v>1027</v>
      </c>
      <c r="C2036" s="2" t="s">
        <v>9049</v>
      </c>
      <c r="D2036" s="3">
        <v>987660</v>
      </c>
      <c r="E2036" s="3">
        <v>987660</v>
      </c>
      <c r="F2036" s="2" t="s">
        <v>16</v>
      </c>
      <c r="G2036" s="2" t="s">
        <v>9050</v>
      </c>
      <c r="H2036" s="3">
        <v>0</v>
      </c>
      <c r="I2036" s="2" t="s">
        <v>18</v>
      </c>
      <c r="J2036" s="2" t="s">
        <v>9051</v>
      </c>
      <c r="K2036" s="2" t="s">
        <v>16</v>
      </c>
      <c r="L2036" s="2" t="s">
        <v>9052</v>
      </c>
      <c r="M2036" s="4">
        <v>198855.39</v>
      </c>
      <c r="N2036" t="b">
        <f>OR(LEFT(B2036,3)="frg",(_xlfn.XMATCH(B2036,ZZZ_Part_Id_[[#All],[FGCODE]])))</f>
        <v>1</v>
      </c>
    </row>
    <row r="2037" spans="1:14" x14ac:dyDescent="0.3">
      <c r="A2037" s="2" t="s">
        <v>9053</v>
      </c>
      <c r="B2037" s="2" t="s">
        <v>65</v>
      </c>
      <c r="C2037" s="2" t="s">
        <v>9054</v>
      </c>
      <c r="D2037" s="5">
        <v>-298</v>
      </c>
      <c r="E2037" s="5">
        <v>-298</v>
      </c>
      <c r="F2037" s="2" t="s">
        <v>23</v>
      </c>
      <c r="G2037" s="2" t="s">
        <v>9055</v>
      </c>
      <c r="H2037" s="3">
        <v>0</v>
      </c>
      <c r="I2037" s="2" t="s">
        <v>409</v>
      </c>
      <c r="J2037" s="2" t="s">
        <v>9056</v>
      </c>
      <c r="K2037" s="2" t="s">
        <v>23</v>
      </c>
      <c r="L2037" s="2" t="s">
        <v>9057</v>
      </c>
      <c r="M2037" s="6">
        <v>-766.34</v>
      </c>
      <c r="N2037" t="b">
        <f>OR(LEFT(B2037,3)="frg",(_xlfn.XMATCH(B2037,ZZZ_Part_Id_[[#All],[FGCODE]])))</f>
        <v>1</v>
      </c>
    </row>
    <row r="2038" spans="1:14" x14ac:dyDescent="0.3">
      <c r="A2038" s="2" t="s">
        <v>9053</v>
      </c>
      <c r="B2038" s="2" t="s">
        <v>5347</v>
      </c>
      <c r="C2038" s="2" t="s">
        <v>9058</v>
      </c>
      <c r="D2038" s="3">
        <v>59616</v>
      </c>
      <c r="E2038" s="3">
        <v>59616</v>
      </c>
      <c r="F2038" s="2" t="s">
        <v>16</v>
      </c>
      <c r="G2038" s="2" t="s">
        <v>9059</v>
      </c>
      <c r="H2038" s="3">
        <v>0</v>
      </c>
      <c r="I2038" s="2" t="s">
        <v>409</v>
      </c>
      <c r="J2038" s="2" t="s">
        <v>9060</v>
      </c>
      <c r="K2038" s="2" t="s">
        <v>16</v>
      </c>
      <c r="L2038" s="2" t="s">
        <v>9061</v>
      </c>
      <c r="M2038" s="4">
        <v>17505.63</v>
      </c>
      <c r="N2038" t="b">
        <f>OR(LEFT(B2038,3)="frg",(_xlfn.XMATCH(B2038,ZZZ_Part_Id_[[#All],[FGCODE]])))</f>
        <v>1</v>
      </c>
    </row>
    <row r="2039" spans="1:14" x14ac:dyDescent="0.3">
      <c r="A2039" s="2" t="s">
        <v>9062</v>
      </c>
      <c r="B2039" s="2" t="s">
        <v>4791</v>
      </c>
      <c r="C2039" s="2" t="s">
        <v>9063</v>
      </c>
      <c r="D2039" s="3">
        <v>6624</v>
      </c>
      <c r="E2039" s="3">
        <v>6624</v>
      </c>
      <c r="F2039" s="2" t="s">
        <v>16</v>
      </c>
      <c r="G2039" s="2" t="s">
        <v>9064</v>
      </c>
      <c r="H2039" s="3">
        <v>0</v>
      </c>
      <c r="I2039" s="2" t="s">
        <v>409</v>
      </c>
      <c r="J2039" s="2" t="s">
        <v>9065</v>
      </c>
      <c r="K2039" s="2" t="s">
        <v>16</v>
      </c>
      <c r="L2039" s="2" t="s">
        <v>9066</v>
      </c>
      <c r="M2039" s="4">
        <v>1945.07</v>
      </c>
      <c r="N2039" t="b">
        <f>OR(LEFT(B2039,3)="frg",(_xlfn.XMATCH(B2039,ZZZ_Part_Id_[[#All],[FGCODE]])))</f>
        <v>1</v>
      </c>
    </row>
    <row r="2040" spans="1:14" x14ac:dyDescent="0.3">
      <c r="A2040" s="2" t="s">
        <v>9067</v>
      </c>
      <c r="B2040" s="2" t="s">
        <v>70</v>
      </c>
      <c r="C2040" s="2" t="s">
        <v>9068</v>
      </c>
      <c r="D2040" s="3">
        <v>12672</v>
      </c>
      <c r="E2040" s="3">
        <v>12672</v>
      </c>
      <c r="F2040" s="2" t="s">
        <v>16</v>
      </c>
      <c r="G2040" s="2" t="s">
        <v>9069</v>
      </c>
      <c r="H2040" s="3">
        <v>0</v>
      </c>
      <c r="I2040" s="2" t="s">
        <v>18</v>
      </c>
      <c r="J2040" s="2" t="s">
        <v>9070</v>
      </c>
      <c r="K2040" s="2" t="s">
        <v>16</v>
      </c>
      <c r="L2040" s="2" t="s">
        <v>9071</v>
      </c>
      <c r="M2040" s="4">
        <v>3118.58</v>
      </c>
      <c r="N2040" t="b">
        <f>OR(LEFT(B2040,3)="frg",(_xlfn.XMATCH(B2040,ZZZ_Part_Id_[[#All],[FGCODE]])))</f>
        <v>1</v>
      </c>
    </row>
    <row r="2041" spans="1:14" x14ac:dyDescent="0.3">
      <c r="A2041" s="2" t="s">
        <v>9072</v>
      </c>
      <c r="B2041" s="2" t="s">
        <v>4511</v>
      </c>
      <c r="C2041" s="2" t="s">
        <v>9073</v>
      </c>
      <c r="D2041" s="3">
        <v>149400</v>
      </c>
      <c r="E2041" s="3">
        <v>149400</v>
      </c>
      <c r="F2041" s="2" t="s">
        <v>16</v>
      </c>
      <c r="G2041" s="2" t="s">
        <v>9074</v>
      </c>
      <c r="H2041" s="3">
        <v>0</v>
      </c>
      <c r="I2041" s="2" t="s">
        <v>409</v>
      </c>
      <c r="J2041" s="2" t="s">
        <v>9075</v>
      </c>
      <c r="K2041" s="2" t="s">
        <v>16</v>
      </c>
      <c r="L2041" s="2" t="s">
        <v>9076</v>
      </c>
      <c r="M2041" s="4">
        <v>8261.82</v>
      </c>
      <c r="N2041" t="b">
        <f>OR(LEFT(B2041,3)="frg",(_xlfn.XMATCH(B2041,ZZZ_Part_Id_[[#All],[FGCODE]])))</f>
        <v>1</v>
      </c>
    </row>
    <row r="2042" spans="1:14" x14ac:dyDescent="0.3">
      <c r="A2042" s="2" t="s">
        <v>9077</v>
      </c>
      <c r="B2042" s="2" t="s">
        <v>14</v>
      </c>
      <c r="C2042" s="2" t="s">
        <v>9078</v>
      </c>
      <c r="D2042" s="3">
        <v>64</v>
      </c>
      <c r="E2042" s="3">
        <v>64</v>
      </c>
      <c r="F2042" s="2" t="s">
        <v>16</v>
      </c>
      <c r="G2042" s="2" t="s">
        <v>9079</v>
      </c>
      <c r="H2042" s="3">
        <v>0</v>
      </c>
      <c r="I2042" s="2" t="s">
        <v>409</v>
      </c>
      <c r="J2042" s="2" t="s">
        <v>9080</v>
      </c>
      <c r="K2042" s="2" t="s">
        <v>16</v>
      </c>
      <c r="L2042" s="2" t="s">
        <v>9081</v>
      </c>
      <c r="M2042" s="4">
        <v>4.92</v>
      </c>
      <c r="N2042" t="e">
        <f>OR(LEFT(B2042,3)="frg",(_xlfn.XMATCH(B2042,ZZZ_Part_Id_[[#All],[FGCODE]])))</f>
        <v>#N/A</v>
      </c>
    </row>
    <row r="2043" spans="1:14" x14ac:dyDescent="0.3">
      <c r="A2043" s="2" t="s">
        <v>9077</v>
      </c>
      <c r="B2043" s="2" t="s">
        <v>172</v>
      </c>
      <c r="C2043" s="2" t="s">
        <v>9082</v>
      </c>
      <c r="D2043" s="3">
        <v>14</v>
      </c>
      <c r="E2043" s="3">
        <v>14</v>
      </c>
      <c r="F2043" s="2" t="s">
        <v>23</v>
      </c>
      <c r="G2043" s="2" t="s">
        <v>9083</v>
      </c>
      <c r="H2043" s="3">
        <v>0</v>
      </c>
      <c r="I2043" s="2" t="s">
        <v>409</v>
      </c>
      <c r="J2043" s="2" t="s">
        <v>9084</v>
      </c>
      <c r="K2043" s="2" t="s">
        <v>23</v>
      </c>
      <c r="L2043" s="2" t="s">
        <v>9085</v>
      </c>
      <c r="M2043" s="4">
        <v>99.03</v>
      </c>
      <c r="N2043" t="e">
        <f>OR(LEFT(B2043,3)="frg",(_xlfn.XMATCH(B2043,ZZZ_Part_Id_[[#All],[FGCODE]])))</f>
        <v>#N/A</v>
      </c>
    </row>
    <row r="2044" spans="1:14" x14ac:dyDescent="0.3">
      <c r="A2044" s="2" t="s">
        <v>9077</v>
      </c>
      <c r="B2044" s="2" t="s">
        <v>5357</v>
      </c>
      <c r="C2044" s="2" t="s">
        <v>9086</v>
      </c>
      <c r="D2044" s="3">
        <v>317952</v>
      </c>
      <c r="E2044" s="3">
        <v>317952</v>
      </c>
      <c r="F2044" s="2" t="s">
        <v>16</v>
      </c>
      <c r="G2044" s="2" t="s">
        <v>9087</v>
      </c>
      <c r="H2044" s="3">
        <v>0</v>
      </c>
      <c r="I2044" s="2" t="s">
        <v>409</v>
      </c>
      <c r="J2044" s="2" t="s">
        <v>9088</v>
      </c>
      <c r="K2044" s="2" t="s">
        <v>16</v>
      </c>
      <c r="L2044" s="2" t="s">
        <v>9089</v>
      </c>
      <c r="M2044" s="4">
        <v>94492.32</v>
      </c>
      <c r="N2044" t="b">
        <f>OR(LEFT(B2044,3)="frg",(_xlfn.XMATCH(B2044,ZZZ_Part_Id_[[#All],[FGCODE]])))</f>
        <v>1</v>
      </c>
    </row>
    <row r="2045" spans="1:14" x14ac:dyDescent="0.3">
      <c r="A2045" s="2" t="s">
        <v>9090</v>
      </c>
      <c r="B2045" s="2" t="s">
        <v>97</v>
      </c>
      <c r="C2045" s="2" t="s">
        <v>9091</v>
      </c>
      <c r="D2045" s="3">
        <v>249600</v>
      </c>
      <c r="E2045" s="3">
        <v>249600</v>
      </c>
      <c r="F2045" s="2" t="s">
        <v>16</v>
      </c>
      <c r="G2045" s="2" t="s">
        <v>9092</v>
      </c>
      <c r="H2045" s="3">
        <v>0</v>
      </c>
      <c r="I2045" s="2" t="s">
        <v>409</v>
      </c>
      <c r="J2045" s="2" t="s">
        <v>9093</v>
      </c>
      <c r="K2045" s="2" t="s">
        <v>16</v>
      </c>
      <c r="L2045" s="2" t="s">
        <v>9094</v>
      </c>
      <c r="M2045" s="4">
        <v>85600.320000000007</v>
      </c>
      <c r="N2045" t="b">
        <f>OR(LEFT(B2045,3)="frg",(_xlfn.XMATCH(B2045,ZZZ_Part_Id_[[#All],[FGCODE]])))</f>
        <v>1</v>
      </c>
    </row>
    <row r="2046" spans="1:14" x14ac:dyDescent="0.3">
      <c r="A2046" s="2" t="s">
        <v>9095</v>
      </c>
      <c r="B2046" s="2" t="s">
        <v>172</v>
      </c>
      <c r="C2046" s="2" t="s">
        <v>9096</v>
      </c>
      <c r="D2046" s="3">
        <v>40</v>
      </c>
      <c r="E2046" s="3">
        <v>40</v>
      </c>
      <c r="F2046" s="2" t="s">
        <v>23</v>
      </c>
      <c r="G2046" s="2" t="s">
        <v>9097</v>
      </c>
      <c r="H2046" s="3">
        <v>0</v>
      </c>
      <c r="I2046" s="2" t="s">
        <v>18</v>
      </c>
      <c r="J2046" s="2" t="s">
        <v>9098</v>
      </c>
      <c r="K2046" s="2" t="s">
        <v>23</v>
      </c>
      <c r="L2046" s="2" t="s">
        <v>9099</v>
      </c>
      <c r="M2046" s="4">
        <v>282.95</v>
      </c>
      <c r="N2046" t="e">
        <f>OR(LEFT(B2046,3)="frg",(_xlfn.XMATCH(B2046,ZZZ_Part_Id_[[#All],[FGCODE]])))</f>
        <v>#N/A</v>
      </c>
    </row>
    <row r="2047" spans="1:14" x14ac:dyDescent="0.3">
      <c r="A2047" s="2" t="s">
        <v>9095</v>
      </c>
      <c r="B2047" s="2" t="s">
        <v>740</v>
      </c>
      <c r="C2047" s="2" t="s">
        <v>9100</v>
      </c>
      <c r="D2047" s="3">
        <v>1019520</v>
      </c>
      <c r="E2047" s="3">
        <v>1019520</v>
      </c>
      <c r="F2047" s="2" t="s">
        <v>16</v>
      </c>
      <c r="G2047" s="2" t="s">
        <v>9101</v>
      </c>
      <c r="H2047" s="3">
        <v>0</v>
      </c>
      <c r="I2047" s="2" t="s">
        <v>18</v>
      </c>
      <c r="J2047" s="2" t="s">
        <v>9102</v>
      </c>
      <c r="K2047" s="2" t="s">
        <v>16</v>
      </c>
      <c r="L2047" s="2" t="s">
        <v>9103</v>
      </c>
      <c r="M2047" s="4">
        <v>202670.4</v>
      </c>
      <c r="N2047" t="b">
        <f>OR(LEFT(B2047,3)="frg",(_xlfn.XMATCH(B2047,ZZZ_Part_Id_[[#All],[FGCODE]])))</f>
        <v>1</v>
      </c>
    </row>
    <row r="2048" spans="1:14" x14ac:dyDescent="0.3">
      <c r="A2048" s="2" t="s">
        <v>9104</v>
      </c>
      <c r="B2048" s="2" t="s">
        <v>14</v>
      </c>
      <c r="C2048" s="2" t="s">
        <v>9105</v>
      </c>
      <c r="D2048" s="3">
        <v>64</v>
      </c>
      <c r="E2048" s="3">
        <v>64</v>
      </c>
      <c r="F2048" s="2" t="s">
        <v>16</v>
      </c>
      <c r="G2048" s="2" t="s">
        <v>9106</v>
      </c>
      <c r="H2048" s="3">
        <v>0</v>
      </c>
      <c r="I2048" s="2" t="s">
        <v>409</v>
      </c>
      <c r="J2048" s="2" t="s">
        <v>9107</v>
      </c>
      <c r="K2048" s="2" t="s">
        <v>16</v>
      </c>
      <c r="L2048" s="2" t="s">
        <v>9108</v>
      </c>
      <c r="M2048" s="4">
        <v>4.92</v>
      </c>
      <c r="N2048" t="e">
        <f>OR(LEFT(B2048,3)="frg",(_xlfn.XMATCH(B2048,ZZZ_Part_Id_[[#All],[FGCODE]])))</f>
        <v>#N/A</v>
      </c>
    </row>
    <row r="2049" spans="1:14" x14ac:dyDescent="0.3">
      <c r="A2049" s="2" t="s">
        <v>9104</v>
      </c>
      <c r="B2049" s="2" t="s">
        <v>172</v>
      </c>
      <c r="C2049" s="2" t="s">
        <v>9109</v>
      </c>
      <c r="D2049" s="3">
        <v>14</v>
      </c>
      <c r="E2049" s="3">
        <v>14</v>
      </c>
      <c r="F2049" s="2" t="s">
        <v>23</v>
      </c>
      <c r="G2049" s="2" t="s">
        <v>9110</v>
      </c>
      <c r="H2049" s="3">
        <v>0</v>
      </c>
      <c r="I2049" s="2" t="s">
        <v>409</v>
      </c>
      <c r="J2049" s="2" t="s">
        <v>9111</v>
      </c>
      <c r="K2049" s="2" t="s">
        <v>23</v>
      </c>
      <c r="L2049" s="2" t="s">
        <v>9112</v>
      </c>
      <c r="M2049" s="4">
        <v>99.03</v>
      </c>
      <c r="N2049" t="e">
        <f>OR(LEFT(B2049,3)="frg",(_xlfn.XMATCH(B2049,ZZZ_Part_Id_[[#All],[FGCODE]])))</f>
        <v>#N/A</v>
      </c>
    </row>
    <row r="2050" spans="1:14" x14ac:dyDescent="0.3">
      <c r="A2050" s="2" t="s">
        <v>9104</v>
      </c>
      <c r="B2050" s="2" t="s">
        <v>5357</v>
      </c>
      <c r="C2050" s="2" t="s">
        <v>9113</v>
      </c>
      <c r="D2050" s="3">
        <v>317952</v>
      </c>
      <c r="E2050" s="3">
        <v>317952</v>
      </c>
      <c r="F2050" s="2" t="s">
        <v>16</v>
      </c>
      <c r="G2050" s="2" t="s">
        <v>9114</v>
      </c>
      <c r="H2050" s="3">
        <v>0</v>
      </c>
      <c r="I2050" s="2" t="s">
        <v>409</v>
      </c>
      <c r="J2050" s="2" t="s">
        <v>9115</v>
      </c>
      <c r="K2050" s="2" t="s">
        <v>16</v>
      </c>
      <c r="L2050" s="2" t="s">
        <v>9116</v>
      </c>
      <c r="M2050" s="4">
        <v>94492.32</v>
      </c>
      <c r="N2050" t="b">
        <f>OR(LEFT(B2050,3)="frg",(_xlfn.XMATCH(B2050,ZZZ_Part_Id_[[#All],[FGCODE]])))</f>
        <v>1</v>
      </c>
    </row>
    <row r="2051" spans="1:14" x14ac:dyDescent="0.3">
      <c r="A2051" s="2" t="s">
        <v>9117</v>
      </c>
      <c r="B2051" s="2" t="s">
        <v>14</v>
      </c>
      <c r="C2051" s="2" t="s">
        <v>9118</v>
      </c>
      <c r="D2051" s="3">
        <v>40</v>
      </c>
      <c r="E2051" s="3">
        <v>40</v>
      </c>
      <c r="F2051" s="2" t="s">
        <v>16</v>
      </c>
      <c r="G2051" s="2" t="s">
        <v>9119</v>
      </c>
      <c r="H2051" s="3">
        <v>0</v>
      </c>
      <c r="I2051" s="2" t="s">
        <v>18</v>
      </c>
      <c r="J2051" s="2" t="s">
        <v>9120</v>
      </c>
      <c r="K2051" s="2" t="s">
        <v>16</v>
      </c>
      <c r="L2051" s="2" t="s">
        <v>9121</v>
      </c>
      <c r="M2051" s="4">
        <v>3.08</v>
      </c>
      <c r="N2051" t="e">
        <f>OR(LEFT(B2051,3)="frg",(_xlfn.XMATCH(B2051,ZZZ_Part_Id_[[#All],[FGCODE]])))</f>
        <v>#N/A</v>
      </c>
    </row>
    <row r="2052" spans="1:14" x14ac:dyDescent="0.3">
      <c r="A2052" s="2" t="s">
        <v>9117</v>
      </c>
      <c r="B2052" s="2" t="s">
        <v>1027</v>
      </c>
      <c r="C2052" s="2" t="s">
        <v>9122</v>
      </c>
      <c r="D2052" s="3">
        <v>116820</v>
      </c>
      <c r="E2052" s="3">
        <v>116820</v>
      </c>
      <c r="F2052" s="2" t="s">
        <v>16</v>
      </c>
      <c r="G2052" s="2" t="s">
        <v>9123</v>
      </c>
      <c r="H2052" s="3">
        <v>0</v>
      </c>
      <c r="I2052" s="2" t="s">
        <v>18</v>
      </c>
      <c r="J2052" s="2" t="s">
        <v>9124</v>
      </c>
      <c r="K2052" s="2" t="s">
        <v>16</v>
      </c>
      <c r="L2052" s="2" t="s">
        <v>9125</v>
      </c>
      <c r="M2052" s="4">
        <v>23520.53</v>
      </c>
      <c r="N2052" t="b">
        <f>OR(LEFT(B2052,3)="frg",(_xlfn.XMATCH(B2052,ZZZ_Part_Id_[[#All],[FGCODE]])))</f>
        <v>1</v>
      </c>
    </row>
    <row r="2053" spans="1:14" x14ac:dyDescent="0.3">
      <c r="A2053" s="2" t="s">
        <v>9126</v>
      </c>
      <c r="B2053" s="2" t="s">
        <v>97</v>
      </c>
      <c r="C2053" s="2" t="s">
        <v>9127</v>
      </c>
      <c r="D2053" s="3">
        <v>302400</v>
      </c>
      <c r="E2053" s="3">
        <v>302400</v>
      </c>
      <c r="F2053" s="2" t="s">
        <v>16</v>
      </c>
      <c r="G2053" s="2" t="s">
        <v>9128</v>
      </c>
      <c r="H2053" s="3">
        <v>0</v>
      </c>
      <c r="I2053" s="2" t="s">
        <v>409</v>
      </c>
      <c r="J2053" s="2" t="s">
        <v>9129</v>
      </c>
      <c r="K2053" s="2" t="s">
        <v>16</v>
      </c>
      <c r="L2053" s="2" t="s">
        <v>9130</v>
      </c>
      <c r="M2053" s="4">
        <v>103708.08</v>
      </c>
      <c r="N2053" t="b">
        <f>OR(LEFT(B2053,3)="frg",(_xlfn.XMATCH(B2053,ZZZ_Part_Id_[[#All],[FGCODE]])))</f>
        <v>1</v>
      </c>
    </row>
    <row r="2054" spans="1:14" x14ac:dyDescent="0.3">
      <c r="A2054" s="2" t="s">
        <v>9131</v>
      </c>
      <c r="B2054" s="2" t="s">
        <v>97</v>
      </c>
      <c r="C2054" s="2" t="s">
        <v>9132</v>
      </c>
      <c r="D2054" s="3">
        <v>24000</v>
      </c>
      <c r="E2054" s="3">
        <v>24000</v>
      </c>
      <c r="F2054" s="2" t="s">
        <v>16</v>
      </c>
      <c r="G2054" s="2" t="s">
        <v>9133</v>
      </c>
      <c r="H2054" s="3">
        <v>0</v>
      </c>
      <c r="I2054" s="2" t="s">
        <v>409</v>
      </c>
      <c r="J2054" s="2" t="s">
        <v>9134</v>
      </c>
      <c r="K2054" s="2" t="s">
        <v>16</v>
      </c>
      <c r="L2054" s="2" t="s">
        <v>9135</v>
      </c>
      <c r="M2054" s="4">
        <v>8230.7999999999993</v>
      </c>
      <c r="N2054" t="b">
        <f>OR(LEFT(B2054,3)="frg",(_xlfn.XMATCH(B2054,ZZZ_Part_Id_[[#All],[FGCODE]])))</f>
        <v>1</v>
      </c>
    </row>
    <row r="2055" spans="1:14" x14ac:dyDescent="0.3">
      <c r="A2055" s="2" t="s">
        <v>9136</v>
      </c>
      <c r="B2055" s="2" t="s">
        <v>14</v>
      </c>
      <c r="C2055" s="2" t="s">
        <v>9137</v>
      </c>
      <c r="D2055" s="3">
        <v>64</v>
      </c>
      <c r="E2055" s="3">
        <v>64</v>
      </c>
      <c r="F2055" s="2" t="s">
        <v>16</v>
      </c>
      <c r="G2055" s="2" t="s">
        <v>9138</v>
      </c>
      <c r="H2055" s="3">
        <v>0</v>
      </c>
      <c r="I2055" s="2" t="s">
        <v>409</v>
      </c>
      <c r="J2055" s="2" t="s">
        <v>9139</v>
      </c>
      <c r="K2055" s="2" t="s">
        <v>16</v>
      </c>
      <c r="L2055" s="2" t="s">
        <v>9140</v>
      </c>
      <c r="M2055" s="4">
        <v>4.92</v>
      </c>
      <c r="N2055" t="e">
        <f>OR(LEFT(B2055,3)="frg",(_xlfn.XMATCH(B2055,ZZZ_Part_Id_[[#All],[FGCODE]])))</f>
        <v>#N/A</v>
      </c>
    </row>
    <row r="2056" spans="1:14" x14ac:dyDescent="0.3">
      <c r="A2056" s="2" t="s">
        <v>9136</v>
      </c>
      <c r="B2056" s="2" t="s">
        <v>172</v>
      </c>
      <c r="C2056" s="2" t="s">
        <v>9141</v>
      </c>
      <c r="D2056" s="3">
        <v>14</v>
      </c>
      <c r="E2056" s="3">
        <v>14</v>
      </c>
      <c r="F2056" s="2" t="s">
        <v>23</v>
      </c>
      <c r="G2056" s="2" t="s">
        <v>9142</v>
      </c>
      <c r="H2056" s="3">
        <v>0</v>
      </c>
      <c r="I2056" s="2" t="s">
        <v>409</v>
      </c>
      <c r="J2056" s="2" t="s">
        <v>9143</v>
      </c>
      <c r="K2056" s="2" t="s">
        <v>23</v>
      </c>
      <c r="L2056" s="2" t="s">
        <v>9144</v>
      </c>
      <c r="M2056" s="4">
        <v>99.03</v>
      </c>
      <c r="N2056" t="e">
        <f>OR(LEFT(B2056,3)="frg",(_xlfn.XMATCH(B2056,ZZZ_Part_Id_[[#All],[FGCODE]])))</f>
        <v>#N/A</v>
      </c>
    </row>
    <row r="2057" spans="1:14" x14ac:dyDescent="0.3">
      <c r="A2057" s="2" t="s">
        <v>9136</v>
      </c>
      <c r="B2057" s="2" t="s">
        <v>517</v>
      </c>
      <c r="C2057" s="2" t="s">
        <v>9145</v>
      </c>
      <c r="D2057" s="3">
        <v>483840</v>
      </c>
      <c r="E2057" s="3">
        <v>483840</v>
      </c>
      <c r="F2057" s="2" t="s">
        <v>16</v>
      </c>
      <c r="G2057" s="2" t="s">
        <v>9146</v>
      </c>
      <c r="H2057" s="3">
        <v>0</v>
      </c>
      <c r="I2057" s="2" t="s">
        <v>409</v>
      </c>
      <c r="J2057" s="2" t="s">
        <v>9147</v>
      </c>
      <c r="K2057" s="2" t="s">
        <v>16</v>
      </c>
      <c r="L2057" s="2" t="s">
        <v>9148</v>
      </c>
      <c r="M2057" s="4">
        <v>88020</v>
      </c>
      <c r="N2057" t="b">
        <f>OR(LEFT(B2057,3)="frg",(_xlfn.XMATCH(B2057,ZZZ_Part_Id_[[#All],[FGCODE]])))</f>
        <v>1</v>
      </c>
    </row>
    <row r="2058" spans="1:14" x14ac:dyDescent="0.3">
      <c r="A2058" s="2" t="s">
        <v>9149</v>
      </c>
      <c r="B2058" s="2" t="s">
        <v>65</v>
      </c>
      <c r="C2058" s="2" t="s">
        <v>9150</v>
      </c>
      <c r="D2058" s="5">
        <v>-249</v>
      </c>
      <c r="E2058" s="5">
        <v>-249</v>
      </c>
      <c r="F2058" s="2" t="s">
        <v>23</v>
      </c>
      <c r="G2058" s="2" t="s">
        <v>9151</v>
      </c>
      <c r="H2058" s="3">
        <v>0</v>
      </c>
      <c r="I2058" s="2" t="s">
        <v>409</v>
      </c>
      <c r="J2058" s="2" t="s">
        <v>9152</v>
      </c>
      <c r="K2058" s="2" t="s">
        <v>23</v>
      </c>
      <c r="L2058" s="2" t="s">
        <v>9153</v>
      </c>
      <c r="M2058" s="6">
        <v>-640.33000000000004</v>
      </c>
      <c r="N2058" t="b">
        <f>OR(LEFT(B2058,3)="frg",(_xlfn.XMATCH(B2058,ZZZ_Part_Id_[[#All],[FGCODE]])))</f>
        <v>1</v>
      </c>
    </row>
    <row r="2059" spans="1:14" x14ac:dyDescent="0.3">
      <c r="A2059" s="2" t="s">
        <v>9149</v>
      </c>
      <c r="B2059" s="2" t="s">
        <v>1170</v>
      </c>
      <c r="C2059" s="2" t="s">
        <v>9154</v>
      </c>
      <c r="D2059" s="3">
        <v>28800</v>
      </c>
      <c r="E2059" s="3">
        <v>28800</v>
      </c>
      <c r="F2059" s="2" t="s">
        <v>16</v>
      </c>
      <c r="G2059" s="2" t="s">
        <v>9155</v>
      </c>
      <c r="H2059" s="3">
        <v>0</v>
      </c>
      <c r="I2059" s="2" t="s">
        <v>409</v>
      </c>
      <c r="J2059" s="2" t="s">
        <v>9156</v>
      </c>
      <c r="K2059" s="2" t="s">
        <v>16</v>
      </c>
      <c r="L2059" s="2" t="s">
        <v>9157</v>
      </c>
      <c r="M2059" s="4">
        <v>9963.36</v>
      </c>
      <c r="N2059" t="b">
        <f>OR(LEFT(B2059,3)="frg",(_xlfn.XMATCH(B2059,ZZZ_Part_Id_[[#All],[FGCODE]])))</f>
        <v>1</v>
      </c>
    </row>
    <row r="2060" spans="1:14" x14ac:dyDescent="0.3">
      <c r="A2060" s="2" t="s">
        <v>9158</v>
      </c>
      <c r="B2060" s="2" t="s">
        <v>14</v>
      </c>
      <c r="C2060" s="2" t="s">
        <v>9159</v>
      </c>
      <c r="D2060" s="3">
        <v>10</v>
      </c>
      <c r="E2060" s="3">
        <v>10</v>
      </c>
      <c r="F2060" s="2" t="s">
        <v>16</v>
      </c>
      <c r="G2060" s="2" t="s">
        <v>9160</v>
      </c>
      <c r="H2060" s="3">
        <v>0</v>
      </c>
      <c r="I2060" s="2" t="s">
        <v>409</v>
      </c>
      <c r="J2060" s="2" t="s">
        <v>9161</v>
      </c>
      <c r="K2060" s="2" t="s">
        <v>16</v>
      </c>
      <c r="L2060" s="2" t="s">
        <v>9162</v>
      </c>
      <c r="M2060" s="4">
        <v>0.77</v>
      </c>
      <c r="N2060" t="e">
        <f>OR(LEFT(B2060,3)="frg",(_xlfn.XMATCH(B2060,ZZZ_Part_Id_[[#All],[FGCODE]])))</f>
        <v>#N/A</v>
      </c>
    </row>
    <row r="2061" spans="1:14" x14ac:dyDescent="0.3">
      <c r="A2061" s="2" t="s">
        <v>9158</v>
      </c>
      <c r="B2061" s="2" t="s">
        <v>5477</v>
      </c>
      <c r="C2061" s="2" t="s">
        <v>9163</v>
      </c>
      <c r="D2061" s="3">
        <v>19872</v>
      </c>
      <c r="E2061" s="3">
        <v>19872</v>
      </c>
      <c r="F2061" s="2" t="s">
        <v>16</v>
      </c>
      <c r="G2061" s="2" t="s">
        <v>9164</v>
      </c>
      <c r="H2061" s="3">
        <v>0</v>
      </c>
      <c r="I2061" s="2" t="s">
        <v>409</v>
      </c>
      <c r="J2061" s="2" t="s">
        <v>9165</v>
      </c>
      <c r="K2061" s="2" t="s">
        <v>16</v>
      </c>
      <c r="L2061" s="2" t="s">
        <v>9166</v>
      </c>
      <c r="M2061" s="4">
        <v>5905.77</v>
      </c>
      <c r="N2061" t="b">
        <f>OR(LEFT(B2061,3)="frg",(_xlfn.XMATCH(B2061,ZZZ_Part_Id_[[#All],[FGCODE]])))</f>
        <v>1</v>
      </c>
    </row>
    <row r="2062" spans="1:14" x14ac:dyDescent="0.3">
      <c r="A2062" s="2" t="s">
        <v>9167</v>
      </c>
      <c r="B2062" s="2" t="s">
        <v>14</v>
      </c>
      <c r="C2062" s="2" t="s">
        <v>9168</v>
      </c>
      <c r="D2062" s="3">
        <v>64</v>
      </c>
      <c r="E2062" s="3">
        <v>64</v>
      </c>
      <c r="F2062" s="2" t="s">
        <v>16</v>
      </c>
      <c r="G2062" s="2" t="s">
        <v>9169</v>
      </c>
      <c r="H2062" s="3">
        <v>0</v>
      </c>
      <c r="I2062" s="2" t="s">
        <v>409</v>
      </c>
      <c r="J2062" s="2" t="s">
        <v>9170</v>
      </c>
      <c r="K2062" s="2" t="s">
        <v>16</v>
      </c>
      <c r="L2062" s="2" t="s">
        <v>9171</v>
      </c>
      <c r="M2062" s="4">
        <v>4.92</v>
      </c>
      <c r="N2062" t="e">
        <f>OR(LEFT(B2062,3)="frg",(_xlfn.XMATCH(B2062,ZZZ_Part_Id_[[#All],[FGCODE]])))</f>
        <v>#N/A</v>
      </c>
    </row>
    <row r="2063" spans="1:14" x14ac:dyDescent="0.3">
      <c r="A2063" s="2" t="s">
        <v>9167</v>
      </c>
      <c r="B2063" s="2" t="s">
        <v>172</v>
      </c>
      <c r="C2063" s="2" t="s">
        <v>9172</v>
      </c>
      <c r="D2063" s="3">
        <v>14</v>
      </c>
      <c r="E2063" s="3">
        <v>14</v>
      </c>
      <c r="F2063" s="2" t="s">
        <v>23</v>
      </c>
      <c r="G2063" s="2" t="s">
        <v>9173</v>
      </c>
      <c r="H2063" s="3">
        <v>0</v>
      </c>
      <c r="I2063" s="2" t="s">
        <v>409</v>
      </c>
      <c r="J2063" s="2" t="s">
        <v>9174</v>
      </c>
      <c r="K2063" s="2" t="s">
        <v>23</v>
      </c>
      <c r="L2063" s="2" t="s">
        <v>9175</v>
      </c>
      <c r="M2063" s="4">
        <v>99.03</v>
      </c>
      <c r="N2063" t="e">
        <f>OR(LEFT(B2063,3)="frg",(_xlfn.XMATCH(B2063,ZZZ_Part_Id_[[#All],[FGCODE]])))</f>
        <v>#N/A</v>
      </c>
    </row>
    <row r="2064" spans="1:14" x14ac:dyDescent="0.3">
      <c r="A2064" s="2" t="s">
        <v>9167</v>
      </c>
      <c r="B2064" s="2" t="s">
        <v>5357</v>
      </c>
      <c r="C2064" s="2" t="s">
        <v>9176</v>
      </c>
      <c r="D2064" s="3">
        <v>317952</v>
      </c>
      <c r="E2064" s="3">
        <v>317952</v>
      </c>
      <c r="F2064" s="2" t="s">
        <v>16</v>
      </c>
      <c r="G2064" s="2" t="s">
        <v>9177</v>
      </c>
      <c r="H2064" s="3">
        <v>0</v>
      </c>
      <c r="I2064" s="2" t="s">
        <v>409</v>
      </c>
      <c r="J2064" s="2" t="s">
        <v>9178</v>
      </c>
      <c r="K2064" s="2" t="s">
        <v>16</v>
      </c>
      <c r="L2064" s="2" t="s">
        <v>9179</v>
      </c>
      <c r="M2064" s="4">
        <v>94492.32</v>
      </c>
      <c r="N2064" t="b">
        <f>OR(LEFT(B2064,3)="frg",(_xlfn.XMATCH(B2064,ZZZ_Part_Id_[[#All],[FGCODE]])))</f>
        <v>1</v>
      </c>
    </row>
    <row r="2065" spans="1:14" x14ac:dyDescent="0.3">
      <c r="A2065" s="2" t="s">
        <v>9180</v>
      </c>
      <c r="B2065" s="2" t="s">
        <v>14</v>
      </c>
      <c r="C2065" s="2" t="s">
        <v>9181</v>
      </c>
      <c r="D2065" s="3">
        <v>140</v>
      </c>
      <c r="E2065" s="3">
        <v>140</v>
      </c>
      <c r="F2065" s="2" t="s">
        <v>16</v>
      </c>
      <c r="G2065" s="2" t="s">
        <v>9182</v>
      </c>
      <c r="H2065" s="3">
        <v>0</v>
      </c>
      <c r="I2065" s="2" t="s">
        <v>18</v>
      </c>
      <c r="J2065" s="2" t="s">
        <v>9183</v>
      </c>
      <c r="K2065" s="2" t="s">
        <v>16</v>
      </c>
      <c r="L2065" s="2" t="s">
        <v>9184</v>
      </c>
      <c r="M2065" s="4">
        <v>10.77</v>
      </c>
      <c r="N2065" t="e">
        <f>OR(LEFT(B2065,3)="frg",(_xlfn.XMATCH(B2065,ZZZ_Part_Id_[[#All],[FGCODE]])))</f>
        <v>#N/A</v>
      </c>
    </row>
    <row r="2066" spans="1:14" x14ac:dyDescent="0.3">
      <c r="A2066" s="2" t="s">
        <v>9180</v>
      </c>
      <c r="B2066" s="2" t="s">
        <v>1027</v>
      </c>
      <c r="C2066" s="2" t="s">
        <v>9185</v>
      </c>
      <c r="D2066" s="3">
        <v>913320</v>
      </c>
      <c r="E2066" s="3">
        <v>913320</v>
      </c>
      <c r="F2066" s="2" t="s">
        <v>16</v>
      </c>
      <c r="G2066" s="2" t="s">
        <v>9186</v>
      </c>
      <c r="H2066" s="3">
        <v>0</v>
      </c>
      <c r="I2066" s="2" t="s">
        <v>18</v>
      </c>
      <c r="J2066" s="2" t="s">
        <v>9187</v>
      </c>
      <c r="K2066" s="2" t="s">
        <v>16</v>
      </c>
      <c r="L2066" s="2" t="s">
        <v>9188</v>
      </c>
      <c r="M2066" s="4">
        <v>183887.78</v>
      </c>
      <c r="N2066" t="b">
        <f>OR(LEFT(B2066,3)="frg",(_xlfn.XMATCH(B2066,ZZZ_Part_Id_[[#All],[FGCODE]])))</f>
        <v>1</v>
      </c>
    </row>
    <row r="2067" spans="1:14" x14ac:dyDescent="0.3">
      <c r="A2067" s="2" t="s">
        <v>9189</v>
      </c>
      <c r="B2067" s="2" t="s">
        <v>14</v>
      </c>
      <c r="C2067" s="2" t="s">
        <v>9190</v>
      </c>
      <c r="D2067" s="3">
        <v>95</v>
      </c>
      <c r="E2067" s="3">
        <v>95</v>
      </c>
      <c r="F2067" s="2" t="s">
        <v>16</v>
      </c>
      <c r="G2067" s="2" t="s">
        <v>9191</v>
      </c>
      <c r="H2067" s="3">
        <v>0</v>
      </c>
      <c r="I2067" s="2" t="s">
        <v>409</v>
      </c>
      <c r="J2067" s="2" t="s">
        <v>9192</v>
      </c>
      <c r="K2067" s="2" t="s">
        <v>16</v>
      </c>
      <c r="L2067" s="2" t="s">
        <v>9193</v>
      </c>
      <c r="M2067" s="4">
        <v>7.31</v>
      </c>
      <c r="N2067" t="e">
        <f>OR(LEFT(B2067,3)="frg",(_xlfn.XMATCH(B2067,ZZZ_Part_Id_[[#All],[FGCODE]])))</f>
        <v>#N/A</v>
      </c>
    </row>
    <row r="2068" spans="1:14" x14ac:dyDescent="0.3">
      <c r="A2068" s="2" t="s">
        <v>9189</v>
      </c>
      <c r="B2068" s="2" t="s">
        <v>97</v>
      </c>
      <c r="C2068" s="2" t="s">
        <v>9194</v>
      </c>
      <c r="D2068" s="3">
        <v>345600</v>
      </c>
      <c r="E2068" s="3">
        <v>345600</v>
      </c>
      <c r="F2068" s="2" t="s">
        <v>16</v>
      </c>
      <c r="G2068" s="2" t="s">
        <v>9195</v>
      </c>
      <c r="H2068" s="3">
        <v>0</v>
      </c>
      <c r="I2068" s="2" t="s">
        <v>409</v>
      </c>
      <c r="J2068" s="2" t="s">
        <v>9196</v>
      </c>
      <c r="K2068" s="2" t="s">
        <v>16</v>
      </c>
      <c r="L2068" s="2" t="s">
        <v>9197</v>
      </c>
      <c r="M2068" s="4">
        <v>118523.52</v>
      </c>
      <c r="N2068" t="b">
        <f>OR(LEFT(B2068,3)="frg",(_xlfn.XMATCH(B2068,ZZZ_Part_Id_[[#All],[FGCODE]])))</f>
        <v>1</v>
      </c>
    </row>
    <row r="2069" spans="1:14" x14ac:dyDescent="0.3">
      <c r="A2069" s="2" t="s">
        <v>9198</v>
      </c>
      <c r="B2069" s="2" t="s">
        <v>14</v>
      </c>
      <c r="C2069" s="2" t="s">
        <v>9199</v>
      </c>
      <c r="D2069" s="3">
        <v>10</v>
      </c>
      <c r="E2069" s="3">
        <v>10</v>
      </c>
      <c r="F2069" s="2" t="s">
        <v>16</v>
      </c>
      <c r="G2069" s="2" t="s">
        <v>9200</v>
      </c>
      <c r="H2069" s="3">
        <v>0</v>
      </c>
      <c r="I2069" s="2" t="s">
        <v>409</v>
      </c>
      <c r="J2069" s="2" t="s">
        <v>9201</v>
      </c>
      <c r="K2069" s="2" t="s">
        <v>16</v>
      </c>
      <c r="L2069" s="2" t="s">
        <v>9202</v>
      </c>
      <c r="M2069" s="4">
        <v>0.77</v>
      </c>
      <c r="N2069" t="e">
        <f>OR(LEFT(B2069,3)="frg",(_xlfn.XMATCH(B2069,ZZZ_Part_Id_[[#All],[FGCODE]])))</f>
        <v>#N/A</v>
      </c>
    </row>
    <row r="2070" spans="1:14" x14ac:dyDescent="0.3">
      <c r="A2070" s="2" t="s">
        <v>9198</v>
      </c>
      <c r="B2070" s="2" t="s">
        <v>65</v>
      </c>
      <c r="C2070" s="2" t="s">
        <v>9203</v>
      </c>
      <c r="D2070" s="5">
        <v>-288</v>
      </c>
      <c r="E2070" s="5">
        <v>-288</v>
      </c>
      <c r="F2070" s="2" t="s">
        <v>23</v>
      </c>
      <c r="G2070" s="2" t="s">
        <v>9204</v>
      </c>
      <c r="H2070" s="3">
        <v>0</v>
      </c>
      <c r="I2070" s="2" t="s">
        <v>409</v>
      </c>
      <c r="J2070" s="2" t="s">
        <v>9205</v>
      </c>
      <c r="K2070" s="2" t="s">
        <v>23</v>
      </c>
      <c r="L2070" s="2" t="s">
        <v>9206</v>
      </c>
      <c r="M2070" s="6">
        <v>-740.62</v>
      </c>
      <c r="N2070" t="b">
        <f>OR(LEFT(B2070,3)="frg",(_xlfn.XMATCH(B2070,ZZZ_Part_Id_[[#All],[FGCODE]])))</f>
        <v>1</v>
      </c>
    </row>
    <row r="2071" spans="1:14" x14ac:dyDescent="0.3">
      <c r="A2071" s="2" t="s">
        <v>9198</v>
      </c>
      <c r="B2071" s="2" t="s">
        <v>947</v>
      </c>
      <c r="C2071" s="2" t="s">
        <v>9207</v>
      </c>
      <c r="D2071" s="3">
        <v>144480</v>
      </c>
      <c r="E2071" s="3">
        <v>144480</v>
      </c>
      <c r="F2071" s="2" t="s">
        <v>16</v>
      </c>
      <c r="G2071" s="2" t="s">
        <v>9208</v>
      </c>
      <c r="H2071" s="3">
        <v>0</v>
      </c>
      <c r="I2071" s="2" t="s">
        <v>409</v>
      </c>
      <c r="J2071" s="2" t="s">
        <v>9209</v>
      </c>
      <c r="K2071" s="2" t="s">
        <v>16</v>
      </c>
      <c r="L2071" s="2" t="s">
        <v>9210</v>
      </c>
      <c r="M2071" s="4">
        <v>14161.91</v>
      </c>
      <c r="N2071" t="b">
        <f>OR(LEFT(B2071,3)="frg",(_xlfn.XMATCH(B2071,ZZZ_Part_Id_[[#All],[FGCODE]])))</f>
        <v>1</v>
      </c>
    </row>
    <row r="2072" spans="1:14" x14ac:dyDescent="0.3">
      <c r="A2072" s="2" t="s">
        <v>9211</v>
      </c>
      <c r="B2072" s="2" t="s">
        <v>65</v>
      </c>
      <c r="C2072" s="2" t="s">
        <v>9212</v>
      </c>
      <c r="D2072" s="5">
        <v>-498</v>
      </c>
      <c r="E2072" s="5">
        <v>-498</v>
      </c>
      <c r="F2072" s="2" t="s">
        <v>23</v>
      </c>
      <c r="G2072" s="2" t="s">
        <v>9213</v>
      </c>
      <c r="H2072" s="3">
        <v>0</v>
      </c>
      <c r="I2072" s="2" t="s">
        <v>409</v>
      </c>
      <c r="J2072" s="2" t="s">
        <v>9214</v>
      </c>
      <c r="K2072" s="2" t="s">
        <v>23</v>
      </c>
      <c r="L2072" s="2" t="s">
        <v>9215</v>
      </c>
      <c r="M2072" s="6">
        <v>-1280.6600000000001</v>
      </c>
      <c r="N2072" t="b">
        <f>OR(LEFT(B2072,3)="frg",(_xlfn.XMATCH(B2072,ZZZ_Part_Id_[[#All],[FGCODE]])))</f>
        <v>1</v>
      </c>
    </row>
    <row r="2073" spans="1:14" x14ac:dyDescent="0.3">
      <c r="A2073" s="2" t="s">
        <v>9211</v>
      </c>
      <c r="B2073" s="2" t="s">
        <v>97</v>
      </c>
      <c r="C2073" s="2" t="s">
        <v>9216</v>
      </c>
      <c r="D2073" s="3">
        <v>38400</v>
      </c>
      <c r="E2073" s="3">
        <v>38400</v>
      </c>
      <c r="F2073" s="2" t="s">
        <v>16</v>
      </c>
      <c r="G2073" s="2" t="s">
        <v>9217</v>
      </c>
      <c r="H2073" s="3">
        <v>0</v>
      </c>
      <c r="I2073" s="2" t="s">
        <v>409</v>
      </c>
      <c r="J2073" s="2" t="s">
        <v>9218</v>
      </c>
      <c r="K2073" s="2" t="s">
        <v>16</v>
      </c>
      <c r="L2073" s="2" t="s">
        <v>9219</v>
      </c>
      <c r="M2073" s="4">
        <v>13169.28</v>
      </c>
      <c r="N2073" t="b">
        <f>OR(LEFT(B2073,3)="frg",(_xlfn.XMATCH(B2073,ZZZ_Part_Id_[[#All],[FGCODE]])))</f>
        <v>1</v>
      </c>
    </row>
    <row r="2074" spans="1:14" x14ac:dyDescent="0.3">
      <c r="A2074" s="2" t="s">
        <v>9220</v>
      </c>
      <c r="B2074" s="2" t="s">
        <v>21</v>
      </c>
      <c r="C2074" s="2" t="s">
        <v>9221</v>
      </c>
      <c r="D2074" s="5">
        <v>-224</v>
      </c>
      <c r="E2074" s="5">
        <v>-224</v>
      </c>
      <c r="F2074" s="2" t="s">
        <v>23</v>
      </c>
      <c r="G2074" s="2" t="s">
        <v>9222</v>
      </c>
      <c r="H2074" s="3">
        <v>0</v>
      </c>
      <c r="I2074" s="2" t="s">
        <v>409</v>
      </c>
      <c r="J2074" s="2" t="s">
        <v>9223</v>
      </c>
      <c r="K2074" s="2" t="s">
        <v>23</v>
      </c>
      <c r="L2074" s="2" t="s">
        <v>9224</v>
      </c>
      <c r="M2074" s="6">
        <v>-494.23</v>
      </c>
      <c r="N2074" t="b">
        <f>OR(LEFT(B2074,3)="frg",(_xlfn.XMATCH(B2074,ZZZ_Part_Id_[[#All],[FGCODE]])))</f>
        <v>1</v>
      </c>
    </row>
    <row r="2075" spans="1:14" x14ac:dyDescent="0.3">
      <c r="A2075" s="2" t="s">
        <v>9220</v>
      </c>
      <c r="B2075" s="2" t="s">
        <v>2023</v>
      </c>
      <c r="C2075" s="2" t="s">
        <v>9225</v>
      </c>
      <c r="D2075" s="3">
        <v>57280</v>
      </c>
      <c r="E2075" s="3">
        <v>57280</v>
      </c>
      <c r="F2075" s="2" t="s">
        <v>16</v>
      </c>
      <c r="G2075" s="2" t="s">
        <v>9226</v>
      </c>
      <c r="H2075" s="3">
        <v>0</v>
      </c>
      <c r="I2075" s="2" t="s">
        <v>409</v>
      </c>
      <c r="J2075" s="2" t="s">
        <v>9227</v>
      </c>
      <c r="K2075" s="2" t="s">
        <v>16</v>
      </c>
      <c r="L2075" s="2" t="s">
        <v>9228</v>
      </c>
      <c r="M2075" s="4">
        <v>5674.16</v>
      </c>
      <c r="N2075" t="b">
        <f>OR(LEFT(B2075,3)="frg",(_xlfn.XMATCH(B2075,ZZZ_Part_Id_[[#All],[FGCODE]])))</f>
        <v>1</v>
      </c>
    </row>
    <row r="2076" spans="1:14" x14ac:dyDescent="0.3">
      <c r="A2076" s="2" t="s">
        <v>9229</v>
      </c>
      <c r="B2076" s="2" t="s">
        <v>14</v>
      </c>
      <c r="C2076" s="2" t="s">
        <v>9230</v>
      </c>
      <c r="D2076" s="3">
        <v>40</v>
      </c>
      <c r="E2076" s="3">
        <v>40</v>
      </c>
      <c r="F2076" s="2" t="s">
        <v>16</v>
      </c>
      <c r="G2076" s="2" t="s">
        <v>9231</v>
      </c>
      <c r="H2076" s="3">
        <v>0</v>
      </c>
      <c r="I2076" s="2" t="s">
        <v>409</v>
      </c>
      <c r="J2076" s="2" t="s">
        <v>9232</v>
      </c>
      <c r="K2076" s="2" t="s">
        <v>16</v>
      </c>
      <c r="L2076" s="2" t="s">
        <v>9233</v>
      </c>
      <c r="M2076" s="4">
        <v>3.08</v>
      </c>
      <c r="N2076" t="e">
        <f>OR(LEFT(B2076,3)="frg",(_xlfn.XMATCH(B2076,ZZZ_Part_Id_[[#All],[FGCODE]])))</f>
        <v>#N/A</v>
      </c>
    </row>
    <row r="2077" spans="1:14" x14ac:dyDescent="0.3">
      <c r="A2077" s="2" t="s">
        <v>9229</v>
      </c>
      <c r="B2077" s="2" t="s">
        <v>4791</v>
      </c>
      <c r="C2077" s="2" t="s">
        <v>9234</v>
      </c>
      <c r="D2077" s="3">
        <v>258336</v>
      </c>
      <c r="E2077" s="3">
        <v>258336</v>
      </c>
      <c r="F2077" s="2" t="s">
        <v>16</v>
      </c>
      <c r="G2077" s="2" t="s">
        <v>9235</v>
      </c>
      <c r="H2077" s="3">
        <v>0</v>
      </c>
      <c r="I2077" s="2" t="s">
        <v>409</v>
      </c>
      <c r="J2077" s="2" t="s">
        <v>9236</v>
      </c>
      <c r="K2077" s="2" t="s">
        <v>16</v>
      </c>
      <c r="L2077" s="2" t="s">
        <v>9237</v>
      </c>
      <c r="M2077" s="4">
        <v>75857.73</v>
      </c>
      <c r="N2077" t="b">
        <f>OR(LEFT(B2077,3)="frg",(_xlfn.XMATCH(B2077,ZZZ_Part_Id_[[#All],[FGCODE]])))</f>
        <v>1</v>
      </c>
    </row>
    <row r="2078" spans="1:14" x14ac:dyDescent="0.3">
      <c r="A2078" s="2" t="s">
        <v>9238</v>
      </c>
      <c r="B2078" s="2" t="s">
        <v>140</v>
      </c>
      <c r="C2078" s="2" t="s">
        <v>9239</v>
      </c>
      <c r="D2078" s="3">
        <v>36.96</v>
      </c>
      <c r="E2078" s="3">
        <v>36.96</v>
      </c>
      <c r="F2078" s="2" t="s">
        <v>16</v>
      </c>
      <c r="G2078" s="2" t="s">
        <v>9240</v>
      </c>
      <c r="H2078" s="3">
        <v>0</v>
      </c>
      <c r="I2078" s="2" t="s">
        <v>18</v>
      </c>
      <c r="J2078" s="2" t="s">
        <v>9241</v>
      </c>
      <c r="K2078" s="2" t="s">
        <v>16</v>
      </c>
      <c r="L2078" s="2" t="s">
        <v>9242</v>
      </c>
      <c r="M2078" s="4">
        <v>76.709999999999994</v>
      </c>
      <c r="N2078" t="e">
        <f>OR(LEFT(B2078,3)="frg",(_xlfn.XMATCH(B2078,ZZZ_Part_Id_[[#All],[FGCODE]])))</f>
        <v>#N/A</v>
      </c>
    </row>
    <row r="2079" spans="1:14" x14ac:dyDescent="0.3">
      <c r="A2079" s="2" t="s">
        <v>9238</v>
      </c>
      <c r="B2079" s="2" t="s">
        <v>14</v>
      </c>
      <c r="C2079" s="2" t="s">
        <v>9243</v>
      </c>
      <c r="D2079" s="3">
        <v>24</v>
      </c>
      <c r="E2079" s="3">
        <v>24</v>
      </c>
      <c r="F2079" s="2" t="s">
        <v>16</v>
      </c>
      <c r="G2079" s="2" t="s">
        <v>9244</v>
      </c>
      <c r="H2079" s="3">
        <v>0</v>
      </c>
      <c r="I2079" s="2" t="s">
        <v>18</v>
      </c>
      <c r="J2079" s="2" t="s">
        <v>9245</v>
      </c>
      <c r="K2079" s="2" t="s">
        <v>16</v>
      </c>
      <c r="L2079" s="2" t="s">
        <v>9246</v>
      </c>
      <c r="M2079" s="4">
        <v>1.85</v>
      </c>
      <c r="N2079" t="e">
        <f>OR(LEFT(B2079,3)="frg",(_xlfn.XMATCH(B2079,ZZZ_Part_Id_[[#All],[FGCODE]])))</f>
        <v>#N/A</v>
      </c>
    </row>
    <row r="2080" spans="1:14" x14ac:dyDescent="0.3">
      <c r="A2080" s="2" t="s">
        <v>9238</v>
      </c>
      <c r="B2080" s="2" t="s">
        <v>6066</v>
      </c>
      <c r="C2080" s="2" t="s">
        <v>9247</v>
      </c>
      <c r="D2080" s="3">
        <v>0.40799999999999997</v>
      </c>
      <c r="E2080" s="3">
        <v>0</v>
      </c>
      <c r="F2080" s="2" t="s">
        <v>194</v>
      </c>
      <c r="G2080" s="2" t="s">
        <v>9248</v>
      </c>
      <c r="H2080" s="3">
        <v>0</v>
      </c>
      <c r="I2080" s="2" t="s">
        <v>18</v>
      </c>
      <c r="J2080" s="2" t="s">
        <v>9249</v>
      </c>
      <c r="K2080" s="2" t="s">
        <v>194</v>
      </c>
      <c r="L2080" s="2" t="s">
        <v>9250</v>
      </c>
      <c r="M2080" s="4">
        <v>0</v>
      </c>
      <c r="N2080" t="e">
        <f>OR(LEFT(B2080,3)="frg",(_xlfn.XMATCH(B2080,ZZZ_Part_Id_[[#All],[FGCODE]])))</f>
        <v>#N/A</v>
      </c>
    </row>
    <row r="2081" spans="1:14" x14ac:dyDescent="0.3">
      <c r="A2081" s="2" t="s">
        <v>9238</v>
      </c>
      <c r="B2081" s="2" t="s">
        <v>764</v>
      </c>
      <c r="C2081" s="2" t="s">
        <v>9251</v>
      </c>
      <c r="D2081" s="3">
        <v>64.319999999999993</v>
      </c>
      <c r="E2081" s="3">
        <v>64.319999999999993</v>
      </c>
      <c r="F2081" s="2" t="s">
        <v>23</v>
      </c>
      <c r="G2081" s="2" t="s">
        <v>9252</v>
      </c>
      <c r="H2081" s="3">
        <v>0</v>
      </c>
      <c r="I2081" s="2" t="s">
        <v>18</v>
      </c>
      <c r="J2081" s="2" t="s">
        <v>9253</v>
      </c>
      <c r="K2081" s="2" t="s">
        <v>23</v>
      </c>
      <c r="L2081" s="2" t="s">
        <v>9254</v>
      </c>
      <c r="M2081" s="4">
        <v>455.44</v>
      </c>
      <c r="N2081" t="e">
        <f>OR(LEFT(B2081,3)="frg",(_xlfn.XMATCH(B2081,ZZZ_Part_Id_[[#All],[FGCODE]])))</f>
        <v>#N/A</v>
      </c>
    </row>
    <row r="2082" spans="1:14" x14ac:dyDescent="0.3">
      <c r="A2082" s="2" t="s">
        <v>9238</v>
      </c>
      <c r="B2082" s="2" t="s">
        <v>172</v>
      </c>
      <c r="C2082" s="2" t="s">
        <v>9255</v>
      </c>
      <c r="D2082" s="7">
        <v>6816</v>
      </c>
      <c r="E2082" s="7">
        <v>6816</v>
      </c>
      <c r="F2082" s="2" t="s">
        <v>3987</v>
      </c>
      <c r="G2082" s="2" t="s">
        <v>9256</v>
      </c>
      <c r="H2082" s="7">
        <v>0</v>
      </c>
      <c r="I2082" s="2" t="s">
        <v>18</v>
      </c>
      <c r="J2082" s="2" t="s">
        <v>9257</v>
      </c>
      <c r="K2082" s="2" t="s">
        <v>3987</v>
      </c>
      <c r="L2082" s="2" t="s">
        <v>9258</v>
      </c>
      <c r="M2082" s="4">
        <v>48.21</v>
      </c>
      <c r="N2082" t="e">
        <f>OR(LEFT(B2082,3)="frg",(_xlfn.XMATCH(B2082,ZZZ_Part_Id_[[#All],[FGCODE]])))</f>
        <v>#N/A</v>
      </c>
    </row>
    <row r="2083" spans="1:14" x14ac:dyDescent="0.3">
      <c r="A2083" s="2" t="s">
        <v>9238</v>
      </c>
      <c r="B2083" s="2" t="s">
        <v>45</v>
      </c>
      <c r="C2083" s="2" t="s">
        <v>9259</v>
      </c>
      <c r="D2083" s="3">
        <v>1.2</v>
      </c>
      <c r="E2083" s="3">
        <v>1.2</v>
      </c>
      <c r="F2083" s="2" t="s">
        <v>47</v>
      </c>
      <c r="G2083" s="2" t="s">
        <v>9260</v>
      </c>
      <c r="H2083" s="3">
        <v>0</v>
      </c>
      <c r="I2083" s="2" t="s">
        <v>18</v>
      </c>
      <c r="J2083" s="2" t="s">
        <v>9261</v>
      </c>
      <c r="K2083" s="2" t="s">
        <v>47</v>
      </c>
      <c r="L2083" s="2" t="s">
        <v>9262</v>
      </c>
      <c r="M2083" s="4">
        <v>98.15</v>
      </c>
      <c r="N2083" t="e">
        <f>OR(LEFT(B2083,3)="frg",(_xlfn.XMATCH(B2083,ZZZ_Part_Id_[[#All],[FGCODE]])))</f>
        <v>#N/A</v>
      </c>
    </row>
    <row r="2084" spans="1:14" x14ac:dyDescent="0.3">
      <c r="A2084" s="2" t="s">
        <v>9238</v>
      </c>
      <c r="B2084" s="2" t="s">
        <v>264</v>
      </c>
      <c r="C2084" s="2" t="s">
        <v>9263</v>
      </c>
      <c r="D2084" s="3">
        <v>2.4E-2</v>
      </c>
      <c r="E2084" s="3">
        <v>2.4E-2</v>
      </c>
      <c r="F2084" s="2" t="s">
        <v>16</v>
      </c>
      <c r="G2084" s="2" t="s">
        <v>9264</v>
      </c>
      <c r="H2084" s="3">
        <v>0</v>
      </c>
      <c r="I2084" s="2" t="s">
        <v>18</v>
      </c>
      <c r="J2084" s="2" t="s">
        <v>9265</v>
      </c>
      <c r="K2084" s="2" t="s">
        <v>16</v>
      </c>
      <c r="L2084" s="2" t="s">
        <v>9266</v>
      </c>
      <c r="M2084" s="4">
        <v>0.9</v>
      </c>
      <c r="N2084" t="e">
        <f>OR(LEFT(B2084,3)="frg",(_xlfn.XMATCH(B2084,ZZZ_Part_Id_[[#All],[FGCODE]])))</f>
        <v>#N/A</v>
      </c>
    </row>
    <row r="2085" spans="1:14" x14ac:dyDescent="0.3">
      <c r="A2085" s="2" t="s">
        <v>9238</v>
      </c>
      <c r="B2085" s="2" t="s">
        <v>9267</v>
      </c>
      <c r="C2085" s="2" t="s">
        <v>9268</v>
      </c>
      <c r="D2085" s="3">
        <v>3952000</v>
      </c>
      <c r="E2085" s="3">
        <v>3952000</v>
      </c>
      <c r="F2085" s="2" t="s">
        <v>16</v>
      </c>
      <c r="G2085" s="2" t="s">
        <v>9269</v>
      </c>
      <c r="H2085" s="3">
        <v>0</v>
      </c>
      <c r="I2085" s="2" t="s">
        <v>18</v>
      </c>
      <c r="J2085" s="2" t="s">
        <v>9270</v>
      </c>
      <c r="K2085" s="2" t="s">
        <v>16</v>
      </c>
      <c r="L2085" s="2" t="s">
        <v>9271</v>
      </c>
      <c r="M2085" s="4">
        <v>39717.599999999999</v>
      </c>
      <c r="N2085" t="b">
        <f>OR(LEFT(B2085,3)="frg",(_xlfn.XMATCH(B2085,ZZZ_Part_Id_[[#All],[FGCODE]])))</f>
        <v>1</v>
      </c>
    </row>
    <row r="2086" spans="1:14" x14ac:dyDescent="0.3">
      <c r="A2086" s="2" t="s">
        <v>9238</v>
      </c>
      <c r="B2086" s="2" t="s">
        <v>41</v>
      </c>
      <c r="C2086" s="2" t="s">
        <v>9272</v>
      </c>
      <c r="D2086" s="3">
        <v>142.19999999999999</v>
      </c>
      <c r="E2086" s="3">
        <v>142.19999999999999</v>
      </c>
      <c r="F2086" s="2" t="s">
        <v>23</v>
      </c>
      <c r="G2086" s="2" t="s">
        <v>9273</v>
      </c>
      <c r="H2086" s="3">
        <v>0</v>
      </c>
      <c r="I2086" s="2" t="s">
        <v>18</v>
      </c>
      <c r="J2086" s="2" t="s">
        <v>9274</v>
      </c>
      <c r="K2086" s="2" t="s">
        <v>23</v>
      </c>
      <c r="L2086" s="2" t="s">
        <v>9275</v>
      </c>
      <c r="M2086" s="4">
        <v>1.42</v>
      </c>
      <c r="N2086" t="e">
        <f>OR(LEFT(B2086,3)="frg",(_xlfn.XMATCH(B2086,ZZZ_Part_Id_[[#All],[FGCODE]])))</f>
        <v>#N/A</v>
      </c>
    </row>
    <row r="2087" spans="1:14" x14ac:dyDescent="0.3">
      <c r="A2087" s="2" t="s">
        <v>9238</v>
      </c>
      <c r="B2087" s="2" t="s">
        <v>9276</v>
      </c>
      <c r="C2087" s="2" t="s">
        <v>9277</v>
      </c>
      <c r="D2087" s="3">
        <v>14</v>
      </c>
      <c r="E2087" s="3">
        <v>14</v>
      </c>
      <c r="F2087" s="2" t="s">
        <v>16</v>
      </c>
      <c r="G2087" s="2" t="s">
        <v>131</v>
      </c>
      <c r="H2087" s="3">
        <v>0</v>
      </c>
      <c r="I2087" s="2" t="s">
        <v>18</v>
      </c>
      <c r="J2087" s="2" t="s">
        <v>9278</v>
      </c>
      <c r="K2087" s="2" t="s">
        <v>16</v>
      </c>
      <c r="L2087" s="2" t="s">
        <v>9279</v>
      </c>
      <c r="M2087" s="4">
        <v>66.25</v>
      </c>
      <c r="N2087" t="e">
        <f>OR(LEFT(B2087,3)="frg",(_xlfn.XMATCH(B2087,ZZZ_Part_Id_[[#All],[FGCODE]])))</f>
        <v>#N/A</v>
      </c>
    </row>
    <row r="2088" spans="1:14" x14ac:dyDescent="0.3">
      <c r="A2088" s="2" t="s">
        <v>9280</v>
      </c>
      <c r="B2088" s="2" t="s">
        <v>97</v>
      </c>
      <c r="C2088" s="2" t="s">
        <v>9281</v>
      </c>
      <c r="D2088" s="3">
        <v>100800</v>
      </c>
      <c r="E2088" s="3">
        <v>100800</v>
      </c>
      <c r="F2088" s="2" t="s">
        <v>16</v>
      </c>
      <c r="G2088" s="2" t="s">
        <v>9282</v>
      </c>
      <c r="H2088" s="3">
        <v>0</v>
      </c>
      <c r="I2088" s="2" t="s">
        <v>18</v>
      </c>
      <c r="J2088" s="2" t="s">
        <v>9283</v>
      </c>
      <c r="K2088" s="2" t="s">
        <v>16</v>
      </c>
      <c r="L2088" s="2" t="s">
        <v>9284</v>
      </c>
      <c r="M2088" s="4">
        <v>34569.360000000001</v>
      </c>
      <c r="N2088" t="b">
        <f>OR(LEFT(B2088,3)="frg",(_xlfn.XMATCH(B2088,ZZZ_Part_Id_[[#All],[FGCODE]])))</f>
        <v>1</v>
      </c>
    </row>
    <row r="2089" spans="1:14" x14ac:dyDescent="0.3">
      <c r="A2089" s="2" t="s">
        <v>9285</v>
      </c>
      <c r="B2089" s="2" t="s">
        <v>97</v>
      </c>
      <c r="C2089" s="2" t="s">
        <v>9286</v>
      </c>
      <c r="D2089" s="3">
        <v>24000</v>
      </c>
      <c r="E2089" s="3">
        <v>24000</v>
      </c>
      <c r="F2089" s="2" t="s">
        <v>16</v>
      </c>
      <c r="G2089" s="2" t="s">
        <v>9287</v>
      </c>
      <c r="H2089" s="3">
        <v>0</v>
      </c>
      <c r="I2089" s="2" t="s">
        <v>18</v>
      </c>
      <c r="J2089" s="2" t="s">
        <v>9288</v>
      </c>
      <c r="K2089" s="2" t="s">
        <v>16</v>
      </c>
      <c r="L2089" s="2" t="s">
        <v>9289</v>
      </c>
      <c r="M2089" s="4">
        <v>8230.7999999999993</v>
      </c>
      <c r="N2089" t="b">
        <f>OR(LEFT(B2089,3)="frg",(_xlfn.XMATCH(B2089,ZZZ_Part_Id_[[#All],[FGCODE]])))</f>
        <v>1</v>
      </c>
    </row>
    <row r="2090" spans="1:14" x14ac:dyDescent="0.3">
      <c r="A2090" s="2" t="s">
        <v>9290</v>
      </c>
      <c r="B2090" s="2" t="s">
        <v>14</v>
      </c>
      <c r="C2090" s="2" t="s">
        <v>9291</v>
      </c>
      <c r="D2090" s="3">
        <v>10</v>
      </c>
      <c r="E2090" s="3">
        <v>10</v>
      </c>
      <c r="F2090" s="2" t="s">
        <v>16</v>
      </c>
      <c r="G2090" s="2" t="s">
        <v>9292</v>
      </c>
      <c r="H2090" s="3">
        <v>0</v>
      </c>
      <c r="I2090" s="2" t="s">
        <v>409</v>
      </c>
      <c r="J2090" s="2" t="s">
        <v>9293</v>
      </c>
      <c r="K2090" s="2" t="s">
        <v>16</v>
      </c>
      <c r="L2090" s="2" t="s">
        <v>9294</v>
      </c>
      <c r="M2090" s="4">
        <v>0.77</v>
      </c>
      <c r="N2090" t="e">
        <f>OR(LEFT(B2090,3)="frg",(_xlfn.XMATCH(B2090,ZZZ_Part_Id_[[#All],[FGCODE]])))</f>
        <v>#N/A</v>
      </c>
    </row>
    <row r="2091" spans="1:14" x14ac:dyDescent="0.3">
      <c r="A2091" s="2" t="s">
        <v>9290</v>
      </c>
      <c r="B2091" s="2" t="s">
        <v>3113</v>
      </c>
      <c r="C2091" s="2" t="s">
        <v>9295</v>
      </c>
      <c r="D2091" s="3">
        <v>83520</v>
      </c>
      <c r="E2091" s="3">
        <v>83520</v>
      </c>
      <c r="F2091" s="2" t="s">
        <v>16</v>
      </c>
      <c r="G2091" s="2" t="s">
        <v>9296</v>
      </c>
      <c r="H2091" s="3">
        <v>0</v>
      </c>
      <c r="I2091" s="2" t="s">
        <v>409</v>
      </c>
      <c r="J2091" s="2" t="s">
        <v>9297</v>
      </c>
      <c r="K2091" s="2" t="s">
        <v>16</v>
      </c>
      <c r="L2091" s="2" t="s">
        <v>9298</v>
      </c>
      <c r="M2091" s="4">
        <v>6525.4</v>
      </c>
      <c r="N2091" t="b">
        <f>OR(LEFT(B2091,3)="frg",(_xlfn.XMATCH(B2091,ZZZ_Part_Id_[[#All],[FGCODE]])))</f>
        <v>1</v>
      </c>
    </row>
    <row r="2092" spans="1:14" x14ac:dyDescent="0.3">
      <c r="A2092" s="2" t="s">
        <v>9299</v>
      </c>
      <c r="B2092" s="2" t="s">
        <v>14</v>
      </c>
      <c r="C2092" s="2" t="s">
        <v>9300</v>
      </c>
      <c r="D2092" s="3">
        <v>10</v>
      </c>
      <c r="E2092" s="3">
        <v>10</v>
      </c>
      <c r="F2092" s="2" t="s">
        <v>16</v>
      </c>
      <c r="G2092" s="2" t="s">
        <v>9301</v>
      </c>
      <c r="H2092" s="3">
        <v>0</v>
      </c>
      <c r="I2092" s="2" t="s">
        <v>409</v>
      </c>
      <c r="J2092" s="2" t="s">
        <v>9302</v>
      </c>
      <c r="K2092" s="2" t="s">
        <v>16</v>
      </c>
      <c r="L2092" s="2" t="s">
        <v>9303</v>
      </c>
      <c r="M2092" s="4">
        <v>0.77</v>
      </c>
      <c r="N2092" t="e">
        <f>OR(LEFT(B2092,3)="frg",(_xlfn.XMATCH(B2092,ZZZ_Part_Id_[[#All],[FGCODE]])))</f>
        <v>#N/A</v>
      </c>
    </row>
    <row r="2093" spans="1:14" x14ac:dyDescent="0.3">
      <c r="A2093" s="2" t="s">
        <v>9299</v>
      </c>
      <c r="B2093" s="2" t="s">
        <v>4791</v>
      </c>
      <c r="C2093" s="2" t="s">
        <v>9304</v>
      </c>
      <c r="D2093" s="3">
        <v>6624</v>
      </c>
      <c r="E2093" s="3">
        <v>6624</v>
      </c>
      <c r="F2093" s="2" t="s">
        <v>16</v>
      </c>
      <c r="G2093" s="2" t="s">
        <v>9305</v>
      </c>
      <c r="H2093" s="3">
        <v>0</v>
      </c>
      <c r="I2093" s="2" t="s">
        <v>409</v>
      </c>
      <c r="J2093" s="2" t="s">
        <v>9306</v>
      </c>
      <c r="K2093" s="2" t="s">
        <v>16</v>
      </c>
      <c r="L2093" s="2" t="s">
        <v>9307</v>
      </c>
      <c r="M2093" s="4">
        <v>1945.07</v>
      </c>
      <c r="N2093" t="b">
        <f>OR(LEFT(B2093,3)="frg",(_xlfn.XMATCH(B2093,ZZZ_Part_Id_[[#All],[FGCODE]])))</f>
        <v>1</v>
      </c>
    </row>
    <row r="2094" spans="1:14" x14ac:dyDescent="0.3">
      <c r="A2094" s="2" t="s">
        <v>9308</v>
      </c>
      <c r="B2094" s="2" t="s">
        <v>14</v>
      </c>
      <c r="C2094" s="2" t="s">
        <v>9309</v>
      </c>
      <c r="D2094" s="3">
        <v>10</v>
      </c>
      <c r="E2094" s="3">
        <v>10</v>
      </c>
      <c r="F2094" s="2" t="s">
        <v>16</v>
      </c>
      <c r="G2094" s="2" t="s">
        <v>9310</v>
      </c>
      <c r="H2094" s="3">
        <v>0</v>
      </c>
      <c r="I2094" s="2" t="s">
        <v>409</v>
      </c>
      <c r="J2094" s="2" t="s">
        <v>9311</v>
      </c>
      <c r="K2094" s="2" t="s">
        <v>16</v>
      </c>
      <c r="L2094" s="2" t="s">
        <v>9312</v>
      </c>
      <c r="M2094" s="4">
        <v>0.77</v>
      </c>
      <c r="N2094" t="e">
        <f>OR(LEFT(B2094,3)="frg",(_xlfn.XMATCH(B2094,ZZZ_Part_Id_[[#All],[FGCODE]])))</f>
        <v>#N/A</v>
      </c>
    </row>
    <row r="2095" spans="1:14" x14ac:dyDescent="0.3">
      <c r="A2095" s="2" t="s">
        <v>9308</v>
      </c>
      <c r="B2095" s="2" t="s">
        <v>5357</v>
      </c>
      <c r="C2095" s="2" t="s">
        <v>9313</v>
      </c>
      <c r="D2095" s="3">
        <v>6624</v>
      </c>
      <c r="E2095" s="3">
        <v>6624</v>
      </c>
      <c r="F2095" s="2" t="s">
        <v>16</v>
      </c>
      <c r="G2095" s="2" t="s">
        <v>9314</v>
      </c>
      <c r="H2095" s="3">
        <v>0</v>
      </c>
      <c r="I2095" s="2" t="s">
        <v>409</v>
      </c>
      <c r="J2095" s="2" t="s">
        <v>9315</v>
      </c>
      <c r="K2095" s="2" t="s">
        <v>16</v>
      </c>
      <c r="L2095" s="2" t="s">
        <v>9316</v>
      </c>
      <c r="M2095" s="4">
        <v>1968.59</v>
      </c>
      <c r="N2095" t="b">
        <f>OR(LEFT(B2095,3)="frg",(_xlfn.XMATCH(B2095,ZZZ_Part_Id_[[#All],[FGCODE]])))</f>
        <v>1</v>
      </c>
    </row>
    <row r="2096" spans="1:14" x14ac:dyDescent="0.3">
      <c r="A2096" s="2" t="s">
        <v>9317</v>
      </c>
      <c r="B2096" s="2" t="s">
        <v>740</v>
      </c>
      <c r="C2096" s="2" t="s">
        <v>9318</v>
      </c>
      <c r="D2096" s="3">
        <v>10620</v>
      </c>
      <c r="E2096" s="3">
        <v>10620</v>
      </c>
      <c r="F2096" s="2" t="s">
        <v>16</v>
      </c>
      <c r="G2096" s="2" t="s">
        <v>9319</v>
      </c>
      <c r="H2096" s="3">
        <v>0</v>
      </c>
      <c r="I2096" s="2" t="s">
        <v>18</v>
      </c>
      <c r="J2096" s="2" t="s">
        <v>9320</v>
      </c>
      <c r="K2096" s="2" t="s">
        <v>16</v>
      </c>
      <c r="L2096" s="2" t="s">
        <v>9321</v>
      </c>
      <c r="M2096" s="4">
        <v>2111.15</v>
      </c>
      <c r="N2096" t="b">
        <f>OR(LEFT(B2096,3)="frg",(_xlfn.XMATCH(B2096,ZZZ_Part_Id_[[#All],[FGCODE]])))</f>
        <v>1</v>
      </c>
    </row>
    <row r="2097" spans="1:14" x14ac:dyDescent="0.3">
      <c r="A2097" s="2" t="s">
        <v>9322</v>
      </c>
      <c r="B2097" s="2" t="s">
        <v>21</v>
      </c>
      <c r="C2097" s="2" t="s">
        <v>9323</v>
      </c>
      <c r="D2097" s="5">
        <v>-323</v>
      </c>
      <c r="E2097" s="5">
        <v>-323</v>
      </c>
      <c r="F2097" s="2" t="s">
        <v>23</v>
      </c>
      <c r="G2097" s="2" t="s">
        <v>9324</v>
      </c>
      <c r="H2097" s="3">
        <v>0</v>
      </c>
      <c r="I2097" s="2" t="s">
        <v>18</v>
      </c>
      <c r="J2097" s="2" t="s">
        <v>9325</v>
      </c>
      <c r="K2097" s="2" t="s">
        <v>23</v>
      </c>
      <c r="L2097" s="2" t="s">
        <v>9326</v>
      </c>
      <c r="M2097" s="6">
        <v>-712.67</v>
      </c>
      <c r="N2097" t="b">
        <f>OR(LEFT(B2097,3)="frg",(_xlfn.XMATCH(B2097,ZZZ_Part_Id_[[#All],[FGCODE]])))</f>
        <v>1</v>
      </c>
    </row>
    <row r="2098" spans="1:14" x14ac:dyDescent="0.3">
      <c r="A2098" s="2" t="s">
        <v>9322</v>
      </c>
      <c r="B2098" s="2" t="s">
        <v>1027</v>
      </c>
      <c r="C2098" s="2" t="s">
        <v>9327</v>
      </c>
      <c r="D2098" s="3">
        <v>53100</v>
      </c>
      <c r="E2098" s="3">
        <v>53100</v>
      </c>
      <c r="F2098" s="2" t="s">
        <v>16</v>
      </c>
      <c r="G2098" s="2" t="s">
        <v>9328</v>
      </c>
      <c r="H2098" s="3">
        <v>0</v>
      </c>
      <c r="I2098" s="2" t="s">
        <v>18</v>
      </c>
      <c r="J2098" s="2" t="s">
        <v>9329</v>
      </c>
      <c r="K2098" s="2" t="s">
        <v>16</v>
      </c>
      <c r="L2098" s="2" t="s">
        <v>9330</v>
      </c>
      <c r="M2098" s="4">
        <v>10691.15</v>
      </c>
      <c r="N2098" t="b">
        <f>OR(LEFT(B2098,3)="frg",(_xlfn.XMATCH(B2098,ZZZ_Part_Id_[[#All],[FGCODE]])))</f>
        <v>1</v>
      </c>
    </row>
    <row r="2099" spans="1:14" x14ac:dyDescent="0.3">
      <c r="A2099" s="2" t="s">
        <v>9331</v>
      </c>
      <c r="B2099" s="2" t="s">
        <v>86</v>
      </c>
      <c r="C2099" s="2" t="s">
        <v>9332</v>
      </c>
      <c r="D2099" s="5">
        <v>-268</v>
      </c>
      <c r="E2099" s="5">
        <v>-268</v>
      </c>
      <c r="F2099" s="2" t="s">
        <v>23</v>
      </c>
      <c r="G2099" s="2" t="s">
        <v>9333</v>
      </c>
      <c r="H2099" s="3">
        <v>0</v>
      </c>
      <c r="I2099" s="2" t="s">
        <v>18</v>
      </c>
      <c r="J2099" s="2" t="s">
        <v>9334</v>
      </c>
      <c r="K2099" s="2" t="s">
        <v>23</v>
      </c>
      <c r="L2099" s="2" t="s">
        <v>9335</v>
      </c>
      <c r="M2099" s="6">
        <v>-701.57</v>
      </c>
      <c r="N2099" t="b">
        <f>OR(LEFT(B2099,3)="frg",(_xlfn.XMATCH(B2099,ZZZ_Part_Id_[[#All],[FGCODE]])))</f>
        <v>1</v>
      </c>
    </row>
    <row r="2100" spans="1:14" x14ac:dyDescent="0.3">
      <c r="A2100" s="2" t="s">
        <v>9331</v>
      </c>
      <c r="B2100" s="2" t="s">
        <v>4988</v>
      </c>
      <c r="C2100" s="2" t="s">
        <v>9336</v>
      </c>
      <c r="D2100" s="3">
        <v>60480</v>
      </c>
      <c r="E2100" s="3">
        <v>60480</v>
      </c>
      <c r="F2100" s="2" t="s">
        <v>16</v>
      </c>
      <c r="G2100" s="2" t="s">
        <v>9337</v>
      </c>
      <c r="H2100" s="3">
        <v>0</v>
      </c>
      <c r="I2100" s="2" t="s">
        <v>18</v>
      </c>
      <c r="J2100" s="2" t="s">
        <v>9338</v>
      </c>
      <c r="K2100" s="2" t="s">
        <v>16</v>
      </c>
      <c r="L2100" s="2" t="s">
        <v>9339</v>
      </c>
      <c r="M2100" s="4">
        <v>10250.16</v>
      </c>
      <c r="N2100" t="b">
        <f>OR(LEFT(B2100,3)="frg",(_xlfn.XMATCH(B2100,ZZZ_Part_Id_[[#All],[FGCODE]])))</f>
        <v>1</v>
      </c>
    </row>
    <row r="2101" spans="1:14" x14ac:dyDescent="0.3">
      <c r="A2101" s="2" t="s">
        <v>9340</v>
      </c>
      <c r="B2101" s="2" t="s">
        <v>65</v>
      </c>
      <c r="C2101" s="2" t="s">
        <v>9341</v>
      </c>
      <c r="D2101" s="5">
        <v>-40</v>
      </c>
      <c r="E2101" s="5">
        <v>-40</v>
      </c>
      <c r="F2101" s="2" t="s">
        <v>23</v>
      </c>
      <c r="G2101" s="2" t="s">
        <v>9342</v>
      </c>
      <c r="H2101" s="3">
        <v>0</v>
      </c>
      <c r="I2101" s="2" t="s">
        <v>18</v>
      </c>
      <c r="J2101" s="2" t="s">
        <v>9343</v>
      </c>
      <c r="K2101" s="2" t="s">
        <v>23</v>
      </c>
      <c r="L2101" s="2" t="s">
        <v>9344</v>
      </c>
      <c r="M2101" s="6">
        <v>-102.86</v>
      </c>
      <c r="N2101" t="b">
        <f>OR(LEFT(B2101,3)="frg",(_xlfn.XMATCH(B2101,ZZZ_Part_Id_[[#All],[FGCODE]])))</f>
        <v>1</v>
      </c>
    </row>
    <row r="2102" spans="1:14" x14ac:dyDescent="0.3">
      <c r="A2102" s="2" t="s">
        <v>9340</v>
      </c>
      <c r="B2102" s="2" t="s">
        <v>517</v>
      </c>
      <c r="C2102" s="2" t="s">
        <v>9345</v>
      </c>
      <c r="D2102" s="3">
        <v>12260</v>
      </c>
      <c r="E2102" s="3">
        <v>12260</v>
      </c>
      <c r="F2102" s="2" t="s">
        <v>16</v>
      </c>
      <c r="G2102" s="2" t="s">
        <v>9346</v>
      </c>
      <c r="H2102" s="3">
        <v>0</v>
      </c>
      <c r="I2102" s="2" t="s">
        <v>18</v>
      </c>
      <c r="J2102" s="2" t="s">
        <v>9347</v>
      </c>
      <c r="K2102" s="2" t="s">
        <v>16</v>
      </c>
      <c r="L2102" s="2" t="s">
        <v>9348</v>
      </c>
      <c r="M2102" s="4">
        <v>2230.34</v>
      </c>
      <c r="N2102" t="b">
        <f>OR(LEFT(B2102,3)="frg",(_xlfn.XMATCH(B2102,ZZZ_Part_Id_[[#All],[FGCODE]])))</f>
        <v>1</v>
      </c>
    </row>
    <row r="2103" spans="1:14" x14ac:dyDescent="0.3">
      <c r="A2103" s="2" t="s">
        <v>9349</v>
      </c>
      <c r="B2103" s="2" t="s">
        <v>86</v>
      </c>
      <c r="C2103" s="2" t="s">
        <v>9350</v>
      </c>
      <c r="D2103" s="5">
        <v>-238</v>
      </c>
      <c r="E2103" s="5">
        <v>-238</v>
      </c>
      <c r="F2103" s="2" t="s">
        <v>23</v>
      </c>
      <c r="G2103" s="2" t="s">
        <v>9351</v>
      </c>
      <c r="H2103" s="3">
        <v>0</v>
      </c>
      <c r="I2103" s="2" t="s">
        <v>409</v>
      </c>
      <c r="J2103" s="2" t="s">
        <v>9352</v>
      </c>
      <c r="K2103" s="2" t="s">
        <v>23</v>
      </c>
      <c r="L2103" s="2" t="s">
        <v>9353</v>
      </c>
      <c r="M2103" s="6">
        <v>-623.04</v>
      </c>
      <c r="N2103" t="b">
        <f>OR(LEFT(B2103,3)="frg",(_xlfn.XMATCH(B2103,ZZZ_Part_Id_[[#All],[FGCODE]])))</f>
        <v>1</v>
      </c>
    </row>
    <row r="2104" spans="1:14" x14ac:dyDescent="0.3">
      <c r="A2104" s="2" t="s">
        <v>9349</v>
      </c>
      <c r="B2104" s="2" t="s">
        <v>76</v>
      </c>
      <c r="C2104" s="2" t="s">
        <v>9354</v>
      </c>
      <c r="D2104" s="3">
        <v>177660</v>
      </c>
      <c r="E2104" s="3">
        <v>177660</v>
      </c>
      <c r="F2104" s="2" t="s">
        <v>16</v>
      </c>
      <c r="G2104" s="2" t="s">
        <v>9355</v>
      </c>
      <c r="H2104" s="3">
        <v>0</v>
      </c>
      <c r="I2104" s="2" t="s">
        <v>409</v>
      </c>
      <c r="J2104" s="2" t="s">
        <v>9356</v>
      </c>
      <c r="K2104" s="2" t="s">
        <v>16</v>
      </c>
      <c r="L2104" s="2" t="s">
        <v>9357</v>
      </c>
      <c r="M2104" s="4">
        <v>1474.55</v>
      </c>
      <c r="N2104" t="b">
        <f>OR(LEFT(B2104,3)="frg",(_xlfn.XMATCH(B2104,ZZZ_Part_Id_[[#All],[FGCODE]])))</f>
        <v>1</v>
      </c>
    </row>
    <row r="2105" spans="1:14" x14ac:dyDescent="0.3">
      <c r="A2105" s="2" t="s">
        <v>9358</v>
      </c>
      <c r="B2105" s="2" t="s">
        <v>86</v>
      </c>
      <c r="C2105" s="2" t="s">
        <v>9359</v>
      </c>
      <c r="D2105" s="5">
        <v>-476</v>
      </c>
      <c r="E2105" s="5">
        <v>-476</v>
      </c>
      <c r="F2105" s="2" t="s">
        <v>23</v>
      </c>
      <c r="G2105" s="2" t="s">
        <v>9360</v>
      </c>
      <c r="H2105" s="3">
        <v>0</v>
      </c>
      <c r="I2105" s="2" t="s">
        <v>409</v>
      </c>
      <c r="J2105" s="2" t="s">
        <v>9361</v>
      </c>
      <c r="K2105" s="2" t="s">
        <v>23</v>
      </c>
      <c r="L2105" s="2" t="s">
        <v>9362</v>
      </c>
      <c r="M2105" s="6">
        <v>-1246.07</v>
      </c>
      <c r="N2105" t="b">
        <f>OR(LEFT(B2105,3)="frg",(_xlfn.XMATCH(B2105,ZZZ_Part_Id_[[#All],[FGCODE]])))</f>
        <v>1</v>
      </c>
    </row>
    <row r="2106" spans="1:14" x14ac:dyDescent="0.3">
      <c r="A2106" s="2" t="s">
        <v>9358</v>
      </c>
      <c r="B2106" s="2" t="s">
        <v>9363</v>
      </c>
      <c r="C2106" s="2" t="s">
        <v>9364</v>
      </c>
      <c r="D2106" s="3">
        <v>329940</v>
      </c>
      <c r="E2106" s="3">
        <v>329940</v>
      </c>
      <c r="F2106" s="2" t="s">
        <v>16</v>
      </c>
      <c r="G2106" s="2" t="s">
        <v>9365</v>
      </c>
      <c r="H2106" s="3">
        <v>0</v>
      </c>
      <c r="I2106" s="2" t="s">
        <v>409</v>
      </c>
      <c r="J2106" s="2" t="s">
        <v>9366</v>
      </c>
      <c r="K2106" s="2" t="s">
        <v>16</v>
      </c>
      <c r="L2106" s="2" t="s">
        <v>9367</v>
      </c>
      <c r="M2106" s="4">
        <v>3025.49</v>
      </c>
      <c r="N2106" t="b">
        <f>OR(LEFT(B2106,3)="frg",(_xlfn.XMATCH(B2106,ZZZ_Part_Id_[[#All],[FGCODE]])))</f>
        <v>1</v>
      </c>
    </row>
    <row r="2107" spans="1:14" x14ac:dyDescent="0.3">
      <c r="A2107" s="2" t="s">
        <v>9368</v>
      </c>
      <c r="B2107" s="2" t="s">
        <v>14</v>
      </c>
      <c r="C2107" s="2" t="s">
        <v>9369</v>
      </c>
      <c r="D2107" s="3">
        <v>10</v>
      </c>
      <c r="E2107" s="3">
        <v>10</v>
      </c>
      <c r="F2107" s="2" t="s">
        <v>16</v>
      </c>
      <c r="G2107" s="2" t="s">
        <v>9370</v>
      </c>
      <c r="H2107" s="3">
        <v>0</v>
      </c>
      <c r="I2107" s="2" t="s">
        <v>409</v>
      </c>
      <c r="J2107" s="2" t="s">
        <v>9371</v>
      </c>
      <c r="K2107" s="2" t="s">
        <v>16</v>
      </c>
      <c r="L2107" s="2" t="s">
        <v>9372</v>
      </c>
      <c r="M2107" s="4">
        <v>0.77</v>
      </c>
      <c r="N2107" t="e">
        <f>OR(LEFT(B2107,3)="frg",(_xlfn.XMATCH(B2107,ZZZ_Part_Id_[[#All],[FGCODE]])))</f>
        <v>#N/A</v>
      </c>
    </row>
    <row r="2108" spans="1:14" x14ac:dyDescent="0.3">
      <c r="A2108" s="2" t="s">
        <v>9368</v>
      </c>
      <c r="B2108" s="2" t="s">
        <v>3028</v>
      </c>
      <c r="C2108" s="2" t="s">
        <v>9373</v>
      </c>
      <c r="D2108" s="3">
        <v>25380</v>
      </c>
      <c r="E2108" s="3">
        <v>25380</v>
      </c>
      <c r="F2108" s="2" t="s">
        <v>16</v>
      </c>
      <c r="G2108" s="2" t="s">
        <v>9374</v>
      </c>
      <c r="H2108" s="3">
        <v>0</v>
      </c>
      <c r="I2108" s="2" t="s">
        <v>409</v>
      </c>
      <c r="J2108" s="2" t="s">
        <v>9375</v>
      </c>
      <c r="K2108" s="2" t="s">
        <v>16</v>
      </c>
      <c r="L2108" s="2" t="s">
        <v>9376</v>
      </c>
      <c r="M2108" s="4">
        <v>1663.91</v>
      </c>
      <c r="N2108" t="b">
        <f>OR(LEFT(B2108,3)="frg",(_xlfn.XMATCH(B2108,ZZZ_Part_Id_[[#All],[FGCODE]])))</f>
        <v>1</v>
      </c>
    </row>
    <row r="2109" spans="1:14" x14ac:dyDescent="0.3">
      <c r="A2109" s="2" t="s">
        <v>9377</v>
      </c>
      <c r="B2109" s="2" t="s">
        <v>14</v>
      </c>
      <c r="C2109" s="2" t="s">
        <v>9378</v>
      </c>
      <c r="D2109" s="3">
        <v>10</v>
      </c>
      <c r="E2109" s="3">
        <v>10</v>
      </c>
      <c r="F2109" s="2" t="s">
        <v>16</v>
      </c>
      <c r="G2109" s="2" t="s">
        <v>9379</v>
      </c>
      <c r="H2109" s="3">
        <v>0</v>
      </c>
      <c r="I2109" s="2" t="s">
        <v>409</v>
      </c>
      <c r="J2109" s="2" t="s">
        <v>9380</v>
      </c>
      <c r="K2109" s="2" t="s">
        <v>16</v>
      </c>
      <c r="L2109" s="2" t="s">
        <v>9381</v>
      </c>
      <c r="M2109" s="4">
        <v>0.77</v>
      </c>
      <c r="N2109" t="e">
        <f>OR(LEFT(B2109,3)="frg",(_xlfn.XMATCH(B2109,ZZZ_Part_Id_[[#All],[FGCODE]])))</f>
        <v>#N/A</v>
      </c>
    </row>
    <row r="2110" spans="1:14" x14ac:dyDescent="0.3">
      <c r="A2110" s="2" t="s">
        <v>9377</v>
      </c>
      <c r="B2110" s="2" t="s">
        <v>1667</v>
      </c>
      <c r="C2110" s="2" t="s">
        <v>9382</v>
      </c>
      <c r="D2110" s="3">
        <v>83520</v>
      </c>
      <c r="E2110" s="3">
        <v>83520</v>
      </c>
      <c r="F2110" s="2" t="s">
        <v>16</v>
      </c>
      <c r="G2110" s="2" t="s">
        <v>9383</v>
      </c>
      <c r="H2110" s="3">
        <v>0</v>
      </c>
      <c r="I2110" s="2" t="s">
        <v>409</v>
      </c>
      <c r="J2110" s="2" t="s">
        <v>9384</v>
      </c>
      <c r="K2110" s="2" t="s">
        <v>16</v>
      </c>
      <c r="L2110" s="2" t="s">
        <v>9385</v>
      </c>
      <c r="M2110" s="4">
        <v>6794.36</v>
      </c>
      <c r="N2110" t="b">
        <f>OR(LEFT(B2110,3)="frg",(_xlfn.XMATCH(B2110,ZZZ_Part_Id_[[#All],[FGCODE]])))</f>
        <v>1</v>
      </c>
    </row>
    <row r="2111" spans="1:14" x14ac:dyDescent="0.3">
      <c r="A2111" s="2" t="s">
        <v>9386</v>
      </c>
      <c r="B2111" s="2" t="s">
        <v>14</v>
      </c>
      <c r="C2111" s="2" t="s">
        <v>9387</v>
      </c>
      <c r="D2111" s="3">
        <v>10</v>
      </c>
      <c r="E2111" s="3">
        <v>10</v>
      </c>
      <c r="F2111" s="2" t="s">
        <v>16</v>
      </c>
      <c r="G2111" s="2" t="s">
        <v>9388</v>
      </c>
      <c r="H2111" s="3">
        <v>0</v>
      </c>
      <c r="I2111" s="2" t="s">
        <v>409</v>
      </c>
      <c r="J2111" s="2" t="s">
        <v>9389</v>
      </c>
      <c r="K2111" s="2" t="s">
        <v>16</v>
      </c>
      <c r="L2111" s="2" t="s">
        <v>9390</v>
      </c>
      <c r="M2111" s="4">
        <v>0.77</v>
      </c>
      <c r="N2111" t="e">
        <f>OR(LEFT(B2111,3)="frg",(_xlfn.XMATCH(B2111,ZZZ_Part_Id_[[#All],[FGCODE]])))</f>
        <v>#N/A</v>
      </c>
    </row>
    <row r="2112" spans="1:14" x14ac:dyDescent="0.3">
      <c r="A2112" s="2" t="s">
        <v>9386</v>
      </c>
      <c r="B2112" s="2" t="s">
        <v>65</v>
      </c>
      <c r="C2112" s="2" t="s">
        <v>9391</v>
      </c>
      <c r="D2112" s="5">
        <v>-549</v>
      </c>
      <c r="E2112" s="5">
        <v>-549</v>
      </c>
      <c r="F2112" s="2" t="s">
        <v>23</v>
      </c>
      <c r="G2112" s="2" t="s">
        <v>9392</v>
      </c>
      <c r="H2112" s="3">
        <v>0</v>
      </c>
      <c r="I2112" s="2" t="s">
        <v>409</v>
      </c>
      <c r="J2112" s="2" t="s">
        <v>9393</v>
      </c>
      <c r="K2112" s="2" t="s">
        <v>23</v>
      </c>
      <c r="L2112" s="2" t="s">
        <v>9394</v>
      </c>
      <c r="M2112" s="6">
        <v>-1411.81</v>
      </c>
      <c r="N2112" t="b">
        <f>OR(LEFT(B2112,3)="frg",(_xlfn.XMATCH(B2112,ZZZ_Part_Id_[[#All],[FGCODE]])))</f>
        <v>1</v>
      </c>
    </row>
    <row r="2113" spans="1:14" x14ac:dyDescent="0.3">
      <c r="A2113" s="2" t="s">
        <v>9386</v>
      </c>
      <c r="B2113" s="2" t="s">
        <v>2115</v>
      </c>
      <c r="C2113" s="2" t="s">
        <v>9395</v>
      </c>
      <c r="D2113" s="3">
        <v>36000</v>
      </c>
      <c r="E2113" s="3">
        <v>36000</v>
      </c>
      <c r="F2113" s="2" t="s">
        <v>16</v>
      </c>
      <c r="G2113" s="2" t="s">
        <v>9396</v>
      </c>
      <c r="H2113" s="3">
        <v>0</v>
      </c>
      <c r="I2113" s="2" t="s">
        <v>409</v>
      </c>
      <c r="J2113" s="2" t="s">
        <v>9397</v>
      </c>
      <c r="K2113" s="2" t="s">
        <v>16</v>
      </c>
      <c r="L2113" s="2" t="s">
        <v>9398</v>
      </c>
      <c r="M2113" s="4">
        <v>11969.3</v>
      </c>
      <c r="N2113" t="b">
        <f>OR(LEFT(B2113,3)="frg",(_xlfn.XMATCH(B2113,ZZZ_Part_Id_[[#All],[FGCODE]])))</f>
        <v>1</v>
      </c>
    </row>
    <row r="2114" spans="1:14" x14ac:dyDescent="0.3">
      <c r="A2114" s="2" t="s">
        <v>9399</v>
      </c>
      <c r="B2114" s="2" t="s">
        <v>797</v>
      </c>
      <c r="C2114" s="2" t="s">
        <v>9400</v>
      </c>
      <c r="D2114" s="3">
        <v>5000</v>
      </c>
      <c r="E2114" s="3">
        <v>0</v>
      </c>
      <c r="F2114" s="2" t="s">
        <v>16</v>
      </c>
      <c r="G2114" s="2" t="s">
        <v>9401</v>
      </c>
      <c r="H2114" s="3">
        <v>0</v>
      </c>
      <c r="I2114" s="2" t="s">
        <v>18</v>
      </c>
      <c r="J2114" s="2" t="s">
        <v>9402</v>
      </c>
      <c r="K2114" s="2" t="s">
        <v>16</v>
      </c>
      <c r="L2114" s="2" t="s">
        <v>9403</v>
      </c>
      <c r="M2114" s="4">
        <v>0</v>
      </c>
      <c r="N2114" t="b">
        <f>OR(LEFT(B2114,3)="frg",(_xlfn.XMATCH(B2114,ZZZ_Part_Id_[[#All],[FGCODE]])))</f>
        <v>1</v>
      </c>
    </row>
    <row r="2115" spans="1:14" x14ac:dyDescent="0.3">
      <c r="A2115" s="2" t="s">
        <v>9404</v>
      </c>
      <c r="B2115" s="2" t="s">
        <v>9405</v>
      </c>
      <c r="C2115" s="2" t="s">
        <v>9406</v>
      </c>
      <c r="D2115" s="3">
        <v>1015200</v>
      </c>
      <c r="E2115" s="3">
        <v>1015200</v>
      </c>
      <c r="F2115" s="2" t="s">
        <v>16</v>
      </c>
      <c r="G2115" s="2" t="s">
        <v>131</v>
      </c>
      <c r="H2115" s="3">
        <v>0</v>
      </c>
      <c r="I2115" s="2" t="s">
        <v>409</v>
      </c>
      <c r="J2115" s="2" t="s">
        <v>9407</v>
      </c>
      <c r="K2115" s="2" t="s">
        <v>16</v>
      </c>
      <c r="L2115" s="2" t="s">
        <v>9408</v>
      </c>
      <c r="M2115" s="4">
        <v>65480.4</v>
      </c>
      <c r="N2115" t="b">
        <f>OR(LEFT(B2115,3)="frg",(_xlfn.XMATCH(B2115,ZZZ_Part_Id_[[#All],[FGCODE]])))</f>
        <v>1</v>
      </c>
    </row>
    <row r="2116" spans="1:14" x14ac:dyDescent="0.3">
      <c r="A2116" s="2" t="s">
        <v>9409</v>
      </c>
      <c r="B2116" s="2" t="s">
        <v>4424</v>
      </c>
      <c r="C2116" s="2" t="s">
        <v>9410</v>
      </c>
      <c r="D2116" s="3">
        <v>203040</v>
      </c>
      <c r="E2116" s="3">
        <v>203040</v>
      </c>
      <c r="F2116" s="2" t="s">
        <v>16</v>
      </c>
      <c r="G2116" s="2" t="s">
        <v>131</v>
      </c>
      <c r="H2116" s="3">
        <v>0</v>
      </c>
      <c r="I2116" s="2" t="s">
        <v>18</v>
      </c>
      <c r="J2116" s="2" t="s">
        <v>9411</v>
      </c>
      <c r="K2116" s="2" t="s">
        <v>16</v>
      </c>
      <c r="L2116" s="2" t="s">
        <v>9412</v>
      </c>
      <c r="M2116" s="4">
        <v>13128.57</v>
      </c>
      <c r="N2116" t="b">
        <f>OR(LEFT(B2116,3)="frg",(_xlfn.XMATCH(B2116,ZZZ_Part_Id_[[#All],[FGCODE]])))</f>
        <v>1</v>
      </c>
    </row>
    <row r="2117" spans="1:14" x14ac:dyDescent="0.3">
      <c r="A2117" s="2" t="s">
        <v>9413</v>
      </c>
      <c r="B2117" s="2" t="s">
        <v>103</v>
      </c>
      <c r="C2117" s="2" t="s">
        <v>9414</v>
      </c>
      <c r="D2117" s="3">
        <v>116820</v>
      </c>
      <c r="E2117" s="3">
        <v>116820</v>
      </c>
      <c r="F2117" s="2" t="s">
        <v>16</v>
      </c>
      <c r="G2117" s="2" t="s">
        <v>9415</v>
      </c>
      <c r="H2117" s="3">
        <v>0</v>
      </c>
      <c r="I2117" s="2" t="s">
        <v>9416</v>
      </c>
      <c r="J2117" s="2" t="s">
        <v>9417</v>
      </c>
      <c r="K2117" s="2" t="s">
        <v>16</v>
      </c>
      <c r="L2117" s="2" t="s">
        <v>9418</v>
      </c>
      <c r="M2117" s="4">
        <v>23389.74</v>
      </c>
      <c r="N2117" t="b">
        <f>OR(LEFT(B2117,3)="frg",(_xlfn.XMATCH(B2117,ZZZ_Part_Id_[[#All],[FGCODE]])))</f>
        <v>1</v>
      </c>
    </row>
    <row r="2118" spans="1:14" x14ac:dyDescent="0.3">
      <c r="A2118" s="2" t="s">
        <v>9413</v>
      </c>
      <c r="B2118" s="2" t="s">
        <v>65</v>
      </c>
      <c r="C2118" s="2" t="s">
        <v>9419</v>
      </c>
      <c r="D2118" s="5">
        <v>-323</v>
      </c>
      <c r="E2118" s="5">
        <v>-323</v>
      </c>
      <c r="F2118" s="2" t="s">
        <v>23</v>
      </c>
      <c r="G2118" s="2" t="s">
        <v>9420</v>
      </c>
      <c r="H2118" s="3">
        <v>0</v>
      </c>
      <c r="I2118" s="2" t="s">
        <v>9416</v>
      </c>
      <c r="J2118" s="2" t="s">
        <v>9421</v>
      </c>
      <c r="K2118" s="2" t="s">
        <v>23</v>
      </c>
      <c r="L2118" s="2" t="s">
        <v>9422</v>
      </c>
      <c r="M2118" s="6">
        <v>-830.63</v>
      </c>
      <c r="N2118" t="b">
        <f>OR(LEFT(B2118,3)="frg",(_xlfn.XMATCH(B2118,ZZZ_Part_Id_[[#All],[FGCODE]])))</f>
        <v>1</v>
      </c>
    </row>
    <row r="2119" spans="1:14" x14ac:dyDescent="0.3">
      <c r="A2119" s="2" t="s">
        <v>9423</v>
      </c>
      <c r="B2119" s="2" t="s">
        <v>3142</v>
      </c>
      <c r="C2119" s="2" t="s">
        <v>9424</v>
      </c>
      <c r="D2119" s="3">
        <v>39744</v>
      </c>
      <c r="E2119" s="3">
        <v>39744</v>
      </c>
      <c r="F2119" s="2" t="s">
        <v>16</v>
      </c>
      <c r="G2119" s="2" t="s">
        <v>9425</v>
      </c>
      <c r="H2119" s="3">
        <v>0</v>
      </c>
      <c r="I2119" s="2" t="s">
        <v>409</v>
      </c>
      <c r="J2119" s="2" t="s">
        <v>9426</v>
      </c>
      <c r="K2119" s="2" t="s">
        <v>16</v>
      </c>
      <c r="L2119" s="2" t="s">
        <v>9427</v>
      </c>
      <c r="M2119" s="4">
        <v>12944.64</v>
      </c>
      <c r="N2119" t="b">
        <f>OR(LEFT(B2119,3)="frg",(_xlfn.XMATCH(B2119,ZZZ_Part_Id_[[#All],[FGCODE]])))</f>
        <v>1</v>
      </c>
    </row>
    <row r="2120" spans="1:14" x14ac:dyDescent="0.3">
      <c r="A2120" s="2" t="s">
        <v>9423</v>
      </c>
      <c r="B2120" s="2" t="s">
        <v>65</v>
      </c>
      <c r="C2120" s="2" t="s">
        <v>9428</v>
      </c>
      <c r="D2120" s="5">
        <v>-331</v>
      </c>
      <c r="E2120" s="5">
        <v>-331</v>
      </c>
      <c r="F2120" s="2" t="s">
        <v>23</v>
      </c>
      <c r="G2120" s="2" t="s">
        <v>9429</v>
      </c>
      <c r="H2120" s="3">
        <v>0</v>
      </c>
      <c r="I2120" s="2" t="s">
        <v>409</v>
      </c>
      <c r="J2120" s="2" t="s">
        <v>9430</v>
      </c>
      <c r="K2120" s="2" t="s">
        <v>23</v>
      </c>
      <c r="L2120" s="2" t="s">
        <v>9431</v>
      </c>
      <c r="M2120" s="6">
        <v>-851.2</v>
      </c>
      <c r="N2120" t="b">
        <f>OR(LEFT(B2120,3)="frg",(_xlfn.XMATCH(B2120,ZZZ_Part_Id_[[#All],[FGCODE]])))</f>
        <v>1</v>
      </c>
    </row>
    <row r="2121" spans="1:14" x14ac:dyDescent="0.3">
      <c r="A2121" s="2" t="s">
        <v>9432</v>
      </c>
      <c r="B2121" s="2" t="s">
        <v>91</v>
      </c>
      <c r="C2121" s="2" t="s">
        <v>9433</v>
      </c>
      <c r="D2121" s="3">
        <v>54000</v>
      </c>
      <c r="E2121" s="3">
        <v>54000</v>
      </c>
      <c r="F2121" s="2" t="s">
        <v>16</v>
      </c>
      <c r="G2121" s="2" t="s">
        <v>9434</v>
      </c>
      <c r="H2121" s="3">
        <v>0</v>
      </c>
      <c r="I2121" s="2" t="s">
        <v>409</v>
      </c>
      <c r="J2121" s="2" t="s">
        <v>9435</v>
      </c>
      <c r="K2121" s="2" t="s">
        <v>16</v>
      </c>
      <c r="L2121" s="2" t="s">
        <v>9436</v>
      </c>
      <c r="M2121" s="4">
        <v>3134.7</v>
      </c>
      <c r="N2121" t="b">
        <f>OR(LEFT(B2121,3)="frg",(_xlfn.XMATCH(B2121,ZZZ_Part_Id_[[#All],[FGCODE]])))</f>
        <v>1</v>
      </c>
    </row>
    <row r="2122" spans="1:14" x14ac:dyDescent="0.3">
      <c r="A2122" s="2" t="s">
        <v>9437</v>
      </c>
      <c r="B2122" s="2" t="s">
        <v>517</v>
      </c>
      <c r="C2122" s="2" t="s">
        <v>9438</v>
      </c>
      <c r="D2122" s="3">
        <v>897120</v>
      </c>
      <c r="E2122" s="3">
        <v>897120</v>
      </c>
      <c r="F2122" s="2" t="s">
        <v>16</v>
      </c>
      <c r="G2122" s="2" t="s">
        <v>9439</v>
      </c>
      <c r="H2122" s="3">
        <v>0</v>
      </c>
      <c r="I2122" s="2" t="s">
        <v>409</v>
      </c>
      <c r="J2122" s="2" t="s">
        <v>9440</v>
      </c>
      <c r="K2122" s="2" t="s">
        <v>16</v>
      </c>
      <c r="L2122" s="2" t="s">
        <v>9441</v>
      </c>
      <c r="M2122" s="4">
        <v>163203.76</v>
      </c>
      <c r="N2122" t="b">
        <f>OR(LEFT(B2122,3)="frg",(_xlfn.XMATCH(B2122,ZZZ_Part_Id_[[#All],[FGCODE]])))</f>
        <v>1</v>
      </c>
    </row>
    <row r="2123" spans="1:14" x14ac:dyDescent="0.3">
      <c r="A2123" s="2" t="s">
        <v>9442</v>
      </c>
      <c r="B2123" s="2" t="s">
        <v>70</v>
      </c>
      <c r="C2123" s="2" t="s">
        <v>9443</v>
      </c>
      <c r="D2123" s="3">
        <v>38016</v>
      </c>
      <c r="E2123" s="3">
        <v>0</v>
      </c>
      <c r="F2123" s="2" t="s">
        <v>16</v>
      </c>
      <c r="G2123" s="2" t="s">
        <v>9444</v>
      </c>
      <c r="H2123" s="3">
        <v>0</v>
      </c>
      <c r="I2123" s="2" t="s">
        <v>18</v>
      </c>
      <c r="J2123" s="2" t="s">
        <v>9445</v>
      </c>
      <c r="K2123" s="2" t="s">
        <v>16</v>
      </c>
      <c r="L2123" s="2" t="s">
        <v>9446</v>
      </c>
      <c r="M2123" s="4">
        <v>0</v>
      </c>
      <c r="N2123" t="b">
        <f>OR(LEFT(B2123,3)="frg",(_xlfn.XMATCH(B2123,ZZZ_Part_Id_[[#All],[FGCODE]])))</f>
        <v>1</v>
      </c>
    </row>
    <row r="2124" spans="1:14" x14ac:dyDescent="0.3">
      <c r="A2124" s="2" t="s">
        <v>9442</v>
      </c>
      <c r="B2124" s="2" t="s">
        <v>2086</v>
      </c>
      <c r="C2124" s="2" t="s">
        <v>9447</v>
      </c>
      <c r="D2124" s="3">
        <v>38016</v>
      </c>
      <c r="E2124" s="3">
        <v>38016</v>
      </c>
      <c r="F2124" s="2" t="s">
        <v>16</v>
      </c>
      <c r="G2124" s="2" t="s">
        <v>131</v>
      </c>
      <c r="H2124" s="3">
        <v>0</v>
      </c>
      <c r="I2124" s="2" t="s">
        <v>18</v>
      </c>
      <c r="J2124" s="2" t="s">
        <v>9448</v>
      </c>
      <c r="K2124" s="2" t="s">
        <v>16</v>
      </c>
      <c r="L2124" s="2" t="s">
        <v>9449</v>
      </c>
      <c r="M2124" s="4">
        <v>8926.2000000000007</v>
      </c>
      <c r="N2124" t="b">
        <f>OR(LEFT(B2124,3)="frg",(_xlfn.XMATCH(B2124,ZZZ_Part_Id_[[#All],[FGCODE]])))</f>
        <v>1</v>
      </c>
    </row>
    <row r="2125" spans="1:14" x14ac:dyDescent="0.3">
      <c r="A2125" s="2" t="s">
        <v>9450</v>
      </c>
      <c r="B2125" s="2" t="s">
        <v>2611</v>
      </c>
      <c r="C2125" s="2" t="s">
        <v>9451</v>
      </c>
      <c r="D2125" s="3">
        <v>106560</v>
      </c>
      <c r="E2125" s="3">
        <v>106560</v>
      </c>
      <c r="F2125" s="2" t="s">
        <v>16</v>
      </c>
      <c r="G2125" s="2" t="s">
        <v>9452</v>
      </c>
      <c r="H2125" s="3">
        <v>0</v>
      </c>
      <c r="I2125" s="2" t="s">
        <v>18</v>
      </c>
      <c r="J2125" s="2" t="s">
        <v>9453</v>
      </c>
      <c r="K2125" s="2" t="s">
        <v>16</v>
      </c>
      <c r="L2125" s="2" t="s">
        <v>9454</v>
      </c>
      <c r="M2125" s="4">
        <v>9589.2999999999993</v>
      </c>
      <c r="N2125" t="b">
        <f>OR(LEFT(B2125,3)="frg",(_xlfn.XMATCH(B2125,ZZZ_Part_Id_[[#All],[FGCODE]])))</f>
        <v>1</v>
      </c>
    </row>
    <row r="2126" spans="1:14" x14ac:dyDescent="0.3">
      <c r="A2126" s="2" t="s">
        <v>9450</v>
      </c>
      <c r="B2126" s="2" t="s">
        <v>65</v>
      </c>
      <c r="C2126" s="2" t="s">
        <v>9455</v>
      </c>
      <c r="D2126" s="5">
        <v>-135</v>
      </c>
      <c r="E2126" s="5">
        <v>-135</v>
      </c>
      <c r="F2126" s="2" t="s">
        <v>23</v>
      </c>
      <c r="G2126" s="2" t="s">
        <v>9456</v>
      </c>
      <c r="H2126" s="3">
        <v>0</v>
      </c>
      <c r="I2126" s="2" t="s">
        <v>18</v>
      </c>
      <c r="J2126" s="2" t="s">
        <v>9457</v>
      </c>
      <c r="K2126" s="2" t="s">
        <v>23</v>
      </c>
      <c r="L2126" s="2" t="s">
        <v>9458</v>
      </c>
      <c r="M2126" s="6">
        <v>-347.17</v>
      </c>
      <c r="N2126" t="b">
        <f>OR(LEFT(B2126,3)="frg",(_xlfn.XMATCH(B2126,ZZZ_Part_Id_[[#All],[FGCODE]])))</f>
        <v>1</v>
      </c>
    </row>
    <row r="2127" spans="1:14" x14ac:dyDescent="0.3">
      <c r="A2127" s="2" t="s">
        <v>9459</v>
      </c>
      <c r="B2127" s="2" t="s">
        <v>517</v>
      </c>
      <c r="C2127" s="2" t="s">
        <v>9460</v>
      </c>
      <c r="D2127" s="3">
        <v>30240</v>
      </c>
      <c r="E2127" s="3">
        <v>30240</v>
      </c>
      <c r="F2127" s="2" t="s">
        <v>16</v>
      </c>
      <c r="G2127" s="2" t="s">
        <v>9461</v>
      </c>
      <c r="H2127" s="3">
        <v>0</v>
      </c>
      <c r="I2127" s="2" t="s">
        <v>18</v>
      </c>
      <c r="J2127" s="2" t="s">
        <v>9462</v>
      </c>
      <c r="K2127" s="2" t="s">
        <v>16</v>
      </c>
      <c r="L2127" s="2" t="s">
        <v>9463</v>
      </c>
      <c r="M2127" s="4">
        <v>5501.25</v>
      </c>
      <c r="N2127" t="b">
        <f>OR(LEFT(B2127,3)="frg",(_xlfn.XMATCH(B2127,ZZZ_Part_Id_[[#All],[FGCODE]])))</f>
        <v>1</v>
      </c>
    </row>
    <row r="2128" spans="1:14" x14ac:dyDescent="0.3">
      <c r="A2128" s="2" t="s">
        <v>9464</v>
      </c>
      <c r="B2128" s="2" t="s">
        <v>14</v>
      </c>
      <c r="C2128" s="2" t="s">
        <v>9465</v>
      </c>
      <c r="D2128" s="3">
        <v>10</v>
      </c>
      <c r="E2128" s="3">
        <v>10</v>
      </c>
      <c r="F2128" s="2" t="s">
        <v>16</v>
      </c>
      <c r="G2128" s="2" t="s">
        <v>9466</v>
      </c>
      <c r="H2128" s="3">
        <v>0</v>
      </c>
      <c r="I2128" s="2" t="s">
        <v>18</v>
      </c>
      <c r="J2128" s="2" t="s">
        <v>9467</v>
      </c>
      <c r="K2128" s="2" t="s">
        <v>16</v>
      </c>
      <c r="L2128" s="2" t="s">
        <v>9468</v>
      </c>
      <c r="M2128" s="4">
        <v>0.77</v>
      </c>
      <c r="N2128" t="e">
        <f>OR(LEFT(B2128,3)="frg",(_xlfn.XMATCH(B2128,ZZZ_Part_Id_[[#All],[FGCODE]])))</f>
        <v>#N/A</v>
      </c>
    </row>
    <row r="2129" spans="1:14" x14ac:dyDescent="0.3">
      <c r="A2129" s="2" t="s">
        <v>9464</v>
      </c>
      <c r="B2129" s="2" t="s">
        <v>65</v>
      </c>
      <c r="C2129" s="2" t="s">
        <v>9469</v>
      </c>
      <c r="D2129" s="5">
        <v>-478</v>
      </c>
      <c r="E2129" s="5">
        <v>-478</v>
      </c>
      <c r="F2129" s="2" t="s">
        <v>23</v>
      </c>
      <c r="G2129" s="2" t="s">
        <v>9470</v>
      </c>
      <c r="H2129" s="3">
        <v>0</v>
      </c>
      <c r="I2129" s="2" t="s">
        <v>18</v>
      </c>
      <c r="J2129" s="2" t="s">
        <v>9471</v>
      </c>
      <c r="K2129" s="2" t="s">
        <v>23</v>
      </c>
      <c r="L2129" s="2" t="s">
        <v>9472</v>
      </c>
      <c r="M2129" s="6">
        <v>-1229.22</v>
      </c>
      <c r="N2129" t="b">
        <f>OR(LEFT(B2129,3)="frg",(_xlfn.XMATCH(B2129,ZZZ_Part_Id_[[#All],[FGCODE]])))</f>
        <v>1</v>
      </c>
    </row>
    <row r="2130" spans="1:14" x14ac:dyDescent="0.3">
      <c r="A2130" s="2" t="s">
        <v>9464</v>
      </c>
      <c r="B2130" s="2" t="s">
        <v>517</v>
      </c>
      <c r="C2130" s="2" t="s">
        <v>9473</v>
      </c>
      <c r="D2130" s="3">
        <v>48220</v>
      </c>
      <c r="E2130" s="3">
        <v>48220</v>
      </c>
      <c r="F2130" s="2" t="s">
        <v>16</v>
      </c>
      <c r="G2130" s="2" t="s">
        <v>9474</v>
      </c>
      <c r="H2130" s="3">
        <v>0</v>
      </c>
      <c r="I2130" s="2" t="s">
        <v>18</v>
      </c>
      <c r="J2130" s="2" t="s">
        <v>9475</v>
      </c>
      <c r="K2130" s="2" t="s">
        <v>16</v>
      </c>
      <c r="L2130" s="2" t="s">
        <v>9476</v>
      </c>
      <c r="M2130" s="4">
        <v>8772.16</v>
      </c>
      <c r="N2130" t="b">
        <f>OR(LEFT(B2130,3)="frg",(_xlfn.XMATCH(B2130,ZZZ_Part_Id_[[#All],[FGCODE]])))</f>
        <v>1</v>
      </c>
    </row>
    <row r="2131" spans="1:14" x14ac:dyDescent="0.3">
      <c r="A2131" s="2" t="s">
        <v>9477</v>
      </c>
      <c r="B2131" s="2" t="s">
        <v>14</v>
      </c>
      <c r="C2131" s="2" t="s">
        <v>9478</v>
      </c>
      <c r="D2131" s="3">
        <v>95</v>
      </c>
      <c r="E2131" s="3">
        <v>95</v>
      </c>
      <c r="F2131" s="2" t="s">
        <v>16</v>
      </c>
      <c r="G2131" s="2" t="s">
        <v>9479</v>
      </c>
      <c r="H2131" s="3">
        <v>0</v>
      </c>
      <c r="I2131" s="2" t="s">
        <v>409</v>
      </c>
      <c r="J2131" s="2" t="s">
        <v>9480</v>
      </c>
      <c r="K2131" s="2" t="s">
        <v>16</v>
      </c>
      <c r="L2131" s="2" t="s">
        <v>9481</v>
      </c>
      <c r="M2131" s="4">
        <v>7.31</v>
      </c>
      <c r="N2131" t="e">
        <f>OR(LEFT(B2131,3)="frg",(_xlfn.XMATCH(B2131,ZZZ_Part_Id_[[#All],[FGCODE]])))</f>
        <v>#N/A</v>
      </c>
    </row>
    <row r="2132" spans="1:14" x14ac:dyDescent="0.3">
      <c r="A2132" s="2" t="s">
        <v>9477</v>
      </c>
      <c r="B2132" s="2" t="s">
        <v>172</v>
      </c>
      <c r="C2132" s="2" t="s">
        <v>9482</v>
      </c>
      <c r="D2132" s="3">
        <v>20</v>
      </c>
      <c r="E2132" s="3">
        <v>20</v>
      </c>
      <c r="F2132" s="2" t="s">
        <v>23</v>
      </c>
      <c r="G2132" s="2" t="s">
        <v>9483</v>
      </c>
      <c r="H2132" s="3">
        <v>0</v>
      </c>
      <c r="I2132" s="2" t="s">
        <v>409</v>
      </c>
      <c r="J2132" s="2" t="s">
        <v>9484</v>
      </c>
      <c r="K2132" s="2" t="s">
        <v>23</v>
      </c>
      <c r="L2132" s="2" t="s">
        <v>9485</v>
      </c>
      <c r="M2132" s="4">
        <v>141.47</v>
      </c>
      <c r="N2132" t="e">
        <f>OR(LEFT(B2132,3)="frg",(_xlfn.XMATCH(B2132,ZZZ_Part_Id_[[#All],[FGCODE]])))</f>
        <v>#N/A</v>
      </c>
    </row>
    <row r="2133" spans="1:14" x14ac:dyDescent="0.3">
      <c r="A2133" s="2" t="s">
        <v>9477</v>
      </c>
      <c r="B2133" s="2" t="s">
        <v>5357</v>
      </c>
      <c r="C2133" s="2" t="s">
        <v>9486</v>
      </c>
      <c r="D2133" s="3">
        <v>629280</v>
      </c>
      <c r="E2133" s="3">
        <v>629280</v>
      </c>
      <c r="F2133" s="2" t="s">
        <v>16</v>
      </c>
      <c r="G2133" s="2" t="s">
        <v>9487</v>
      </c>
      <c r="H2133" s="3">
        <v>0</v>
      </c>
      <c r="I2133" s="2" t="s">
        <v>409</v>
      </c>
      <c r="J2133" s="2" t="s">
        <v>9488</v>
      </c>
      <c r="K2133" s="2" t="s">
        <v>16</v>
      </c>
      <c r="L2133" s="2" t="s">
        <v>9489</v>
      </c>
      <c r="M2133" s="4">
        <v>187016.05</v>
      </c>
      <c r="N2133" t="b">
        <f>OR(LEFT(B2133,3)="frg",(_xlfn.XMATCH(B2133,ZZZ_Part_Id_[[#All],[FGCODE]])))</f>
        <v>1</v>
      </c>
    </row>
    <row r="2134" spans="1:14" x14ac:dyDescent="0.3">
      <c r="A2134" s="2" t="s">
        <v>9490</v>
      </c>
      <c r="B2134" s="2" t="s">
        <v>14</v>
      </c>
      <c r="C2134" s="2" t="s">
        <v>9491</v>
      </c>
      <c r="D2134" s="3">
        <v>10</v>
      </c>
      <c r="E2134" s="3">
        <v>10</v>
      </c>
      <c r="F2134" s="2" t="s">
        <v>16</v>
      </c>
      <c r="G2134" s="2" t="s">
        <v>9492</v>
      </c>
      <c r="H2134" s="3">
        <v>0</v>
      </c>
      <c r="I2134" s="2" t="s">
        <v>409</v>
      </c>
      <c r="J2134" s="2" t="s">
        <v>9493</v>
      </c>
      <c r="K2134" s="2" t="s">
        <v>16</v>
      </c>
      <c r="L2134" s="2" t="s">
        <v>9494</v>
      </c>
      <c r="M2134" s="4">
        <v>0.77</v>
      </c>
      <c r="N2134" t="e">
        <f>OR(LEFT(B2134,3)="frg",(_xlfn.XMATCH(B2134,ZZZ_Part_Id_[[#All],[FGCODE]])))</f>
        <v>#N/A</v>
      </c>
    </row>
    <row r="2135" spans="1:14" x14ac:dyDescent="0.3">
      <c r="A2135" s="2" t="s">
        <v>9490</v>
      </c>
      <c r="B2135" s="2" t="s">
        <v>5986</v>
      </c>
      <c r="C2135" s="2" t="s">
        <v>9495</v>
      </c>
      <c r="D2135" s="3">
        <v>19872</v>
      </c>
      <c r="E2135" s="3">
        <v>19872</v>
      </c>
      <c r="F2135" s="2" t="s">
        <v>16</v>
      </c>
      <c r="G2135" s="2" t="s">
        <v>9496</v>
      </c>
      <c r="H2135" s="3">
        <v>0</v>
      </c>
      <c r="I2135" s="2" t="s">
        <v>409</v>
      </c>
      <c r="J2135" s="2" t="s">
        <v>9497</v>
      </c>
      <c r="K2135" s="2" t="s">
        <v>16</v>
      </c>
      <c r="L2135" s="2" t="s">
        <v>9498</v>
      </c>
      <c r="M2135" s="4">
        <v>6516.81</v>
      </c>
      <c r="N2135" t="b">
        <f>OR(LEFT(B2135,3)="frg",(_xlfn.XMATCH(B2135,ZZZ_Part_Id_[[#All],[FGCODE]])))</f>
        <v>1</v>
      </c>
    </row>
    <row r="2136" spans="1:14" x14ac:dyDescent="0.3">
      <c r="A2136" s="2" t="s">
        <v>9499</v>
      </c>
      <c r="B2136" s="2" t="s">
        <v>6244</v>
      </c>
      <c r="C2136" s="2" t="s">
        <v>9500</v>
      </c>
      <c r="D2136" s="3">
        <v>19872</v>
      </c>
      <c r="E2136" s="3">
        <v>19872</v>
      </c>
      <c r="F2136" s="2" t="s">
        <v>16</v>
      </c>
      <c r="G2136" s="2" t="s">
        <v>9501</v>
      </c>
      <c r="H2136" s="3">
        <v>0</v>
      </c>
      <c r="I2136" s="2" t="s">
        <v>409</v>
      </c>
      <c r="J2136" s="2" t="s">
        <v>9502</v>
      </c>
      <c r="K2136" s="2" t="s">
        <v>16</v>
      </c>
      <c r="L2136" s="2" t="s">
        <v>9503</v>
      </c>
      <c r="M2136" s="4">
        <v>6545.85</v>
      </c>
      <c r="N2136" t="b">
        <f>OR(LEFT(B2136,3)="frg",(_xlfn.XMATCH(B2136,ZZZ_Part_Id_[[#All],[FGCODE]])))</f>
        <v>1</v>
      </c>
    </row>
    <row r="2137" spans="1:14" x14ac:dyDescent="0.3">
      <c r="A2137" s="2" t="s">
        <v>9504</v>
      </c>
      <c r="B2137" s="2" t="s">
        <v>1512</v>
      </c>
      <c r="C2137" s="2" t="s">
        <v>9505</v>
      </c>
      <c r="D2137" s="3">
        <v>63720</v>
      </c>
      <c r="E2137" s="3">
        <v>63720</v>
      </c>
      <c r="F2137" s="2" t="s">
        <v>16</v>
      </c>
      <c r="G2137" s="2" t="s">
        <v>9506</v>
      </c>
      <c r="H2137" s="3">
        <v>0</v>
      </c>
      <c r="I2137" s="2" t="s">
        <v>18</v>
      </c>
      <c r="J2137" s="2" t="s">
        <v>9507</v>
      </c>
      <c r="K2137" s="2" t="s">
        <v>16</v>
      </c>
      <c r="L2137" s="2" t="s">
        <v>9508</v>
      </c>
      <c r="M2137" s="4">
        <v>12829.38</v>
      </c>
      <c r="N2137" t="b">
        <f>OR(LEFT(B2137,3)="frg",(_xlfn.XMATCH(B2137,ZZZ_Part_Id_[[#All],[FGCODE]])))</f>
        <v>1</v>
      </c>
    </row>
    <row r="2138" spans="1:14" x14ac:dyDescent="0.3">
      <c r="A2138" s="2" t="s">
        <v>9509</v>
      </c>
      <c r="B2138" s="2" t="s">
        <v>2168</v>
      </c>
      <c r="C2138" s="2" t="s">
        <v>9510</v>
      </c>
      <c r="D2138" s="3">
        <v>10620</v>
      </c>
      <c r="E2138" s="3">
        <v>10620</v>
      </c>
      <c r="F2138" s="2" t="s">
        <v>16</v>
      </c>
      <c r="G2138" s="2" t="s">
        <v>9511</v>
      </c>
      <c r="H2138" s="3">
        <v>0</v>
      </c>
      <c r="I2138" s="2" t="s">
        <v>18</v>
      </c>
      <c r="J2138" s="2" t="s">
        <v>9512</v>
      </c>
      <c r="K2138" s="2" t="s">
        <v>16</v>
      </c>
      <c r="L2138" s="2" t="s">
        <v>9513</v>
      </c>
      <c r="M2138" s="4">
        <v>2154.16</v>
      </c>
      <c r="N2138" t="b">
        <f>OR(LEFT(B2138,3)="frg",(_xlfn.XMATCH(B2138,ZZZ_Part_Id_[[#All],[FGCODE]])))</f>
        <v>1</v>
      </c>
    </row>
    <row r="2139" spans="1:14" x14ac:dyDescent="0.3">
      <c r="A2139" s="2" t="s">
        <v>9514</v>
      </c>
      <c r="B2139" s="2" t="s">
        <v>14</v>
      </c>
      <c r="C2139" s="2" t="s">
        <v>9515</v>
      </c>
      <c r="D2139" s="3">
        <v>10</v>
      </c>
      <c r="E2139" s="3">
        <v>10</v>
      </c>
      <c r="F2139" s="2" t="s">
        <v>16</v>
      </c>
      <c r="G2139" s="2" t="s">
        <v>9516</v>
      </c>
      <c r="H2139" s="3">
        <v>0</v>
      </c>
      <c r="I2139" s="2" t="s">
        <v>409</v>
      </c>
      <c r="J2139" s="2" t="s">
        <v>9517</v>
      </c>
      <c r="K2139" s="2" t="s">
        <v>16</v>
      </c>
      <c r="L2139" s="2" t="s">
        <v>9518</v>
      </c>
      <c r="M2139" s="4">
        <v>0.77</v>
      </c>
      <c r="N2139" t="e">
        <f>OR(LEFT(B2139,3)="frg",(_xlfn.XMATCH(B2139,ZZZ_Part_Id_[[#All],[FGCODE]])))</f>
        <v>#N/A</v>
      </c>
    </row>
    <row r="2140" spans="1:14" x14ac:dyDescent="0.3">
      <c r="A2140" s="2" t="s">
        <v>9514</v>
      </c>
      <c r="B2140" s="2" t="s">
        <v>6955</v>
      </c>
      <c r="C2140" s="2" t="s">
        <v>9519</v>
      </c>
      <c r="D2140" s="3">
        <v>146160</v>
      </c>
      <c r="E2140" s="3">
        <v>146160</v>
      </c>
      <c r="F2140" s="2" t="s">
        <v>16</v>
      </c>
      <c r="G2140" s="2" t="s">
        <v>9520</v>
      </c>
      <c r="H2140" s="3">
        <v>0</v>
      </c>
      <c r="I2140" s="2" t="s">
        <v>409</v>
      </c>
      <c r="J2140" s="2" t="s">
        <v>9521</v>
      </c>
      <c r="K2140" s="2" t="s">
        <v>16</v>
      </c>
      <c r="L2140" s="2" t="s">
        <v>9522</v>
      </c>
      <c r="M2140" s="4">
        <v>12666.22</v>
      </c>
      <c r="N2140" t="b">
        <f>OR(LEFT(B2140,3)="frg",(_xlfn.XMATCH(B2140,ZZZ_Part_Id_[[#All],[FGCODE]])))</f>
        <v>1</v>
      </c>
    </row>
    <row r="2141" spans="1:14" x14ac:dyDescent="0.3">
      <c r="A2141" s="2" t="s">
        <v>9523</v>
      </c>
      <c r="B2141" s="2" t="s">
        <v>14</v>
      </c>
      <c r="C2141" s="2" t="s">
        <v>9524</v>
      </c>
      <c r="D2141" s="3">
        <v>10</v>
      </c>
      <c r="E2141" s="3">
        <v>10</v>
      </c>
      <c r="F2141" s="2" t="s">
        <v>16</v>
      </c>
      <c r="G2141" s="2" t="s">
        <v>9525</v>
      </c>
      <c r="H2141" s="3">
        <v>0</v>
      </c>
      <c r="I2141" s="2" t="s">
        <v>409</v>
      </c>
      <c r="J2141" s="2" t="s">
        <v>9526</v>
      </c>
      <c r="K2141" s="2" t="s">
        <v>16</v>
      </c>
      <c r="L2141" s="2" t="s">
        <v>9527</v>
      </c>
      <c r="M2141" s="4">
        <v>0.77</v>
      </c>
      <c r="N2141" t="e">
        <f>OR(LEFT(B2141,3)="frg",(_xlfn.XMATCH(B2141,ZZZ_Part_Id_[[#All],[FGCODE]])))</f>
        <v>#N/A</v>
      </c>
    </row>
    <row r="2142" spans="1:14" x14ac:dyDescent="0.3">
      <c r="A2142" s="2" t="s">
        <v>9523</v>
      </c>
      <c r="B2142" s="2" t="s">
        <v>65</v>
      </c>
      <c r="C2142" s="2" t="s">
        <v>9528</v>
      </c>
      <c r="D2142" s="5">
        <v>-147</v>
      </c>
      <c r="E2142" s="5">
        <v>-147</v>
      </c>
      <c r="F2142" s="2" t="s">
        <v>23</v>
      </c>
      <c r="G2142" s="2" t="s">
        <v>9529</v>
      </c>
      <c r="H2142" s="3">
        <v>0</v>
      </c>
      <c r="I2142" s="2" t="s">
        <v>409</v>
      </c>
      <c r="J2142" s="2" t="s">
        <v>9530</v>
      </c>
      <c r="K2142" s="2" t="s">
        <v>23</v>
      </c>
      <c r="L2142" s="2" t="s">
        <v>9531</v>
      </c>
      <c r="M2142" s="6">
        <v>-378.03</v>
      </c>
      <c r="N2142" t="b">
        <f>OR(LEFT(B2142,3)="frg",(_xlfn.XMATCH(B2142,ZZZ_Part_Id_[[#All],[FGCODE]])))</f>
        <v>1</v>
      </c>
    </row>
    <row r="2143" spans="1:14" x14ac:dyDescent="0.3">
      <c r="A2143" s="2" t="s">
        <v>9523</v>
      </c>
      <c r="B2143" s="2" t="s">
        <v>2934</v>
      </c>
      <c r="C2143" s="2" t="s">
        <v>9532</v>
      </c>
      <c r="D2143" s="3">
        <v>49248</v>
      </c>
      <c r="E2143" s="3">
        <v>49248</v>
      </c>
      <c r="F2143" s="2" t="s">
        <v>16</v>
      </c>
      <c r="G2143" s="2" t="s">
        <v>9533</v>
      </c>
      <c r="H2143" s="3">
        <v>0</v>
      </c>
      <c r="I2143" s="2" t="s">
        <v>409</v>
      </c>
      <c r="J2143" s="2" t="s">
        <v>9534</v>
      </c>
      <c r="K2143" s="2" t="s">
        <v>16</v>
      </c>
      <c r="L2143" s="2" t="s">
        <v>9535</v>
      </c>
      <c r="M2143" s="4">
        <v>6123</v>
      </c>
      <c r="N2143" t="b">
        <f>OR(LEFT(B2143,3)="frg",(_xlfn.XMATCH(B2143,ZZZ_Part_Id_[[#All],[FGCODE]])))</f>
        <v>1</v>
      </c>
    </row>
    <row r="2144" spans="1:14" x14ac:dyDescent="0.3">
      <c r="A2144" s="2" t="s">
        <v>9536</v>
      </c>
      <c r="B2144" s="2" t="s">
        <v>14</v>
      </c>
      <c r="C2144" s="2" t="s">
        <v>9537</v>
      </c>
      <c r="D2144" s="3">
        <v>10</v>
      </c>
      <c r="E2144" s="3">
        <v>10</v>
      </c>
      <c r="F2144" s="2" t="s">
        <v>16</v>
      </c>
      <c r="G2144" s="2" t="s">
        <v>9538</v>
      </c>
      <c r="H2144" s="3">
        <v>0</v>
      </c>
      <c r="I2144" s="2" t="s">
        <v>18</v>
      </c>
      <c r="J2144" s="2" t="s">
        <v>9539</v>
      </c>
      <c r="K2144" s="2" t="s">
        <v>16</v>
      </c>
      <c r="L2144" s="2" t="s">
        <v>9540</v>
      </c>
      <c r="M2144" s="4">
        <v>0.77</v>
      </c>
      <c r="N2144" t="e">
        <f>OR(LEFT(B2144,3)="frg",(_xlfn.XMATCH(B2144,ZZZ_Part_Id_[[#All],[FGCODE]])))</f>
        <v>#N/A</v>
      </c>
    </row>
    <row r="2145" spans="1:14" x14ac:dyDescent="0.3">
      <c r="A2145" s="2" t="s">
        <v>9536</v>
      </c>
      <c r="B2145" s="2" t="s">
        <v>86</v>
      </c>
      <c r="C2145" s="2" t="s">
        <v>9541</v>
      </c>
      <c r="D2145" s="5">
        <v>-268</v>
      </c>
      <c r="E2145" s="5">
        <v>-268</v>
      </c>
      <c r="F2145" s="2" t="s">
        <v>23</v>
      </c>
      <c r="G2145" s="2" t="s">
        <v>9542</v>
      </c>
      <c r="H2145" s="3">
        <v>0</v>
      </c>
      <c r="I2145" s="2" t="s">
        <v>18</v>
      </c>
      <c r="J2145" s="2" t="s">
        <v>9543</v>
      </c>
      <c r="K2145" s="2" t="s">
        <v>23</v>
      </c>
      <c r="L2145" s="2" t="s">
        <v>9544</v>
      </c>
      <c r="M2145" s="6">
        <v>-701.57</v>
      </c>
      <c r="N2145" t="b">
        <f>OR(LEFT(B2145,3)="frg",(_xlfn.XMATCH(B2145,ZZZ_Part_Id_[[#All],[FGCODE]])))</f>
        <v>1</v>
      </c>
    </row>
    <row r="2146" spans="1:14" x14ac:dyDescent="0.3">
      <c r="A2146" s="2" t="s">
        <v>9536</v>
      </c>
      <c r="B2146" s="2" t="s">
        <v>4988</v>
      </c>
      <c r="C2146" s="2" t="s">
        <v>9545</v>
      </c>
      <c r="D2146" s="3">
        <v>90720</v>
      </c>
      <c r="E2146" s="3">
        <v>90720</v>
      </c>
      <c r="F2146" s="2" t="s">
        <v>16</v>
      </c>
      <c r="G2146" s="2" t="s">
        <v>9546</v>
      </c>
      <c r="H2146" s="3">
        <v>0</v>
      </c>
      <c r="I2146" s="2" t="s">
        <v>18</v>
      </c>
      <c r="J2146" s="2" t="s">
        <v>9547</v>
      </c>
      <c r="K2146" s="2" t="s">
        <v>16</v>
      </c>
      <c r="L2146" s="2" t="s">
        <v>9548</v>
      </c>
      <c r="M2146" s="4">
        <v>15375.24</v>
      </c>
      <c r="N2146" t="b">
        <f>OR(LEFT(B2146,3)="frg",(_xlfn.XMATCH(B2146,ZZZ_Part_Id_[[#All],[FGCODE]])))</f>
        <v>1</v>
      </c>
    </row>
    <row r="2147" spans="1:14" x14ac:dyDescent="0.3">
      <c r="A2147" s="2" t="s">
        <v>9549</v>
      </c>
      <c r="B2147" s="2" t="s">
        <v>14</v>
      </c>
      <c r="C2147" s="2" t="s">
        <v>9550</v>
      </c>
      <c r="D2147" s="3">
        <v>10</v>
      </c>
      <c r="E2147" s="3">
        <v>10</v>
      </c>
      <c r="F2147" s="2" t="s">
        <v>16</v>
      </c>
      <c r="G2147" s="2" t="s">
        <v>9551</v>
      </c>
      <c r="H2147" s="3">
        <v>0</v>
      </c>
      <c r="I2147" s="2" t="s">
        <v>18</v>
      </c>
      <c r="J2147" s="2" t="s">
        <v>9552</v>
      </c>
      <c r="K2147" s="2" t="s">
        <v>16</v>
      </c>
      <c r="L2147" s="2" t="s">
        <v>9553</v>
      </c>
      <c r="M2147" s="4">
        <v>0.77</v>
      </c>
      <c r="N2147" t="e">
        <f>OR(LEFT(B2147,3)="frg",(_xlfn.XMATCH(B2147,ZZZ_Part_Id_[[#All],[FGCODE]])))</f>
        <v>#N/A</v>
      </c>
    </row>
    <row r="2148" spans="1:14" x14ac:dyDescent="0.3">
      <c r="A2148" s="2" t="s">
        <v>9549</v>
      </c>
      <c r="B2148" s="2" t="s">
        <v>21</v>
      </c>
      <c r="C2148" s="2" t="s">
        <v>9554</v>
      </c>
      <c r="D2148" s="5">
        <v>-298</v>
      </c>
      <c r="E2148" s="5">
        <v>-298</v>
      </c>
      <c r="F2148" s="2" t="s">
        <v>23</v>
      </c>
      <c r="G2148" s="2" t="s">
        <v>9555</v>
      </c>
      <c r="H2148" s="3">
        <v>0</v>
      </c>
      <c r="I2148" s="2" t="s">
        <v>18</v>
      </c>
      <c r="J2148" s="2" t="s">
        <v>9556</v>
      </c>
      <c r="K2148" s="2" t="s">
        <v>23</v>
      </c>
      <c r="L2148" s="2" t="s">
        <v>9557</v>
      </c>
      <c r="M2148" s="6">
        <v>-657.51</v>
      </c>
      <c r="N2148" t="b">
        <f>OR(LEFT(B2148,3)="frg",(_xlfn.XMATCH(B2148,ZZZ_Part_Id_[[#All],[FGCODE]])))</f>
        <v>1</v>
      </c>
    </row>
    <row r="2149" spans="1:14" x14ac:dyDescent="0.3">
      <c r="A2149" s="2" t="s">
        <v>9549</v>
      </c>
      <c r="B2149" s="2" t="s">
        <v>5357</v>
      </c>
      <c r="C2149" s="2" t="s">
        <v>9558</v>
      </c>
      <c r="D2149" s="3">
        <v>52992</v>
      </c>
      <c r="E2149" s="3">
        <v>52992</v>
      </c>
      <c r="F2149" s="2" t="s">
        <v>16</v>
      </c>
      <c r="G2149" s="2" t="s">
        <v>9559</v>
      </c>
      <c r="H2149" s="3">
        <v>0</v>
      </c>
      <c r="I2149" s="2" t="s">
        <v>18</v>
      </c>
      <c r="J2149" s="2" t="s">
        <v>9560</v>
      </c>
      <c r="K2149" s="2" t="s">
        <v>16</v>
      </c>
      <c r="L2149" s="2" t="s">
        <v>9561</v>
      </c>
      <c r="M2149" s="4">
        <v>15748.72</v>
      </c>
      <c r="N2149" t="b">
        <f>OR(LEFT(B2149,3)="frg",(_xlfn.XMATCH(B2149,ZZZ_Part_Id_[[#All],[FGCODE]])))</f>
        <v>1</v>
      </c>
    </row>
    <row r="2150" spans="1:14" x14ac:dyDescent="0.3">
      <c r="A2150" s="2" t="s">
        <v>9562</v>
      </c>
      <c r="B2150" s="2" t="s">
        <v>14</v>
      </c>
      <c r="C2150" s="2" t="s">
        <v>9563</v>
      </c>
      <c r="D2150" s="3">
        <v>10</v>
      </c>
      <c r="E2150" s="3">
        <v>10</v>
      </c>
      <c r="F2150" s="2" t="s">
        <v>16</v>
      </c>
      <c r="G2150" s="2" t="s">
        <v>9564</v>
      </c>
      <c r="H2150" s="3">
        <v>0</v>
      </c>
      <c r="I2150" s="2" t="s">
        <v>18</v>
      </c>
      <c r="J2150" s="2" t="s">
        <v>9565</v>
      </c>
      <c r="K2150" s="2" t="s">
        <v>16</v>
      </c>
      <c r="L2150" s="2" t="s">
        <v>9566</v>
      </c>
      <c r="M2150" s="4">
        <v>0.77</v>
      </c>
      <c r="N2150" t="e">
        <f>OR(LEFT(B2150,3)="frg",(_xlfn.XMATCH(B2150,ZZZ_Part_Id_[[#All],[FGCODE]])))</f>
        <v>#N/A</v>
      </c>
    </row>
    <row r="2151" spans="1:14" x14ac:dyDescent="0.3">
      <c r="A2151" s="2" t="s">
        <v>9562</v>
      </c>
      <c r="B2151" s="2" t="s">
        <v>5477</v>
      </c>
      <c r="C2151" s="2" t="s">
        <v>9567</v>
      </c>
      <c r="D2151" s="3">
        <v>26496</v>
      </c>
      <c r="E2151" s="3">
        <v>26496</v>
      </c>
      <c r="F2151" s="2" t="s">
        <v>16</v>
      </c>
      <c r="G2151" s="2" t="s">
        <v>9568</v>
      </c>
      <c r="H2151" s="3">
        <v>0</v>
      </c>
      <c r="I2151" s="2" t="s">
        <v>18</v>
      </c>
      <c r="J2151" s="2" t="s">
        <v>9569</v>
      </c>
      <c r="K2151" s="2" t="s">
        <v>16</v>
      </c>
      <c r="L2151" s="2" t="s">
        <v>9570</v>
      </c>
      <c r="M2151" s="4">
        <v>7874.36</v>
      </c>
      <c r="N2151" t="b">
        <f>OR(LEFT(B2151,3)="frg",(_xlfn.XMATCH(B2151,ZZZ_Part_Id_[[#All],[FGCODE]])))</f>
        <v>1</v>
      </c>
    </row>
    <row r="2152" spans="1:14" x14ac:dyDescent="0.3">
      <c r="A2152" s="2" t="s">
        <v>9571</v>
      </c>
      <c r="B2152" s="2" t="s">
        <v>14</v>
      </c>
      <c r="C2152" s="2" t="s">
        <v>9572</v>
      </c>
      <c r="D2152" s="3">
        <v>14</v>
      </c>
      <c r="E2152" s="3">
        <v>14</v>
      </c>
      <c r="F2152" s="2" t="s">
        <v>16</v>
      </c>
      <c r="G2152" s="2" t="s">
        <v>9573</v>
      </c>
      <c r="H2152" s="3">
        <v>0</v>
      </c>
      <c r="I2152" s="2" t="s">
        <v>18</v>
      </c>
      <c r="J2152" s="2" t="s">
        <v>9574</v>
      </c>
      <c r="K2152" s="2" t="s">
        <v>16</v>
      </c>
      <c r="L2152" s="2" t="s">
        <v>9575</v>
      </c>
      <c r="M2152" s="4">
        <v>1.08</v>
      </c>
      <c r="N2152" t="e">
        <f>OR(LEFT(B2152,3)="frg",(_xlfn.XMATCH(B2152,ZZZ_Part_Id_[[#All],[FGCODE]])))</f>
        <v>#N/A</v>
      </c>
    </row>
    <row r="2153" spans="1:14" x14ac:dyDescent="0.3">
      <c r="A2153" s="2" t="s">
        <v>9571</v>
      </c>
      <c r="B2153" s="2" t="s">
        <v>5357</v>
      </c>
      <c r="C2153" s="2" t="s">
        <v>9576</v>
      </c>
      <c r="D2153" s="3">
        <v>86112</v>
      </c>
      <c r="E2153" s="3">
        <v>86112</v>
      </c>
      <c r="F2153" s="2" t="s">
        <v>16</v>
      </c>
      <c r="G2153" s="2" t="s">
        <v>9577</v>
      </c>
      <c r="H2153" s="3">
        <v>0</v>
      </c>
      <c r="I2153" s="2" t="s">
        <v>18</v>
      </c>
      <c r="J2153" s="2" t="s">
        <v>9578</v>
      </c>
      <c r="K2153" s="2" t="s">
        <v>16</v>
      </c>
      <c r="L2153" s="2" t="s">
        <v>9579</v>
      </c>
      <c r="M2153" s="4">
        <v>25591.67</v>
      </c>
      <c r="N2153" t="b">
        <f>OR(LEFT(B2153,3)="frg",(_xlfn.XMATCH(B2153,ZZZ_Part_Id_[[#All],[FGCODE]])))</f>
        <v>1</v>
      </c>
    </row>
    <row r="2154" spans="1:14" x14ac:dyDescent="0.3">
      <c r="A2154" s="2" t="s">
        <v>9580</v>
      </c>
      <c r="B2154" s="2" t="s">
        <v>14</v>
      </c>
      <c r="C2154" s="2" t="s">
        <v>9581</v>
      </c>
      <c r="D2154" s="3">
        <v>4</v>
      </c>
      <c r="E2154" s="3">
        <v>4</v>
      </c>
      <c r="F2154" s="2" t="s">
        <v>16</v>
      </c>
      <c r="G2154" s="2" t="s">
        <v>9582</v>
      </c>
      <c r="H2154" s="3">
        <v>0</v>
      </c>
      <c r="I2154" s="2" t="s">
        <v>18</v>
      </c>
      <c r="J2154" s="2" t="s">
        <v>9583</v>
      </c>
      <c r="K2154" s="2" t="s">
        <v>16</v>
      </c>
      <c r="L2154" s="2" t="s">
        <v>9584</v>
      </c>
      <c r="M2154" s="4">
        <v>0.31</v>
      </c>
      <c r="N2154" t="e">
        <f>OR(LEFT(B2154,3)="frg",(_xlfn.XMATCH(B2154,ZZZ_Part_Id_[[#All],[FGCODE]])))</f>
        <v>#N/A</v>
      </c>
    </row>
    <row r="2155" spans="1:14" x14ac:dyDescent="0.3">
      <c r="A2155" s="2" t="s">
        <v>9580</v>
      </c>
      <c r="B2155" s="2" t="s">
        <v>91</v>
      </c>
      <c r="C2155" s="2" t="s">
        <v>9585</v>
      </c>
      <c r="D2155" s="3">
        <v>81000</v>
      </c>
      <c r="E2155" s="3">
        <v>81000</v>
      </c>
      <c r="F2155" s="2" t="s">
        <v>16</v>
      </c>
      <c r="G2155" s="2" t="s">
        <v>9586</v>
      </c>
      <c r="H2155" s="3">
        <v>0</v>
      </c>
      <c r="I2155" s="2" t="s">
        <v>18</v>
      </c>
      <c r="J2155" s="2" t="s">
        <v>9587</v>
      </c>
      <c r="K2155" s="2" t="s">
        <v>16</v>
      </c>
      <c r="L2155" s="2" t="s">
        <v>9588</v>
      </c>
      <c r="M2155" s="4">
        <v>4702.05</v>
      </c>
      <c r="N2155" t="b">
        <f>OR(LEFT(B2155,3)="frg",(_xlfn.XMATCH(B2155,ZZZ_Part_Id_[[#All],[FGCODE]])))</f>
        <v>1</v>
      </c>
    </row>
    <row r="2156" spans="1:14" x14ac:dyDescent="0.3">
      <c r="A2156" s="2" t="s">
        <v>9589</v>
      </c>
      <c r="B2156" s="2" t="s">
        <v>14</v>
      </c>
      <c r="C2156" s="2" t="s">
        <v>9590</v>
      </c>
      <c r="D2156" s="3">
        <v>10</v>
      </c>
      <c r="E2156" s="3">
        <v>10</v>
      </c>
      <c r="F2156" s="2" t="s">
        <v>16</v>
      </c>
      <c r="G2156" s="2" t="s">
        <v>9591</v>
      </c>
      <c r="H2156" s="3">
        <v>0</v>
      </c>
      <c r="I2156" s="2" t="s">
        <v>18</v>
      </c>
      <c r="J2156" s="2" t="s">
        <v>9592</v>
      </c>
      <c r="K2156" s="2" t="s">
        <v>16</v>
      </c>
      <c r="L2156" s="2" t="s">
        <v>9593</v>
      </c>
      <c r="M2156" s="4">
        <v>0.77</v>
      </c>
      <c r="N2156" t="e">
        <f>OR(LEFT(B2156,3)="frg",(_xlfn.XMATCH(B2156,ZZZ_Part_Id_[[#All],[FGCODE]])))</f>
        <v>#N/A</v>
      </c>
    </row>
    <row r="2157" spans="1:14" x14ac:dyDescent="0.3">
      <c r="A2157" s="2" t="s">
        <v>9589</v>
      </c>
      <c r="B2157" s="2" t="s">
        <v>86</v>
      </c>
      <c r="C2157" s="2" t="s">
        <v>9594</v>
      </c>
      <c r="D2157" s="5">
        <v>-268</v>
      </c>
      <c r="E2157" s="5">
        <v>-268</v>
      </c>
      <c r="F2157" s="2" t="s">
        <v>23</v>
      </c>
      <c r="G2157" s="2" t="s">
        <v>9595</v>
      </c>
      <c r="H2157" s="3">
        <v>0</v>
      </c>
      <c r="I2157" s="2" t="s">
        <v>18</v>
      </c>
      <c r="J2157" s="2" t="s">
        <v>9596</v>
      </c>
      <c r="K2157" s="2" t="s">
        <v>23</v>
      </c>
      <c r="L2157" s="2" t="s">
        <v>9597</v>
      </c>
      <c r="M2157" s="6">
        <v>-701.57</v>
      </c>
      <c r="N2157" t="b">
        <f>OR(LEFT(B2157,3)="frg",(_xlfn.XMATCH(B2157,ZZZ_Part_Id_[[#All],[FGCODE]])))</f>
        <v>1</v>
      </c>
    </row>
    <row r="2158" spans="1:14" x14ac:dyDescent="0.3">
      <c r="A2158" s="2" t="s">
        <v>9589</v>
      </c>
      <c r="B2158" s="2" t="s">
        <v>4988</v>
      </c>
      <c r="C2158" s="2" t="s">
        <v>9598</v>
      </c>
      <c r="D2158" s="3">
        <v>70560</v>
      </c>
      <c r="E2158" s="3">
        <v>70560</v>
      </c>
      <c r="F2158" s="2" t="s">
        <v>16</v>
      </c>
      <c r="G2158" s="2" t="s">
        <v>9599</v>
      </c>
      <c r="H2158" s="3">
        <v>0</v>
      </c>
      <c r="I2158" s="2" t="s">
        <v>18</v>
      </c>
      <c r="J2158" s="2" t="s">
        <v>9600</v>
      </c>
      <c r="K2158" s="2" t="s">
        <v>16</v>
      </c>
      <c r="L2158" s="2" t="s">
        <v>9601</v>
      </c>
      <c r="M2158" s="4">
        <v>11958.52</v>
      </c>
      <c r="N2158" t="b">
        <f>OR(LEFT(B2158,3)="frg",(_xlfn.XMATCH(B2158,ZZZ_Part_Id_[[#All],[FGCODE]])))</f>
        <v>1</v>
      </c>
    </row>
    <row r="2159" spans="1:14" x14ac:dyDescent="0.3">
      <c r="A2159" s="2" t="s">
        <v>9602</v>
      </c>
      <c r="B2159" s="2" t="s">
        <v>14</v>
      </c>
      <c r="C2159" s="2" t="s">
        <v>9603</v>
      </c>
      <c r="D2159" s="3">
        <v>35</v>
      </c>
      <c r="E2159" s="3">
        <v>35</v>
      </c>
      <c r="F2159" s="2" t="s">
        <v>16</v>
      </c>
      <c r="G2159" s="2" t="s">
        <v>9604</v>
      </c>
      <c r="H2159" s="3">
        <v>0</v>
      </c>
      <c r="I2159" s="2" t="s">
        <v>409</v>
      </c>
      <c r="J2159" s="2" t="s">
        <v>9605</v>
      </c>
      <c r="K2159" s="2" t="s">
        <v>16</v>
      </c>
      <c r="L2159" s="2" t="s">
        <v>9606</v>
      </c>
      <c r="M2159" s="4">
        <v>2.69</v>
      </c>
      <c r="N2159" t="e">
        <f>OR(LEFT(B2159,3)="frg",(_xlfn.XMATCH(B2159,ZZZ_Part_Id_[[#All],[FGCODE]])))</f>
        <v>#N/A</v>
      </c>
    </row>
    <row r="2160" spans="1:14" x14ac:dyDescent="0.3">
      <c r="A2160" s="2" t="s">
        <v>9602</v>
      </c>
      <c r="B2160" s="2" t="s">
        <v>172</v>
      </c>
      <c r="C2160" s="2" t="s">
        <v>9607</v>
      </c>
      <c r="D2160" s="3">
        <v>10</v>
      </c>
      <c r="E2160" s="3">
        <v>10</v>
      </c>
      <c r="F2160" s="2" t="s">
        <v>23</v>
      </c>
      <c r="G2160" s="2" t="s">
        <v>9608</v>
      </c>
      <c r="H2160" s="3">
        <v>0</v>
      </c>
      <c r="I2160" s="2" t="s">
        <v>409</v>
      </c>
      <c r="J2160" s="2" t="s">
        <v>9609</v>
      </c>
      <c r="K2160" s="2" t="s">
        <v>23</v>
      </c>
      <c r="L2160" s="2" t="s">
        <v>9610</v>
      </c>
      <c r="M2160" s="4">
        <v>70.739999999999995</v>
      </c>
      <c r="N2160" t="e">
        <f>OR(LEFT(B2160,3)="frg",(_xlfn.XMATCH(B2160,ZZZ_Part_Id_[[#All],[FGCODE]])))</f>
        <v>#N/A</v>
      </c>
    </row>
    <row r="2161" spans="1:14" x14ac:dyDescent="0.3">
      <c r="A2161" s="2" t="s">
        <v>9602</v>
      </c>
      <c r="B2161" s="2" t="s">
        <v>5357</v>
      </c>
      <c r="C2161" s="2" t="s">
        <v>9611</v>
      </c>
      <c r="D2161" s="3">
        <v>231840</v>
      </c>
      <c r="E2161" s="3">
        <v>231840</v>
      </c>
      <c r="F2161" s="2" t="s">
        <v>16</v>
      </c>
      <c r="G2161" s="2" t="s">
        <v>9612</v>
      </c>
      <c r="H2161" s="3">
        <v>0</v>
      </c>
      <c r="I2161" s="2" t="s">
        <v>409</v>
      </c>
      <c r="J2161" s="2" t="s">
        <v>9613</v>
      </c>
      <c r="K2161" s="2" t="s">
        <v>16</v>
      </c>
      <c r="L2161" s="2" t="s">
        <v>9614</v>
      </c>
      <c r="M2161" s="4">
        <v>68900.649999999994</v>
      </c>
      <c r="N2161" t="b">
        <f>OR(LEFT(B2161,3)="frg",(_xlfn.XMATCH(B2161,ZZZ_Part_Id_[[#All],[FGCODE]])))</f>
        <v>1</v>
      </c>
    </row>
    <row r="2162" spans="1:14" x14ac:dyDescent="0.3">
      <c r="A2162" s="2" t="s">
        <v>9615</v>
      </c>
      <c r="B2162" s="2" t="s">
        <v>172</v>
      </c>
      <c r="C2162" s="2" t="s">
        <v>9616</v>
      </c>
      <c r="D2162" s="3">
        <v>20</v>
      </c>
      <c r="E2162" s="3">
        <v>20</v>
      </c>
      <c r="F2162" s="2" t="s">
        <v>23</v>
      </c>
      <c r="G2162" s="2" t="s">
        <v>9617</v>
      </c>
      <c r="H2162" s="3">
        <v>0</v>
      </c>
      <c r="I2162" s="2" t="s">
        <v>18</v>
      </c>
      <c r="J2162" s="2" t="s">
        <v>9618</v>
      </c>
      <c r="K2162" s="2" t="s">
        <v>23</v>
      </c>
      <c r="L2162" s="2" t="s">
        <v>9619</v>
      </c>
      <c r="M2162" s="4">
        <v>141.47</v>
      </c>
      <c r="N2162" t="e">
        <f>OR(LEFT(B2162,3)="frg",(_xlfn.XMATCH(B2162,ZZZ_Part_Id_[[#All],[FGCODE]])))</f>
        <v>#N/A</v>
      </c>
    </row>
    <row r="2163" spans="1:14" x14ac:dyDescent="0.3">
      <c r="A2163" s="2" t="s">
        <v>9615</v>
      </c>
      <c r="B2163" s="2" t="s">
        <v>740</v>
      </c>
      <c r="C2163" s="2" t="s">
        <v>9620</v>
      </c>
      <c r="D2163" s="3">
        <v>1008900</v>
      </c>
      <c r="E2163" s="3">
        <v>1008900</v>
      </c>
      <c r="F2163" s="2" t="s">
        <v>16</v>
      </c>
      <c r="G2163" s="2" t="s">
        <v>9621</v>
      </c>
      <c r="H2163" s="3">
        <v>0</v>
      </c>
      <c r="I2163" s="2" t="s">
        <v>18</v>
      </c>
      <c r="J2163" s="2" t="s">
        <v>9622</v>
      </c>
      <c r="K2163" s="2" t="s">
        <v>16</v>
      </c>
      <c r="L2163" s="2" t="s">
        <v>9623</v>
      </c>
      <c r="M2163" s="4">
        <v>200559.25</v>
      </c>
      <c r="N2163" t="b">
        <f>OR(LEFT(B2163,3)="frg",(_xlfn.XMATCH(B2163,ZZZ_Part_Id_[[#All],[FGCODE]])))</f>
        <v>1</v>
      </c>
    </row>
    <row r="2164" spans="1:14" x14ac:dyDescent="0.3">
      <c r="A2164" s="2" t="s">
        <v>9624</v>
      </c>
      <c r="B2164" s="2" t="s">
        <v>14</v>
      </c>
      <c r="C2164" s="2" t="s">
        <v>9625</v>
      </c>
      <c r="D2164" s="3">
        <v>14</v>
      </c>
      <c r="E2164" s="3">
        <v>14</v>
      </c>
      <c r="F2164" s="2" t="s">
        <v>16</v>
      </c>
      <c r="G2164" s="2" t="s">
        <v>9626</v>
      </c>
      <c r="H2164" s="3">
        <v>0</v>
      </c>
      <c r="I2164" s="2" t="s">
        <v>409</v>
      </c>
      <c r="J2164" s="2" t="s">
        <v>9627</v>
      </c>
      <c r="K2164" s="2" t="s">
        <v>16</v>
      </c>
      <c r="L2164" s="2" t="s">
        <v>9628</v>
      </c>
      <c r="M2164" s="4">
        <v>1.08</v>
      </c>
      <c r="N2164" t="e">
        <f>OR(LEFT(B2164,3)="frg",(_xlfn.XMATCH(B2164,ZZZ_Part_Id_[[#All],[FGCODE]])))</f>
        <v>#N/A</v>
      </c>
    </row>
    <row r="2165" spans="1:14" x14ac:dyDescent="0.3">
      <c r="A2165" s="2" t="s">
        <v>9624</v>
      </c>
      <c r="B2165" s="2" t="s">
        <v>4791</v>
      </c>
      <c r="C2165" s="2" t="s">
        <v>9629</v>
      </c>
      <c r="D2165" s="3">
        <v>79488</v>
      </c>
      <c r="E2165" s="3">
        <v>79488</v>
      </c>
      <c r="F2165" s="2" t="s">
        <v>16</v>
      </c>
      <c r="G2165" s="2" t="s">
        <v>9630</v>
      </c>
      <c r="H2165" s="3">
        <v>0</v>
      </c>
      <c r="I2165" s="2" t="s">
        <v>409</v>
      </c>
      <c r="J2165" s="2" t="s">
        <v>9631</v>
      </c>
      <c r="K2165" s="2" t="s">
        <v>16</v>
      </c>
      <c r="L2165" s="2" t="s">
        <v>9632</v>
      </c>
      <c r="M2165" s="4">
        <v>23340.84</v>
      </c>
      <c r="N2165" t="b">
        <f>OR(LEFT(B2165,3)="frg",(_xlfn.XMATCH(B2165,ZZZ_Part_Id_[[#All],[FGCODE]])))</f>
        <v>1</v>
      </c>
    </row>
    <row r="2166" spans="1:14" x14ac:dyDescent="0.3">
      <c r="A2166" s="2" t="s">
        <v>9633</v>
      </c>
      <c r="B2166" s="2" t="s">
        <v>14</v>
      </c>
      <c r="C2166" s="2" t="s">
        <v>9634</v>
      </c>
      <c r="D2166" s="3">
        <v>4</v>
      </c>
      <c r="E2166" s="3">
        <v>4</v>
      </c>
      <c r="F2166" s="2" t="s">
        <v>16</v>
      </c>
      <c r="G2166" s="2" t="s">
        <v>9635</v>
      </c>
      <c r="H2166" s="3">
        <v>0</v>
      </c>
      <c r="I2166" s="2" t="s">
        <v>18</v>
      </c>
      <c r="J2166" s="2" t="s">
        <v>9636</v>
      </c>
      <c r="K2166" s="2" t="s">
        <v>16</v>
      </c>
      <c r="L2166" s="2" t="s">
        <v>9637</v>
      </c>
      <c r="M2166" s="4">
        <v>0.31</v>
      </c>
      <c r="N2166" t="e">
        <f>OR(LEFT(B2166,3)="frg",(_xlfn.XMATCH(B2166,ZZZ_Part_Id_[[#All],[FGCODE]])))</f>
        <v>#N/A</v>
      </c>
    </row>
    <row r="2167" spans="1:14" x14ac:dyDescent="0.3">
      <c r="A2167" s="2" t="s">
        <v>9633</v>
      </c>
      <c r="B2167" s="2" t="s">
        <v>293</v>
      </c>
      <c r="C2167" s="2" t="s">
        <v>9638</v>
      </c>
      <c r="D2167" s="3">
        <v>31968</v>
      </c>
      <c r="E2167" s="3">
        <v>31968</v>
      </c>
      <c r="F2167" s="2" t="s">
        <v>16</v>
      </c>
      <c r="G2167" s="2" t="s">
        <v>9639</v>
      </c>
      <c r="H2167" s="3">
        <v>0</v>
      </c>
      <c r="I2167" s="2" t="s">
        <v>18</v>
      </c>
      <c r="J2167" s="2" t="s">
        <v>9640</v>
      </c>
      <c r="K2167" s="2" t="s">
        <v>16</v>
      </c>
      <c r="L2167" s="2" t="s">
        <v>9641</v>
      </c>
      <c r="M2167" s="4">
        <v>1974.33</v>
      </c>
      <c r="N2167" t="b">
        <f>OR(LEFT(B2167,3)="frg",(_xlfn.XMATCH(B2167,ZZZ_Part_Id_[[#All],[FGCODE]])))</f>
        <v>1</v>
      </c>
    </row>
    <row r="2168" spans="1:14" x14ac:dyDescent="0.3">
      <c r="A2168" s="2" t="s">
        <v>9642</v>
      </c>
      <c r="B2168" s="2" t="s">
        <v>740</v>
      </c>
      <c r="C2168" s="2" t="s">
        <v>9643</v>
      </c>
      <c r="D2168" s="3">
        <v>31860</v>
      </c>
      <c r="E2168" s="3">
        <v>31860</v>
      </c>
      <c r="F2168" s="2" t="s">
        <v>16</v>
      </c>
      <c r="G2168" s="2" t="s">
        <v>9644</v>
      </c>
      <c r="H2168" s="3">
        <v>0</v>
      </c>
      <c r="I2168" s="2" t="s">
        <v>18</v>
      </c>
      <c r="J2168" s="2" t="s">
        <v>9645</v>
      </c>
      <c r="K2168" s="2" t="s">
        <v>16</v>
      </c>
      <c r="L2168" s="2" t="s">
        <v>9646</v>
      </c>
      <c r="M2168" s="4">
        <v>6333.45</v>
      </c>
      <c r="N2168" t="b">
        <f>OR(LEFT(B2168,3)="frg",(_xlfn.XMATCH(B2168,ZZZ_Part_Id_[[#All],[FGCODE]])))</f>
        <v>1</v>
      </c>
    </row>
    <row r="2169" spans="1:14" x14ac:dyDescent="0.3">
      <c r="A2169" s="2" t="s">
        <v>9647</v>
      </c>
      <c r="B2169" s="2" t="s">
        <v>65</v>
      </c>
      <c r="C2169" s="2" t="s">
        <v>9648</v>
      </c>
      <c r="D2169" s="5">
        <v>-646</v>
      </c>
      <c r="E2169" s="5">
        <v>-646</v>
      </c>
      <c r="F2169" s="2" t="s">
        <v>23</v>
      </c>
      <c r="G2169" s="2" t="s">
        <v>9649</v>
      </c>
      <c r="H2169" s="3">
        <v>0</v>
      </c>
      <c r="I2169" s="2" t="s">
        <v>18</v>
      </c>
      <c r="J2169" s="2" t="s">
        <v>9650</v>
      </c>
      <c r="K2169" s="2" t="s">
        <v>23</v>
      </c>
      <c r="L2169" s="2" t="s">
        <v>9651</v>
      </c>
      <c r="M2169" s="6">
        <v>-1661.25</v>
      </c>
      <c r="N2169" t="b">
        <f>OR(LEFT(B2169,3)="frg",(_xlfn.XMATCH(B2169,ZZZ_Part_Id_[[#All],[FGCODE]])))</f>
        <v>1</v>
      </c>
    </row>
    <row r="2170" spans="1:14" x14ac:dyDescent="0.3">
      <c r="A2170" s="2" t="s">
        <v>9647</v>
      </c>
      <c r="B2170" s="2" t="s">
        <v>103</v>
      </c>
      <c r="C2170" s="2" t="s">
        <v>9652</v>
      </c>
      <c r="D2170" s="3">
        <v>138060</v>
      </c>
      <c r="E2170" s="3">
        <v>138060</v>
      </c>
      <c r="F2170" s="2" t="s">
        <v>16</v>
      </c>
      <c r="G2170" s="2" t="s">
        <v>9653</v>
      </c>
      <c r="H2170" s="3">
        <v>0</v>
      </c>
      <c r="I2170" s="2" t="s">
        <v>18</v>
      </c>
      <c r="J2170" s="2" t="s">
        <v>9654</v>
      </c>
      <c r="K2170" s="2" t="s">
        <v>16</v>
      </c>
      <c r="L2170" s="2" t="s">
        <v>9655</v>
      </c>
      <c r="M2170" s="4">
        <v>27642.42</v>
      </c>
      <c r="N2170" t="b">
        <f>OR(LEFT(B2170,3)="frg",(_xlfn.XMATCH(B2170,ZZZ_Part_Id_[[#All],[FGCODE]])))</f>
        <v>1</v>
      </c>
    </row>
    <row r="2171" spans="1:14" x14ac:dyDescent="0.3">
      <c r="A2171" s="2" t="s">
        <v>9656</v>
      </c>
      <c r="B2171" s="2" t="s">
        <v>14</v>
      </c>
      <c r="C2171" s="2" t="s">
        <v>9657</v>
      </c>
      <c r="D2171" s="3">
        <v>14</v>
      </c>
      <c r="E2171" s="3">
        <v>14</v>
      </c>
      <c r="F2171" s="2" t="s">
        <v>16</v>
      </c>
      <c r="G2171" s="2" t="s">
        <v>9658</v>
      </c>
      <c r="H2171" s="3">
        <v>0</v>
      </c>
      <c r="I2171" s="2" t="s">
        <v>18</v>
      </c>
      <c r="J2171" s="2" t="s">
        <v>9659</v>
      </c>
      <c r="K2171" s="2" t="s">
        <v>16</v>
      </c>
      <c r="L2171" s="2" t="s">
        <v>9660</v>
      </c>
      <c r="M2171" s="4">
        <v>1.08</v>
      </c>
      <c r="N2171" t="e">
        <f>OR(LEFT(B2171,3)="frg",(_xlfn.XMATCH(B2171,ZZZ_Part_Id_[[#All],[FGCODE]])))</f>
        <v>#N/A</v>
      </c>
    </row>
    <row r="2172" spans="1:14" x14ac:dyDescent="0.3">
      <c r="A2172" s="2" t="s">
        <v>9656</v>
      </c>
      <c r="B2172" s="2" t="s">
        <v>1093</v>
      </c>
      <c r="C2172" s="2" t="s">
        <v>9661</v>
      </c>
      <c r="D2172" s="3">
        <v>250560</v>
      </c>
      <c r="E2172" s="3">
        <v>250560</v>
      </c>
      <c r="F2172" s="2" t="s">
        <v>16</v>
      </c>
      <c r="G2172" s="2" t="s">
        <v>9662</v>
      </c>
      <c r="H2172" s="3">
        <v>0</v>
      </c>
      <c r="I2172" s="2" t="s">
        <v>18</v>
      </c>
      <c r="J2172" s="2" t="s">
        <v>9663</v>
      </c>
      <c r="K2172" s="2" t="s">
        <v>16</v>
      </c>
      <c r="L2172" s="2" t="s">
        <v>9664</v>
      </c>
      <c r="M2172" s="4">
        <v>21395.279999999999</v>
      </c>
      <c r="N2172" t="b">
        <f>OR(LEFT(B2172,3)="frg",(_xlfn.XMATCH(B2172,ZZZ_Part_Id_[[#All],[FGCODE]])))</f>
        <v>1</v>
      </c>
    </row>
    <row r="2173" spans="1:14" x14ac:dyDescent="0.3">
      <c r="A2173" s="2" t="s">
        <v>9665</v>
      </c>
      <c r="B2173" s="2" t="s">
        <v>14</v>
      </c>
      <c r="C2173" s="2" t="s">
        <v>9666</v>
      </c>
      <c r="D2173" s="3">
        <v>10</v>
      </c>
      <c r="E2173" s="3">
        <v>10</v>
      </c>
      <c r="F2173" s="2" t="s">
        <v>16</v>
      </c>
      <c r="G2173" s="2" t="s">
        <v>9667</v>
      </c>
      <c r="H2173" s="3">
        <v>0</v>
      </c>
      <c r="I2173" s="2" t="s">
        <v>409</v>
      </c>
      <c r="J2173" s="2" t="s">
        <v>9668</v>
      </c>
      <c r="K2173" s="2" t="s">
        <v>16</v>
      </c>
      <c r="L2173" s="2" t="s">
        <v>9669</v>
      </c>
      <c r="M2173" s="4">
        <v>0.77</v>
      </c>
      <c r="N2173" t="e">
        <f>OR(LEFT(B2173,3)="frg",(_xlfn.XMATCH(B2173,ZZZ_Part_Id_[[#All],[FGCODE]])))</f>
        <v>#N/A</v>
      </c>
    </row>
    <row r="2174" spans="1:14" x14ac:dyDescent="0.3">
      <c r="A2174" s="2" t="s">
        <v>9665</v>
      </c>
      <c r="B2174" s="2" t="s">
        <v>6244</v>
      </c>
      <c r="C2174" s="2" t="s">
        <v>9670</v>
      </c>
      <c r="D2174" s="3">
        <v>19872</v>
      </c>
      <c r="E2174" s="3">
        <v>19872</v>
      </c>
      <c r="F2174" s="2" t="s">
        <v>16</v>
      </c>
      <c r="G2174" s="2" t="s">
        <v>9671</v>
      </c>
      <c r="H2174" s="3">
        <v>0</v>
      </c>
      <c r="I2174" s="2" t="s">
        <v>409</v>
      </c>
      <c r="J2174" s="2" t="s">
        <v>9672</v>
      </c>
      <c r="K2174" s="2" t="s">
        <v>16</v>
      </c>
      <c r="L2174" s="2" t="s">
        <v>9673</v>
      </c>
      <c r="M2174" s="4">
        <v>6545.85</v>
      </c>
      <c r="N2174" t="b">
        <f>OR(LEFT(B2174,3)="frg",(_xlfn.XMATCH(B2174,ZZZ_Part_Id_[[#All],[FGCODE]])))</f>
        <v>1</v>
      </c>
    </row>
    <row r="2175" spans="1:14" x14ac:dyDescent="0.3">
      <c r="A2175" s="2" t="s">
        <v>9674</v>
      </c>
      <c r="B2175" s="2" t="s">
        <v>14</v>
      </c>
      <c r="C2175" s="2" t="s">
        <v>9675</v>
      </c>
      <c r="D2175" s="3">
        <v>40</v>
      </c>
      <c r="E2175" s="3">
        <v>40</v>
      </c>
      <c r="F2175" s="2" t="s">
        <v>16</v>
      </c>
      <c r="G2175" s="2" t="s">
        <v>9676</v>
      </c>
      <c r="H2175" s="3">
        <v>0</v>
      </c>
      <c r="I2175" s="2" t="s">
        <v>18</v>
      </c>
      <c r="J2175" s="2" t="s">
        <v>9677</v>
      </c>
      <c r="K2175" s="2" t="s">
        <v>16</v>
      </c>
      <c r="L2175" s="2" t="s">
        <v>9678</v>
      </c>
      <c r="M2175" s="4">
        <v>3.08</v>
      </c>
      <c r="N2175" t="e">
        <f>OR(LEFT(B2175,3)="frg",(_xlfn.XMATCH(B2175,ZZZ_Part_Id_[[#All],[FGCODE]])))</f>
        <v>#N/A</v>
      </c>
    </row>
    <row r="2176" spans="1:14" x14ac:dyDescent="0.3">
      <c r="A2176" s="2" t="s">
        <v>9674</v>
      </c>
      <c r="B2176" s="2" t="s">
        <v>1093</v>
      </c>
      <c r="C2176" s="2" t="s">
        <v>9679</v>
      </c>
      <c r="D2176" s="3">
        <v>751680</v>
      </c>
      <c r="E2176" s="3">
        <v>751680</v>
      </c>
      <c r="F2176" s="2" t="s">
        <v>16</v>
      </c>
      <c r="G2176" s="2" t="s">
        <v>9680</v>
      </c>
      <c r="H2176" s="3">
        <v>0</v>
      </c>
      <c r="I2176" s="2" t="s">
        <v>18</v>
      </c>
      <c r="J2176" s="2" t="s">
        <v>9681</v>
      </c>
      <c r="K2176" s="2" t="s">
        <v>16</v>
      </c>
      <c r="L2176" s="2" t="s">
        <v>9682</v>
      </c>
      <c r="M2176" s="4">
        <v>64185.84</v>
      </c>
      <c r="N2176" t="b">
        <f>OR(LEFT(B2176,3)="frg",(_xlfn.XMATCH(B2176,ZZZ_Part_Id_[[#All],[FGCODE]])))</f>
        <v>1</v>
      </c>
    </row>
    <row r="2177" spans="1:14" x14ac:dyDescent="0.3">
      <c r="A2177" s="2" t="s">
        <v>9683</v>
      </c>
      <c r="B2177" s="2" t="s">
        <v>1027</v>
      </c>
      <c r="C2177" s="2" t="s">
        <v>9684</v>
      </c>
      <c r="D2177" s="3">
        <v>382320</v>
      </c>
      <c r="E2177" s="3">
        <v>382320</v>
      </c>
      <c r="F2177" s="2" t="s">
        <v>16</v>
      </c>
      <c r="G2177" s="2" t="s">
        <v>9685</v>
      </c>
      <c r="H2177" s="3">
        <v>0</v>
      </c>
      <c r="I2177" s="2" t="s">
        <v>409</v>
      </c>
      <c r="J2177" s="2" t="s">
        <v>9686</v>
      </c>
      <c r="K2177" s="2" t="s">
        <v>16</v>
      </c>
      <c r="L2177" s="2" t="s">
        <v>9687</v>
      </c>
      <c r="M2177" s="4">
        <v>76976.28</v>
      </c>
      <c r="N2177" t="b">
        <f>OR(LEFT(B2177,3)="frg",(_xlfn.XMATCH(B2177,ZZZ_Part_Id_[[#All],[FGCODE]])))</f>
        <v>1</v>
      </c>
    </row>
    <row r="2178" spans="1:14" x14ac:dyDescent="0.3">
      <c r="A2178" s="2" t="s">
        <v>9688</v>
      </c>
      <c r="B2178" s="2" t="s">
        <v>6955</v>
      </c>
      <c r="C2178" s="2" t="s">
        <v>9689</v>
      </c>
      <c r="D2178" s="3">
        <v>68078</v>
      </c>
      <c r="E2178" s="3">
        <v>68078</v>
      </c>
      <c r="F2178" s="2" t="s">
        <v>16</v>
      </c>
      <c r="G2178" s="2" t="s">
        <v>9690</v>
      </c>
      <c r="H2178" s="3">
        <v>0</v>
      </c>
      <c r="I2178" s="2" t="s">
        <v>409</v>
      </c>
      <c r="J2178" s="2" t="s">
        <v>9691</v>
      </c>
      <c r="K2178" s="2" t="s">
        <v>16</v>
      </c>
      <c r="L2178" s="2" t="s">
        <v>9692</v>
      </c>
      <c r="M2178" s="4">
        <v>5899.64</v>
      </c>
      <c r="N2178" t="b">
        <f>OR(LEFT(B2178,3)="frg",(_xlfn.XMATCH(B2178,ZZZ_Part_Id_[[#All],[FGCODE]])))</f>
        <v>1</v>
      </c>
    </row>
    <row r="2179" spans="1:14" x14ac:dyDescent="0.3">
      <c r="A2179" s="2" t="s">
        <v>9688</v>
      </c>
      <c r="B2179" s="2" t="s">
        <v>86</v>
      </c>
      <c r="C2179" s="2" t="s">
        <v>9693</v>
      </c>
      <c r="D2179" s="5">
        <v>-67</v>
      </c>
      <c r="E2179" s="5">
        <v>-67</v>
      </c>
      <c r="F2179" s="2" t="s">
        <v>23</v>
      </c>
      <c r="G2179" s="2" t="s">
        <v>9694</v>
      </c>
      <c r="H2179" s="3">
        <v>0</v>
      </c>
      <c r="I2179" s="2" t="s">
        <v>409</v>
      </c>
      <c r="J2179" s="2" t="s">
        <v>9695</v>
      </c>
      <c r="K2179" s="2" t="s">
        <v>23</v>
      </c>
      <c r="L2179" s="2" t="s">
        <v>9696</v>
      </c>
      <c r="M2179" s="6">
        <v>-175.39</v>
      </c>
      <c r="N2179" t="b">
        <f>OR(LEFT(B2179,3)="frg",(_xlfn.XMATCH(B2179,ZZZ_Part_Id_[[#All],[FGCODE]])))</f>
        <v>1</v>
      </c>
    </row>
    <row r="2180" spans="1:14" x14ac:dyDescent="0.3">
      <c r="A2180" s="2" t="s">
        <v>9688</v>
      </c>
      <c r="B2180" s="2" t="s">
        <v>14</v>
      </c>
      <c r="C2180" s="2" t="s">
        <v>9697</v>
      </c>
      <c r="D2180" s="3">
        <v>5</v>
      </c>
      <c r="E2180" s="3">
        <v>5</v>
      </c>
      <c r="F2180" s="2" t="s">
        <v>16</v>
      </c>
      <c r="G2180" s="2" t="s">
        <v>9698</v>
      </c>
      <c r="H2180" s="3">
        <v>0</v>
      </c>
      <c r="I2180" s="2" t="s">
        <v>409</v>
      </c>
      <c r="J2180" s="2" t="s">
        <v>9699</v>
      </c>
      <c r="K2180" s="2" t="s">
        <v>16</v>
      </c>
      <c r="L2180" s="2" t="s">
        <v>9700</v>
      </c>
      <c r="M2180" s="4">
        <v>0.38</v>
      </c>
      <c r="N2180" t="e">
        <f>OR(LEFT(B2180,3)="frg",(_xlfn.XMATCH(B2180,ZZZ_Part_Id_[[#All],[FGCODE]])))</f>
        <v>#N/A</v>
      </c>
    </row>
    <row r="2181" spans="1:14" x14ac:dyDescent="0.3">
      <c r="A2181" s="2" t="s">
        <v>9688</v>
      </c>
      <c r="B2181" s="2" t="s">
        <v>140</v>
      </c>
      <c r="C2181" s="2" t="s">
        <v>9701</v>
      </c>
      <c r="D2181" s="3">
        <v>0.2</v>
      </c>
      <c r="E2181" s="3">
        <v>0.2</v>
      </c>
      <c r="F2181" s="2" t="s">
        <v>16</v>
      </c>
      <c r="G2181" s="2" t="s">
        <v>9702</v>
      </c>
      <c r="H2181" s="3">
        <v>0</v>
      </c>
      <c r="I2181" s="2" t="s">
        <v>409</v>
      </c>
      <c r="J2181" s="2" t="s">
        <v>9703</v>
      </c>
      <c r="K2181" s="2" t="s">
        <v>16</v>
      </c>
      <c r="L2181" s="2" t="s">
        <v>9704</v>
      </c>
      <c r="M2181" s="4">
        <v>0.42</v>
      </c>
      <c r="N2181" t="e">
        <f>OR(LEFT(B2181,3)="frg",(_xlfn.XMATCH(B2181,ZZZ_Part_Id_[[#All],[FGCODE]])))</f>
        <v>#N/A</v>
      </c>
    </row>
    <row r="2182" spans="1:14" x14ac:dyDescent="0.3">
      <c r="A2182" s="2" t="s">
        <v>9688</v>
      </c>
      <c r="B2182" s="2" t="s">
        <v>192</v>
      </c>
      <c r="C2182" s="2" t="s">
        <v>9705</v>
      </c>
      <c r="D2182" s="3">
        <v>0.05</v>
      </c>
      <c r="E2182" s="3">
        <v>0.05</v>
      </c>
      <c r="F2182" s="2" t="s">
        <v>194</v>
      </c>
      <c r="G2182" s="2" t="s">
        <v>9706</v>
      </c>
      <c r="H2182" s="3">
        <v>0</v>
      </c>
      <c r="I2182" s="2" t="s">
        <v>409</v>
      </c>
      <c r="J2182" s="2" t="s">
        <v>9707</v>
      </c>
      <c r="K2182" s="2" t="s">
        <v>194</v>
      </c>
      <c r="L2182" s="2" t="s">
        <v>9708</v>
      </c>
      <c r="M2182" s="4">
        <v>0.26</v>
      </c>
      <c r="N2182" t="e">
        <f>OR(LEFT(B2182,3)="frg",(_xlfn.XMATCH(B2182,ZZZ_Part_Id_[[#All],[FGCODE]])))</f>
        <v>#N/A</v>
      </c>
    </row>
    <row r="2183" spans="1:14" x14ac:dyDescent="0.3">
      <c r="A2183" s="2" t="s">
        <v>9688</v>
      </c>
      <c r="B2183" s="2" t="s">
        <v>145</v>
      </c>
      <c r="C2183" s="2" t="s">
        <v>9709</v>
      </c>
      <c r="D2183" s="3">
        <v>0.02</v>
      </c>
      <c r="E2183" s="3">
        <v>0.02</v>
      </c>
      <c r="F2183" s="2" t="s">
        <v>147</v>
      </c>
      <c r="G2183" s="2" t="s">
        <v>9710</v>
      </c>
      <c r="H2183" s="3">
        <v>0</v>
      </c>
      <c r="I2183" s="2" t="s">
        <v>409</v>
      </c>
      <c r="J2183" s="2" t="s">
        <v>9711</v>
      </c>
      <c r="K2183" s="2" t="s">
        <v>147</v>
      </c>
      <c r="L2183" s="2" t="s">
        <v>9712</v>
      </c>
      <c r="M2183" s="4">
        <v>3.13</v>
      </c>
      <c r="N2183" t="e">
        <f>OR(LEFT(B2183,3)="frg",(_xlfn.XMATCH(B2183,ZZZ_Part_Id_[[#All],[FGCODE]])))</f>
        <v>#N/A</v>
      </c>
    </row>
    <row r="2184" spans="1:14" x14ac:dyDescent="0.3">
      <c r="A2184" s="2" t="s">
        <v>9713</v>
      </c>
      <c r="B2184" s="2" t="s">
        <v>485</v>
      </c>
      <c r="C2184" s="2" t="s">
        <v>9714</v>
      </c>
      <c r="D2184" s="3">
        <v>96000</v>
      </c>
      <c r="E2184" s="3">
        <v>96000</v>
      </c>
      <c r="F2184" s="2" t="s">
        <v>16</v>
      </c>
      <c r="G2184" s="2" t="s">
        <v>9715</v>
      </c>
      <c r="H2184" s="3">
        <v>0</v>
      </c>
      <c r="I2184" s="2" t="s">
        <v>409</v>
      </c>
      <c r="J2184" s="2" t="s">
        <v>9716</v>
      </c>
      <c r="K2184" s="2" t="s">
        <v>16</v>
      </c>
      <c r="L2184" s="2" t="s">
        <v>9717</v>
      </c>
      <c r="M2184" s="4">
        <v>9764.15</v>
      </c>
      <c r="N2184" t="b">
        <f>OR(LEFT(B2184,3)="frg",(_xlfn.XMATCH(B2184,ZZZ_Part_Id_[[#All],[FGCODE]])))</f>
        <v>1</v>
      </c>
    </row>
    <row r="2185" spans="1:14" x14ac:dyDescent="0.3">
      <c r="A2185" s="2" t="s">
        <v>9713</v>
      </c>
      <c r="B2185" s="2" t="s">
        <v>14</v>
      </c>
      <c r="C2185" s="2" t="s">
        <v>9718</v>
      </c>
      <c r="D2185" s="3">
        <v>5</v>
      </c>
      <c r="E2185" s="3">
        <v>5</v>
      </c>
      <c r="F2185" s="2" t="s">
        <v>16</v>
      </c>
      <c r="G2185" s="2" t="s">
        <v>9719</v>
      </c>
      <c r="H2185" s="3">
        <v>0</v>
      </c>
      <c r="I2185" s="2" t="s">
        <v>409</v>
      </c>
      <c r="J2185" s="2" t="s">
        <v>9720</v>
      </c>
      <c r="K2185" s="2" t="s">
        <v>16</v>
      </c>
      <c r="L2185" s="2" t="s">
        <v>9721</v>
      </c>
      <c r="M2185" s="4">
        <v>0.38</v>
      </c>
      <c r="N2185" t="e">
        <f>OR(LEFT(B2185,3)="frg",(_xlfn.XMATCH(B2185,ZZZ_Part_Id_[[#All],[FGCODE]])))</f>
        <v>#N/A</v>
      </c>
    </row>
    <row r="2186" spans="1:14" x14ac:dyDescent="0.3">
      <c r="A2186" s="2" t="s">
        <v>9713</v>
      </c>
      <c r="B2186" s="2" t="s">
        <v>140</v>
      </c>
      <c r="C2186" s="2" t="s">
        <v>9722</v>
      </c>
      <c r="D2186" s="3">
        <v>0.2</v>
      </c>
      <c r="E2186" s="3">
        <v>0.2</v>
      </c>
      <c r="F2186" s="2" t="s">
        <v>16</v>
      </c>
      <c r="G2186" s="2" t="s">
        <v>9723</v>
      </c>
      <c r="H2186" s="3">
        <v>0</v>
      </c>
      <c r="I2186" s="2" t="s">
        <v>409</v>
      </c>
      <c r="J2186" s="2" t="s">
        <v>9724</v>
      </c>
      <c r="K2186" s="2" t="s">
        <v>16</v>
      </c>
      <c r="L2186" s="2" t="s">
        <v>9725</v>
      </c>
      <c r="M2186" s="4">
        <v>0.42</v>
      </c>
      <c r="N2186" t="e">
        <f>OR(LEFT(B2186,3)="frg",(_xlfn.XMATCH(B2186,ZZZ_Part_Id_[[#All],[FGCODE]])))</f>
        <v>#N/A</v>
      </c>
    </row>
    <row r="2187" spans="1:14" x14ac:dyDescent="0.3">
      <c r="A2187" s="2" t="s">
        <v>9713</v>
      </c>
      <c r="B2187" s="2" t="s">
        <v>192</v>
      </c>
      <c r="C2187" s="2" t="s">
        <v>9726</v>
      </c>
      <c r="D2187" s="3">
        <v>0.05</v>
      </c>
      <c r="E2187" s="3">
        <v>0.05</v>
      </c>
      <c r="F2187" s="2" t="s">
        <v>194</v>
      </c>
      <c r="G2187" s="2" t="s">
        <v>9727</v>
      </c>
      <c r="H2187" s="3">
        <v>0</v>
      </c>
      <c r="I2187" s="2" t="s">
        <v>409</v>
      </c>
      <c r="J2187" s="2" t="s">
        <v>9728</v>
      </c>
      <c r="K2187" s="2" t="s">
        <v>194</v>
      </c>
      <c r="L2187" s="2" t="s">
        <v>9729</v>
      </c>
      <c r="M2187" s="4">
        <v>0.26</v>
      </c>
      <c r="N2187" t="e">
        <f>OR(LEFT(B2187,3)="frg",(_xlfn.XMATCH(B2187,ZZZ_Part_Id_[[#All],[FGCODE]])))</f>
        <v>#N/A</v>
      </c>
    </row>
    <row r="2188" spans="1:14" x14ac:dyDescent="0.3">
      <c r="A2188" s="2" t="s">
        <v>9713</v>
      </c>
      <c r="B2188" s="2" t="s">
        <v>145</v>
      </c>
      <c r="C2188" s="2" t="s">
        <v>9730</v>
      </c>
      <c r="D2188" s="3">
        <v>0.02</v>
      </c>
      <c r="E2188" s="3">
        <v>0.02</v>
      </c>
      <c r="F2188" s="2" t="s">
        <v>147</v>
      </c>
      <c r="G2188" s="2" t="s">
        <v>9731</v>
      </c>
      <c r="H2188" s="3">
        <v>0</v>
      </c>
      <c r="I2188" s="2" t="s">
        <v>409</v>
      </c>
      <c r="J2188" s="2" t="s">
        <v>9732</v>
      </c>
      <c r="K2188" s="2" t="s">
        <v>147</v>
      </c>
      <c r="L2188" s="2" t="s">
        <v>9733</v>
      </c>
      <c r="M2188" s="4">
        <v>3.13</v>
      </c>
      <c r="N2188" t="e">
        <f>OR(LEFT(B2188,3)="frg",(_xlfn.XMATCH(B2188,ZZZ_Part_Id_[[#All],[FGCODE]])))</f>
        <v>#N/A</v>
      </c>
    </row>
    <row r="2189" spans="1:14" x14ac:dyDescent="0.3">
      <c r="A2189" s="2" t="s">
        <v>9734</v>
      </c>
      <c r="B2189" s="2" t="s">
        <v>5357</v>
      </c>
      <c r="C2189" s="2" t="s">
        <v>9735</v>
      </c>
      <c r="D2189" s="3">
        <v>6624</v>
      </c>
      <c r="E2189" s="3">
        <v>6624</v>
      </c>
      <c r="F2189" s="2" t="s">
        <v>16</v>
      </c>
      <c r="G2189" s="2" t="s">
        <v>9736</v>
      </c>
      <c r="H2189" s="3">
        <v>0</v>
      </c>
      <c r="I2189" s="2" t="s">
        <v>409</v>
      </c>
      <c r="J2189" s="2" t="s">
        <v>9737</v>
      </c>
      <c r="K2189" s="2" t="s">
        <v>16</v>
      </c>
      <c r="L2189" s="2" t="s">
        <v>9738</v>
      </c>
      <c r="M2189" s="4">
        <v>1968.59</v>
      </c>
      <c r="N2189" t="b">
        <f>OR(LEFT(B2189,3)="frg",(_xlfn.XMATCH(B2189,ZZZ_Part_Id_[[#All],[FGCODE]])))</f>
        <v>1</v>
      </c>
    </row>
    <row r="2190" spans="1:14" x14ac:dyDescent="0.3">
      <c r="A2190" s="2" t="s">
        <v>9739</v>
      </c>
      <c r="B2190" s="2" t="s">
        <v>91</v>
      </c>
      <c r="C2190" s="2" t="s">
        <v>9740</v>
      </c>
      <c r="D2190" s="3">
        <v>81000</v>
      </c>
      <c r="E2190" s="3">
        <v>81000</v>
      </c>
      <c r="F2190" s="2" t="s">
        <v>16</v>
      </c>
      <c r="G2190" s="2" t="s">
        <v>9741</v>
      </c>
      <c r="H2190" s="3">
        <v>0</v>
      </c>
      <c r="I2190" s="2" t="s">
        <v>409</v>
      </c>
      <c r="J2190" s="2" t="s">
        <v>9742</v>
      </c>
      <c r="K2190" s="2" t="s">
        <v>16</v>
      </c>
      <c r="L2190" s="2" t="s">
        <v>9743</v>
      </c>
      <c r="M2190" s="4">
        <v>4702.05</v>
      </c>
      <c r="N2190" t="b">
        <f>OR(LEFT(B2190,3)="frg",(_xlfn.XMATCH(B2190,ZZZ_Part_Id_[[#All],[FGCODE]])))</f>
        <v>1</v>
      </c>
    </row>
    <row r="2191" spans="1:14" x14ac:dyDescent="0.3">
      <c r="A2191" s="2" t="s">
        <v>9739</v>
      </c>
      <c r="B2191" s="2" t="s">
        <v>14</v>
      </c>
      <c r="C2191" s="2" t="s">
        <v>9744</v>
      </c>
      <c r="D2191" s="3">
        <v>3</v>
      </c>
      <c r="E2191" s="3">
        <v>3</v>
      </c>
      <c r="F2191" s="2" t="s">
        <v>16</v>
      </c>
      <c r="G2191" s="2" t="s">
        <v>9745</v>
      </c>
      <c r="H2191" s="3">
        <v>0</v>
      </c>
      <c r="I2191" s="2" t="s">
        <v>409</v>
      </c>
      <c r="J2191" s="2" t="s">
        <v>9746</v>
      </c>
      <c r="K2191" s="2" t="s">
        <v>16</v>
      </c>
      <c r="L2191" s="2" t="s">
        <v>9747</v>
      </c>
      <c r="M2191" s="4">
        <v>0.23</v>
      </c>
      <c r="N2191" t="e">
        <f>OR(LEFT(B2191,3)="frg",(_xlfn.XMATCH(B2191,ZZZ_Part_Id_[[#All],[FGCODE]])))</f>
        <v>#N/A</v>
      </c>
    </row>
    <row r="2192" spans="1:14" x14ac:dyDescent="0.3">
      <c r="A2192" s="2" t="s">
        <v>9739</v>
      </c>
      <c r="B2192" s="2" t="s">
        <v>140</v>
      </c>
      <c r="C2192" s="2" t="s">
        <v>9748</v>
      </c>
      <c r="D2192" s="3">
        <v>0.12</v>
      </c>
      <c r="E2192" s="3">
        <v>0.12</v>
      </c>
      <c r="F2192" s="2" t="s">
        <v>16</v>
      </c>
      <c r="G2192" s="2" t="s">
        <v>9749</v>
      </c>
      <c r="H2192" s="3">
        <v>0</v>
      </c>
      <c r="I2192" s="2" t="s">
        <v>409</v>
      </c>
      <c r="J2192" s="2" t="s">
        <v>9750</v>
      </c>
      <c r="K2192" s="2" t="s">
        <v>16</v>
      </c>
      <c r="L2192" s="2" t="s">
        <v>9751</v>
      </c>
      <c r="M2192" s="4">
        <v>0.25</v>
      </c>
      <c r="N2192" t="e">
        <f>OR(LEFT(B2192,3)="frg",(_xlfn.XMATCH(B2192,ZZZ_Part_Id_[[#All],[FGCODE]])))</f>
        <v>#N/A</v>
      </c>
    </row>
    <row r="2193" spans="1:14" x14ac:dyDescent="0.3">
      <c r="A2193" s="2" t="s">
        <v>9739</v>
      </c>
      <c r="B2193" s="2" t="s">
        <v>192</v>
      </c>
      <c r="C2193" s="2" t="s">
        <v>9752</v>
      </c>
      <c r="D2193" s="3">
        <v>0.03</v>
      </c>
      <c r="E2193" s="3">
        <v>0.03</v>
      </c>
      <c r="F2193" s="2" t="s">
        <v>194</v>
      </c>
      <c r="G2193" s="2" t="s">
        <v>9753</v>
      </c>
      <c r="H2193" s="3">
        <v>0</v>
      </c>
      <c r="I2193" s="2" t="s">
        <v>409</v>
      </c>
      <c r="J2193" s="2" t="s">
        <v>9754</v>
      </c>
      <c r="K2193" s="2" t="s">
        <v>194</v>
      </c>
      <c r="L2193" s="2" t="s">
        <v>9755</v>
      </c>
      <c r="M2193" s="4">
        <v>0.16</v>
      </c>
      <c r="N2193" t="e">
        <f>OR(LEFT(B2193,3)="frg",(_xlfn.XMATCH(B2193,ZZZ_Part_Id_[[#All],[FGCODE]])))</f>
        <v>#N/A</v>
      </c>
    </row>
    <row r="2194" spans="1:14" x14ac:dyDescent="0.3">
      <c r="A2194" s="2" t="s">
        <v>9739</v>
      </c>
      <c r="B2194" s="2" t="s">
        <v>145</v>
      </c>
      <c r="C2194" s="2" t="s">
        <v>9756</v>
      </c>
      <c r="D2194" s="3">
        <v>1.2E-2</v>
      </c>
      <c r="E2194" s="3">
        <v>1.2E-2</v>
      </c>
      <c r="F2194" s="2" t="s">
        <v>147</v>
      </c>
      <c r="G2194" s="2" t="s">
        <v>9757</v>
      </c>
      <c r="H2194" s="3">
        <v>0</v>
      </c>
      <c r="I2194" s="2" t="s">
        <v>409</v>
      </c>
      <c r="J2194" s="2" t="s">
        <v>9758</v>
      </c>
      <c r="K2194" s="2" t="s">
        <v>147</v>
      </c>
      <c r="L2194" s="2" t="s">
        <v>9759</v>
      </c>
      <c r="M2194" s="4">
        <v>1.88</v>
      </c>
      <c r="N2194" t="e">
        <f>OR(LEFT(B2194,3)="frg",(_xlfn.XMATCH(B2194,ZZZ_Part_Id_[[#All],[FGCODE]])))</f>
        <v>#N/A</v>
      </c>
    </row>
    <row r="2195" spans="1:14" x14ac:dyDescent="0.3">
      <c r="A2195" s="2" t="s">
        <v>9760</v>
      </c>
      <c r="B2195" s="2" t="s">
        <v>1093</v>
      </c>
      <c r="C2195" s="2" t="s">
        <v>9761</v>
      </c>
      <c r="D2195" s="3">
        <v>2004480</v>
      </c>
      <c r="E2195" s="3">
        <v>2004480</v>
      </c>
      <c r="F2195" s="2" t="s">
        <v>16</v>
      </c>
      <c r="G2195" s="2" t="s">
        <v>9762</v>
      </c>
      <c r="H2195" s="3">
        <v>0</v>
      </c>
      <c r="I2195" s="2" t="s">
        <v>409</v>
      </c>
      <c r="J2195" s="2" t="s">
        <v>9763</v>
      </c>
      <c r="K2195" s="2" t="s">
        <v>16</v>
      </c>
      <c r="L2195" s="2" t="s">
        <v>9764</v>
      </c>
      <c r="M2195" s="4">
        <v>171162.23999999999</v>
      </c>
      <c r="N2195" t="b">
        <f>OR(LEFT(B2195,3)="frg",(_xlfn.XMATCH(B2195,ZZZ_Part_Id_[[#All],[FGCODE]])))</f>
        <v>1</v>
      </c>
    </row>
    <row r="2196" spans="1:14" x14ac:dyDescent="0.3">
      <c r="A2196" s="2" t="s">
        <v>9765</v>
      </c>
      <c r="B2196" s="2" t="s">
        <v>4791</v>
      </c>
      <c r="C2196" s="2" t="s">
        <v>9766</v>
      </c>
      <c r="D2196" s="3">
        <v>874368</v>
      </c>
      <c r="E2196" s="3">
        <v>874368</v>
      </c>
      <c r="F2196" s="2" t="s">
        <v>16</v>
      </c>
      <c r="G2196" s="2" t="s">
        <v>9767</v>
      </c>
      <c r="H2196" s="3">
        <v>0</v>
      </c>
      <c r="I2196" s="2" t="s">
        <v>409</v>
      </c>
      <c r="J2196" s="2" t="s">
        <v>9768</v>
      </c>
      <c r="K2196" s="2" t="s">
        <v>16</v>
      </c>
      <c r="L2196" s="2" t="s">
        <v>9769</v>
      </c>
      <c r="M2196" s="4">
        <v>256749.24</v>
      </c>
      <c r="N2196" t="b">
        <f>OR(LEFT(B2196,3)="frg",(_xlfn.XMATCH(B2196,ZZZ_Part_Id_[[#All],[FGCODE]])))</f>
        <v>1</v>
      </c>
    </row>
    <row r="2197" spans="1:14" x14ac:dyDescent="0.3">
      <c r="A2197" s="2" t="s">
        <v>9770</v>
      </c>
      <c r="B2197" s="2" t="s">
        <v>2840</v>
      </c>
      <c r="C2197" s="2" t="s">
        <v>9771</v>
      </c>
      <c r="D2197" s="3">
        <v>30240</v>
      </c>
      <c r="E2197" s="3">
        <v>30240</v>
      </c>
      <c r="F2197" s="2" t="s">
        <v>16</v>
      </c>
      <c r="G2197" s="2" t="s">
        <v>9772</v>
      </c>
      <c r="H2197" s="3">
        <v>0</v>
      </c>
      <c r="I2197" s="2" t="s">
        <v>3950</v>
      </c>
      <c r="J2197" s="2" t="s">
        <v>9773</v>
      </c>
      <c r="K2197" s="2" t="s">
        <v>16</v>
      </c>
      <c r="L2197" s="2" t="s">
        <v>9774</v>
      </c>
      <c r="M2197" s="4">
        <v>5558.4</v>
      </c>
      <c r="N2197" t="b">
        <f>OR(LEFT(B2197,3)="frg",(_xlfn.XMATCH(B2197,ZZZ_Part_Id_[[#All],[FGCODE]])))</f>
        <v>1</v>
      </c>
    </row>
    <row r="2198" spans="1:14" x14ac:dyDescent="0.3">
      <c r="A2198" s="2" t="s">
        <v>9770</v>
      </c>
      <c r="B2198" s="2" t="s">
        <v>14</v>
      </c>
      <c r="C2198" s="2" t="s">
        <v>9775</v>
      </c>
      <c r="D2198" s="3">
        <v>3</v>
      </c>
      <c r="E2198" s="3">
        <v>3</v>
      </c>
      <c r="F2198" s="2" t="s">
        <v>16</v>
      </c>
      <c r="G2198" s="2" t="s">
        <v>9776</v>
      </c>
      <c r="H2198" s="3">
        <v>0</v>
      </c>
      <c r="I2198" s="2" t="s">
        <v>3950</v>
      </c>
      <c r="J2198" s="2" t="s">
        <v>9777</v>
      </c>
      <c r="K2198" s="2" t="s">
        <v>16</v>
      </c>
      <c r="L2198" s="2" t="s">
        <v>9778</v>
      </c>
      <c r="M2198" s="4">
        <v>0.23</v>
      </c>
      <c r="N2198" t="e">
        <f>OR(LEFT(B2198,3)="frg",(_xlfn.XMATCH(B2198,ZZZ_Part_Id_[[#All],[FGCODE]])))</f>
        <v>#N/A</v>
      </c>
    </row>
    <row r="2199" spans="1:14" x14ac:dyDescent="0.3">
      <c r="A2199" s="2" t="s">
        <v>9770</v>
      </c>
      <c r="B2199" s="2" t="s">
        <v>140</v>
      </c>
      <c r="C2199" s="2" t="s">
        <v>9779</v>
      </c>
      <c r="D2199" s="3">
        <v>0.12</v>
      </c>
      <c r="E2199" s="3">
        <v>0.12</v>
      </c>
      <c r="F2199" s="2" t="s">
        <v>16</v>
      </c>
      <c r="G2199" s="2" t="s">
        <v>9780</v>
      </c>
      <c r="H2199" s="3">
        <v>0</v>
      </c>
      <c r="I2199" s="2" t="s">
        <v>3950</v>
      </c>
      <c r="J2199" s="2" t="s">
        <v>9781</v>
      </c>
      <c r="K2199" s="2" t="s">
        <v>16</v>
      </c>
      <c r="L2199" s="2" t="s">
        <v>9782</v>
      </c>
      <c r="M2199" s="4">
        <v>0.25</v>
      </c>
      <c r="N2199" t="e">
        <f>OR(LEFT(B2199,3)="frg",(_xlfn.XMATCH(B2199,ZZZ_Part_Id_[[#All],[FGCODE]])))</f>
        <v>#N/A</v>
      </c>
    </row>
    <row r="2200" spans="1:14" x14ac:dyDescent="0.3">
      <c r="A2200" s="2" t="s">
        <v>9770</v>
      </c>
      <c r="B2200" s="2" t="s">
        <v>192</v>
      </c>
      <c r="C2200" s="2" t="s">
        <v>9783</v>
      </c>
      <c r="D2200" s="3">
        <v>0.03</v>
      </c>
      <c r="E2200" s="3">
        <v>0.03</v>
      </c>
      <c r="F2200" s="2" t="s">
        <v>194</v>
      </c>
      <c r="G2200" s="2" t="s">
        <v>9784</v>
      </c>
      <c r="H2200" s="3">
        <v>0</v>
      </c>
      <c r="I2200" s="2" t="s">
        <v>3950</v>
      </c>
      <c r="J2200" s="2" t="s">
        <v>9785</v>
      </c>
      <c r="K2200" s="2" t="s">
        <v>194</v>
      </c>
      <c r="L2200" s="2" t="s">
        <v>9786</v>
      </c>
      <c r="M2200" s="4">
        <v>0.16</v>
      </c>
      <c r="N2200" t="e">
        <f>OR(LEFT(B2200,3)="frg",(_xlfn.XMATCH(B2200,ZZZ_Part_Id_[[#All],[FGCODE]])))</f>
        <v>#N/A</v>
      </c>
    </row>
    <row r="2201" spans="1:14" x14ac:dyDescent="0.3">
      <c r="A2201" s="2" t="s">
        <v>9770</v>
      </c>
      <c r="B2201" s="2" t="s">
        <v>145</v>
      </c>
      <c r="C2201" s="2" t="s">
        <v>9787</v>
      </c>
      <c r="D2201" s="3">
        <v>1.2E-2</v>
      </c>
      <c r="E2201" s="3">
        <v>1.2E-2</v>
      </c>
      <c r="F2201" s="2" t="s">
        <v>147</v>
      </c>
      <c r="G2201" s="2" t="s">
        <v>9788</v>
      </c>
      <c r="H2201" s="3">
        <v>0</v>
      </c>
      <c r="I2201" s="2" t="s">
        <v>3950</v>
      </c>
      <c r="J2201" s="2" t="s">
        <v>9789</v>
      </c>
      <c r="K2201" s="2" t="s">
        <v>147</v>
      </c>
      <c r="L2201" s="2" t="s">
        <v>9790</v>
      </c>
      <c r="M2201" s="4">
        <v>1.88</v>
      </c>
      <c r="N2201" t="e">
        <f>OR(LEFT(B2201,3)="frg",(_xlfn.XMATCH(B2201,ZZZ_Part_Id_[[#All],[FGCODE]])))</f>
        <v>#N/A</v>
      </c>
    </row>
    <row r="2202" spans="1:14" x14ac:dyDescent="0.3">
      <c r="A2202" s="2" t="s">
        <v>9791</v>
      </c>
      <c r="B2202" s="2" t="s">
        <v>4988</v>
      </c>
      <c r="C2202" s="2" t="s">
        <v>9792</v>
      </c>
      <c r="D2202" s="3">
        <v>10080</v>
      </c>
      <c r="E2202" s="3">
        <v>10080</v>
      </c>
      <c r="F2202" s="2" t="s">
        <v>16</v>
      </c>
      <c r="G2202" s="2" t="s">
        <v>9793</v>
      </c>
      <c r="H2202" s="3">
        <v>0</v>
      </c>
      <c r="I2202" s="2" t="s">
        <v>409</v>
      </c>
      <c r="J2202" s="2" t="s">
        <v>9794</v>
      </c>
      <c r="K2202" s="2" t="s">
        <v>16</v>
      </c>
      <c r="L2202" s="2" t="s">
        <v>9795</v>
      </c>
      <c r="M2202" s="4">
        <v>1708.36</v>
      </c>
      <c r="N2202" t="b">
        <f>OR(LEFT(B2202,3)="frg",(_xlfn.XMATCH(B2202,ZZZ_Part_Id_[[#All],[FGCODE]])))</f>
        <v>1</v>
      </c>
    </row>
    <row r="2203" spans="1:14" x14ac:dyDescent="0.3">
      <c r="A2203" s="2" t="s">
        <v>9796</v>
      </c>
      <c r="B2203" s="2" t="s">
        <v>14</v>
      </c>
      <c r="C2203" s="2" t="s">
        <v>9797</v>
      </c>
      <c r="D2203" s="3">
        <v>96</v>
      </c>
      <c r="E2203" s="3">
        <v>0</v>
      </c>
      <c r="F2203" s="2" t="s">
        <v>16</v>
      </c>
      <c r="G2203" s="2" t="s">
        <v>9798</v>
      </c>
      <c r="H2203" s="3">
        <v>0</v>
      </c>
      <c r="I2203" s="2" t="s">
        <v>18</v>
      </c>
      <c r="J2203" s="2" t="s">
        <v>9799</v>
      </c>
      <c r="K2203" s="2" t="s">
        <v>16</v>
      </c>
      <c r="L2203" s="2" t="s">
        <v>9800</v>
      </c>
      <c r="M2203" s="4">
        <v>0</v>
      </c>
      <c r="N2203" t="e">
        <f>OR(LEFT(B2203,3)="frg",(_xlfn.XMATCH(B2203,ZZZ_Part_Id_[[#All],[FGCODE]])))</f>
        <v>#N/A</v>
      </c>
    </row>
    <row r="2204" spans="1:14" x14ac:dyDescent="0.3">
      <c r="A2204" s="2" t="s">
        <v>9796</v>
      </c>
      <c r="B2204" s="2" t="s">
        <v>264</v>
      </c>
      <c r="C2204" s="2" t="s">
        <v>9801</v>
      </c>
      <c r="D2204" s="3">
        <v>4.8000000000000001E-2</v>
      </c>
      <c r="E2204" s="3">
        <v>0</v>
      </c>
      <c r="F2204" s="2" t="s">
        <v>16</v>
      </c>
      <c r="G2204" s="2" t="s">
        <v>9802</v>
      </c>
      <c r="H2204" s="3">
        <v>0</v>
      </c>
      <c r="I2204" s="2" t="s">
        <v>18</v>
      </c>
      <c r="J2204" s="2" t="s">
        <v>9803</v>
      </c>
      <c r="K2204" s="2" t="s">
        <v>16</v>
      </c>
      <c r="L2204" s="2" t="s">
        <v>9804</v>
      </c>
      <c r="M2204" s="4">
        <v>0</v>
      </c>
      <c r="N2204" t="e">
        <f>OR(LEFT(B2204,3)="frg",(_xlfn.XMATCH(B2204,ZZZ_Part_Id_[[#All],[FGCODE]])))</f>
        <v>#N/A</v>
      </c>
    </row>
    <row r="2205" spans="1:14" x14ac:dyDescent="0.3">
      <c r="A2205" s="2" t="s">
        <v>9796</v>
      </c>
      <c r="B2205" s="2" t="s">
        <v>103</v>
      </c>
      <c r="C2205" s="2" t="s">
        <v>9805</v>
      </c>
      <c r="D2205" s="3">
        <v>509760</v>
      </c>
      <c r="E2205" s="3">
        <v>0</v>
      </c>
      <c r="F2205" s="2" t="s">
        <v>16</v>
      </c>
      <c r="G2205" s="2" t="s">
        <v>9806</v>
      </c>
      <c r="H2205" s="3">
        <v>0</v>
      </c>
      <c r="I2205" s="2" t="s">
        <v>18</v>
      </c>
      <c r="J2205" s="2" t="s">
        <v>9807</v>
      </c>
      <c r="K2205" s="2" t="s">
        <v>16</v>
      </c>
      <c r="L2205" s="2" t="s">
        <v>9808</v>
      </c>
      <c r="M2205" s="4">
        <v>0</v>
      </c>
      <c r="N2205" t="b">
        <f>OR(LEFT(B2205,3)="frg",(_xlfn.XMATCH(B2205,ZZZ_Part_Id_[[#All],[FGCODE]])))</f>
        <v>1</v>
      </c>
    </row>
    <row r="2206" spans="1:14" x14ac:dyDescent="0.3">
      <c r="A2206" s="2" t="s">
        <v>9809</v>
      </c>
      <c r="B2206" s="2" t="s">
        <v>769</v>
      </c>
      <c r="C2206" s="2" t="s">
        <v>9810</v>
      </c>
      <c r="D2206" s="3">
        <v>59760</v>
      </c>
      <c r="E2206" s="3">
        <v>59760</v>
      </c>
      <c r="F2206" s="2" t="s">
        <v>16</v>
      </c>
      <c r="G2206" s="2" t="s">
        <v>9811</v>
      </c>
      <c r="H2206" s="3">
        <v>0</v>
      </c>
      <c r="I2206" s="2" t="s">
        <v>409</v>
      </c>
      <c r="J2206" s="2" t="s">
        <v>9812</v>
      </c>
      <c r="K2206" s="2" t="s">
        <v>16</v>
      </c>
      <c r="L2206" s="2" t="s">
        <v>9813</v>
      </c>
      <c r="M2206" s="4">
        <v>3282.62</v>
      </c>
      <c r="N2206" t="b">
        <f>OR(LEFT(B2206,3)="frg",(_xlfn.XMATCH(B2206,ZZZ_Part_Id_[[#All],[FGCODE]])))</f>
        <v>1</v>
      </c>
    </row>
    <row r="2207" spans="1:14" x14ac:dyDescent="0.3">
      <c r="A2207" s="2" t="s">
        <v>9809</v>
      </c>
      <c r="B2207" s="2" t="s">
        <v>14</v>
      </c>
      <c r="C2207" s="2" t="s">
        <v>9814</v>
      </c>
      <c r="D2207" s="3">
        <v>2</v>
      </c>
      <c r="E2207" s="3">
        <v>2</v>
      </c>
      <c r="F2207" s="2" t="s">
        <v>16</v>
      </c>
      <c r="G2207" s="2" t="s">
        <v>9815</v>
      </c>
      <c r="H2207" s="3">
        <v>0</v>
      </c>
      <c r="I2207" s="2" t="s">
        <v>409</v>
      </c>
      <c r="J2207" s="2" t="s">
        <v>9816</v>
      </c>
      <c r="K2207" s="2" t="s">
        <v>16</v>
      </c>
      <c r="L2207" s="2" t="s">
        <v>9817</v>
      </c>
      <c r="M2207" s="4">
        <v>0.15</v>
      </c>
      <c r="N2207" t="e">
        <f>OR(LEFT(B2207,3)="frg",(_xlfn.XMATCH(B2207,ZZZ_Part_Id_[[#All],[FGCODE]])))</f>
        <v>#N/A</v>
      </c>
    </row>
    <row r="2208" spans="1:14" x14ac:dyDescent="0.3">
      <c r="A2208" s="2" t="s">
        <v>9809</v>
      </c>
      <c r="B2208" s="2" t="s">
        <v>140</v>
      </c>
      <c r="C2208" s="2" t="s">
        <v>9818</v>
      </c>
      <c r="D2208" s="3">
        <v>0.08</v>
      </c>
      <c r="E2208" s="3">
        <v>0.08</v>
      </c>
      <c r="F2208" s="2" t="s">
        <v>16</v>
      </c>
      <c r="G2208" s="2" t="s">
        <v>9819</v>
      </c>
      <c r="H2208" s="3">
        <v>0</v>
      </c>
      <c r="I2208" s="2" t="s">
        <v>409</v>
      </c>
      <c r="J2208" s="2" t="s">
        <v>9820</v>
      </c>
      <c r="K2208" s="2" t="s">
        <v>16</v>
      </c>
      <c r="L2208" s="2" t="s">
        <v>9821</v>
      </c>
      <c r="M2208" s="4">
        <v>0.17</v>
      </c>
      <c r="N2208" t="e">
        <f>OR(LEFT(B2208,3)="frg",(_xlfn.XMATCH(B2208,ZZZ_Part_Id_[[#All],[FGCODE]])))</f>
        <v>#N/A</v>
      </c>
    </row>
    <row r="2209" spans="1:14" x14ac:dyDescent="0.3">
      <c r="A2209" s="2" t="s">
        <v>9809</v>
      </c>
      <c r="B2209" s="2" t="s">
        <v>192</v>
      </c>
      <c r="C2209" s="2" t="s">
        <v>9822</v>
      </c>
      <c r="D2209" s="3">
        <v>0.02</v>
      </c>
      <c r="E2209" s="3">
        <v>0.02</v>
      </c>
      <c r="F2209" s="2" t="s">
        <v>194</v>
      </c>
      <c r="G2209" s="2" t="s">
        <v>9823</v>
      </c>
      <c r="H2209" s="3">
        <v>0</v>
      </c>
      <c r="I2209" s="2" t="s">
        <v>409</v>
      </c>
      <c r="J2209" s="2" t="s">
        <v>9824</v>
      </c>
      <c r="K2209" s="2" t="s">
        <v>194</v>
      </c>
      <c r="L2209" s="2" t="s">
        <v>9825</v>
      </c>
      <c r="M2209" s="4">
        <v>0.1</v>
      </c>
      <c r="N2209" t="e">
        <f>OR(LEFT(B2209,3)="frg",(_xlfn.XMATCH(B2209,ZZZ_Part_Id_[[#All],[FGCODE]])))</f>
        <v>#N/A</v>
      </c>
    </row>
    <row r="2210" spans="1:14" x14ac:dyDescent="0.3">
      <c r="A2210" s="2" t="s">
        <v>9809</v>
      </c>
      <c r="B2210" s="2" t="s">
        <v>145</v>
      </c>
      <c r="C2210" s="2" t="s">
        <v>9826</v>
      </c>
      <c r="D2210" s="3">
        <v>8.0000000000000002E-3</v>
      </c>
      <c r="E2210" s="3">
        <v>8.0000000000000002E-3</v>
      </c>
      <c r="F2210" s="2" t="s">
        <v>147</v>
      </c>
      <c r="G2210" s="2" t="s">
        <v>9827</v>
      </c>
      <c r="H2210" s="3">
        <v>0</v>
      </c>
      <c r="I2210" s="2" t="s">
        <v>409</v>
      </c>
      <c r="J2210" s="2" t="s">
        <v>9828</v>
      </c>
      <c r="K2210" s="2" t="s">
        <v>147</v>
      </c>
      <c r="L2210" s="2" t="s">
        <v>9829</v>
      </c>
      <c r="M2210" s="4">
        <v>1.25</v>
      </c>
      <c r="N2210" t="e">
        <f>OR(LEFT(B2210,3)="frg",(_xlfn.XMATCH(B2210,ZZZ_Part_Id_[[#All],[FGCODE]])))</f>
        <v>#N/A</v>
      </c>
    </row>
    <row r="2211" spans="1:14" x14ac:dyDescent="0.3">
      <c r="A2211" s="2" t="s">
        <v>9809</v>
      </c>
      <c r="B2211" s="2" t="s">
        <v>8738</v>
      </c>
      <c r="C2211" s="2" t="s">
        <v>9830</v>
      </c>
      <c r="D2211" s="3">
        <v>0.02</v>
      </c>
      <c r="E2211" s="3">
        <v>0</v>
      </c>
      <c r="F2211" s="2" t="s">
        <v>16</v>
      </c>
      <c r="G2211" s="2" t="s">
        <v>9831</v>
      </c>
      <c r="H2211" s="3">
        <v>0</v>
      </c>
      <c r="I2211" s="2" t="s">
        <v>409</v>
      </c>
      <c r="J2211" s="2" t="s">
        <v>9832</v>
      </c>
      <c r="K2211" s="2" t="s">
        <v>16</v>
      </c>
      <c r="L2211" s="2" t="s">
        <v>9833</v>
      </c>
      <c r="M2211" s="4">
        <v>0</v>
      </c>
      <c r="N2211" t="e">
        <f>OR(LEFT(B2211,3)="frg",(_xlfn.XMATCH(B2211,ZZZ_Part_Id_[[#All],[FGCODE]])))</f>
        <v>#N/A</v>
      </c>
    </row>
    <row r="2212" spans="1:14" x14ac:dyDescent="0.3">
      <c r="A2212" s="2" t="s">
        <v>9809</v>
      </c>
      <c r="B2212" s="2" t="s">
        <v>167</v>
      </c>
      <c r="C2212" s="2" t="s">
        <v>9834</v>
      </c>
      <c r="D2212" s="3">
        <v>1.006</v>
      </c>
      <c r="E2212" s="3">
        <v>1.006</v>
      </c>
      <c r="F2212" s="2" t="s">
        <v>23</v>
      </c>
      <c r="G2212" s="2" t="s">
        <v>9835</v>
      </c>
      <c r="H2212" s="3">
        <v>0</v>
      </c>
      <c r="I2212" s="2" t="s">
        <v>409</v>
      </c>
      <c r="J2212" s="2" t="s">
        <v>9836</v>
      </c>
      <c r="K2212" s="2" t="s">
        <v>23</v>
      </c>
      <c r="L2212" s="2" t="s">
        <v>9837</v>
      </c>
      <c r="M2212" s="4">
        <v>7.41</v>
      </c>
      <c r="N2212" t="e">
        <f>OR(LEFT(B2212,3)="frg",(_xlfn.XMATCH(B2212,ZZZ_Part_Id_[[#All],[FGCODE]])))</f>
        <v>#N/A</v>
      </c>
    </row>
    <row r="2213" spans="1:14" x14ac:dyDescent="0.3">
      <c r="A2213" s="2" t="s">
        <v>9809</v>
      </c>
      <c r="B2213" s="2" t="s">
        <v>172</v>
      </c>
      <c r="C2213" s="2" t="s">
        <v>9838</v>
      </c>
      <c r="D2213" s="3">
        <v>0.56399999999999995</v>
      </c>
      <c r="E2213" s="3">
        <v>0.56399999999999995</v>
      </c>
      <c r="F2213" s="2" t="s">
        <v>23</v>
      </c>
      <c r="G2213" s="2" t="s">
        <v>9839</v>
      </c>
      <c r="H2213" s="3">
        <v>0</v>
      </c>
      <c r="I2213" s="2" t="s">
        <v>409</v>
      </c>
      <c r="J2213" s="2" t="s">
        <v>9840</v>
      </c>
      <c r="K2213" s="2" t="s">
        <v>23</v>
      </c>
      <c r="L2213" s="2" t="s">
        <v>9841</v>
      </c>
      <c r="M2213" s="4">
        <v>4.17</v>
      </c>
      <c r="N2213" t="e">
        <f>OR(LEFT(B2213,3)="frg",(_xlfn.XMATCH(B2213,ZZZ_Part_Id_[[#All],[FGCODE]])))</f>
        <v>#N/A</v>
      </c>
    </row>
    <row r="2214" spans="1:14" x14ac:dyDescent="0.3">
      <c r="A2214" s="2" t="s">
        <v>9842</v>
      </c>
      <c r="B2214" s="2" t="s">
        <v>172</v>
      </c>
      <c r="C2214" s="2" t="s">
        <v>9843</v>
      </c>
      <c r="D2214" s="3">
        <v>14</v>
      </c>
      <c r="E2214" s="3">
        <v>14</v>
      </c>
      <c r="F2214" s="2" t="s">
        <v>23</v>
      </c>
      <c r="G2214" s="2" t="s">
        <v>9844</v>
      </c>
      <c r="H2214" s="3">
        <v>0</v>
      </c>
      <c r="I2214" s="2" t="s">
        <v>18</v>
      </c>
      <c r="J2214" s="2" t="s">
        <v>9845</v>
      </c>
      <c r="K2214" s="2" t="s">
        <v>23</v>
      </c>
      <c r="L2214" s="2" t="s">
        <v>9846</v>
      </c>
      <c r="M2214" s="4">
        <v>99.03</v>
      </c>
      <c r="N2214" t="e">
        <f>OR(LEFT(B2214,3)="frg",(_xlfn.XMATCH(B2214,ZZZ_Part_Id_[[#All],[FGCODE]])))</f>
        <v>#N/A</v>
      </c>
    </row>
    <row r="2215" spans="1:14" x14ac:dyDescent="0.3">
      <c r="A2215" s="2" t="s">
        <v>9842</v>
      </c>
      <c r="B2215" s="2" t="s">
        <v>1027</v>
      </c>
      <c r="C2215" s="2" t="s">
        <v>9847</v>
      </c>
      <c r="D2215" s="3">
        <v>509760</v>
      </c>
      <c r="E2215" s="3">
        <v>509760</v>
      </c>
      <c r="F2215" s="2" t="s">
        <v>16</v>
      </c>
      <c r="G2215" s="2" t="s">
        <v>9848</v>
      </c>
      <c r="H2215" s="3">
        <v>0</v>
      </c>
      <c r="I2215" s="2" t="s">
        <v>18</v>
      </c>
      <c r="J2215" s="2" t="s">
        <v>9849</v>
      </c>
      <c r="K2215" s="2" t="s">
        <v>16</v>
      </c>
      <c r="L2215" s="2" t="s">
        <v>9850</v>
      </c>
      <c r="M2215" s="4">
        <v>102635.04</v>
      </c>
      <c r="N2215" t="b">
        <f>OR(LEFT(B2215,3)="frg",(_xlfn.XMATCH(B2215,ZZZ_Part_Id_[[#All],[FGCODE]])))</f>
        <v>1</v>
      </c>
    </row>
    <row r="2216" spans="1:14" x14ac:dyDescent="0.3">
      <c r="A2216" s="2" t="s">
        <v>9851</v>
      </c>
      <c r="B2216" s="2" t="s">
        <v>14</v>
      </c>
      <c r="C2216" s="2" t="s">
        <v>9852</v>
      </c>
      <c r="D2216" s="3">
        <v>64</v>
      </c>
      <c r="E2216" s="3">
        <v>64</v>
      </c>
      <c r="F2216" s="2" t="s">
        <v>16</v>
      </c>
      <c r="G2216" s="2" t="s">
        <v>9853</v>
      </c>
      <c r="H2216" s="3">
        <v>0</v>
      </c>
      <c r="I2216" s="2" t="s">
        <v>18</v>
      </c>
      <c r="J2216" s="2" t="s">
        <v>9854</v>
      </c>
      <c r="K2216" s="2" t="s">
        <v>16</v>
      </c>
      <c r="L2216" s="2" t="s">
        <v>9855</v>
      </c>
      <c r="M2216" s="4">
        <v>4.92</v>
      </c>
      <c r="N2216" t="e">
        <f>OR(LEFT(B2216,3)="frg",(_xlfn.XMATCH(B2216,ZZZ_Part_Id_[[#All],[FGCODE]])))</f>
        <v>#N/A</v>
      </c>
    </row>
    <row r="2217" spans="1:14" x14ac:dyDescent="0.3">
      <c r="A2217" s="2" t="s">
        <v>9851</v>
      </c>
      <c r="B2217" s="2" t="s">
        <v>172</v>
      </c>
      <c r="C2217" s="2" t="s">
        <v>9856</v>
      </c>
      <c r="D2217" s="3">
        <v>15</v>
      </c>
      <c r="E2217" s="3">
        <v>15</v>
      </c>
      <c r="F2217" s="2" t="s">
        <v>23</v>
      </c>
      <c r="G2217" s="2" t="s">
        <v>9857</v>
      </c>
      <c r="H2217" s="3">
        <v>0</v>
      </c>
      <c r="I2217" s="2" t="s">
        <v>18</v>
      </c>
      <c r="J2217" s="2" t="s">
        <v>9858</v>
      </c>
      <c r="K2217" s="2" t="s">
        <v>23</v>
      </c>
      <c r="L2217" s="2" t="s">
        <v>9859</v>
      </c>
      <c r="M2217" s="4">
        <v>106.11</v>
      </c>
      <c r="N2217" t="e">
        <f>OR(LEFT(B2217,3)="frg",(_xlfn.XMATCH(B2217,ZZZ_Part_Id_[[#All],[FGCODE]])))</f>
        <v>#N/A</v>
      </c>
    </row>
    <row r="2218" spans="1:14" x14ac:dyDescent="0.3">
      <c r="A2218" s="2" t="s">
        <v>9851</v>
      </c>
      <c r="B2218" s="2" t="s">
        <v>1093</v>
      </c>
      <c r="C2218" s="2" t="s">
        <v>9860</v>
      </c>
      <c r="D2218" s="3">
        <v>1064880</v>
      </c>
      <c r="E2218" s="3">
        <v>1064880</v>
      </c>
      <c r="F2218" s="2" t="s">
        <v>16</v>
      </c>
      <c r="G2218" s="2" t="s">
        <v>9861</v>
      </c>
      <c r="H2218" s="3">
        <v>0</v>
      </c>
      <c r="I2218" s="2" t="s">
        <v>18</v>
      </c>
      <c r="J2218" s="2" t="s">
        <v>9862</v>
      </c>
      <c r="K2218" s="2" t="s">
        <v>16</v>
      </c>
      <c r="L2218" s="2" t="s">
        <v>9863</v>
      </c>
      <c r="M2218" s="4">
        <v>90929.94</v>
      </c>
      <c r="N2218" t="b">
        <f>OR(LEFT(B2218,3)="frg",(_xlfn.XMATCH(B2218,ZZZ_Part_Id_[[#All],[FGCODE]])))</f>
        <v>1</v>
      </c>
    </row>
    <row r="2219" spans="1:14" x14ac:dyDescent="0.3">
      <c r="A2219" s="2" t="s">
        <v>9864</v>
      </c>
      <c r="B2219" s="2" t="s">
        <v>14</v>
      </c>
      <c r="C2219" s="2" t="s">
        <v>9865</v>
      </c>
      <c r="D2219" s="3">
        <v>64</v>
      </c>
      <c r="E2219" s="3">
        <v>64</v>
      </c>
      <c r="F2219" s="2" t="s">
        <v>16</v>
      </c>
      <c r="G2219" s="2" t="s">
        <v>9866</v>
      </c>
      <c r="H2219" s="3">
        <v>0</v>
      </c>
      <c r="I2219" s="2" t="s">
        <v>18</v>
      </c>
      <c r="J2219" s="2" t="s">
        <v>9867</v>
      </c>
      <c r="K2219" s="2" t="s">
        <v>16</v>
      </c>
      <c r="L2219" s="2" t="s">
        <v>9868</v>
      </c>
      <c r="M2219" s="4">
        <v>4.92</v>
      </c>
      <c r="N2219" t="e">
        <f>OR(LEFT(B2219,3)="frg",(_xlfn.XMATCH(B2219,ZZZ_Part_Id_[[#All],[FGCODE]])))</f>
        <v>#N/A</v>
      </c>
    </row>
    <row r="2220" spans="1:14" x14ac:dyDescent="0.3">
      <c r="A2220" s="2" t="s">
        <v>9864</v>
      </c>
      <c r="B2220" s="2" t="s">
        <v>172</v>
      </c>
      <c r="C2220" s="2" t="s">
        <v>9869</v>
      </c>
      <c r="D2220" s="3">
        <v>20</v>
      </c>
      <c r="E2220" s="3">
        <v>20</v>
      </c>
      <c r="F2220" s="2" t="s">
        <v>23</v>
      </c>
      <c r="G2220" s="2" t="s">
        <v>9870</v>
      </c>
      <c r="H2220" s="3">
        <v>0</v>
      </c>
      <c r="I2220" s="2" t="s">
        <v>18</v>
      </c>
      <c r="J2220" s="2" t="s">
        <v>9871</v>
      </c>
      <c r="K2220" s="2" t="s">
        <v>23</v>
      </c>
      <c r="L2220" s="2" t="s">
        <v>9872</v>
      </c>
      <c r="M2220" s="4">
        <v>141.47</v>
      </c>
      <c r="N2220" t="e">
        <f>OR(LEFT(B2220,3)="frg",(_xlfn.XMATCH(B2220,ZZZ_Part_Id_[[#All],[FGCODE]])))</f>
        <v>#N/A</v>
      </c>
    </row>
    <row r="2221" spans="1:14" x14ac:dyDescent="0.3">
      <c r="A2221" s="2" t="s">
        <v>9864</v>
      </c>
      <c r="B2221" s="2" t="s">
        <v>517</v>
      </c>
      <c r="C2221" s="2" t="s">
        <v>9873</v>
      </c>
      <c r="D2221" s="3">
        <v>604800</v>
      </c>
      <c r="E2221" s="3">
        <v>604800</v>
      </c>
      <c r="F2221" s="2" t="s">
        <v>16</v>
      </c>
      <c r="G2221" s="2" t="s">
        <v>9874</v>
      </c>
      <c r="H2221" s="3">
        <v>0</v>
      </c>
      <c r="I2221" s="2" t="s">
        <v>18</v>
      </c>
      <c r="J2221" s="2" t="s">
        <v>9875</v>
      </c>
      <c r="K2221" s="2" t="s">
        <v>16</v>
      </c>
      <c r="L2221" s="2" t="s">
        <v>9876</v>
      </c>
      <c r="M2221" s="4">
        <v>110025</v>
      </c>
      <c r="N2221" t="b">
        <f>OR(LEFT(B2221,3)="frg",(_xlfn.XMATCH(B2221,ZZZ_Part_Id_[[#All],[FGCODE]])))</f>
        <v>1</v>
      </c>
    </row>
    <row r="2222" spans="1:14" x14ac:dyDescent="0.3">
      <c r="A2222" s="2" t="s">
        <v>9877</v>
      </c>
      <c r="B2222" s="2" t="s">
        <v>14</v>
      </c>
      <c r="C2222" s="2" t="s">
        <v>9878</v>
      </c>
      <c r="D2222" s="3">
        <v>64</v>
      </c>
      <c r="E2222" s="3">
        <v>64</v>
      </c>
      <c r="F2222" s="2" t="s">
        <v>16</v>
      </c>
      <c r="G2222" s="2" t="s">
        <v>9879</v>
      </c>
      <c r="H2222" s="3">
        <v>0</v>
      </c>
      <c r="I2222" s="2" t="s">
        <v>18</v>
      </c>
      <c r="J2222" s="2" t="s">
        <v>9880</v>
      </c>
      <c r="K2222" s="2" t="s">
        <v>16</v>
      </c>
      <c r="L2222" s="2" t="s">
        <v>9881</v>
      </c>
      <c r="M2222" s="4">
        <v>4.92</v>
      </c>
      <c r="N2222" t="e">
        <f>OR(LEFT(B2222,3)="frg",(_xlfn.XMATCH(B2222,ZZZ_Part_Id_[[#All],[FGCODE]])))</f>
        <v>#N/A</v>
      </c>
    </row>
    <row r="2223" spans="1:14" x14ac:dyDescent="0.3">
      <c r="A2223" s="2" t="s">
        <v>9877</v>
      </c>
      <c r="B2223" s="2" t="s">
        <v>4791</v>
      </c>
      <c r="C2223" s="2" t="s">
        <v>9882</v>
      </c>
      <c r="D2223" s="3">
        <v>344448</v>
      </c>
      <c r="E2223" s="3">
        <v>344448</v>
      </c>
      <c r="F2223" s="2" t="s">
        <v>16</v>
      </c>
      <c r="G2223" s="2" t="s">
        <v>9883</v>
      </c>
      <c r="H2223" s="3">
        <v>0</v>
      </c>
      <c r="I2223" s="2" t="s">
        <v>18</v>
      </c>
      <c r="J2223" s="2" t="s">
        <v>9884</v>
      </c>
      <c r="K2223" s="2" t="s">
        <v>16</v>
      </c>
      <c r="L2223" s="2" t="s">
        <v>9885</v>
      </c>
      <c r="M2223" s="4">
        <v>101143.64</v>
      </c>
      <c r="N2223" t="b">
        <f>OR(LEFT(B2223,3)="frg",(_xlfn.XMATCH(B2223,ZZZ_Part_Id_[[#All],[FGCODE]])))</f>
        <v>1</v>
      </c>
    </row>
    <row r="2224" spans="1:14" x14ac:dyDescent="0.3">
      <c r="A2224" s="2" t="s">
        <v>9886</v>
      </c>
      <c r="B2224" s="2" t="s">
        <v>14</v>
      </c>
      <c r="C2224" s="2" t="s">
        <v>9887</v>
      </c>
      <c r="D2224" s="3">
        <v>10</v>
      </c>
      <c r="E2224" s="3">
        <v>10</v>
      </c>
      <c r="F2224" s="2" t="s">
        <v>16</v>
      </c>
      <c r="G2224" s="2" t="s">
        <v>9888</v>
      </c>
      <c r="H2224" s="3">
        <v>0</v>
      </c>
      <c r="I2224" s="2" t="s">
        <v>409</v>
      </c>
      <c r="J2224" s="2" t="s">
        <v>9889</v>
      </c>
      <c r="K2224" s="2" t="s">
        <v>16</v>
      </c>
      <c r="L2224" s="2" t="s">
        <v>9890</v>
      </c>
      <c r="M2224" s="4">
        <v>0.77</v>
      </c>
      <c r="N2224" t="e">
        <f>OR(LEFT(B2224,3)="frg",(_xlfn.XMATCH(B2224,ZZZ_Part_Id_[[#All],[FGCODE]])))</f>
        <v>#N/A</v>
      </c>
    </row>
    <row r="2225" spans="1:14" x14ac:dyDescent="0.3">
      <c r="A2225" s="2" t="s">
        <v>9886</v>
      </c>
      <c r="B2225" s="2" t="s">
        <v>65</v>
      </c>
      <c r="C2225" s="2" t="s">
        <v>9891</v>
      </c>
      <c r="D2225" s="5">
        <v>-732</v>
      </c>
      <c r="E2225" s="5">
        <v>-732</v>
      </c>
      <c r="F2225" s="2" t="s">
        <v>23</v>
      </c>
      <c r="G2225" s="2" t="s">
        <v>9892</v>
      </c>
      <c r="H2225" s="3">
        <v>0</v>
      </c>
      <c r="I2225" s="2" t="s">
        <v>409</v>
      </c>
      <c r="J2225" s="2" t="s">
        <v>9893</v>
      </c>
      <c r="K2225" s="2" t="s">
        <v>23</v>
      </c>
      <c r="L2225" s="2" t="s">
        <v>9894</v>
      </c>
      <c r="M2225" s="6">
        <v>-1882.41</v>
      </c>
      <c r="N2225" t="b">
        <f>OR(LEFT(B2225,3)="frg",(_xlfn.XMATCH(B2225,ZZZ_Part_Id_[[#All],[FGCODE]])))</f>
        <v>1</v>
      </c>
    </row>
    <row r="2226" spans="1:14" x14ac:dyDescent="0.3">
      <c r="A2226" s="2" t="s">
        <v>9886</v>
      </c>
      <c r="B2226" s="2" t="s">
        <v>2115</v>
      </c>
      <c r="C2226" s="2" t="s">
        <v>9895</v>
      </c>
      <c r="D2226" s="3">
        <v>46800</v>
      </c>
      <c r="E2226" s="3">
        <v>46800</v>
      </c>
      <c r="F2226" s="2" t="s">
        <v>16</v>
      </c>
      <c r="G2226" s="2" t="s">
        <v>9896</v>
      </c>
      <c r="H2226" s="3">
        <v>0</v>
      </c>
      <c r="I2226" s="2" t="s">
        <v>409</v>
      </c>
      <c r="J2226" s="2" t="s">
        <v>9897</v>
      </c>
      <c r="K2226" s="2" t="s">
        <v>16</v>
      </c>
      <c r="L2226" s="2" t="s">
        <v>9898</v>
      </c>
      <c r="M2226" s="4">
        <v>15560.09</v>
      </c>
      <c r="N2226" t="b">
        <f>OR(LEFT(B2226,3)="frg",(_xlfn.XMATCH(B2226,ZZZ_Part_Id_[[#All],[FGCODE]])))</f>
        <v>1</v>
      </c>
    </row>
    <row r="2227" spans="1:14" x14ac:dyDescent="0.3">
      <c r="A2227" s="2" t="s">
        <v>9899</v>
      </c>
      <c r="B2227" s="2" t="s">
        <v>14</v>
      </c>
      <c r="C2227" s="2" t="s">
        <v>9900</v>
      </c>
      <c r="D2227" s="3">
        <v>44</v>
      </c>
      <c r="E2227" s="3">
        <v>44</v>
      </c>
      <c r="F2227" s="2" t="s">
        <v>16</v>
      </c>
      <c r="G2227" s="2" t="s">
        <v>9901</v>
      </c>
      <c r="H2227" s="3">
        <v>0</v>
      </c>
      <c r="I2227" s="2" t="s">
        <v>409</v>
      </c>
      <c r="J2227" s="2" t="s">
        <v>9902</v>
      </c>
      <c r="K2227" s="2" t="s">
        <v>16</v>
      </c>
      <c r="L2227" s="2" t="s">
        <v>9903</v>
      </c>
      <c r="M2227" s="4">
        <v>3.39</v>
      </c>
      <c r="N2227" t="e">
        <f>OR(LEFT(B2227,3)="frg",(_xlfn.XMATCH(B2227,ZZZ_Part_Id_[[#All],[FGCODE]])))</f>
        <v>#N/A</v>
      </c>
    </row>
    <row r="2228" spans="1:14" x14ac:dyDescent="0.3">
      <c r="A2228" s="2" t="s">
        <v>9899</v>
      </c>
      <c r="B2228" s="2" t="s">
        <v>4791</v>
      </c>
      <c r="C2228" s="2" t="s">
        <v>9904</v>
      </c>
      <c r="D2228" s="3">
        <v>291456</v>
      </c>
      <c r="E2228" s="3">
        <v>291456</v>
      </c>
      <c r="F2228" s="2" t="s">
        <v>16</v>
      </c>
      <c r="G2228" s="2" t="s">
        <v>9905</v>
      </c>
      <c r="H2228" s="3">
        <v>0</v>
      </c>
      <c r="I2228" s="2" t="s">
        <v>409</v>
      </c>
      <c r="J2228" s="2" t="s">
        <v>9906</v>
      </c>
      <c r="K2228" s="2" t="s">
        <v>16</v>
      </c>
      <c r="L2228" s="2" t="s">
        <v>9907</v>
      </c>
      <c r="M2228" s="4">
        <v>85583.08</v>
      </c>
      <c r="N2228" t="b">
        <f>OR(LEFT(B2228,3)="frg",(_xlfn.XMATCH(B2228,ZZZ_Part_Id_[[#All],[FGCODE]])))</f>
        <v>1</v>
      </c>
    </row>
    <row r="2229" spans="1:14" x14ac:dyDescent="0.3">
      <c r="A2229" s="2" t="s">
        <v>9908</v>
      </c>
      <c r="B2229" s="2" t="s">
        <v>172</v>
      </c>
      <c r="C2229" s="2" t="s">
        <v>9909</v>
      </c>
      <c r="D2229" s="3">
        <v>14</v>
      </c>
      <c r="E2229" s="3">
        <v>14</v>
      </c>
      <c r="F2229" s="2" t="s">
        <v>23</v>
      </c>
      <c r="G2229" s="2" t="s">
        <v>9910</v>
      </c>
      <c r="H2229" s="3">
        <v>0</v>
      </c>
      <c r="I2229" s="2" t="s">
        <v>18</v>
      </c>
      <c r="J2229" s="2" t="s">
        <v>9911</v>
      </c>
      <c r="K2229" s="2" t="s">
        <v>23</v>
      </c>
      <c r="L2229" s="2" t="s">
        <v>9912</v>
      </c>
      <c r="M2229" s="4">
        <v>99.03</v>
      </c>
      <c r="N2229" t="e">
        <f>OR(LEFT(B2229,3)="frg",(_xlfn.XMATCH(B2229,ZZZ_Part_Id_[[#All],[FGCODE]])))</f>
        <v>#N/A</v>
      </c>
    </row>
    <row r="2230" spans="1:14" x14ac:dyDescent="0.3">
      <c r="A2230" s="2" t="s">
        <v>9908</v>
      </c>
      <c r="B2230" s="2" t="s">
        <v>1027</v>
      </c>
      <c r="C2230" s="2" t="s">
        <v>9913</v>
      </c>
      <c r="D2230" s="3">
        <v>509760</v>
      </c>
      <c r="E2230" s="3">
        <v>509760</v>
      </c>
      <c r="F2230" s="2" t="s">
        <v>16</v>
      </c>
      <c r="G2230" s="2" t="s">
        <v>9914</v>
      </c>
      <c r="H2230" s="3">
        <v>0</v>
      </c>
      <c r="I2230" s="2" t="s">
        <v>18</v>
      </c>
      <c r="J2230" s="2" t="s">
        <v>9915</v>
      </c>
      <c r="K2230" s="2" t="s">
        <v>16</v>
      </c>
      <c r="L2230" s="2" t="s">
        <v>9916</v>
      </c>
      <c r="M2230" s="4">
        <v>102635.04</v>
      </c>
      <c r="N2230" t="b">
        <f>OR(LEFT(B2230,3)="frg",(_xlfn.XMATCH(B2230,ZZZ_Part_Id_[[#All],[FGCODE]])))</f>
        <v>1</v>
      </c>
    </row>
    <row r="2231" spans="1:14" x14ac:dyDescent="0.3">
      <c r="A2231" s="2" t="s">
        <v>9917</v>
      </c>
      <c r="B2231" s="2" t="s">
        <v>14</v>
      </c>
      <c r="C2231" s="2" t="s">
        <v>9918</v>
      </c>
      <c r="D2231" s="3">
        <v>64</v>
      </c>
      <c r="E2231" s="3">
        <v>64</v>
      </c>
      <c r="F2231" s="2" t="s">
        <v>16</v>
      </c>
      <c r="G2231" s="2" t="s">
        <v>9919</v>
      </c>
      <c r="H2231" s="3">
        <v>0</v>
      </c>
      <c r="I2231" s="2" t="s">
        <v>409</v>
      </c>
      <c r="J2231" s="2" t="s">
        <v>9920</v>
      </c>
      <c r="K2231" s="2" t="s">
        <v>16</v>
      </c>
      <c r="L2231" s="2" t="s">
        <v>9921</v>
      </c>
      <c r="M2231" s="4">
        <v>4.92</v>
      </c>
      <c r="N2231" t="e">
        <f>OR(LEFT(B2231,3)="frg",(_xlfn.XMATCH(B2231,ZZZ_Part_Id_[[#All],[FGCODE]])))</f>
        <v>#N/A</v>
      </c>
    </row>
    <row r="2232" spans="1:14" x14ac:dyDescent="0.3">
      <c r="A2232" s="2" t="s">
        <v>9917</v>
      </c>
      <c r="B2232" s="2" t="s">
        <v>172</v>
      </c>
      <c r="C2232" s="2" t="s">
        <v>9922</v>
      </c>
      <c r="D2232" s="3">
        <v>14</v>
      </c>
      <c r="E2232" s="3">
        <v>14</v>
      </c>
      <c r="F2232" s="2" t="s">
        <v>23</v>
      </c>
      <c r="G2232" s="2" t="s">
        <v>9923</v>
      </c>
      <c r="H2232" s="3">
        <v>0</v>
      </c>
      <c r="I2232" s="2" t="s">
        <v>409</v>
      </c>
      <c r="J2232" s="2" t="s">
        <v>9924</v>
      </c>
      <c r="K2232" s="2" t="s">
        <v>23</v>
      </c>
      <c r="L2232" s="2" t="s">
        <v>9925</v>
      </c>
      <c r="M2232" s="4">
        <v>99.03</v>
      </c>
      <c r="N2232" t="e">
        <f>OR(LEFT(B2232,3)="frg",(_xlfn.XMATCH(B2232,ZZZ_Part_Id_[[#All],[FGCODE]])))</f>
        <v>#N/A</v>
      </c>
    </row>
    <row r="2233" spans="1:14" x14ac:dyDescent="0.3">
      <c r="A2233" s="2" t="s">
        <v>9917</v>
      </c>
      <c r="B2233" s="2" t="s">
        <v>5357</v>
      </c>
      <c r="C2233" s="2" t="s">
        <v>9926</v>
      </c>
      <c r="D2233" s="3">
        <v>317952</v>
      </c>
      <c r="E2233" s="3">
        <v>317952</v>
      </c>
      <c r="F2233" s="2" t="s">
        <v>16</v>
      </c>
      <c r="G2233" s="2" t="s">
        <v>9927</v>
      </c>
      <c r="H2233" s="3">
        <v>0</v>
      </c>
      <c r="I2233" s="2" t="s">
        <v>409</v>
      </c>
      <c r="J2233" s="2" t="s">
        <v>9928</v>
      </c>
      <c r="K2233" s="2" t="s">
        <v>16</v>
      </c>
      <c r="L2233" s="2" t="s">
        <v>9929</v>
      </c>
      <c r="M2233" s="4">
        <v>94492.32</v>
      </c>
      <c r="N2233" t="b">
        <f>OR(LEFT(B2233,3)="frg",(_xlfn.XMATCH(B2233,ZZZ_Part_Id_[[#All],[FGCODE]])))</f>
        <v>1</v>
      </c>
    </row>
    <row r="2234" spans="1:14" x14ac:dyDescent="0.3">
      <c r="A2234" s="2" t="s">
        <v>9930</v>
      </c>
      <c r="B2234" s="2" t="s">
        <v>14</v>
      </c>
      <c r="C2234" s="2" t="s">
        <v>9931</v>
      </c>
      <c r="D2234" s="3">
        <v>64</v>
      </c>
      <c r="E2234" s="3">
        <v>64</v>
      </c>
      <c r="F2234" s="2" t="s">
        <v>16</v>
      </c>
      <c r="G2234" s="2" t="s">
        <v>9932</v>
      </c>
      <c r="H2234" s="3">
        <v>0</v>
      </c>
      <c r="I2234" s="2" t="s">
        <v>18</v>
      </c>
      <c r="J2234" s="2" t="s">
        <v>9933</v>
      </c>
      <c r="K2234" s="2" t="s">
        <v>16</v>
      </c>
      <c r="L2234" s="2" t="s">
        <v>9934</v>
      </c>
      <c r="M2234" s="4">
        <v>4.92</v>
      </c>
      <c r="N2234" t="e">
        <f>OR(LEFT(B2234,3)="frg",(_xlfn.XMATCH(B2234,ZZZ_Part_Id_[[#All],[FGCODE]])))</f>
        <v>#N/A</v>
      </c>
    </row>
    <row r="2235" spans="1:14" x14ac:dyDescent="0.3">
      <c r="A2235" s="2" t="s">
        <v>9930</v>
      </c>
      <c r="B2235" s="2" t="s">
        <v>517</v>
      </c>
      <c r="C2235" s="2" t="s">
        <v>9935</v>
      </c>
      <c r="D2235" s="3">
        <v>443520</v>
      </c>
      <c r="E2235" s="3">
        <v>443520</v>
      </c>
      <c r="F2235" s="2" t="s">
        <v>16</v>
      </c>
      <c r="G2235" s="2" t="s">
        <v>9936</v>
      </c>
      <c r="H2235" s="3">
        <v>0</v>
      </c>
      <c r="I2235" s="2" t="s">
        <v>18</v>
      </c>
      <c r="J2235" s="2" t="s">
        <v>9937</v>
      </c>
      <c r="K2235" s="2" t="s">
        <v>16</v>
      </c>
      <c r="L2235" s="2" t="s">
        <v>9938</v>
      </c>
      <c r="M2235" s="4">
        <v>80685</v>
      </c>
      <c r="N2235" t="b">
        <f>OR(LEFT(B2235,3)="frg",(_xlfn.XMATCH(B2235,ZZZ_Part_Id_[[#All],[FGCODE]])))</f>
        <v>1</v>
      </c>
    </row>
    <row r="2236" spans="1:14" x14ac:dyDescent="0.3">
      <c r="A2236" s="2" t="s">
        <v>9939</v>
      </c>
      <c r="B2236" s="2" t="s">
        <v>86</v>
      </c>
      <c r="C2236" s="2" t="s">
        <v>9940</v>
      </c>
      <c r="D2236" s="5">
        <v>-197</v>
      </c>
      <c r="E2236" s="5">
        <v>-197</v>
      </c>
      <c r="F2236" s="2" t="s">
        <v>23</v>
      </c>
      <c r="G2236" s="2" t="s">
        <v>9941</v>
      </c>
      <c r="H2236" s="3">
        <v>0</v>
      </c>
      <c r="I2236" s="2" t="s">
        <v>18</v>
      </c>
      <c r="J2236" s="2" t="s">
        <v>9942</v>
      </c>
      <c r="K2236" s="2" t="s">
        <v>23</v>
      </c>
      <c r="L2236" s="2" t="s">
        <v>9943</v>
      </c>
      <c r="M2236" s="6">
        <v>-515.71</v>
      </c>
      <c r="N2236" t="b">
        <f>OR(LEFT(B2236,3)="frg",(_xlfn.XMATCH(B2236,ZZZ_Part_Id_[[#All],[FGCODE]])))</f>
        <v>1</v>
      </c>
    </row>
    <row r="2237" spans="1:14" x14ac:dyDescent="0.3">
      <c r="A2237" s="2" t="s">
        <v>9939</v>
      </c>
      <c r="B2237" s="2" t="s">
        <v>797</v>
      </c>
      <c r="C2237" s="2" t="s">
        <v>9944</v>
      </c>
      <c r="D2237" s="3">
        <v>295300</v>
      </c>
      <c r="E2237" s="3">
        <v>295300</v>
      </c>
      <c r="F2237" s="2" t="s">
        <v>16</v>
      </c>
      <c r="G2237" s="2" t="s">
        <v>9945</v>
      </c>
      <c r="H2237" s="3">
        <v>0</v>
      </c>
      <c r="I2237" s="2" t="s">
        <v>18</v>
      </c>
      <c r="J2237" s="2" t="s">
        <v>9946</v>
      </c>
      <c r="K2237" s="2" t="s">
        <v>16</v>
      </c>
      <c r="L2237" s="2" t="s">
        <v>9947</v>
      </c>
      <c r="M2237" s="4">
        <v>15958.06</v>
      </c>
      <c r="N2237" t="b">
        <f>OR(LEFT(B2237,3)="frg",(_xlfn.XMATCH(B2237,ZZZ_Part_Id_[[#All],[FGCODE]])))</f>
        <v>1</v>
      </c>
    </row>
    <row r="2238" spans="1:14" x14ac:dyDescent="0.3">
      <c r="A2238" s="2" t="s">
        <v>9948</v>
      </c>
      <c r="B2238" s="2" t="s">
        <v>14</v>
      </c>
      <c r="C2238" s="2" t="s">
        <v>9949</v>
      </c>
      <c r="D2238" s="3">
        <v>10</v>
      </c>
      <c r="E2238" s="3">
        <v>10</v>
      </c>
      <c r="F2238" s="2" t="s">
        <v>16</v>
      </c>
      <c r="G2238" s="2" t="s">
        <v>9950</v>
      </c>
      <c r="H2238" s="3">
        <v>0</v>
      </c>
      <c r="I2238" s="2" t="s">
        <v>18</v>
      </c>
      <c r="J2238" s="2" t="s">
        <v>9951</v>
      </c>
      <c r="K2238" s="2" t="s">
        <v>16</v>
      </c>
      <c r="L2238" s="2" t="s">
        <v>9952</v>
      </c>
      <c r="M2238" s="4">
        <v>0.77</v>
      </c>
      <c r="N2238" t="e">
        <f>OR(LEFT(B2238,3)="frg",(_xlfn.XMATCH(B2238,ZZZ_Part_Id_[[#All],[FGCODE]])))</f>
        <v>#N/A</v>
      </c>
    </row>
    <row r="2239" spans="1:14" x14ac:dyDescent="0.3">
      <c r="A2239" s="2" t="s">
        <v>9948</v>
      </c>
      <c r="B2239" s="2" t="s">
        <v>6182</v>
      </c>
      <c r="C2239" s="2" t="s">
        <v>9953</v>
      </c>
      <c r="D2239" s="3">
        <v>29880</v>
      </c>
      <c r="E2239" s="3">
        <v>29880</v>
      </c>
      <c r="F2239" s="2" t="s">
        <v>16</v>
      </c>
      <c r="G2239" s="2" t="s">
        <v>9954</v>
      </c>
      <c r="H2239" s="3">
        <v>0</v>
      </c>
      <c r="I2239" s="2" t="s">
        <v>18</v>
      </c>
      <c r="J2239" s="2" t="s">
        <v>9955</v>
      </c>
      <c r="K2239" s="2" t="s">
        <v>16</v>
      </c>
      <c r="L2239" s="2" t="s">
        <v>9956</v>
      </c>
      <c r="M2239" s="4">
        <v>1688.82</v>
      </c>
      <c r="N2239" t="b">
        <f>OR(LEFT(B2239,3)="frg",(_xlfn.XMATCH(B2239,ZZZ_Part_Id_[[#All],[FGCODE]])))</f>
        <v>1</v>
      </c>
    </row>
    <row r="2240" spans="1:14" x14ac:dyDescent="0.3">
      <c r="A2240" s="2" t="s">
        <v>9948</v>
      </c>
      <c r="B2240" s="2" t="s">
        <v>4511</v>
      </c>
      <c r="C2240" s="2" t="s">
        <v>9957</v>
      </c>
      <c r="D2240" s="3">
        <v>239040</v>
      </c>
      <c r="E2240" s="3">
        <v>239040</v>
      </c>
      <c r="F2240" s="2" t="s">
        <v>16</v>
      </c>
      <c r="G2240" s="2" t="s">
        <v>131</v>
      </c>
      <c r="H2240" s="3">
        <v>0</v>
      </c>
      <c r="I2240" s="2" t="s">
        <v>18</v>
      </c>
      <c r="J2240" s="2" t="s">
        <v>9958</v>
      </c>
      <c r="K2240" s="2" t="s">
        <v>16</v>
      </c>
      <c r="L2240" s="2" t="s">
        <v>9959</v>
      </c>
      <c r="M2240" s="4">
        <v>13218.89</v>
      </c>
      <c r="N2240" t="b">
        <f>OR(LEFT(B2240,3)="frg",(_xlfn.XMATCH(B2240,ZZZ_Part_Id_[[#All],[FGCODE]])))</f>
        <v>1</v>
      </c>
    </row>
    <row r="2241" spans="1:14" x14ac:dyDescent="0.3">
      <c r="A2241" s="2" t="s">
        <v>9960</v>
      </c>
      <c r="B2241" s="2" t="s">
        <v>14</v>
      </c>
      <c r="C2241" s="2" t="s">
        <v>9961</v>
      </c>
      <c r="D2241" s="3">
        <v>20</v>
      </c>
      <c r="E2241" s="3">
        <v>20</v>
      </c>
      <c r="F2241" s="2" t="s">
        <v>16</v>
      </c>
      <c r="G2241" s="2" t="s">
        <v>9962</v>
      </c>
      <c r="H2241" s="3">
        <v>0</v>
      </c>
      <c r="I2241" s="2" t="s">
        <v>18</v>
      </c>
      <c r="J2241" s="2" t="s">
        <v>9963</v>
      </c>
      <c r="K2241" s="2" t="s">
        <v>16</v>
      </c>
      <c r="L2241" s="2" t="s">
        <v>9964</v>
      </c>
      <c r="M2241" s="4">
        <v>1.54</v>
      </c>
      <c r="N2241" t="e">
        <f>OR(LEFT(B2241,3)="frg",(_xlfn.XMATCH(B2241,ZZZ_Part_Id_[[#All],[FGCODE]])))</f>
        <v>#N/A</v>
      </c>
    </row>
    <row r="2242" spans="1:14" x14ac:dyDescent="0.3">
      <c r="A2242" s="2" t="s">
        <v>9960</v>
      </c>
      <c r="B2242" s="2" t="s">
        <v>86</v>
      </c>
      <c r="C2242" s="2" t="s">
        <v>9965</v>
      </c>
      <c r="D2242" s="5">
        <v>-222</v>
      </c>
      <c r="E2242" s="5">
        <v>-222</v>
      </c>
      <c r="F2242" s="2" t="s">
        <v>23</v>
      </c>
      <c r="G2242" s="2" t="s">
        <v>9966</v>
      </c>
      <c r="H2242" s="3">
        <v>0</v>
      </c>
      <c r="I2242" s="2" t="s">
        <v>18</v>
      </c>
      <c r="J2242" s="2" t="s">
        <v>9967</v>
      </c>
      <c r="K2242" s="2" t="s">
        <v>23</v>
      </c>
      <c r="L2242" s="2" t="s">
        <v>9968</v>
      </c>
      <c r="M2242" s="6">
        <v>-581.15</v>
      </c>
      <c r="N2242" t="b">
        <f>OR(LEFT(B2242,3)="frg",(_xlfn.XMATCH(B2242,ZZZ_Part_Id_[[#All],[FGCODE]])))</f>
        <v>1</v>
      </c>
    </row>
    <row r="2243" spans="1:14" x14ac:dyDescent="0.3">
      <c r="A2243" s="2" t="s">
        <v>9960</v>
      </c>
      <c r="B2243" s="2" t="s">
        <v>4511</v>
      </c>
      <c r="C2243" s="2" t="s">
        <v>9969</v>
      </c>
      <c r="D2243" s="3">
        <v>717120</v>
      </c>
      <c r="E2243" s="3">
        <v>717120</v>
      </c>
      <c r="F2243" s="2" t="s">
        <v>16</v>
      </c>
      <c r="G2243" s="2" t="s">
        <v>9970</v>
      </c>
      <c r="H2243" s="3">
        <v>0</v>
      </c>
      <c r="I2243" s="2" t="s">
        <v>18</v>
      </c>
      <c r="J2243" s="2" t="s">
        <v>9971</v>
      </c>
      <c r="K2243" s="2" t="s">
        <v>16</v>
      </c>
      <c r="L2243" s="2" t="s">
        <v>9972</v>
      </c>
      <c r="M2243" s="4">
        <v>39656.639999999999</v>
      </c>
      <c r="N2243" t="b">
        <f>OR(LEFT(B2243,3)="frg",(_xlfn.XMATCH(B2243,ZZZ_Part_Id_[[#All],[FGCODE]])))</f>
        <v>1</v>
      </c>
    </row>
    <row r="2244" spans="1:14" x14ac:dyDescent="0.3">
      <c r="A2244" s="2" t="s">
        <v>9960</v>
      </c>
      <c r="B2244" s="2" t="s">
        <v>37</v>
      </c>
      <c r="C2244" s="2" t="s">
        <v>9973</v>
      </c>
      <c r="D2244" s="3">
        <v>20</v>
      </c>
      <c r="E2244" s="3">
        <v>20</v>
      </c>
      <c r="F2244" s="2" t="s">
        <v>16</v>
      </c>
      <c r="G2244" s="2" t="s">
        <v>131</v>
      </c>
      <c r="H2244" s="3">
        <v>0</v>
      </c>
      <c r="I2244" s="2" t="s">
        <v>18</v>
      </c>
      <c r="J2244" s="2" t="s">
        <v>9974</v>
      </c>
      <c r="K2244" s="2" t="s">
        <v>16</v>
      </c>
      <c r="L2244" s="2" t="s">
        <v>9975</v>
      </c>
      <c r="M2244" s="4">
        <v>320</v>
      </c>
      <c r="N2244" t="e">
        <f>OR(LEFT(B2244,3)="frg",(_xlfn.XMATCH(B2244,ZZZ_Part_Id_[[#All],[FGCODE]])))</f>
        <v>#N/A</v>
      </c>
    </row>
    <row r="2245" spans="1:14" x14ac:dyDescent="0.3">
      <c r="A2245" s="2" t="s">
        <v>9976</v>
      </c>
      <c r="B2245" s="2" t="s">
        <v>14</v>
      </c>
      <c r="C2245" s="2" t="s">
        <v>9977</v>
      </c>
      <c r="D2245" s="3">
        <v>10</v>
      </c>
      <c r="E2245" s="3">
        <v>10</v>
      </c>
      <c r="F2245" s="2" t="s">
        <v>16</v>
      </c>
      <c r="G2245" s="2" t="s">
        <v>9978</v>
      </c>
      <c r="H2245" s="3">
        <v>0</v>
      </c>
      <c r="I2245" s="2" t="s">
        <v>409</v>
      </c>
      <c r="J2245" s="2" t="s">
        <v>9979</v>
      </c>
      <c r="K2245" s="2" t="s">
        <v>16</v>
      </c>
      <c r="L2245" s="2" t="s">
        <v>9980</v>
      </c>
      <c r="M2245" s="4">
        <v>0.77</v>
      </c>
      <c r="N2245" t="e">
        <f>OR(LEFT(B2245,3)="frg",(_xlfn.XMATCH(B2245,ZZZ_Part_Id_[[#All],[FGCODE]])))</f>
        <v>#N/A</v>
      </c>
    </row>
    <row r="2246" spans="1:14" x14ac:dyDescent="0.3">
      <c r="A2246" s="2" t="s">
        <v>9976</v>
      </c>
      <c r="B2246" s="2" t="s">
        <v>9363</v>
      </c>
      <c r="C2246" s="2" t="s">
        <v>9981</v>
      </c>
      <c r="D2246" s="3">
        <v>253800</v>
      </c>
      <c r="E2246" s="3">
        <v>253800</v>
      </c>
      <c r="F2246" s="2" t="s">
        <v>16</v>
      </c>
      <c r="G2246" s="2" t="s">
        <v>9982</v>
      </c>
      <c r="H2246" s="3">
        <v>0</v>
      </c>
      <c r="I2246" s="2" t="s">
        <v>409</v>
      </c>
      <c r="J2246" s="2" t="s">
        <v>9983</v>
      </c>
      <c r="K2246" s="2" t="s">
        <v>16</v>
      </c>
      <c r="L2246" s="2" t="s">
        <v>9984</v>
      </c>
      <c r="M2246" s="4">
        <v>2327.3000000000002</v>
      </c>
      <c r="N2246" t="b">
        <f>OR(LEFT(B2246,3)="frg",(_xlfn.XMATCH(B2246,ZZZ_Part_Id_[[#All],[FGCODE]])))</f>
        <v>1</v>
      </c>
    </row>
    <row r="2247" spans="1:14" x14ac:dyDescent="0.3">
      <c r="A2247" s="2" t="s">
        <v>9985</v>
      </c>
      <c r="B2247" s="2" t="s">
        <v>14</v>
      </c>
      <c r="C2247" s="2" t="s">
        <v>9986</v>
      </c>
      <c r="D2247" s="3">
        <v>14</v>
      </c>
      <c r="E2247" s="3">
        <v>14</v>
      </c>
      <c r="F2247" s="2" t="s">
        <v>16</v>
      </c>
      <c r="G2247" s="2" t="s">
        <v>9987</v>
      </c>
      <c r="H2247" s="3">
        <v>0</v>
      </c>
      <c r="I2247" s="2" t="s">
        <v>409</v>
      </c>
      <c r="J2247" s="2" t="s">
        <v>9988</v>
      </c>
      <c r="K2247" s="2" t="s">
        <v>16</v>
      </c>
      <c r="L2247" s="2" t="s">
        <v>9989</v>
      </c>
      <c r="M2247" s="4">
        <v>1.08</v>
      </c>
      <c r="N2247" t="e">
        <f>OR(LEFT(B2247,3)="frg",(_xlfn.XMATCH(B2247,ZZZ_Part_Id_[[#All],[FGCODE]])))</f>
        <v>#N/A</v>
      </c>
    </row>
    <row r="2248" spans="1:14" x14ac:dyDescent="0.3">
      <c r="A2248" s="2" t="s">
        <v>9985</v>
      </c>
      <c r="B2248" s="2" t="s">
        <v>86</v>
      </c>
      <c r="C2248" s="2" t="s">
        <v>9990</v>
      </c>
      <c r="D2248" s="5">
        <v>-238</v>
      </c>
      <c r="E2248" s="5">
        <v>-238</v>
      </c>
      <c r="F2248" s="2" t="s">
        <v>23</v>
      </c>
      <c r="G2248" s="2" t="s">
        <v>9991</v>
      </c>
      <c r="H2248" s="3">
        <v>0</v>
      </c>
      <c r="I2248" s="2" t="s">
        <v>409</v>
      </c>
      <c r="J2248" s="2" t="s">
        <v>9992</v>
      </c>
      <c r="K2248" s="2" t="s">
        <v>23</v>
      </c>
      <c r="L2248" s="2" t="s">
        <v>9993</v>
      </c>
      <c r="M2248" s="6">
        <v>-623.04</v>
      </c>
      <c r="N2248" t="b">
        <f>OR(LEFT(B2248,3)="frg",(_xlfn.XMATCH(B2248,ZZZ_Part_Id_[[#All],[FGCODE]])))</f>
        <v>1</v>
      </c>
    </row>
    <row r="2249" spans="1:14" x14ac:dyDescent="0.3">
      <c r="A2249" s="2" t="s">
        <v>9985</v>
      </c>
      <c r="B2249" s="2" t="s">
        <v>76</v>
      </c>
      <c r="C2249" s="2" t="s">
        <v>9994</v>
      </c>
      <c r="D2249" s="3">
        <v>380700</v>
      </c>
      <c r="E2249" s="3">
        <v>380700</v>
      </c>
      <c r="F2249" s="2" t="s">
        <v>16</v>
      </c>
      <c r="G2249" s="2" t="s">
        <v>9995</v>
      </c>
      <c r="H2249" s="3">
        <v>0</v>
      </c>
      <c r="I2249" s="2" t="s">
        <v>409</v>
      </c>
      <c r="J2249" s="2" t="s">
        <v>9996</v>
      </c>
      <c r="K2249" s="2" t="s">
        <v>16</v>
      </c>
      <c r="L2249" s="2" t="s">
        <v>9997</v>
      </c>
      <c r="M2249" s="4">
        <v>24951.13</v>
      </c>
      <c r="N2249" t="b">
        <f>OR(LEFT(B2249,3)="frg",(_xlfn.XMATCH(B2249,ZZZ_Part_Id_[[#All],[FGCODE]])))</f>
        <v>1</v>
      </c>
    </row>
    <row r="2250" spans="1:14" x14ac:dyDescent="0.3">
      <c r="A2250" s="2" t="s">
        <v>9998</v>
      </c>
      <c r="B2250" s="2" t="s">
        <v>14</v>
      </c>
      <c r="C2250" s="2" t="s">
        <v>9999</v>
      </c>
      <c r="D2250" s="3">
        <v>20</v>
      </c>
      <c r="E2250" s="3">
        <v>20</v>
      </c>
      <c r="F2250" s="2" t="s">
        <v>16</v>
      </c>
      <c r="G2250" s="2" t="s">
        <v>10000</v>
      </c>
      <c r="H2250" s="3">
        <v>0</v>
      </c>
      <c r="I2250" s="2" t="s">
        <v>409</v>
      </c>
      <c r="J2250" s="2" t="s">
        <v>10001</v>
      </c>
      <c r="K2250" s="2" t="s">
        <v>16</v>
      </c>
      <c r="L2250" s="2" t="s">
        <v>10002</v>
      </c>
      <c r="M2250" s="4">
        <v>1.54</v>
      </c>
      <c r="N2250" t="e">
        <f>OR(LEFT(B2250,3)="frg",(_xlfn.XMATCH(B2250,ZZZ_Part_Id_[[#All],[FGCODE]])))</f>
        <v>#N/A</v>
      </c>
    </row>
    <row r="2251" spans="1:14" x14ac:dyDescent="0.3">
      <c r="A2251" s="2" t="s">
        <v>9998</v>
      </c>
      <c r="B2251" s="2" t="s">
        <v>3028</v>
      </c>
      <c r="C2251" s="2" t="s">
        <v>10003</v>
      </c>
      <c r="D2251" s="3">
        <v>456840</v>
      </c>
      <c r="E2251" s="3">
        <v>456840</v>
      </c>
      <c r="F2251" s="2" t="s">
        <v>16</v>
      </c>
      <c r="G2251" s="2" t="s">
        <v>10004</v>
      </c>
      <c r="H2251" s="3">
        <v>0</v>
      </c>
      <c r="I2251" s="2" t="s">
        <v>409</v>
      </c>
      <c r="J2251" s="2" t="s">
        <v>10005</v>
      </c>
      <c r="K2251" s="2" t="s">
        <v>16</v>
      </c>
      <c r="L2251" s="2" t="s">
        <v>10006</v>
      </c>
      <c r="M2251" s="4">
        <v>29950.38</v>
      </c>
      <c r="N2251" t="b">
        <f>OR(LEFT(B2251,3)="frg",(_xlfn.XMATCH(B2251,ZZZ_Part_Id_[[#All],[FGCODE]])))</f>
        <v>1</v>
      </c>
    </row>
    <row r="2252" spans="1:14" x14ac:dyDescent="0.3">
      <c r="A2252" s="2" t="s">
        <v>10007</v>
      </c>
      <c r="B2252" s="2" t="s">
        <v>14</v>
      </c>
      <c r="C2252" s="2" t="s">
        <v>10008</v>
      </c>
      <c r="D2252" s="3">
        <v>40</v>
      </c>
      <c r="E2252" s="3">
        <v>40</v>
      </c>
      <c r="F2252" s="2" t="s">
        <v>16</v>
      </c>
      <c r="G2252" s="2" t="s">
        <v>10009</v>
      </c>
      <c r="H2252" s="3">
        <v>0</v>
      </c>
      <c r="I2252" s="2" t="s">
        <v>18</v>
      </c>
      <c r="J2252" s="2" t="s">
        <v>10010</v>
      </c>
      <c r="K2252" s="2" t="s">
        <v>16</v>
      </c>
      <c r="L2252" s="2" t="s">
        <v>10011</v>
      </c>
      <c r="M2252" s="4">
        <v>3.08</v>
      </c>
      <c r="N2252" t="e">
        <f>OR(LEFT(B2252,3)="frg",(_xlfn.XMATCH(B2252,ZZZ_Part_Id_[[#All],[FGCODE]])))</f>
        <v>#N/A</v>
      </c>
    </row>
    <row r="2253" spans="1:14" x14ac:dyDescent="0.3">
      <c r="A2253" s="2" t="s">
        <v>10007</v>
      </c>
      <c r="B2253" s="2" t="s">
        <v>97</v>
      </c>
      <c r="C2253" s="2" t="s">
        <v>10012</v>
      </c>
      <c r="D2253" s="3">
        <v>148800</v>
      </c>
      <c r="E2253" s="3">
        <v>148800</v>
      </c>
      <c r="F2253" s="2" t="s">
        <v>16</v>
      </c>
      <c r="G2253" s="2" t="s">
        <v>10013</v>
      </c>
      <c r="H2253" s="3">
        <v>0</v>
      </c>
      <c r="I2253" s="2" t="s">
        <v>18</v>
      </c>
      <c r="J2253" s="2" t="s">
        <v>10014</v>
      </c>
      <c r="K2253" s="2" t="s">
        <v>16</v>
      </c>
      <c r="L2253" s="2" t="s">
        <v>10015</v>
      </c>
      <c r="M2253" s="4">
        <v>51030.96</v>
      </c>
      <c r="N2253" t="b">
        <f>OR(LEFT(B2253,3)="frg",(_xlfn.XMATCH(B2253,ZZZ_Part_Id_[[#All],[FGCODE]])))</f>
        <v>1</v>
      </c>
    </row>
    <row r="2254" spans="1:14" x14ac:dyDescent="0.3">
      <c r="A2254" s="2" t="s">
        <v>10016</v>
      </c>
      <c r="B2254" s="2" t="s">
        <v>65</v>
      </c>
      <c r="C2254" s="2" t="s">
        <v>10017</v>
      </c>
      <c r="D2254" s="5">
        <v>-498</v>
      </c>
      <c r="E2254" s="5">
        <v>-498</v>
      </c>
      <c r="F2254" s="2" t="s">
        <v>23</v>
      </c>
      <c r="G2254" s="2" t="s">
        <v>10018</v>
      </c>
      <c r="H2254" s="3">
        <v>0</v>
      </c>
      <c r="I2254" s="2" t="s">
        <v>18</v>
      </c>
      <c r="J2254" s="2" t="s">
        <v>10019</v>
      </c>
      <c r="K2254" s="2" t="s">
        <v>23</v>
      </c>
      <c r="L2254" s="2" t="s">
        <v>10020</v>
      </c>
      <c r="M2254" s="6">
        <v>-1280.6600000000001</v>
      </c>
      <c r="N2254" t="b">
        <f>OR(LEFT(B2254,3)="frg",(_xlfn.XMATCH(B2254,ZZZ_Part_Id_[[#All],[FGCODE]])))</f>
        <v>1</v>
      </c>
    </row>
    <row r="2255" spans="1:14" x14ac:dyDescent="0.3">
      <c r="A2255" s="2" t="s">
        <v>10016</v>
      </c>
      <c r="B2255" s="2" t="s">
        <v>1170</v>
      </c>
      <c r="C2255" s="2" t="s">
        <v>10021</v>
      </c>
      <c r="D2255" s="3">
        <v>52800</v>
      </c>
      <c r="E2255" s="3">
        <v>52800</v>
      </c>
      <c r="F2255" s="2" t="s">
        <v>16</v>
      </c>
      <c r="G2255" s="2" t="s">
        <v>10022</v>
      </c>
      <c r="H2255" s="3">
        <v>0</v>
      </c>
      <c r="I2255" s="2" t="s">
        <v>18</v>
      </c>
      <c r="J2255" s="2" t="s">
        <v>10023</v>
      </c>
      <c r="K2255" s="2" t="s">
        <v>16</v>
      </c>
      <c r="L2255" s="2" t="s">
        <v>10024</v>
      </c>
      <c r="M2255" s="4">
        <v>18266.16</v>
      </c>
      <c r="N2255" t="b">
        <f>OR(LEFT(B2255,3)="frg",(_xlfn.XMATCH(B2255,ZZZ_Part_Id_[[#All],[FGCODE]])))</f>
        <v>1</v>
      </c>
    </row>
    <row r="2256" spans="1:14" x14ac:dyDescent="0.3">
      <c r="A2256" s="2" t="s">
        <v>10025</v>
      </c>
      <c r="B2256" s="2" t="s">
        <v>65</v>
      </c>
      <c r="C2256" s="2" t="s">
        <v>10026</v>
      </c>
      <c r="D2256" s="5">
        <v>-228</v>
      </c>
      <c r="E2256" s="5">
        <v>-228</v>
      </c>
      <c r="F2256" s="2" t="s">
        <v>23</v>
      </c>
      <c r="G2256" s="2" t="s">
        <v>10027</v>
      </c>
      <c r="H2256" s="3">
        <v>0</v>
      </c>
      <c r="I2256" s="2" t="s">
        <v>18</v>
      </c>
      <c r="J2256" s="2" t="s">
        <v>10028</v>
      </c>
      <c r="K2256" s="2" t="s">
        <v>23</v>
      </c>
      <c r="L2256" s="2" t="s">
        <v>10029</v>
      </c>
      <c r="M2256" s="6">
        <v>-586.32000000000005</v>
      </c>
      <c r="N2256" t="b">
        <f>OR(LEFT(B2256,3)="frg",(_xlfn.XMATCH(B2256,ZZZ_Part_Id_[[#All],[FGCODE]])))</f>
        <v>1</v>
      </c>
    </row>
    <row r="2257" spans="1:14" x14ac:dyDescent="0.3">
      <c r="A2257" s="2" t="s">
        <v>10025</v>
      </c>
      <c r="B2257" s="2" t="s">
        <v>70</v>
      </c>
      <c r="C2257" s="2" t="s">
        <v>10030</v>
      </c>
      <c r="D2257" s="3">
        <v>57024</v>
      </c>
      <c r="E2257" s="3">
        <v>57024</v>
      </c>
      <c r="F2257" s="2" t="s">
        <v>16</v>
      </c>
      <c r="G2257" s="2" t="s">
        <v>10031</v>
      </c>
      <c r="H2257" s="3">
        <v>0</v>
      </c>
      <c r="I2257" s="2" t="s">
        <v>18</v>
      </c>
      <c r="J2257" s="2" t="s">
        <v>10032</v>
      </c>
      <c r="K2257" s="2" t="s">
        <v>16</v>
      </c>
      <c r="L2257" s="2" t="s">
        <v>10033</v>
      </c>
      <c r="M2257" s="4">
        <v>14033.61</v>
      </c>
      <c r="N2257" t="b">
        <f>OR(LEFT(B2257,3)="frg",(_xlfn.XMATCH(B2257,ZZZ_Part_Id_[[#All],[FGCODE]])))</f>
        <v>1</v>
      </c>
    </row>
    <row r="2258" spans="1:14" x14ac:dyDescent="0.3">
      <c r="A2258" s="2" t="s">
        <v>10034</v>
      </c>
      <c r="B2258" s="2" t="s">
        <v>14</v>
      </c>
      <c r="C2258" s="2" t="s">
        <v>10035</v>
      </c>
      <c r="D2258" s="3">
        <v>95</v>
      </c>
      <c r="E2258" s="3">
        <v>95</v>
      </c>
      <c r="F2258" s="2" t="s">
        <v>16</v>
      </c>
      <c r="G2258" s="2" t="s">
        <v>10036</v>
      </c>
      <c r="H2258" s="3">
        <v>0</v>
      </c>
      <c r="I2258" s="2" t="s">
        <v>409</v>
      </c>
      <c r="J2258" s="2" t="s">
        <v>10037</v>
      </c>
      <c r="K2258" s="2" t="s">
        <v>16</v>
      </c>
      <c r="L2258" s="2" t="s">
        <v>10038</v>
      </c>
      <c r="M2258" s="4">
        <v>7.31</v>
      </c>
      <c r="N2258" t="e">
        <f>OR(LEFT(B2258,3)="frg",(_xlfn.XMATCH(B2258,ZZZ_Part_Id_[[#All],[FGCODE]])))</f>
        <v>#N/A</v>
      </c>
    </row>
    <row r="2259" spans="1:14" x14ac:dyDescent="0.3">
      <c r="A2259" s="2" t="s">
        <v>10034</v>
      </c>
      <c r="B2259" s="2" t="s">
        <v>172</v>
      </c>
      <c r="C2259" s="2" t="s">
        <v>10039</v>
      </c>
      <c r="D2259" s="3">
        <v>25</v>
      </c>
      <c r="E2259" s="3">
        <v>25</v>
      </c>
      <c r="F2259" s="2" t="s">
        <v>23</v>
      </c>
      <c r="G2259" s="2" t="s">
        <v>10040</v>
      </c>
      <c r="H2259" s="3">
        <v>0</v>
      </c>
      <c r="I2259" s="2" t="s">
        <v>409</v>
      </c>
      <c r="J2259" s="2" t="s">
        <v>10041</v>
      </c>
      <c r="K2259" s="2" t="s">
        <v>23</v>
      </c>
      <c r="L2259" s="2" t="s">
        <v>10042</v>
      </c>
      <c r="M2259" s="4">
        <v>176.84</v>
      </c>
      <c r="N2259" t="e">
        <f>OR(LEFT(B2259,3)="frg",(_xlfn.XMATCH(B2259,ZZZ_Part_Id_[[#All],[FGCODE]])))</f>
        <v>#N/A</v>
      </c>
    </row>
    <row r="2260" spans="1:14" x14ac:dyDescent="0.3">
      <c r="A2260" s="2" t="s">
        <v>10034</v>
      </c>
      <c r="B2260" s="2" t="s">
        <v>5357</v>
      </c>
      <c r="C2260" s="2" t="s">
        <v>10043</v>
      </c>
      <c r="D2260" s="3">
        <v>629280</v>
      </c>
      <c r="E2260" s="3">
        <v>629280</v>
      </c>
      <c r="F2260" s="2" t="s">
        <v>16</v>
      </c>
      <c r="G2260" s="2" t="s">
        <v>10044</v>
      </c>
      <c r="H2260" s="3">
        <v>0</v>
      </c>
      <c r="I2260" s="2" t="s">
        <v>409</v>
      </c>
      <c r="J2260" s="2" t="s">
        <v>10045</v>
      </c>
      <c r="K2260" s="2" t="s">
        <v>16</v>
      </c>
      <c r="L2260" s="2" t="s">
        <v>10046</v>
      </c>
      <c r="M2260" s="4">
        <v>187016.05</v>
      </c>
      <c r="N2260" t="b">
        <f>OR(LEFT(B2260,3)="frg",(_xlfn.XMATCH(B2260,ZZZ_Part_Id_[[#All],[FGCODE]])))</f>
        <v>1</v>
      </c>
    </row>
    <row r="2261" spans="1:14" x14ac:dyDescent="0.3">
      <c r="A2261" s="2" t="s">
        <v>10034</v>
      </c>
      <c r="B2261" s="2" t="s">
        <v>187</v>
      </c>
      <c r="C2261" s="2" t="s">
        <v>10047</v>
      </c>
      <c r="D2261" s="3">
        <v>95</v>
      </c>
      <c r="E2261" s="3">
        <v>95</v>
      </c>
      <c r="F2261" s="2" t="s">
        <v>16</v>
      </c>
      <c r="G2261" s="2" t="s">
        <v>131</v>
      </c>
      <c r="H2261" s="3">
        <v>0</v>
      </c>
      <c r="I2261" s="2" t="s">
        <v>409</v>
      </c>
      <c r="J2261" s="2" t="s">
        <v>10048</v>
      </c>
      <c r="K2261" s="2" t="s">
        <v>16</v>
      </c>
      <c r="L2261" s="2" t="s">
        <v>10049</v>
      </c>
      <c r="M2261" s="4">
        <v>420.1</v>
      </c>
      <c r="N2261" t="e">
        <f>OR(LEFT(B2261,3)="frg",(_xlfn.XMATCH(B2261,ZZZ_Part_Id_[[#All],[FGCODE]])))</f>
        <v>#N/A</v>
      </c>
    </row>
    <row r="2262" spans="1:14" x14ac:dyDescent="0.3">
      <c r="A2262" s="2" t="s">
        <v>10050</v>
      </c>
      <c r="B2262" s="2" t="s">
        <v>172</v>
      </c>
      <c r="C2262" s="2" t="s">
        <v>10051</v>
      </c>
      <c r="D2262" s="3">
        <v>25</v>
      </c>
      <c r="E2262" s="3">
        <v>25</v>
      </c>
      <c r="F2262" s="2" t="s">
        <v>23</v>
      </c>
      <c r="G2262" s="2" t="s">
        <v>10052</v>
      </c>
      <c r="H2262" s="3">
        <v>0</v>
      </c>
      <c r="I2262" s="2" t="s">
        <v>18</v>
      </c>
      <c r="J2262" s="2" t="s">
        <v>10053</v>
      </c>
      <c r="K2262" s="2" t="s">
        <v>23</v>
      </c>
      <c r="L2262" s="2" t="s">
        <v>10054</v>
      </c>
      <c r="M2262" s="4">
        <v>176.84</v>
      </c>
      <c r="N2262" t="e">
        <f>OR(LEFT(B2262,3)="frg",(_xlfn.XMATCH(B2262,ZZZ_Part_Id_[[#All],[FGCODE]])))</f>
        <v>#N/A</v>
      </c>
    </row>
    <row r="2263" spans="1:14" x14ac:dyDescent="0.3">
      <c r="A2263" s="2" t="s">
        <v>10050</v>
      </c>
      <c r="B2263" s="2" t="s">
        <v>1027</v>
      </c>
      <c r="C2263" s="2" t="s">
        <v>10055</v>
      </c>
      <c r="D2263" s="3">
        <v>966420</v>
      </c>
      <c r="E2263" s="3">
        <v>966420</v>
      </c>
      <c r="F2263" s="2" t="s">
        <v>16</v>
      </c>
      <c r="G2263" s="2" t="s">
        <v>10056</v>
      </c>
      <c r="H2263" s="3">
        <v>0</v>
      </c>
      <c r="I2263" s="2" t="s">
        <v>18</v>
      </c>
      <c r="J2263" s="2" t="s">
        <v>10057</v>
      </c>
      <c r="K2263" s="2" t="s">
        <v>16</v>
      </c>
      <c r="L2263" s="2" t="s">
        <v>10058</v>
      </c>
      <c r="M2263" s="4">
        <v>194578.93</v>
      </c>
      <c r="N2263" t="b">
        <f>OR(LEFT(B2263,3)="frg",(_xlfn.XMATCH(B2263,ZZZ_Part_Id_[[#All],[FGCODE]])))</f>
        <v>1</v>
      </c>
    </row>
    <row r="2264" spans="1:14" x14ac:dyDescent="0.3">
      <c r="A2264" s="2" t="s">
        <v>10050</v>
      </c>
      <c r="B2264" s="2" t="s">
        <v>187</v>
      </c>
      <c r="C2264" s="2" t="s">
        <v>10059</v>
      </c>
      <c r="D2264" s="3">
        <v>25</v>
      </c>
      <c r="E2264" s="3">
        <v>95</v>
      </c>
      <c r="F2264" s="2" t="s">
        <v>16</v>
      </c>
      <c r="G2264" s="2" t="s">
        <v>131</v>
      </c>
      <c r="H2264" s="3">
        <v>0</v>
      </c>
      <c r="I2264" s="2" t="s">
        <v>18</v>
      </c>
      <c r="J2264" s="2" t="s">
        <v>10060</v>
      </c>
      <c r="K2264" s="2" t="s">
        <v>16</v>
      </c>
      <c r="L2264" s="2" t="s">
        <v>10061</v>
      </c>
      <c r="M2264" s="4">
        <v>420.1</v>
      </c>
      <c r="N2264" t="e">
        <f>OR(LEFT(B2264,3)="frg",(_xlfn.XMATCH(B2264,ZZZ_Part_Id_[[#All],[FGCODE]])))</f>
        <v>#N/A</v>
      </c>
    </row>
    <row r="2265" spans="1:14" x14ac:dyDescent="0.3">
      <c r="A2265" s="2" t="s">
        <v>10062</v>
      </c>
      <c r="B2265" s="2" t="s">
        <v>14</v>
      </c>
      <c r="C2265" s="2" t="s">
        <v>10063</v>
      </c>
      <c r="D2265" s="3">
        <v>64</v>
      </c>
      <c r="E2265" s="3">
        <v>64</v>
      </c>
      <c r="F2265" s="2" t="s">
        <v>16</v>
      </c>
      <c r="G2265" s="2" t="s">
        <v>10064</v>
      </c>
      <c r="H2265" s="3">
        <v>0</v>
      </c>
      <c r="I2265" s="2" t="s">
        <v>18</v>
      </c>
      <c r="J2265" s="2" t="s">
        <v>10065</v>
      </c>
      <c r="K2265" s="2" t="s">
        <v>16</v>
      </c>
      <c r="L2265" s="2" t="s">
        <v>10066</v>
      </c>
      <c r="M2265" s="4">
        <v>4.92</v>
      </c>
      <c r="N2265" t="e">
        <f>OR(LEFT(B2265,3)="frg",(_xlfn.XMATCH(B2265,ZZZ_Part_Id_[[#All],[FGCODE]])))</f>
        <v>#N/A</v>
      </c>
    </row>
    <row r="2266" spans="1:14" x14ac:dyDescent="0.3">
      <c r="A2266" s="2" t="s">
        <v>10062</v>
      </c>
      <c r="B2266" s="2" t="s">
        <v>172</v>
      </c>
      <c r="C2266" s="2" t="s">
        <v>10067</v>
      </c>
      <c r="D2266" s="3">
        <v>14</v>
      </c>
      <c r="E2266" s="3">
        <v>14</v>
      </c>
      <c r="F2266" s="2" t="s">
        <v>23</v>
      </c>
      <c r="G2266" s="2" t="s">
        <v>10068</v>
      </c>
      <c r="H2266" s="3">
        <v>0</v>
      </c>
      <c r="I2266" s="2" t="s">
        <v>18</v>
      </c>
      <c r="J2266" s="2" t="s">
        <v>10069</v>
      </c>
      <c r="K2266" s="2" t="s">
        <v>23</v>
      </c>
      <c r="L2266" s="2" t="s">
        <v>10070</v>
      </c>
      <c r="M2266" s="4">
        <v>99.03</v>
      </c>
      <c r="N2266" t="e">
        <f>OR(LEFT(B2266,3)="frg",(_xlfn.XMATCH(B2266,ZZZ_Part_Id_[[#All],[FGCODE]])))</f>
        <v>#N/A</v>
      </c>
    </row>
    <row r="2267" spans="1:14" x14ac:dyDescent="0.3">
      <c r="A2267" s="2" t="s">
        <v>10062</v>
      </c>
      <c r="B2267" s="2" t="s">
        <v>517</v>
      </c>
      <c r="C2267" s="2" t="s">
        <v>10071</v>
      </c>
      <c r="D2267" s="3">
        <v>504000</v>
      </c>
      <c r="E2267" s="3">
        <v>504000</v>
      </c>
      <c r="F2267" s="2" t="s">
        <v>16</v>
      </c>
      <c r="G2267" s="2" t="s">
        <v>10072</v>
      </c>
      <c r="H2267" s="3">
        <v>0</v>
      </c>
      <c r="I2267" s="2" t="s">
        <v>18</v>
      </c>
      <c r="J2267" s="2" t="s">
        <v>10073</v>
      </c>
      <c r="K2267" s="2" t="s">
        <v>16</v>
      </c>
      <c r="L2267" s="2" t="s">
        <v>10074</v>
      </c>
      <c r="M2267" s="4">
        <v>91687.5</v>
      </c>
      <c r="N2267" t="b">
        <f>OR(LEFT(B2267,3)="frg",(_xlfn.XMATCH(B2267,ZZZ_Part_Id_[[#All],[FGCODE]])))</f>
        <v>1</v>
      </c>
    </row>
    <row r="2268" spans="1:14" x14ac:dyDescent="0.3">
      <c r="A2268" s="2" t="s">
        <v>10075</v>
      </c>
      <c r="B2268" s="2" t="s">
        <v>14</v>
      </c>
      <c r="C2268" s="2" t="s">
        <v>10076</v>
      </c>
      <c r="D2268" s="3">
        <v>95</v>
      </c>
      <c r="E2268" s="3">
        <v>95</v>
      </c>
      <c r="F2268" s="2" t="s">
        <v>16</v>
      </c>
      <c r="G2268" s="2" t="s">
        <v>10077</v>
      </c>
      <c r="H2268" s="3">
        <v>0</v>
      </c>
      <c r="I2268" s="2" t="s">
        <v>18</v>
      </c>
      <c r="J2268" s="2" t="s">
        <v>10078</v>
      </c>
      <c r="K2268" s="2" t="s">
        <v>16</v>
      </c>
      <c r="L2268" s="2" t="s">
        <v>10079</v>
      </c>
      <c r="M2268" s="4">
        <v>7.31</v>
      </c>
      <c r="N2268" t="e">
        <f>OR(LEFT(B2268,3)="frg",(_xlfn.XMATCH(B2268,ZZZ_Part_Id_[[#All],[FGCODE]])))</f>
        <v>#N/A</v>
      </c>
    </row>
    <row r="2269" spans="1:14" x14ac:dyDescent="0.3">
      <c r="A2269" s="2" t="s">
        <v>10075</v>
      </c>
      <c r="B2269" s="2" t="s">
        <v>172</v>
      </c>
      <c r="C2269" s="2" t="s">
        <v>10080</v>
      </c>
      <c r="D2269" s="3">
        <v>20</v>
      </c>
      <c r="E2269" s="3">
        <v>20</v>
      </c>
      <c r="F2269" s="2" t="s">
        <v>23</v>
      </c>
      <c r="G2269" s="2" t="s">
        <v>10081</v>
      </c>
      <c r="H2269" s="3">
        <v>0</v>
      </c>
      <c r="I2269" s="2" t="s">
        <v>18</v>
      </c>
      <c r="J2269" s="2" t="s">
        <v>10082</v>
      </c>
      <c r="K2269" s="2" t="s">
        <v>23</v>
      </c>
      <c r="L2269" s="2" t="s">
        <v>10083</v>
      </c>
      <c r="M2269" s="4">
        <v>141.47</v>
      </c>
      <c r="N2269" t="e">
        <f>OR(LEFT(B2269,3)="frg",(_xlfn.XMATCH(B2269,ZZZ_Part_Id_[[#All],[FGCODE]])))</f>
        <v>#N/A</v>
      </c>
    </row>
    <row r="2270" spans="1:14" x14ac:dyDescent="0.3">
      <c r="A2270" s="2" t="s">
        <v>10075</v>
      </c>
      <c r="B2270" s="2" t="s">
        <v>97</v>
      </c>
      <c r="C2270" s="2" t="s">
        <v>10084</v>
      </c>
      <c r="D2270" s="3">
        <v>350400</v>
      </c>
      <c r="E2270" s="3">
        <v>350400</v>
      </c>
      <c r="F2270" s="2" t="s">
        <v>16</v>
      </c>
      <c r="G2270" s="2" t="s">
        <v>10085</v>
      </c>
      <c r="H2270" s="3">
        <v>0</v>
      </c>
      <c r="I2270" s="2" t="s">
        <v>18</v>
      </c>
      <c r="J2270" s="2" t="s">
        <v>10086</v>
      </c>
      <c r="K2270" s="2" t="s">
        <v>16</v>
      </c>
      <c r="L2270" s="2" t="s">
        <v>10087</v>
      </c>
      <c r="M2270" s="4">
        <v>120169.68</v>
      </c>
      <c r="N2270" t="b">
        <f>OR(LEFT(B2270,3)="frg",(_xlfn.XMATCH(B2270,ZZZ_Part_Id_[[#All],[FGCODE]])))</f>
        <v>1</v>
      </c>
    </row>
    <row r="2271" spans="1:14" x14ac:dyDescent="0.3">
      <c r="A2271" s="2" t="s">
        <v>10088</v>
      </c>
      <c r="B2271" s="2" t="s">
        <v>14</v>
      </c>
      <c r="C2271" s="2" t="s">
        <v>10089</v>
      </c>
      <c r="D2271" s="3">
        <v>10</v>
      </c>
      <c r="E2271" s="3">
        <v>10</v>
      </c>
      <c r="F2271" s="2" t="s">
        <v>16</v>
      </c>
      <c r="G2271" s="2" t="s">
        <v>10090</v>
      </c>
      <c r="H2271" s="3">
        <v>0</v>
      </c>
      <c r="I2271" s="2" t="s">
        <v>18</v>
      </c>
      <c r="J2271" s="2" t="s">
        <v>10091</v>
      </c>
      <c r="K2271" s="2" t="s">
        <v>16</v>
      </c>
      <c r="L2271" s="2" t="s">
        <v>10092</v>
      </c>
      <c r="M2271" s="4">
        <v>0.77</v>
      </c>
      <c r="N2271" t="e">
        <f>OR(LEFT(B2271,3)="frg",(_xlfn.XMATCH(B2271,ZZZ_Part_Id_[[#All],[FGCODE]])))</f>
        <v>#N/A</v>
      </c>
    </row>
    <row r="2272" spans="1:14" x14ac:dyDescent="0.3">
      <c r="A2272" s="2" t="s">
        <v>10088</v>
      </c>
      <c r="B2272" s="2" t="s">
        <v>70</v>
      </c>
      <c r="C2272" s="2" t="s">
        <v>10093</v>
      </c>
      <c r="D2272" s="3">
        <v>25344</v>
      </c>
      <c r="E2272" s="3">
        <v>25344</v>
      </c>
      <c r="F2272" s="2" t="s">
        <v>16</v>
      </c>
      <c r="G2272" s="2" t="s">
        <v>10094</v>
      </c>
      <c r="H2272" s="3">
        <v>0</v>
      </c>
      <c r="I2272" s="2" t="s">
        <v>18</v>
      </c>
      <c r="J2272" s="2" t="s">
        <v>10095</v>
      </c>
      <c r="K2272" s="2" t="s">
        <v>16</v>
      </c>
      <c r="L2272" s="2" t="s">
        <v>10096</v>
      </c>
      <c r="M2272" s="4">
        <v>6237.16</v>
      </c>
      <c r="N2272" t="b">
        <f>OR(LEFT(B2272,3)="frg",(_xlfn.XMATCH(B2272,ZZZ_Part_Id_[[#All],[FGCODE]])))</f>
        <v>1</v>
      </c>
    </row>
    <row r="2273" spans="1:14" x14ac:dyDescent="0.3">
      <c r="A2273" s="2" t="s">
        <v>10097</v>
      </c>
      <c r="B2273" s="2" t="s">
        <v>14</v>
      </c>
      <c r="C2273" s="2" t="s">
        <v>10098</v>
      </c>
      <c r="D2273" s="3">
        <v>14</v>
      </c>
      <c r="E2273" s="3">
        <v>12</v>
      </c>
      <c r="F2273" s="2" t="s">
        <v>16</v>
      </c>
      <c r="G2273" s="2" t="s">
        <v>10099</v>
      </c>
      <c r="H2273" s="3">
        <v>0</v>
      </c>
      <c r="I2273" s="2" t="s">
        <v>18</v>
      </c>
      <c r="J2273" s="2" t="s">
        <v>10100</v>
      </c>
      <c r="K2273" s="2" t="s">
        <v>16</v>
      </c>
      <c r="L2273" s="2" t="s">
        <v>10101</v>
      </c>
      <c r="M2273" s="4">
        <v>0.92</v>
      </c>
      <c r="N2273" t="e">
        <f>OR(LEFT(B2273,3)="frg",(_xlfn.XMATCH(B2273,ZZZ_Part_Id_[[#All],[FGCODE]])))</f>
        <v>#N/A</v>
      </c>
    </row>
    <row r="2274" spans="1:14" x14ac:dyDescent="0.3">
      <c r="A2274" s="2" t="s">
        <v>10097</v>
      </c>
      <c r="B2274" s="2" t="s">
        <v>797</v>
      </c>
      <c r="C2274" s="2" t="s">
        <v>10102</v>
      </c>
      <c r="D2274" s="3">
        <v>149400</v>
      </c>
      <c r="E2274" s="3">
        <v>0</v>
      </c>
      <c r="F2274" s="2" t="s">
        <v>16</v>
      </c>
      <c r="G2274" s="2" t="s">
        <v>10103</v>
      </c>
      <c r="H2274" s="3">
        <v>0</v>
      </c>
      <c r="I2274" s="2" t="s">
        <v>18</v>
      </c>
      <c r="J2274" s="2" t="s">
        <v>10104</v>
      </c>
      <c r="K2274" s="2" t="s">
        <v>16</v>
      </c>
      <c r="L2274" s="2" t="s">
        <v>10105</v>
      </c>
      <c r="M2274" s="4">
        <v>0</v>
      </c>
      <c r="N2274" t="b">
        <f>OR(LEFT(B2274,3)="frg",(_xlfn.XMATCH(B2274,ZZZ_Part_Id_[[#All],[FGCODE]])))</f>
        <v>1</v>
      </c>
    </row>
    <row r="2275" spans="1:14" x14ac:dyDescent="0.3">
      <c r="A2275" s="2" t="s">
        <v>10097</v>
      </c>
      <c r="B2275" s="2" t="s">
        <v>4511</v>
      </c>
      <c r="C2275" s="2" t="s">
        <v>10106</v>
      </c>
      <c r="D2275" s="3">
        <v>179280</v>
      </c>
      <c r="E2275" s="3">
        <v>179280</v>
      </c>
      <c r="F2275" s="2" t="s">
        <v>16</v>
      </c>
      <c r="G2275" s="2" t="s">
        <v>131</v>
      </c>
      <c r="H2275" s="3">
        <v>0</v>
      </c>
      <c r="I2275" s="2" t="s">
        <v>18</v>
      </c>
      <c r="J2275" s="2" t="s">
        <v>10107</v>
      </c>
      <c r="K2275" s="2" t="s">
        <v>16</v>
      </c>
      <c r="L2275" s="2" t="s">
        <v>10108</v>
      </c>
      <c r="M2275" s="4">
        <v>9914.16</v>
      </c>
      <c r="N2275" t="b">
        <f>OR(LEFT(B2275,3)="frg",(_xlfn.XMATCH(B2275,ZZZ_Part_Id_[[#All],[FGCODE]])))</f>
        <v>1</v>
      </c>
    </row>
    <row r="2276" spans="1:14" x14ac:dyDescent="0.3">
      <c r="A2276" s="2" t="s">
        <v>10097</v>
      </c>
      <c r="B2276" s="2" t="s">
        <v>37</v>
      </c>
      <c r="C2276" s="2" t="s">
        <v>10109</v>
      </c>
      <c r="D2276" s="3">
        <v>6</v>
      </c>
      <c r="E2276" s="3">
        <v>6</v>
      </c>
      <c r="F2276" s="2" t="s">
        <v>16</v>
      </c>
      <c r="G2276" s="2" t="s">
        <v>131</v>
      </c>
      <c r="H2276" s="3">
        <v>0</v>
      </c>
      <c r="I2276" s="2" t="s">
        <v>18</v>
      </c>
      <c r="J2276" s="2" t="s">
        <v>10110</v>
      </c>
      <c r="K2276" s="2" t="s">
        <v>16</v>
      </c>
      <c r="L2276" s="2" t="s">
        <v>10111</v>
      </c>
      <c r="M2276" s="4">
        <v>96</v>
      </c>
      <c r="N2276" t="e">
        <f>OR(LEFT(B2276,3)="frg",(_xlfn.XMATCH(B2276,ZZZ_Part_Id_[[#All],[FGCODE]])))</f>
        <v>#N/A</v>
      </c>
    </row>
    <row r="2277" spans="1:14" x14ac:dyDescent="0.3">
      <c r="A2277" s="2" t="s">
        <v>10112</v>
      </c>
      <c r="B2277" s="2" t="s">
        <v>76</v>
      </c>
      <c r="C2277" s="2" t="s">
        <v>10113</v>
      </c>
      <c r="D2277" s="3">
        <v>152280</v>
      </c>
      <c r="E2277" s="3">
        <v>152280</v>
      </c>
      <c r="F2277" s="2" t="s">
        <v>16</v>
      </c>
      <c r="G2277" s="2" t="s">
        <v>10114</v>
      </c>
      <c r="H2277" s="3">
        <v>0</v>
      </c>
      <c r="I2277" s="2" t="s">
        <v>409</v>
      </c>
      <c r="J2277" s="2" t="s">
        <v>10115</v>
      </c>
      <c r="K2277" s="2" t="s">
        <v>16</v>
      </c>
      <c r="L2277" s="2" t="s">
        <v>10116</v>
      </c>
      <c r="M2277" s="4">
        <v>9980.4500000000007</v>
      </c>
      <c r="N2277" t="b">
        <f>OR(LEFT(B2277,3)="frg",(_xlfn.XMATCH(B2277,ZZZ_Part_Id_[[#All],[FGCODE]])))</f>
        <v>1</v>
      </c>
    </row>
    <row r="2278" spans="1:14" x14ac:dyDescent="0.3">
      <c r="A2278" s="2" t="s">
        <v>10117</v>
      </c>
      <c r="B2278" s="2" t="s">
        <v>14</v>
      </c>
      <c r="C2278" s="2" t="s">
        <v>10118</v>
      </c>
      <c r="D2278" s="3">
        <v>64</v>
      </c>
      <c r="E2278" s="3">
        <v>64</v>
      </c>
      <c r="F2278" s="2" t="s">
        <v>16</v>
      </c>
      <c r="G2278" s="2" t="s">
        <v>10119</v>
      </c>
      <c r="H2278" s="3">
        <v>0</v>
      </c>
      <c r="I2278" s="2" t="s">
        <v>18</v>
      </c>
      <c r="J2278" s="2" t="s">
        <v>10120</v>
      </c>
      <c r="K2278" s="2" t="s">
        <v>16</v>
      </c>
      <c r="L2278" s="2" t="s">
        <v>10121</v>
      </c>
      <c r="M2278" s="4">
        <v>4.92</v>
      </c>
      <c r="N2278" t="e">
        <f>OR(LEFT(B2278,3)="frg",(_xlfn.XMATCH(B2278,ZZZ_Part_Id_[[#All],[FGCODE]])))</f>
        <v>#N/A</v>
      </c>
    </row>
    <row r="2279" spans="1:14" x14ac:dyDescent="0.3">
      <c r="A2279" s="2" t="s">
        <v>10117</v>
      </c>
      <c r="B2279" s="2" t="s">
        <v>172</v>
      </c>
      <c r="C2279" s="2" t="s">
        <v>10122</v>
      </c>
      <c r="D2279" s="3">
        <v>16</v>
      </c>
      <c r="E2279" s="3">
        <v>16</v>
      </c>
      <c r="F2279" s="2" t="s">
        <v>23</v>
      </c>
      <c r="G2279" s="2" t="s">
        <v>10123</v>
      </c>
      <c r="H2279" s="3">
        <v>0</v>
      </c>
      <c r="I2279" s="2" t="s">
        <v>18</v>
      </c>
      <c r="J2279" s="2" t="s">
        <v>10124</v>
      </c>
      <c r="K2279" s="2" t="s">
        <v>23</v>
      </c>
      <c r="L2279" s="2" t="s">
        <v>10125</v>
      </c>
      <c r="M2279" s="4">
        <v>113.18</v>
      </c>
      <c r="N2279" t="e">
        <f>OR(LEFT(B2279,3)="frg",(_xlfn.XMATCH(B2279,ZZZ_Part_Id_[[#All],[FGCODE]])))</f>
        <v>#N/A</v>
      </c>
    </row>
    <row r="2280" spans="1:14" x14ac:dyDescent="0.3">
      <c r="A2280" s="2" t="s">
        <v>10117</v>
      </c>
      <c r="B2280" s="2" t="s">
        <v>517</v>
      </c>
      <c r="C2280" s="2" t="s">
        <v>10126</v>
      </c>
      <c r="D2280" s="3">
        <v>584640</v>
      </c>
      <c r="E2280" s="3">
        <v>584640</v>
      </c>
      <c r="F2280" s="2" t="s">
        <v>16</v>
      </c>
      <c r="G2280" s="2" t="s">
        <v>10127</v>
      </c>
      <c r="H2280" s="3">
        <v>0</v>
      </c>
      <c r="I2280" s="2" t="s">
        <v>18</v>
      </c>
      <c r="J2280" s="2" t="s">
        <v>10128</v>
      </c>
      <c r="K2280" s="2" t="s">
        <v>16</v>
      </c>
      <c r="L2280" s="2" t="s">
        <v>10129</v>
      </c>
      <c r="M2280" s="4">
        <v>106357.5</v>
      </c>
      <c r="N2280" t="b">
        <f>OR(LEFT(B2280,3)="frg",(_xlfn.XMATCH(B2280,ZZZ_Part_Id_[[#All],[FGCODE]])))</f>
        <v>1</v>
      </c>
    </row>
    <row r="2281" spans="1:14" x14ac:dyDescent="0.3">
      <c r="A2281" s="2" t="s">
        <v>10130</v>
      </c>
      <c r="B2281" s="2" t="s">
        <v>14</v>
      </c>
      <c r="C2281" s="2" t="s">
        <v>10131</v>
      </c>
      <c r="D2281" s="3">
        <v>95</v>
      </c>
      <c r="E2281" s="3">
        <v>95</v>
      </c>
      <c r="F2281" s="2" t="s">
        <v>16</v>
      </c>
      <c r="G2281" s="2" t="s">
        <v>10132</v>
      </c>
      <c r="H2281" s="3">
        <v>0</v>
      </c>
      <c r="I2281" s="2" t="s">
        <v>409</v>
      </c>
      <c r="J2281" s="2" t="s">
        <v>10133</v>
      </c>
      <c r="K2281" s="2" t="s">
        <v>16</v>
      </c>
      <c r="L2281" s="2" t="s">
        <v>10134</v>
      </c>
      <c r="M2281" s="4">
        <v>7.31</v>
      </c>
      <c r="N2281" t="e">
        <f>OR(LEFT(B2281,3)="frg",(_xlfn.XMATCH(B2281,ZZZ_Part_Id_[[#All],[FGCODE]])))</f>
        <v>#N/A</v>
      </c>
    </row>
    <row r="2282" spans="1:14" x14ac:dyDescent="0.3">
      <c r="A2282" s="2" t="s">
        <v>10130</v>
      </c>
      <c r="B2282" s="2" t="s">
        <v>97</v>
      </c>
      <c r="C2282" s="2" t="s">
        <v>10135</v>
      </c>
      <c r="D2282" s="3">
        <v>345600</v>
      </c>
      <c r="E2282" s="3">
        <v>345600</v>
      </c>
      <c r="F2282" s="2" t="s">
        <v>16</v>
      </c>
      <c r="G2282" s="2" t="s">
        <v>10136</v>
      </c>
      <c r="H2282" s="3">
        <v>0</v>
      </c>
      <c r="I2282" s="2" t="s">
        <v>409</v>
      </c>
      <c r="J2282" s="2" t="s">
        <v>10137</v>
      </c>
      <c r="K2282" s="2" t="s">
        <v>16</v>
      </c>
      <c r="L2282" s="2" t="s">
        <v>10138</v>
      </c>
      <c r="M2282" s="4">
        <v>118523.52</v>
      </c>
      <c r="N2282" t="b">
        <f>OR(LEFT(B2282,3)="frg",(_xlfn.XMATCH(B2282,ZZZ_Part_Id_[[#All],[FGCODE]])))</f>
        <v>1</v>
      </c>
    </row>
    <row r="2283" spans="1:14" x14ac:dyDescent="0.3">
      <c r="A2283" s="2" t="s">
        <v>10139</v>
      </c>
      <c r="B2283" s="2" t="s">
        <v>14</v>
      </c>
      <c r="C2283" s="2" t="s">
        <v>10140</v>
      </c>
      <c r="D2283" s="3">
        <v>64</v>
      </c>
      <c r="E2283" s="3">
        <v>64</v>
      </c>
      <c r="F2283" s="2" t="s">
        <v>16</v>
      </c>
      <c r="G2283" s="2" t="s">
        <v>10141</v>
      </c>
      <c r="H2283" s="3">
        <v>0</v>
      </c>
      <c r="I2283" s="2" t="s">
        <v>409</v>
      </c>
      <c r="J2283" s="2" t="s">
        <v>10142</v>
      </c>
      <c r="K2283" s="2" t="s">
        <v>16</v>
      </c>
      <c r="L2283" s="2" t="s">
        <v>10143</v>
      </c>
      <c r="M2283" s="4">
        <v>4.92</v>
      </c>
      <c r="N2283" t="e">
        <f>OR(LEFT(B2283,3)="frg",(_xlfn.XMATCH(B2283,ZZZ_Part_Id_[[#All],[FGCODE]])))</f>
        <v>#N/A</v>
      </c>
    </row>
    <row r="2284" spans="1:14" x14ac:dyDescent="0.3">
      <c r="A2284" s="2" t="s">
        <v>10139</v>
      </c>
      <c r="B2284" s="2" t="s">
        <v>4791</v>
      </c>
      <c r="C2284" s="2" t="s">
        <v>10144</v>
      </c>
      <c r="D2284" s="3">
        <v>344448</v>
      </c>
      <c r="E2284" s="3">
        <v>344448</v>
      </c>
      <c r="F2284" s="2" t="s">
        <v>16</v>
      </c>
      <c r="G2284" s="2" t="s">
        <v>10145</v>
      </c>
      <c r="H2284" s="3">
        <v>0</v>
      </c>
      <c r="I2284" s="2" t="s">
        <v>409</v>
      </c>
      <c r="J2284" s="2" t="s">
        <v>10146</v>
      </c>
      <c r="K2284" s="2" t="s">
        <v>16</v>
      </c>
      <c r="L2284" s="2" t="s">
        <v>10147</v>
      </c>
      <c r="M2284" s="4">
        <v>101143.64</v>
      </c>
      <c r="N2284" t="b">
        <f>OR(LEFT(B2284,3)="frg",(_xlfn.XMATCH(B2284,ZZZ_Part_Id_[[#All],[FGCODE]])))</f>
        <v>1</v>
      </c>
    </row>
    <row r="2285" spans="1:14" x14ac:dyDescent="0.3">
      <c r="A2285" s="2" t="s">
        <v>10148</v>
      </c>
      <c r="B2285" s="2" t="s">
        <v>14</v>
      </c>
      <c r="C2285" s="2" t="s">
        <v>10149</v>
      </c>
      <c r="D2285" s="3">
        <v>95</v>
      </c>
      <c r="E2285" s="3">
        <v>95</v>
      </c>
      <c r="F2285" s="2" t="s">
        <v>16</v>
      </c>
      <c r="G2285" s="2" t="s">
        <v>10150</v>
      </c>
      <c r="H2285" s="3">
        <v>0</v>
      </c>
      <c r="I2285" s="2" t="s">
        <v>18</v>
      </c>
      <c r="J2285" s="2" t="s">
        <v>10151</v>
      </c>
      <c r="K2285" s="2" t="s">
        <v>16</v>
      </c>
      <c r="L2285" s="2" t="s">
        <v>10152</v>
      </c>
      <c r="M2285" s="4">
        <v>7.31</v>
      </c>
      <c r="N2285" t="e">
        <f>OR(LEFT(B2285,3)="frg",(_xlfn.XMATCH(B2285,ZZZ_Part_Id_[[#All],[FGCODE]])))</f>
        <v>#N/A</v>
      </c>
    </row>
    <row r="2286" spans="1:14" x14ac:dyDescent="0.3">
      <c r="A2286" s="2" t="s">
        <v>10148</v>
      </c>
      <c r="B2286" s="2" t="s">
        <v>1093</v>
      </c>
      <c r="C2286" s="2" t="s">
        <v>10153</v>
      </c>
      <c r="D2286" s="3">
        <v>1920960</v>
      </c>
      <c r="E2286" s="3">
        <v>1920960</v>
      </c>
      <c r="F2286" s="2" t="s">
        <v>16</v>
      </c>
      <c r="G2286" s="2" t="s">
        <v>10154</v>
      </c>
      <c r="H2286" s="3">
        <v>0</v>
      </c>
      <c r="I2286" s="2" t="s">
        <v>18</v>
      </c>
      <c r="J2286" s="2" t="s">
        <v>10155</v>
      </c>
      <c r="K2286" s="2" t="s">
        <v>16</v>
      </c>
      <c r="L2286" s="2" t="s">
        <v>10156</v>
      </c>
      <c r="M2286" s="4">
        <v>164030.48000000001</v>
      </c>
      <c r="N2286" t="b">
        <f>OR(LEFT(B2286,3)="frg",(_xlfn.XMATCH(B2286,ZZZ_Part_Id_[[#All],[FGCODE]])))</f>
        <v>1</v>
      </c>
    </row>
    <row r="2287" spans="1:14" x14ac:dyDescent="0.3">
      <c r="A2287" s="2" t="s">
        <v>10157</v>
      </c>
      <c r="B2287" s="2" t="s">
        <v>14</v>
      </c>
      <c r="C2287" s="2" t="s">
        <v>10158</v>
      </c>
      <c r="D2287" s="3">
        <v>12</v>
      </c>
      <c r="E2287" s="3">
        <v>12</v>
      </c>
      <c r="F2287" s="2" t="s">
        <v>16</v>
      </c>
      <c r="G2287" s="2" t="s">
        <v>10159</v>
      </c>
      <c r="H2287" s="3">
        <v>0</v>
      </c>
      <c r="I2287" s="2" t="s">
        <v>18</v>
      </c>
      <c r="J2287" s="2" t="s">
        <v>10160</v>
      </c>
      <c r="K2287" s="2" t="s">
        <v>16</v>
      </c>
      <c r="L2287" s="2" t="s">
        <v>10161</v>
      </c>
      <c r="M2287" s="4">
        <v>0.92</v>
      </c>
      <c r="N2287" t="e">
        <f>OR(LEFT(B2287,3)="frg",(_xlfn.XMATCH(B2287,ZZZ_Part_Id_[[#All],[FGCODE]])))</f>
        <v>#N/A</v>
      </c>
    </row>
    <row r="2288" spans="1:14" x14ac:dyDescent="0.3">
      <c r="A2288" s="2" t="s">
        <v>10157</v>
      </c>
      <c r="B2288" s="2" t="s">
        <v>65</v>
      </c>
      <c r="C2288" s="2" t="s">
        <v>10162</v>
      </c>
      <c r="D2288" s="5">
        <v>-304</v>
      </c>
      <c r="E2288" s="5">
        <v>-304</v>
      </c>
      <c r="F2288" s="2" t="s">
        <v>23</v>
      </c>
      <c r="G2288" s="2" t="s">
        <v>10163</v>
      </c>
      <c r="H2288" s="3">
        <v>0</v>
      </c>
      <c r="I2288" s="2" t="s">
        <v>18</v>
      </c>
      <c r="J2288" s="2" t="s">
        <v>10164</v>
      </c>
      <c r="K2288" s="2" t="s">
        <v>23</v>
      </c>
      <c r="L2288" s="2" t="s">
        <v>10165</v>
      </c>
      <c r="M2288" s="6">
        <v>-781.77</v>
      </c>
      <c r="N2288" t="b">
        <f>OR(LEFT(B2288,3)="frg",(_xlfn.XMATCH(B2288,ZZZ_Part_Id_[[#All],[FGCODE]])))</f>
        <v>1</v>
      </c>
    </row>
    <row r="2289" spans="1:14" x14ac:dyDescent="0.3">
      <c r="A2289" s="2" t="s">
        <v>10157</v>
      </c>
      <c r="B2289" s="2" t="s">
        <v>2086</v>
      </c>
      <c r="C2289" s="2" t="s">
        <v>10166</v>
      </c>
      <c r="D2289" s="3">
        <v>59136</v>
      </c>
      <c r="E2289" s="3">
        <v>59136</v>
      </c>
      <c r="F2289" s="2" t="s">
        <v>16</v>
      </c>
      <c r="G2289" s="2" t="s">
        <v>10167</v>
      </c>
      <c r="H2289" s="3">
        <v>0</v>
      </c>
      <c r="I2289" s="2" t="s">
        <v>18</v>
      </c>
      <c r="J2289" s="2" t="s">
        <v>10168</v>
      </c>
      <c r="K2289" s="2" t="s">
        <v>16</v>
      </c>
      <c r="L2289" s="2" t="s">
        <v>10169</v>
      </c>
      <c r="M2289" s="4">
        <v>13885.2</v>
      </c>
      <c r="N2289" t="b">
        <f>OR(LEFT(B2289,3)="frg",(_xlfn.XMATCH(B2289,ZZZ_Part_Id_[[#All],[FGCODE]])))</f>
        <v>1</v>
      </c>
    </row>
    <row r="2290" spans="1:14" x14ac:dyDescent="0.3">
      <c r="A2290" s="2" t="s">
        <v>10170</v>
      </c>
      <c r="B2290" s="2" t="s">
        <v>14</v>
      </c>
      <c r="C2290" s="2" t="s">
        <v>10171</v>
      </c>
      <c r="D2290" s="3">
        <v>10</v>
      </c>
      <c r="E2290" s="3">
        <v>10</v>
      </c>
      <c r="F2290" s="2" t="s">
        <v>16</v>
      </c>
      <c r="G2290" s="2" t="s">
        <v>10172</v>
      </c>
      <c r="H2290" s="3">
        <v>0</v>
      </c>
      <c r="I2290" s="2" t="s">
        <v>18</v>
      </c>
      <c r="J2290" s="2" t="s">
        <v>10173</v>
      </c>
      <c r="K2290" s="2" t="s">
        <v>16</v>
      </c>
      <c r="L2290" s="2" t="s">
        <v>10174</v>
      </c>
      <c r="M2290" s="4">
        <v>0.77</v>
      </c>
      <c r="N2290" t="e">
        <f>OR(LEFT(B2290,3)="frg",(_xlfn.XMATCH(B2290,ZZZ_Part_Id_[[#All],[FGCODE]])))</f>
        <v>#N/A</v>
      </c>
    </row>
    <row r="2291" spans="1:14" x14ac:dyDescent="0.3">
      <c r="A2291" s="2" t="s">
        <v>10170</v>
      </c>
      <c r="B2291" s="2" t="s">
        <v>86</v>
      </c>
      <c r="C2291" s="2" t="s">
        <v>10175</v>
      </c>
      <c r="D2291" s="5">
        <v>-140</v>
      </c>
      <c r="E2291" s="5">
        <v>-140</v>
      </c>
      <c r="F2291" s="2" t="s">
        <v>23</v>
      </c>
      <c r="G2291" s="2" t="s">
        <v>10176</v>
      </c>
      <c r="H2291" s="3">
        <v>0</v>
      </c>
      <c r="I2291" s="2" t="s">
        <v>18</v>
      </c>
      <c r="J2291" s="2" t="s">
        <v>10177</v>
      </c>
      <c r="K2291" s="2" t="s">
        <v>23</v>
      </c>
      <c r="L2291" s="2" t="s">
        <v>10178</v>
      </c>
      <c r="M2291" s="6">
        <v>-366.49</v>
      </c>
      <c r="N2291" t="b">
        <f>OR(LEFT(B2291,3)="frg",(_xlfn.XMATCH(B2291,ZZZ_Part_Id_[[#All],[FGCODE]])))</f>
        <v>1</v>
      </c>
    </row>
    <row r="2292" spans="1:14" x14ac:dyDescent="0.3">
      <c r="A2292" s="2" t="s">
        <v>10170</v>
      </c>
      <c r="B2292" s="2" t="s">
        <v>14</v>
      </c>
      <c r="C2292" s="2" t="s">
        <v>10179</v>
      </c>
      <c r="D2292" s="3">
        <v>78072</v>
      </c>
      <c r="E2292" s="3">
        <v>0</v>
      </c>
      <c r="F2292" s="2" t="s">
        <v>16</v>
      </c>
      <c r="G2292" s="2" t="s">
        <v>10180</v>
      </c>
      <c r="H2292" s="3">
        <v>0</v>
      </c>
      <c r="I2292" s="2" t="s">
        <v>18</v>
      </c>
      <c r="J2292" s="2" t="s">
        <v>10181</v>
      </c>
      <c r="K2292" s="2" t="s">
        <v>16</v>
      </c>
      <c r="L2292" s="2" t="s">
        <v>10182</v>
      </c>
      <c r="M2292" s="4">
        <v>0</v>
      </c>
      <c r="N2292" t="e">
        <f>OR(LEFT(B2292,3)="frg",(_xlfn.XMATCH(B2292,ZZZ_Part_Id_[[#All],[FGCODE]])))</f>
        <v>#N/A</v>
      </c>
    </row>
    <row r="2293" spans="1:14" x14ac:dyDescent="0.3">
      <c r="A2293" s="2" t="s">
        <v>10170</v>
      </c>
      <c r="B2293" s="2" t="s">
        <v>6955</v>
      </c>
      <c r="C2293" s="2" t="s">
        <v>10183</v>
      </c>
      <c r="D2293" s="3">
        <v>78072</v>
      </c>
      <c r="E2293" s="3">
        <v>78072</v>
      </c>
      <c r="F2293" s="2" t="s">
        <v>16</v>
      </c>
      <c r="G2293" s="2" t="s">
        <v>131</v>
      </c>
      <c r="H2293" s="3">
        <v>0</v>
      </c>
      <c r="I2293" s="2" t="s">
        <v>18</v>
      </c>
      <c r="J2293" s="2" t="s">
        <v>10184</v>
      </c>
      <c r="K2293" s="2" t="s">
        <v>16</v>
      </c>
      <c r="L2293" s="2" t="s">
        <v>10185</v>
      </c>
      <c r="M2293" s="4">
        <v>6765.72</v>
      </c>
      <c r="N2293" t="b">
        <f>OR(LEFT(B2293,3)="frg",(_xlfn.XMATCH(B2293,ZZZ_Part_Id_[[#All],[FGCODE]])))</f>
        <v>1</v>
      </c>
    </row>
    <row r="2294" spans="1:14" x14ac:dyDescent="0.3">
      <c r="A2294" s="2" t="s">
        <v>10186</v>
      </c>
      <c r="B2294" s="2" t="s">
        <v>5357</v>
      </c>
      <c r="C2294" s="2" t="s">
        <v>10187</v>
      </c>
      <c r="D2294" s="3">
        <v>13248</v>
      </c>
      <c r="E2294" s="3">
        <v>13248</v>
      </c>
      <c r="F2294" s="2" t="s">
        <v>16</v>
      </c>
      <c r="G2294" s="2" t="s">
        <v>10188</v>
      </c>
      <c r="H2294" s="3">
        <v>0</v>
      </c>
      <c r="I2294" s="2" t="s">
        <v>409</v>
      </c>
      <c r="J2294" s="2" t="s">
        <v>10189</v>
      </c>
      <c r="K2294" s="2" t="s">
        <v>16</v>
      </c>
      <c r="L2294" s="2" t="s">
        <v>10190</v>
      </c>
      <c r="M2294" s="4">
        <v>3937.18</v>
      </c>
      <c r="N2294" t="b">
        <f>OR(LEFT(B2294,3)="frg",(_xlfn.XMATCH(B2294,ZZZ_Part_Id_[[#All],[FGCODE]])))</f>
        <v>1</v>
      </c>
    </row>
    <row r="2295" spans="1:14" x14ac:dyDescent="0.3">
      <c r="A2295" s="2" t="s">
        <v>10191</v>
      </c>
      <c r="B2295" s="2" t="s">
        <v>14</v>
      </c>
      <c r="C2295" s="2" t="s">
        <v>10192</v>
      </c>
      <c r="D2295" s="3">
        <v>40</v>
      </c>
      <c r="E2295" s="3">
        <v>40</v>
      </c>
      <c r="F2295" s="2" t="s">
        <v>16</v>
      </c>
      <c r="G2295" s="2" t="s">
        <v>10193</v>
      </c>
      <c r="H2295" s="3">
        <v>0</v>
      </c>
      <c r="I2295" s="2" t="s">
        <v>409</v>
      </c>
      <c r="J2295" s="2" t="s">
        <v>10194</v>
      </c>
      <c r="K2295" s="2" t="s">
        <v>16</v>
      </c>
      <c r="L2295" s="2" t="s">
        <v>10195</v>
      </c>
      <c r="M2295" s="4">
        <v>3.08</v>
      </c>
      <c r="N2295" t="e">
        <f>OR(LEFT(B2295,3)="frg",(_xlfn.XMATCH(B2295,ZZZ_Part_Id_[[#All],[FGCODE]])))</f>
        <v>#N/A</v>
      </c>
    </row>
    <row r="2296" spans="1:14" x14ac:dyDescent="0.3">
      <c r="A2296" s="2" t="s">
        <v>10191</v>
      </c>
      <c r="B2296" s="2" t="s">
        <v>4791</v>
      </c>
      <c r="C2296" s="2" t="s">
        <v>10196</v>
      </c>
      <c r="D2296" s="3">
        <v>291456</v>
      </c>
      <c r="E2296" s="3">
        <v>291456</v>
      </c>
      <c r="F2296" s="2" t="s">
        <v>16</v>
      </c>
      <c r="G2296" s="2" t="s">
        <v>10197</v>
      </c>
      <c r="H2296" s="3">
        <v>0</v>
      </c>
      <c r="I2296" s="2" t="s">
        <v>409</v>
      </c>
      <c r="J2296" s="2" t="s">
        <v>10198</v>
      </c>
      <c r="K2296" s="2" t="s">
        <v>16</v>
      </c>
      <c r="L2296" s="2" t="s">
        <v>10199</v>
      </c>
      <c r="M2296" s="4">
        <v>85583.08</v>
      </c>
      <c r="N2296" t="b">
        <f>OR(LEFT(B2296,3)="frg",(_xlfn.XMATCH(B2296,ZZZ_Part_Id_[[#All],[FGCODE]])))</f>
        <v>1</v>
      </c>
    </row>
    <row r="2297" spans="1:14" x14ac:dyDescent="0.3">
      <c r="A2297" s="2" t="s">
        <v>10200</v>
      </c>
      <c r="B2297" s="2" t="s">
        <v>14</v>
      </c>
      <c r="C2297" s="2" t="s">
        <v>10201</v>
      </c>
      <c r="D2297" s="3">
        <v>140</v>
      </c>
      <c r="E2297" s="3">
        <v>140</v>
      </c>
      <c r="F2297" s="2" t="s">
        <v>16</v>
      </c>
      <c r="G2297" s="2" t="s">
        <v>10202</v>
      </c>
      <c r="H2297" s="3">
        <v>0</v>
      </c>
      <c r="I2297" s="2" t="s">
        <v>18</v>
      </c>
      <c r="J2297" s="2" t="s">
        <v>10203</v>
      </c>
      <c r="K2297" s="2" t="s">
        <v>16</v>
      </c>
      <c r="L2297" s="2" t="s">
        <v>10204</v>
      </c>
      <c r="M2297" s="4">
        <v>10.77</v>
      </c>
      <c r="N2297" t="e">
        <f>OR(LEFT(B2297,3)="frg",(_xlfn.XMATCH(B2297,ZZZ_Part_Id_[[#All],[FGCODE]])))</f>
        <v>#N/A</v>
      </c>
    </row>
    <row r="2298" spans="1:14" x14ac:dyDescent="0.3">
      <c r="A2298" s="2" t="s">
        <v>10200</v>
      </c>
      <c r="B2298" s="2" t="s">
        <v>1093</v>
      </c>
      <c r="C2298" s="2" t="s">
        <v>10205</v>
      </c>
      <c r="D2298" s="3">
        <v>2004480</v>
      </c>
      <c r="E2298" s="3">
        <v>2004480</v>
      </c>
      <c r="F2298" s="2" t="s">
        <v>16</v>
      </c>
      <c r="G2298" s="2" t="s">
        <v>10206</v>
      </c>
      <c r="H2298" s="3">
        <v>0</v>
      </c>
      <c r="I2298" s="2" t="s">
        <v>18</v>
      </c>
      <c r="J2298" s="2" t="s">
        <v>10207</v>
      </c>
      <c r="K2298" s="2" t="s">
        <v>16</v>
      </c>
      <c r="L2298" s="2" t="s">
        <v>10208</v>
      </c>
      <c r="M2298" s="4">
        <v>171162.23999999999</v>
      </c>
      <c r="N2298" t="b">
        <f>OR(LEFT(B2298,3)="frg",(_xlfn.XMATCH(B2298,ZZZ_Part_Id_[[#All],[FGCODE]])))</f>
        <v>1</v>
      </c>
    </row>
    <row r="2299" spans="1:14" x14ac:dyDescent="0.3">
      <c r="A2299" s="2" t="s">
        <v>10209</v>
      </c>
      <c r="B2299" s="2" t="s">
        <v>14</v>
      </c>
      <c r="C2299" s="2" t="s">
        <v>10210</v>
      </c>
      <c r="D2299" s="3">
        <v>40</v>
      </c>
      <c r="E2299" s="3">
        <v>40</v>
      </c>
      <c r="F2299" s="2" t="s">
        <v>16</v>
      </c>
      <c r="G2299" s="2" t="s">
        <v>10211</v>
      </c>
      <c r="H2299" s="3">
        <v>0</v>
      </c>
      <c r="I2299" s="2" t="s">
        <v>18</v>
      </c>
      <c r="J2299" s="2" t="s">
        <v>10212</v>
      </c>
      <c r="K2299" s="2" t="s">
        <v>16</v>
      </c>
      <c r="L2299" s="2" t="s">
        <v>10213</v>
      </c>
      <c r="M2299" s="4">
        <v>3.08</v>
      </c>
      <c r="N2299" t="e">
        <f>OR(LEFT(B2299,3)="frg",(_xlfn.XMATCH(B2299,ZZZ_Part_Id_[[#All],[FGCODE]])))</f>
        <v>#N/A</v>
      </c>
    </row>
    <row r="2300" spans="1:14" x14ac:dyDescent="0.3">
      <c r="A2300" s="2" t="s">
        <v>10209</v>
      </c>
      <c r="B2300" s="2" t="s">
        <v>517</v>
      </c>
      <c r="C2300" s="2" t="s">
        <v>10214</v>
      </c>
      <c r="D2300" s="3">
        <v>413280</v>
      </c>
      <c r="E2300" s="3">
        <v>413280</v>
      </c>
      <c r="F2300" s="2" t="s">
        <v>16</v>
      </c>
      <c r="G2300" s="2" t="s">
        <v>10215</v>
      </c>
      <c r="H2300" s="3">
        <v>0</v>
      </c>
      <c r="I2300" s="2" t="s">
        <v>18</v>
      </c>
      <c r="J2300" s="2" t="s">
        <v>10216</v>
      </c>
      <c r="K2300" s="2" t="s">
        <v>16</v>
      </c>
      <c r="L2300" s="2" t="s">
        <v>10217</v>
      </c>
      <c r="M2300" s="4">
        <v>75183.75</v>
      </c>
      <c r="N2300" t="b">
        <f>OR(LEFT(B2300,3)="frg",(_xlfn.XMATCH(B2300,ZZZ_Part_Id_[[#All],[FGCODE]])))</f>
        <v>1</v>
      </c>
    </row>
    <row r="2301" spans="1:14" x14ac:dyDescent="0.3">
      <c r="A2301" s="2" t="s">
        <v>10218</v>
      </c>
      <c r="B2301" s="2" t="s">
        <v>14</v>
      </c>
      <c r="C2301" s="2" t="s">
        <v>10219</v>
      </c>
      <c r="D2301" s="3">
        <v>4</v>
      </c>
      <c r="E2301" s="3">
        <v>4</v>
      </c>
      <c r="F2301" s="2" t="s">
        <v>16</v>
      </c>
      <c r="G2301" s="2" t="s">
        <v>10220</v>
      </c>
      <c r="H2301" s="3">
        <v>0</v>
      </c>
      <c r="I2301" s="2" t="s">
        <v>18</v>
      </c>
      <c r="J2301" s="2" t="s">
        <v>10221</v>
      </c>
      <c r="K2301" s="2" t="s">
        <v>16</v>
      </c>
      <c r="L2301" s="2" t="s">
        <v>10222</v>
      </c>
      <c r="M2301" s="4">
        <v>0.31</v>
      </c>
      <c r="N2301" t="e">
        <f>OR(LEFT(B2301,3)="frg",(_xlfn.XMATCH(B2301,ZZZ_Part_Id_[[#All],[FGCODE]])))</f>
        <v>#N/A</v>
      </c>
    </row>
    <row r="2302" spans="1:14" x14ac:dyDescent="0.3">
      <c r="A2302" s="2" t="s">
        <v>10218</v>
      </c>
      <c r="B2302" s="2" t="s">
        <v>1027</v>
      </c>
      <c r="C2302" s="2" t="s">
        <v>10223</v>
      </c>
      <c r="D2302" s="3">
        <v>10620</v>
      </c>
      <c r="E2302" s="3">
        <v>0</v>
      </c>
      <c r="F2302" s="2" t="s">
        <v>16</v>
      </c>
      <c r="G2302" s="2" t="s">
        <v>10224</v>
      </c>
      <c r="H2302" s="3">
        <v>0</v>
      </c>
      <c r="I2302" s="2" t="s">
        <v>18</v>
      </c>
      <c r="J2302" s="2" t="s">
        <v>10225</v>
      </c>
      <c r="K2302" s="2" t="s">
        <v>16</v>
      </c>
      <c r="L2302" s="2" t="s">
        <v>10226</v>
      </c>
      <c r="M2302" s="4">
        <v>0</v>
      </c>
      <c r="N2302" t="b">
        <f>OR(LEFT(B2302,3)="frg",(_xlfn.XMATCH(B2302,ZZZ_Part_Id_[[#All],[FGCODE]])))</f>
        <v>1</v>
      </c>
    </row>
    <row r="2303" spans="1:14" x14ac:dyDescent="0.3">
      <c r="A2303" s="2" t="s">
        <v>10218</v>
      </c>
      <c r="B2303" s="2" t="s">
        <v>10227</v>
      </c>
      <c r="C2303" s="2" t="s">
        <v>10228</v>
      </c>
      <c r="D2303" s="3">
        <v>10620</v>
      </c>
      <c r="E2303" s="3">
        <v>10620</v>
      </c>
      <c r="F2303" s="2" t="s">
        <v>16</v>
      </c>
      <c r="G2303" s="2" t="s">
        <v>131</v>
      </c>
      <c r="H2303" s="3">
        <v>0</v>
      </c>
      <c r="I2303" s="2" t="s">
        <v>18</v>
      </c>
      <c r="J2303" s="2" t="s">
        <v>10229</v>
      </c>
      <c r="K2303" s="2" t="s">
        <v>16</v>
      </c>
      <c r="L2303" s="2" t="s">
        <v>10230</v>
      </c>
      <c r="M2303" s="4">
        <v>2138.23</v>
      </c>
      <c r="N2303" t="b">
        <f>OR(LEFT(B2303,3)="frg",(_xlfn.XMATCH(B2303,ZZZ_Part_Id_[[#All],[FGCODE]])))</f>
        <v>1</v>
      </c>
    </row>
    <row r="2304" spans="1:14" x14ac:dyDescent="0.3">
      <c r="A2304" s="2" t="s">
        <v>10231</v>
      </c>
      <c r="B2304" s="2" t="s">
        <v>14</v>
      </c>
      <c r="C2304" s="2" t="s">
        <v>10232</v>
      </c>
      <c r="D2304" s="3">
        <v>4</v>
      </c>
      <c r="E2304" s="3">
        <v>4</v>
      </c>
      <c r="F2304" s="2" t="s">
        <v>16</v>
      </c>
      <c r="G2304" s="2" t="s">
        <v>10233</v>
      </c>
      <c r="H2304" s="3">
        <v>0</v>
      </c>
      <c r="I2304" s="2" t="s">
        <v>18</v>
      </c>
      <c r="J2304" s="2" t="s">
        <v>10234</v>
      </c>
      <c r="K2304" s="2" t="s">
        <v>16</v>
      </c>
      <c r="L2304" s="2" t="s">
        <v>10235</v>
      </c>
      <c r="M2304" s="4">
        <v>0.31</v>
      </c>
      <c r="N2304" t="e">
        <f>OR(LEFT(B2304,3)="frg",(_xlfn.XMATCH(B2304,ZZZ_Part_Id_[[#All],[FGCODE]])))</f>
        <v>#N/A</v>
      </c>
    </row>
    <row r="2305" spans="1:14" x14ac:dyDescent="0.3">
      <c r="A2305" s="2" t="s">
        <v>10231</v>
      </c>
      <c r="B2305" s="2" t="s">
        <v>1512</v>
      </c>
      <c r="C2305" s="2" t="s">
        <v>10236</v>
      </c>
      <c r="D2305" s="3">
        <v>10620</v>
      </c>
      <c r="E2305" s="3">
        <v>10620</v>
      </c>
      <c r="F2305" s="2" t="s">
        <v>16</v>
      </c>
      <c r="G2305" s="2" t="s">
        <v>10237</v>
      </c>
      <c r="H2305" s="3">
        <v>0</v>
      </c>
      <c r="I2305" s="2" t="s">
        <v>18</v>
      </c>
      <c r="J2305" s="2" t="s">
        <v>10238</v>
      </c>
      <c r="K2305" s="2" t="s">
        <v>16</v>
      </c>
      <c r="L2305" s="2" t="s">
        <v>10239</v>
      </c>
      <c r="M2305" s="4">
        <v>2138.23</v>
      </c>
      <c r="N2305" t="b">
        <f>OR(LEFT(B2305,3)="frg",(_xlfn.XMATCH(B2305,ZZZ_Part_Id_[[#All],[FGCODE]])))</f>
        <v>1</v>
      </c>
    </row>
    <row r="2306" spans="1:14" x14ac:dyDescent="0.3">
      <c r="A2306" s="2" t="s">
        <v>10240</v>
      </c>
      <c r="B2306" s="2" t="s">
        <v>14</v>
      </c>
      <c r="C2306" s="2" t="s">
        <v>10241</v>
      </c>
      <c r="D2306" s="3">
        <v>14</v>
      </c>
      <c r="E2306" s="3">
        <v>14</v>
      </c>
      <c r="F2306" s="2" t="s">
        <v>16</v>
      </c>
      <c r="G2306" s="2" t="s">
        <v>10242</v>
      </c>
      <c r="H2306" s="3">
        <v>0</v>
      </c>
      <c r="I2306" s="2" t="s">
        <v>18</v>
      </c>
      <c r="J2306" s="2" t="s">
        <v>10243</v>
      </c>
      <c r="K2306" s="2" t="s">
        <v>16</v>
      </c>
      <c r="L2306" s="2" t="s">
        <v>10244</v>
      </c>
      <c r="M2306" s="4">
        <v>1.08</v>
      </c>
      <c r="N2306" t="e">
        <f>OR(LEFT(B2306,3)="frg",(_xlfn.XMATCH(B2306,ZZZ_Part_Id_[[#All],[FGCODE]])))</f>
        <v>#N/A</v>
      </c>
    </row>
    <row r="2307" spans="1:14" x14ac:dyDescent="0.3">
      <c r="A2307" s="2" t="s">
        <v>10240</v>
      </c>
      <c r="B2307" s="2" t="s">
        <v>21</v>
      </c>
      <c r="C2307" s="2" t="s">
        <v>10245</v>
      </c>
      <c r="D2307" s="5">
        <v>-323</v>
      </c>
      <c r="E2307" s="5">
        <v>-323</v>
      </c>
      <c r="F2307" s="2" t="s">
        <v>23</v>
      </c>
      <c r="G2307" s="2" t="s">
        <v>10246</v>
      </c>
      <c r="H2307" s="3">
        <v>0</v>
      </c>
      <c r="I2307" s="2" t="s">
        <v>18</v>
      </c>
      <c r="J2307" s="2" t="s">
        <v>10247</v>
      </c>
      <c r="K2307" s="2" t="s">
        <v>23</v>
      </c>
      <c r="L2307" s="2" t="s">
        <v>10248</v>
      </c>
      <c r="M2307" s="6">
        <v>-712.67</v>
      </c>
      <c r="N2307" t="b">
        <f>OR(LEFT(B2307,3)="frg",(_xlfn.XMATCH(B2307,ZZZ_Part_Id_[[#All],[FGCODE]])))</f>
        <v>1</v>
      </c>
    </row>
    <row r="2308" spans="1:14" x14ac:dyDescent="0.3">
      <c r="A2308" s="2" t="s">
        <v>10240</v>
      </c>
      <c r="B2308" s="2" t="s">
        <v>1027</v>
      </c>
      <c r="C2308" s="2" t="s">
        <v>10249</v>
      </c>
      <c r="D2308" s="3">
        <v>84960</v>
      </c>
      <c r="E2308" s="3">
        <v>84960</v>
      </c>
      <c r="F2308" s="2" t="s">
        <v>16</v>
      </c>
      <c r="G2308" s="2" t="s">
        <v>10250</v>
      </c>
      <c r="H2308" s="3">
        <v>0</v>
      </c>
      <c r="I2308" s="2" t="s">
        <v>18</v>
      </c>
      <c r="J2308" s="2" t="s">
        <v>10251</v>
      </c>
      <c r="K2308" s="2" t="s">
        <v>16</v>
      </c>
      <c r="L2308" s="2" t="s">
        <v>10252</v>
      </c>
      <c r="M2308" s="4">
        <v>17105.84</v>
      </c>
      <c r="N2308" t="b">
        <f>OR(LEFT(B2308,3)="frg",(_xlfn.XMATCH(B2308,ZZZ_Part_Id_[[#All],[FGCODE]])))</f>
        <v>1</v>
      </c>
    </row>
    <row r="2309" spans="1:14" x14ac:dyDescent="0.3">
      <c r="A2309" s="2" t="s">
        <v>10253</v>
      </c>
      <c r="B2309" s="2" t="s">
        <v>14</v>
      </c>
      <c r="C2309" s="2" t="s">
        <v>10254</v>
      </c>
      <c r="D2309" s="3">
        <v>95</v>
      </c>
      <c r="E2309" s="3">
        <v>95</v>
      </c>
      <c r="F2309" s="2" t="s">
        <v>16</v>
      </c>
      <c r="G2309" s="2" t="s">
        <v>10255</v>
      </c>
      <c r="H2309" s="3">
        <v>0</v>
      </c>
      <c r="I2309" s="2" t="s">
        <v>18</v>
      </c>
      <c r="J2309" s="2" t="s">
        <v>10256</v>
      </c>
      <c r="K2309" s="2" t="s">
        <v>16</v>
      </c>
      <c r="L2309" s="2" t="s">
        <v>10257</v>
      </c>
      <c r="M2309" s="4">
        <v>7.31</v>
      </c>
      <c r="N2309" t="e">
        <f>OR(LEFT(B2309,3)="frg",(_xlfn.XMATCH(B2309,ZZZ_Part_Id_[[#All],[FGCODE]])))</f>
        <v>#N/A</v>
      </c>
    </row>
    <row r="2310" spans="1:14" x14ac:dyDescent="0.3">
      <c r="A2310" s="2" t="s">
        <v>10253</v>
      </c>
      <c r="B2310" s="2" t="s">
        <v>97</v>
      </c>
      <c r="C2310" s="2" t="s">
        <v>10258</v>
      </c>
      <c r="D2310" s="3">
        <v>340800</v>
      </c>
      <c r="E2310" s="3">
        <v>340800</v>
      </c>
      <c r="F2310" s="2" t="s">
        <v>16</v>
      </c>
      <c r="G2310" s="2" t="s">
        <v>10259</v>
      </c>
      <c r="H2310" s="3">
        <v>0</v>
      </c>
      <c r="I2310" s="2" t="s">
        <v>18</v>
      </c>
      <c r="J2310" s="2" t="s">
        <v>10260</v>
      </c>
      <c r="K2310" s="2" t="s">
        <v>16</v>
      </c>
      <c r="L2310" s="2" t="s">
        <v>10261</v>
      </c>
      <c r="M2310" s="4">
        <v>116877.36</v>
      </c>
      <c r="N2310" t="b">
        <f>OR(LEFT(B2310,3)="frg",(_xlfn.XMATCH(B2310,ZZZ_Part_Id_[[#All],[FGCODE]])))</f>
        <v>1</v>
      </c>
    </row>
    <row r="2311" spans="1:14" x14ac:dyDescent="0.3">
      <c r="A2311" s="2" t="s">
        <v>10262</v>
      </c>
      <c r="B2311" s="2" t="s">
        <v>65</v>
      </c>
      <c r="C2311" s="2" t="s">
        <v>10263</v>
      </c>
      <c r="D2311" s="5">
        <v>-249</v>
      </c>
      <c r="E2311" s="5">
        <v>-249</v>
      </c>
      <c r="F2311" s="2" t="s">
        <v>23</v>
      </c>
      <c r="G2311" s="2" t="s">
        <v>10264</v>
      </c>
      <c r="H2311" s="3">
        <v>0</v>
      </c>
      <c r="I2311" s="2" t="s">
        <v>18</v>
      </c>
      <c r="J2311" s="2" t="s">
        <v>10265</v>
      </c>
      <c r="K2311" s="2" t="s">
        <v>23</v>
      </c>
      <c r="L2311" s="2" t="s">
        <v>10266</v>
      </c>
      <c r="M2311" s="6">
        <v>-640.33000000000004</v>
      </c>
      <c r="N2311" t="b">
        <f>OR(LEFT(B2311,3)="frg",(_xlfn.XMATCH(B2311,ZZZ_Part_Id_[[#All],[FGCODE]])))</f>
        <v>1</v>
      </c>
    </row>
    <row r="2312" spans="1:14" x14ac:dyDescent="0.3">
      <c r="A2312" s="2" t="s">
        <v>10262</v>
      </c>
      <c r="B2312" s="2" t="s">
        <v>97</v>
      </c>
      <c r="C2312" s="2" t="s">
        <v>10267</v>
      </c>
      <c r="D2312" s="3">
        <v>48000</v>
      </c>
      <c r="E2312" s="3">
        <v>48000</v>
      </c>
      <c r="F2312" s="2" t="s">
        <v>16</v>
      </c>
      <c r="G2312" s="2" t="s">
        <v>10268</v>
      </c>
      <c r="H2312" s="3">
        <v>0</v>
      </c>
      <c r="I2312" s="2" t="s">
        <v>18</v>
      </c>
      <c r="J2312" s="2" t="s">
        <v>10269</v>
      </c>
      <c r="K2312" s="2" t="s">
        <v>16</v>
      </c>
      <c r="L2312" s="2" t="s">
        <v>10270</v>
      </c>
      <c r="M2312" s="4">
        <v>16461.599999999999</v>
      </c>
      <c r="N2312" t="b">
        <f>OR(LEFT(B2312,3)="frg",(_xlfn.XMATCH(B2312,ZZZ_Part_Id_[[#All],[FGCODE]])))</f>
        <v>1</v>
      </c>
    </row>
    <row r="2313" spans="1:14" x14ac:dyDescent="0.3">
      <c r="A2313" s="2" t="s">
        <v>10271</v>
      </c>
      <c r="B2313" s="2" t="s">
        <v>97</v>
      </c>
      <c r="C2313" s="2" t="s">
        <v>10272</v>
      </c>
      <c r="D2313" s="3">
        <v>28800</v>
      </c>
      <c r="E2313" s="3">
        <v>28800</v>
      </c>
      <c r="F2313" s="2" t="s">
        <v>16</v>
      </c>
      <c r="G2313" s="2" t="s">
        <v>10273</v>
      </c>
      <c r="H2313" s="3">
        <v>0</v>
      </c>
      <c r="I2313" s="2" t="s">
        <v>18</v>
      </c>
      <c r="J2313" s="2" t="s">
        <v>10274</v>
      </c>
      <c r="K2313" s="2" t="s">
        <v>16</v>
      </c>
      <c r="L2313" s="2" t="s">
        <v>10275</v>
      </c>
      <c r="M2313" s="4">
        <v>9876.9599999999991</v>
      </c>
      <c r="N2313" t="b">
        <f>OR(LEFT(B2313,3)="frg",(_xlfn.XMATCH(B2313,ZZZ_Part_Id_[[#All],[FGCODE]])))</f>
        <v>1</v>
      </c>
    </row>
    <row r="2314" spans="1:14" x14ac:dyDescent="0.3">
      <c r="A2314" s="2" t="s">
        <v>10276</v>
      </c>
      <c r="B2314" s="2" t="s">
        <v>21</v>
      </c>
      <c r="C2314" s="2" t="s">
        <v>10277</v>
      </c>
      <c r="D2314" s="5">
        <v>-343</v>
      </c>
      <c r="E2314" s="5">
        <v>-343</v>
      </c>
      <c r="F2314" s="2" t="s">
        <v>23</v>
      </c>
      <c r="G2314" s="2" t="s">
        <v>10278</v>
      </c>
      <c r="H2314" s="3">
        <v>0</v>
      </c>
      <c r="I2314" s="2" t="s">
        <v>18</v>
      </c>
      <c r="J2314" s="2" t="s">
        <v>10279</v>
      </c>
      <c r="K2314" s="2" t="s">
        <v>23</v>
      </c>
      <c r="L2314" s="2" t="s">
        <v>10280</v>
      </c>
      <c r="M2314" s="6">
        <v>-756.8</v>
      </c>
      <c r="N2314" t="b">
        <f>OR(LEFT(B2314,3)="frg",(_xlfn.XMATCH(B2314,ZZZ_Part_Id_[[#All],[FGCODE]])))</f>
        <v>1</v>
      </c>
    </row>
    <row r="2315" spans="1:14" x14ac:dyDescent="0.3">
      <c r="A2315" s="2" t="s">
        <v>10276</v>
      </c>
      <c r="B2315" s="2" t="s">
        <v>647</v>
      </c>
      <c r="C2315" s="2" t="s">
        <v>10281</v>
      </c>
      <c r="D2315" s="3">
        <v>131040</v>
      </c>
      <c r="E2315" s="3">
        <v>131040</v>
      </c>
      <c r="F2315" s="2" t="s">
        <v>16</v>
      </c>
      <c r="G2315" s="2" t="s">
        <v>10282</v>
      </c>
      <c r="H2315" s="3">
        <v>0</v>
      </c>
      <c r="I2315" s="2" t="s">
        <v>18</v>
      </c>
      <c r="J2315" s="2" t="s">
        <v>10283</v>
      </c>
      <c r="K2315" s="2" t="s">
        <v>16</v>
      </c>
      <c r="L2315" s="2" t="s">
        <v>10284</v>
      </c>
      <c r="M2315" s="4">
        <v>18315.439999999999</v>
      </c>
      <c r="N2315" t="b">
        <f>OR(LEFT(B2315,3)="frg",(_xlfn.XMATCH(B2315,ZZZ_Part_Id_[[#All],[FGCODE]])))</f>
        <v>1</v>
      </c>
    </row>
    <row r="2316" spans="1:14" x14ac:dyDescent="0.3">
      <c r="A2316" s="2" t="s">
        <v>10285</v>
      </c>
      <c r="B2316" s="2" t="s">
        <v>14</v>
      </c>
      <c r="C2316" s="2" t="s">
        <v>10286</v>
      </c>
      <c r="D2316" s="3">
        <v>14</v>
      </c>
      <c r="E2316" s="3">
        <v>14</v>
      </c>
      <c r="F2316" s="2" t="s">
        <v>16</v>
      </c>
      <c r="G2316" s="2" t="s">
        <v>10287</v>
      </c>
      <c r="H2316" s="3">
        <v>0</v>
      </c>
      <c r="I2316" s="2" t="s">
        <v>18</v>
      </c>
      <c r="J2316" s="2" t="s">
        <v>10288</v>
      </c>
      <c r="K2316" s="2" t="s">
        <v>16</v>
      </c>
      <c r="L2316" s="2" t="s">
        <v>10289</v>
      </c>
      <c r="M2316" s="4">
        <v>1.08</v>
      </c>
      <c r="N2316" t="e">
        <f>OR(LEFT(B2316,3)="frg",(_xlfn.XMATCH(B2316,ZZZ_Part_Id_[[#All],[FGCODE]])))</f>
        <v>#N/A</v>
      </c>
    </row>
    <row r="2317" spans="1:14" x14ac:dyDescent="0.3">
      <c r="A2317" s="2" t="s">
        <v>10285</v>
      </c>
      <c r="B2317" s="2" t="s">
        <v>1093</v>
      </c>
      <c r="C2317" s="2" t="s">
        <v>10290</v>
      </c>
      <c r="D2317" s="3">
        <v>292320</v>
      </c>
      <c r="E2317" s="3">
        <v>292320</v>
      </c>
      <c r="F2317" s="2" t="s">
        <v>16</v>
      </c>
      <c r="G2317" s="2" t="s">
        <v>10291</v>
      </c>
      <c r="H2317" s="3">
        <v>0</v>
      </c>
      <c r="I2317" s="2" t="s">
        <v>18</v>
      </c>
      <c r="J2317" s="2" t="s">
        <v>10292</v>
      </c>
      <c r="K2317" s="2" t="s">
        <v>16</v>
      </c>
      <c r="L2317" s="2" t="s">
        <v>10293</v>
      </c>
      <c r="M2317" s="4">
        <v>24961.16</v>
      </c>
      <c r="N2317" t="b">
        <f>OR(LEFT(B2317,3)="frg",(_xlfn.XMATCH(B2317,ZZZ_Part_Id_[[#All],[FGCODE]])))</f>
        <v>1</v>
      </c>
    </row>
    <row r="2318" spans="1:14" x14ac:dyDescent="0.3">
      <c r="A2318" s="2" t="s">
        <v>10294</v>
      </c>
      <c r="B2318" s="2" t="s">
        <v>14</v>
      </c>
      <c r="C2318" s="2" t="s">
        <v>10295</v>
      </c>
      <c r="D2318" s="3">
        <v>14</v>
      </c>
      <c r="E2318" s="3">
        <v>14</v>
      </c>
      <c r="F2318" s="2" t="s">
        <v>16</v>
      </c>
      <c r="G2318" s="2" t="s">
        <v>10296</v>
      </c>
      <c r="H2318" s="3">
        <v>0</v>
      </c>
      <c r="I2318" s="2" t="s">
        <v>18</v>
      </c>
      <c r="J2318" s="2" t="s">
        <v>10297</v>
      </c>
      <c r="K2318" s="2" t="s">
        <v>16</v>
      </c>
      <c r="L2318" s="2" t="s">
        <v>10298</v>
      </c>
      <c r="M2318" s="4">
        <v>1.08</v>
      </c>
      <c r="N2318" t="e">
        <f>OR(LEFT(B2318,3)="frg",(_xlfn.XMATCH(B2318,ZZZ_Part_Id_[[#All],[FGCODE]])))</f>
        <v>#N/A</v>
      </c>
    </row>
    <row r="2319" spans="1:14" x14ac:dyDescent="0.3">
      <c r="A2319" s="2" t="s">
        <v>10294</v>
      </c>
      <c r="B2319" s="2" t="s">
        <v>97</v>
      </c>
      <c r="C2319" s="2" t="s">
        <v>10299</v>
      </c>
      <c r="D2319" s="3">
        <v>62400</v>
      </c>
      <c r="E2319" s="3">
        <v>62400</v>
      </c>
      <c r="F2319" s="2" t="s">
        <v>16</v>
      </c>
      <c r="G2319" s="2" t="s">
        <v>10300</v>
      </c>
      <c r="H2319" s="3">
        <v>0</v>
      </c>
      <c r="I2319" s="2" t="s">
        <v>18</v>
      </c>
      <c r="J2319" s="2" t="s">
        <v>10301</v>
      </c>
      <c r="K2319" s="2" t="s">
        <v>16</v>
      </c>
      <c r="L2319" s="2" t="s">
        <v>10302</v>
      </c>
      <c r="M2319" s="4">
        <v>21400.080000000002</v>
      </c>
      <c r="N2319" t="b">
        <f>OR(LEFT(B2319,3)="frg",(_xlfn.XMATCH(B2319,ZZZ_Part_Id_[[#All],[FGCODE]])))</f>
        <v>1</v>
      </c>
    </row>
    <row r="2320" spans="1:14" x14ac:dyDescent="0.3">
      <c r="A2320" s="2" t="s">
        <v>10303</v>
      </c>
      <c r="B2320" s="2" t="s">
        <v>14</v>
      </c>
      <c r="C2320" s="2" t="s">
        <v>10304</v>
      </c>
      <c r="D2320" s="3">
        <v>10</v>
      </c>
      <c r="E2320" s="3">
        <v>10</v>
      </c>
      <c r="F2320" s="2" t="s">
        <v>16</v>
      </c>
      <c r="G2320" s="2" t="s">
        <v>10305</v>
      </c>
      <c r="H2320" s="3">
        <v>0</v>
      </c>
      <c r="I2320" s="2" t="s">
        <v>409</v>
      </c>
      <c r="J2320" s="2" t="s">
        <v>10306</v>
      </c>
      <c r="K2320" s="2" t="s">
        <v>16</v>
      </c>
      <c r="L2320" s="2" t="s">
        <v>10307</v>
      </c>
      <c r="M2320" s="4">
        <v>0.77</v>
      </c>
      <c r="N2320" t="e">
        <f>OR(LEFT(B2320,3)="frg",(_xlfn.XMATCH(B2320,ZZZ_Part_Id_[[#All],[FGCODE]])))</f>
        <v>#N/A</v>
      </c>
    </row>
    <row r="2321" spans="1:14" x14ac:dyDescent="0.3">
      <c r="A2321" s="2" t="s">
        <v>10303</v>
      </c>
      <c r="B2321" s="2" t="s">
        <v>86</v>
      </c>
      <c r="C2321" s="2" t="s">
        <v>10308</v>
      </c>
      <c r="D2321" s="5">
        <v>-259</v>
      </c>
      <c r="E2321" s="5">
        <v>-259</v>
      </c>
      <c r="F2321" s="2" t="s">
        <v>23</v>
      </c>
      <c r="G2321" s="2" t="s">
        <v>10309</v>
      </c>
      <c r="H2321" s="3">
        <v>0</v>
      </c>
      <c r="I2321" s="2" t="s">
        <v>409</v>
      </c>
      <c r="J2321" s="2" t="s">
        <v>10310</v>
      </c>
      <c r="K2321" s="2" t="s">
        <v>23</v>
      </c>
      <c r="L2321" s="2" t="s">
        <v>10311</v>
      </c>
      <c r="M2321" s="6">
        <v>-678.01</v>
      </c>
      <c r="N2321" t="b">
        <f>OR(LEFT(B2321,3)="frg",(_xlfn.XMATCH(B2321,ZZZ_Part_Id_[[#All],[FGCODE]])))</f>
        <v>1</v>
      </c>
    </row>
    <row r="2322" spans="1:14" x14ac:dyDescent="0.3">
      <c r="A2322" s="2" t="s">
        <v>10303</v>
      </c>
      <c r="B2322" s="2" t="s">
        <v>5507</v>
      </c>
      <c r="C2322" s="2" t="s">
        <v>10312</v>
      </c>
      <c r="D2322" s="3">
        <v>211200</v>
      </c>
      <c r="E2322" s="3">
        <v>211200</v>
      </c>
      <c r="F2322" s="2" t="s">
        <v>16</v>
      </c>
      <c r="G2322" s="2" t="s">
        <v>10313</v>
      </c>
      <c r="H2322" s="3">
        <v>0</v>
      </c>
      <c r="I2322" s="2" t="s">
        <v>409</v>
      </c>
      <c r="J2322" s="2" t="s">
        <v>10314</v>
      </c>
      <c r="K2322" s="2" t="s">
        <v>16</v>
      </c>
      <c r="L2322" s="2" t="s">
        <v>10315</v>
      </c>
      <c r="M2322" s="4">
        <v>20496.96</v>
      </c>
      <c r="N2322" t="b">
        <f>OR(LEFT(B2322,3)="frg",(_xlfn.XMATCH(B2322,ZZZ_Part_Id_[[#All],[FGCODE]])))</f>
        <v>1</v>
      </c>
    </row>
    <row r="2323" spans="1:14" x14ac:dyDescent="0.3">
      <c r="A2323" s="2" t="s">
        <v>10316</v>
      </c>
      <c r="B2323" s="2" t="s">
        <v>14</v>
      </c>
      <c r="C2323" s="2" t="s">
        <v>10317</v>
      </c>
      <c r="D2323" s="3">
        <v>10</v>
      </c>
      <c r="E2323" s="3">
        <v>10</v>
      </c>
      <c r="F2323" s="2" t="s">
        <v>16</v>
      </c>
      <c r="G2323" s="2" t="s">
        <v>10318</v>
      </c>
      <c r="H2323" s="3">
        <v>0</v>
      </c>
      <c r="I2323" s="2" t="s">
        <v>18</v>
      </c>
      <c r="J2323" s="2" t="s">
        <v>10319</v>
      </c>
      <c r="K2323" s="2" t="s">
        <v>16</v>
      </c>
      <c r="L2323" s="2" t="s">
        <v>10320</v>
      </c>
      <c r="M2323" s="4">
        <v>0.77</v>
      </c>
      <c r="N2323" t="e">
        <f>OR(LEFT(B2323,3)="frg",(_xlfn.XMATCH(B2323,ZZZ_Part_Id_[[#All],[FGCODE]])))</f>
        <v>#N/A</v>
      </c>
    </row>
    <row r="2324" spans="1:14" x14ac:dyDescent="0.3">
      <c r="A2324" s="2" t="s">
        <v>10316</v>
      </c>
      <c r="B2324" s="2" t="s">
        <v>693</v>
      </c>
      <c r="C2324" s="2" t="s">
        <v>10321</v>
      </c>
      <c r="D2324" s="3">
        <v>81900</v>
      </c>
      <c r="E2324" s="3">
        <v>81900</v>
      </c>
      <c r="F2324" s="2" t="s">
        <v>16</v>
      </c>
      <c r="G2324" s="2" t="s">
        <v>10322</v>
      </c>
      <c r="H2324" s="3">
        <v>0</v>
      </c>
      <c r="I2324" s="2" t="s">
        <v>18</v>
      </c>
      <c r="J2324" s="2" t="s">
        <v>10323</v>
      </c>
      <c r="K2324" s="2" t="s">
        <v>16</v>
      </c>
      <c r="L2324" s="2" t="s">
        <v>10324</v>
      </c>
      <c r="M2324" s="4">
        <v>11347.25</v>
      </c>
      <c r="N2324" t="b">
        <f>OR(LEFT(B2324,3)="frg",(_xlfn.XMATCH(B2324,ZZZ_Part_Id_[[#All],[FGCODE]])))</f>
        <v>1</v>
      </c>
    </row>
    <row r="2325" spans="1:14" x14ac:dyDescent="0.3">
      <c r="A2325" s="2" t="s">
        <v>10325</v>
      </c>
      <c r="B2325" s="2" t="s">
        <v>14</v>
      </c>
      <c r="C2325" s="2" t="s">
        <v>10326</v>
      </c>
      <c r="D2325" s="3">
        <v>64</v>
      </c>
      <c r="E2325" s="3">
        <v>64</v>
      </c>
      <c r="F2325" s="2" t="s">
        <v>16</v>
      </c>
      <c r="G2325" s="2" t="s">
        <v>10327</v>
      </c>
      <c r="H2325" s="3">
        <v>0</v>
      </c>
      <c r="I2325" s="2" t="s">
        <v>18</v>
      </c>
      <c r="J2325" s="2" t="s">
        <v>10328</v>
      </c>
      <c r="K2325" s="2" t="s">
        <v>16</v>
      </c>
      <c r="L2325" s="2" t="s">
        <v>10329</v>
      </c>
      <c r="M2325" s="4">
        <v>4.92</v>
      </c>
      <c r="N2325" t="e">
        <f>OR(LEFT(B2325,3)="frg",(_xlfn.XMATCH(B2325,ZZZ_Part_Id_[[#All],[FGCODE]])))</f>
        <v>#N/A</v>
      </c>
    </row>
    <row r="2326" spans="1:14" x14ac:dyDescent="0.3">
      <c r="A2326" s="2" t="s">
        <v>10325</v>
      </c>
      <c r="B2326" s="2" t="s">
        <v>4791</v>
      </c>
      <c r="C2326" s="2" t="s">
        <v>10330</v>
      </c>
      <c r="D2326" s="3">
        <v>317952</v>
      </c>
      <c r="E2326" s="3">
        <v>317952</v>
      </c>
      <c r="F2326" s="2" t="s">
        <v>16</v>
      </c>
      <c r="G2326" s="2" t="s">
        <v>10331</v>
      </c>
      <c r="H2326" s="3">
        <v>0</v>
      </c>
      <c r="I2326" s="2" t="s">
        <v>18</v>
      </c>
      <c r="J2326" s="2" t="s">
        <v>10332</v>
      </c>
      <c r="K2326" s="2" t="s">
        <v>16</v>
      </c>
      <c r="L2326" s="2" t="s">
        <v>10333</v>
      </c>
      <c r="M2326" s="4">
        <v>93363.36</v>
      </c>
      <c r="N2326" t="b">
        <f>OR(LEFT(B2326,3)="frg",(_xlfn.XMATCH(B2326,ZZZ_Part_Id_[[#All],[FGCODE]])))</f>
        <v>1</v>
      </c>
    </row>
    <row r="2327" spans="1:14" x14ac:dyDescent="0.3">
      <c r="A2327" s="2" t="s">
        <v>10334</v>
      </c>
      <c r="B2327" s="2" t="s">
        <v>14</v>
      </c>
      <c r="C2327" s="2" t="s">
        <v>10335</v>
      </c>
      <c r="D2327" s="3">
        <v>14</v>
      </c>
      <c r="E2327" s="3">
        <v>14</v>
      </c>
      <c r="F2327" s="2" t="s">
        <v>16</v>
      </c>
      <c r="G2327" s="2" t="s">
        <v>10336</v>
      </c>
      <c r="H2327" s="3">
        <v>0</v>
      </c>
      <c r="I2327" s="2" t="s">
        <v>409</v>
      </c>
      <c r="J2327" s="2" t="s">
        <v>10337</v>
      </c>
      <c r="K2327" s="2" t="s">
        <v>16</v>
      </c>
      <c r="L2327" s="2" t="s">
        <v>10338</v>
      </c>
      <c r="M2327" s="4">
        <v>1.08</v>
      </c>
      <c r="N2327" t="e">
        <f>OR(LEFT(B2327,3)="frg",(_xlfn.XMATCH(B2327,ZZZ_Part_Id_[[#All],[FGCODE]])))</f>
        <v>#N/A</v>
      </c>
    </row>
    <row r="2328" spans="1:14" x14ac:dyDescent="0.3">
      <c r="A2328" s="2" t="s">
        <v>10334</v>
      </c>
      <c r="B2328" s="2" t="s">
        <v>5357</v>
      </c>
      <c r="C2328" s="2" t="s">
        <v>10339</v>
      </c>
      <c r="D2328" s="3">
        <v>92736</v>
      </c>
      <c r="E2328" s="3">
        <v>92736</v>
      </c>
      <c r="F2328" s="2" t="s">
        <v>16</v>
      </c>
      <c r="G2328" s="2" t="s">
        <v>10340</v>
      </c>
      <c r="H2328" s="3">
        <v>0</v>
      </c>
      <c r="I2328" s="2" t="s">
        <v>409</v>
      </c>
      <c r="J2328" s="2" t="s">
        <v>10341</v>
      </c>
      <c r="K2328" s="2" t="s">
        <v>16</v>
      </c>
      <c r="L2328" s="2" t="s">
        <v>10342</v>
      </c>
      <c r="M2328" s="4">
        <v>27560.26</v>
      </c>
      <c r="N2328" t="b">
        <f>OR(LEFT(B2328,3)="frg",(_xlfn.XMATCH(B2328,ZZZ_Part_Id_[[#All],[FGCODE]])))</f>
        <v>1</v>
      </c>
    </row>
    <row r="2329" spans="1:14" x14ac:dyDescent="0.3">
      <c r="A2329" s="2" t="s">
        <v>10343</v>
      </c>
      <c r="B2329" s="2" t="s">
        <v>14</v>
      </c>
      <c r="C2329" s="2" t="s">
        <v>10344</v>
      </c>
      <c r="D2329" s="3">
        <v>4</v>
      </c>
      <c r="E2329" s="3">
        <v>4</v>
      </c>
      <c r="F2329" s="2" t="s">
        <v>16</v>
      </c>
      <c r="G2329" s="2" t="s">
        <v>10345</v>
      </c>
      <c r="H2329" s="3">
        <v>0</v>
      </c>
      <c r="I2329" s="2" t="s">
        <v>18</v>
      </c>
      <c r="J2329" s="2" t="s">
        <v>10346</v>
      </c>
      <c r="K2329" s="2" t="s">
        <v>16</v>
      </c>
      <c r="L2329" s="2" t="s">
        <v>10347</v>
      </c>
      <c r="M2329" s="4">
        <v>0.31</v>
      </c>
      <c r="N2329" t="e">
        <f>OR(LEFT(B2329,3)="frg",(_xlfn.XMATCH(B2329,ZZZ_Part_Id_[[#All],[FGCODE]])))</f>
        <v>#N/A</v>
      </c>
    </row>
    <row r="2330" spans="1:14" x14ac:dyDescent="0.3">
      <c r="A2330" s="2" t="s">
        <v>10343</v>
      </c>
      <c r="B2330" s="2" t="s">
        <v>65</v>
      </c>
      <c r="C2330" s="2" t="s">
        <v>10348</v>
      </c>
      <c r="D2330" s="5">
        <v>-213</v>
      </c>
      <c r="E2330" s="5">
        <v>-213</v>
      </c>
      <c r="F2330" s="2" t="s">
        <v>23</v>
      </c>
      <c r="G2330" s="2" t="s">
        <v>10349</v>
      </c>
      <c r="H2330" s="3">
        <v>0</v>
      </c>
      <c r="I2330" s="2" t="s">
        <v>18</v>
      </c>
      <c r="J2330" s="2" t="s">
        <v>10350</v>
      </c>
      <c r="K2330" s="2" t="s">
        <v>23</v>
      </c>
      <c r="L2330" s="2" t="s">
        <v>10351</v>
      </c>
      <c r="M2330" s="6">
        <v>-547.75</v>
      </c>
      <c r="N2330" t="b">
        <f>OR(LEFT(B2330,3)="frg",(_xlfn.XMATCH(B2330,ZZZ_Part_Id_[[#All],[FGCODE]])))</f>
        <v>1</v>
      </c>
    </row>
    <row r="2331" spans="1:14" x14ac:dyDescent="0.3">
      <c r="A2331" s="2" t="s">
        <v>10343</v>
      </c>
      <c r="B2331" s="2" t="s">
        <v>10352</v>
      </c>
      <c r="C2331" s="2" t="s">
        <v>10353</v>
      </c>
      <c r="D2331" s="3">
        <v>73450</v>
      </c>
      <c r="E2331" s="3">
        <v>73450</v>
      </c>
      <c r="F2331" s="2" t="s">
        <v>16</v>
      </c>
      <c r="G2331" s="2" t="s">
        <v>10354</v>
      </c>
      <c r="H2331" s="3">
        <v>0</v>
      </c>
      <c r="I2331" s="2" t="s">
        <v>18</v>
      </c>
      <c r="J2331" s="2" t="s">
        <v>10355</v>
      </c>
      <c r="K2331" s="2" t="s">
        <v>16</v>
      </c>
      <c r="L2331" s="2" t="s">
        <v>10356</v>
      </c>
      <c r="M2331" s="4">
        <v>7114.36</v>
      </c>
      <c r="N2331" t="b">
        <f>OR(LEFT(B2331,3)="frg",(_xlfn.XMATCH(B2331,ZZZ_Part_Id_[[#All],[FGCODE]])))</f>
        <v>1</v>
      </c>
    </row>
    <row r="2332" spans="1:14" x14ac:dyDescent="0.3">
      <c r="A2332" s="2" t="s">
        <v>10357</v>
      </c>
      <c r="B2332" s="2" t="s">
        <v>14</v>
      </c>
      <c r="C2332" s="2" t="s">
        <v>10358</v>
      </c>
      <c r="D2332" s="3">
        <v>35</v>
      </c>
      <c r="E2332" s="3">
        <v>35</v>
      </c>
      <c r="F2332" s="2" t="s">
        <v>16</v>
      </c>
      <c r="G2332" s="2" t="s">
        <v>10359</v>
      </c>
      <c r="H2332" s="3">
        <v>0</v>
      </c>
      <c r="I2332" s="2" t="s">
        <v>409</v>
      </c>
      <c r="J2332" s="2" t="s">
        <v>10360</v>
      </c>
      <c r="K2332" s="2" t="s">
        <v>16</v>
      </c>
      <c r="L2332" s="2" t="s">
        <v>10361</v>
      </c>
      <c r="M2332" s="4">
        <v>2.69</v>
      </c>
      <c r="N2332" t="e">
        <f>OR(LEFT(B2332,3)="frg",(_xlfn.XMATCH(B2332,ZZZ_Part_Id_[[#All],[FGCODE]])))</f>
        <v>#N/A</v>
      </c>
    </row>
    <row r="2333" spans="1:14" x14ac:dyDescent="0.3">
      <c r="A2333" s="2" t="s">
        <v>10357</v>
      </c>
      <c r="B2333" s="2" t="s">
        <v>5357</v>
      </c>
      <c r="C2333" s="2" t="s">
        <v>10362</v>
      </c>
      <c r="D2333" s="3">
        <v>225216</v>
      </c>
      <c r="E2333" s="3">
        <v>225216</v>
      </c>
      <c r="F2333" s="2" t="s">
        <v>16</v>
      </c>
      <c r="G2333" s="2" t="s">
        <v>10363</v>
      </c>
      <c r="H2333" s="3">
        <v>0</v>
      </c>
      <c r="I2333" s="2" t="s">
        <v>409</v>
      </c>
      <c r="J2333" s="2" t="s">
        <v>10364</v>
      </c>
      <c r="K2333" s="2" t="s">
        <v>16</v>
      </c>
      <c r="L2333" s="2" t="s">
        <v>10365</v>
      </c>
      <c r="M2333" s="4">
        <v>66932.06</v>
      </c>
      <c r="N2333" t="b">
        <f>OR(LEFT(B2333,3)="frg",(_xlfn.XMATCH(B2333,ZZZ_Part_Id_[[#All],[FGCODE]])))</f>
        <v>1</v>
      </c>
    </row>
    <row r="2334" spans="1:14" x14ac:dyDescent="0.3">
      <c r="A2334" s="2" t="s">
        <v>10366</v>
      </c>
      <c r="B2334" s="2" t="s">
        <v>14</v>
      </c>
      <c r="C2334" s="2" t="s">
        <v>10367</v>
      </c>
      <c r="D2334" s="3">
        <v>8.8889999999999993</v>
      </c>
      <c r="E2334" s="3">
        <v>8.8889999999999993</v>
      </c>
      <c r="F2334" s="2" t="s">
        <v>16</v>
      </c>
      <c r="G2334" s="2" t="s">
        <v>10368</v>
      </c>
      <c r="H2334" s="3">
        <v>0</v>
      </c>
      <c r="I2334" s="2" t="s">
        <v>409</v>
      </c>
      <c r="J2334" s="2" t="s">
        <v>10369</v>
      </c>
      <c r="K2334" s="2" t="s">
        <v>16</v>
      </c>
      <c r="L2334" s="2" t="s">
        <v>10370</v>
      </c>
      <c r="M2334" s="4">
        <v>0.68</v>
      </c>
      <c r="N2334" t="e">
        <f>OR(LEFT(B2334,3)="frg",(_xlfn.XMATCH(B2334,ZZZ_Part_Id_[[#All],[FGCODE]])))</f>
        <v>#N/A</v>
      </c>
    </row>
    <row r="2335" spans="1:14" x14ac:dyDescent="0.3">
      <c r="A2335" s="2" t="s">
        <v>10366</v>
      </c>
      <c r="B2335" s="2" t="s">
        <v>65</v>
      </c>
      <c r="C2335" s="2" t="s">
        <v>10371</v>
      </c>
      <c r="D2335" s="5">
        <v>-264.88799999999998</v>
      </c>
      <c r="E2335" s="5">
        <v>-264.88799999999998</v>
      </c>
      <c r="F2335" s="2" t="s">
        <v>23</v>
      </c>
      <c r="G2335" s="2" t="s">
        <v>10372</v>
      </c>
      <c r="H2335" s="3">
        <v>0</v>
      </c>
      <c r="I2335" s="2" t="s">
        <v>409</v>
      </c>
      <c r="J2335" s="2" t="s">
        <v>10373</v>
      </c>
      <c r="K2335" s="2" t="s">
        <v>23</v>
      </c>
      <c r="L2335" s="2" t="s">
        <v>10374</v>
      </c>
      <c r="M2335" s="6">
        <v>-681.19</v>
      </c>
      <c r="N2335" t="b">
        <f>OR(LEFT(B2335,3)="frg",(_xlfn.XMATCH(B2335,ZZZ_Part_Id_[[#All],[FGCODE]])))</f>
        <v>1</v>
      </c>
    </row>
    <row r="2336" spans="1:14" x14ac:dyDescent="0.3">
      <c r="A2336" s="2" t="s">
        <v>10366</v>
      </c>
      <c r="B2336" s="2" t="s">
        <v>5347</v>
      </c>
      <c r="C2336" s="2" t="s">
        <v>10375</v>
      </c>
      <c r="D2336" s="3">
        <v>59616</v>
      </c>
      <c r="E2336" s="3">
        <v>0</v>
      </c>
      <c r="F2336" s="2" t="s">
        <v>16</v>
      </c>
      <c r="G2336" s="2" t="s">
        <v>10376</v>
      </c>
      <c r="H2336" s="3">
        <v>0</v>
      </c>
      <c r="I2336" s="2" t="s">
        <v>409</v>
      </c>
      <c r="J2336" s="2" t="s">
        <v>10377</v>
      </c>
      <c r="K2336" s="2" t="s">
        <v>16</v>
      </c>
      <c r="L2336" s="2" t="s">
        <v>10378</v>
      </c>
      <c r="M2336" s="4">
        <v>0</v>
      </c>
      <c r="N2336" t="b">
        <f>OR(LEFT(B2336,3)="frg",(_xlfn.XMATCH(B2336,ZZZ_Part_Id_[[#All],[FGCODE]])))</f>
        <v>1</v>
      </c>
    </row>
    <row r="2337" spans="1:14" x14ac:dyDescent="0.3">
      <c r="A2337" s="2" t="s">
        <v>10366</v>
      </c>
      <c r="B2337" s="2" t="s">
        <v>4791</v>
      </c>
      <c r="C2337" s="2" t="s">
        <v>10379</v>
      </c>
      <c r="D2337" s="3">
        <v>59616</v>
      </c>
      <c r="E2337" s="3">
        <v>59616</v>
      </c>
      <c r="F2337" s="2" t="s">
        <v>16</v>
      </c>
      <c r="G2337" s="2" t="s">
        <v>131</v>
      </c>
      <c r="H2337" s="3">
        <v>0</v>
      </c>
      <c r="I2337" s="2" t="s">
        <v>409</v>
      </c>
      <c r="J2337" s="2" t="s">
        <v>10380</v>
      </c>
      <c r="K2337" s="2" t="s">
        <v>16</v>
      </c>
      <c r="L2337" s="2" t="s">
        <v>10381</v>
      </c>
      <c r="M2337" s="4">
        <v>17505.63</v>
      </c>
      <c r="N2337" t="b">
        <f>OR(LEFT(B2337,3)="frg",(_xlfn.XMATCH(B2337,ZZZ_Part_Id_[[#All],[FGCODE]])))</f>
        <v>1</v>
      </c>
    </row>
    <row r="2338" spans="1:14" x14ac:dyDescent="0.3">
      <c r="A2338" s="2" t="s">
        <v>10382</v>
      </c>
      <c r="B2338" s="2" t="s">
        <v>14</v>
      </c>
      <c r="C2338" s="2" t="s">
        <v>10383</v>
      </c>
      <c r="D2338" s="3">
        <v>64</v>
      </c>
      <c r="E2338" s="3">
        <v>64</v>
      </c>
      <c r="F2338" s="2" t="s">
        <v>16</v>
      </c>
      <c r="G2338" s="2" t="s">
        <v>10384</v>
      </c>
      <c r="H2338" s="3">
        <v>0</v>
      </c>
      <c r="I2338" s="2" t="s">
        <v>409</v>
      </c>
      <c r="J2338" s="2" t="s">
        <v>10385</v>
      </c>
      <c r="K2338" s="2" t="s">
        <v>16</v>
      </c>
      <c r="L2338" s="2" t="s">
        <v>10386</v>
      </c>
      <c r="M2338" s="4">
        <v>4.92</v>
      </c>
      <c r="N2338" t="e">
        <f>OR(LEFT(B2338,3)="frg",(_xlfn.XMATCH(B2338,ZZZ_Part_Id_[[#All],[FGCODE]])))</f>
        <v>#N/A</v>
      </c>
    </row>
    <row r="2339" spans="1:14" x14ac:dyDescent="0.3">
      <c r="A2339" s="2" t="s">
        <v>10382</v>
      </c>
      <c r="B2339" s="2" t="s">
        <v>5357</v>
      </c>
      <c r="C2339" s="2" t="s">
        <v>10387</v>
      </c>
      <c r="D2339" s="3">
        <v>317952</v>
      </c>
      <c r="E2339" s="3">
        <v>317952</v>
      </c>
      <c r="F2339" s="2" t="s">
        <v>16</v>
      </c>
      <c r="G2339" s="2" t="s">
        <v>10388</v>
      </c>
      <c r="H2339" s="3">
        <v>0</v>
      </c>
      <c r="I2339" s="2" t="s">
        <v>409</v>
      </c>
      <c r="J2339" s="2" t="s">
        <v>10389</v>
      </c>
      <c r="K2339" s="2" t="s">
        <v>16</v>
      </c>
      <c r="L2339" s="2" t="s">
        <v>10390</v>
      </c>
      <c r="M2339" s="4">
        <v>94492.32</v>
      </c>
      <c r="N2339" t="b">
        <f>OR(LEFT(B2339,3)="frg",(_xlfn.XMATCH(B2339,ZZZ_Part_Id_[[#All],[FGCODE]])))</f>
        <v>1</v>
      </c>
    </row>
    <row r="2340" spans="1:14" x14ac:dyDescent="0.3">
      <c r="A2340" s="2" t="s">
        <v>10391</v>
      </c>
      <c r="B2340" s="2" t="s">
        <v>14</v>
      </c>
      <c r="C2340" s="2" t="s">
        <v>10392</v>
      </c>
      <c r="D2340" s="3">
        <v>4</v>
      </c>
      <c r="E2340" s="3">
        <v>4</v>
      </c>
      <c r="F2340" s="2" t="s">
        <v>16</v>
      </c>
      <c r="G2340" s="2" t="s">
        <v>10393</v>
      </c>
      <c r="H2340" s="3">
        <v>0</v>
      </c>
      <c r="I2340" s="2" t="s">
        <v>409</v>
      </c>
      <c r="J2340" s="2" t="s">
        <v>10394</v>
      </c>
      <c r="K2340" s="2" t="s">
        <v>16</v>
      </c>
      <c r="L2340" s="2" t="s">
        <v>10395</v>
      </c>
      <c r="M2340" s="4">
        <v>0.31</v>
      </c>
      <c r="N2340" t="e">
        <f>OR(LEFT(B2340,3)="frg",(_xlfn.XMATCH(B2340,ZZZ_Part_Id_[[#All],[FGCODE]])))</f>
        <v>#N/A</v>
      </c>
    </row>
    <row r="2341" spans="1:14" x14ac:dyDescent="0.3">
      <c r="A2341" s="2" t="s">
        <v>10391</v>
      </c>
      <c r="B2341" s="2" t="s">
        <v>1667</v>
      </c>
      <c r="C2341" s="2" t="s">
        <v>10396</v>
      </c>
      <c r="D2341" s="3">
        <v>83520</v>
      </c>
      <c r="E2341" s="3">
        <v>83520</v>
      </c>
      <c r="F2341" s="2" t="s">
        <v>16</v>
      </c>
      <c r="G2341" s="2" t="s">
        <v>10397</v>
      </c>
      <c r="H2341" s="3">
        <v>0</v>
      </c>
      <c r="I2341" s="2" t="s">
        <v>409</v>
      </c>
      <c r="J2341" s="2" t="s">
        <v>10398</v>
      </c>
      <c r="K2341" s="2" t="s">
        <v>16</v>
      </c>
      <c r="L2341" s="2" t="s">
        <v>10399</v>
      </c>
      <c r="M2341" s="4">
        <v>6794.36</v>
      </c>
      <c r="N2341" t="b">
        <f>OR(LEFT(B2341,3)="frg",(_xlfn.XMATCH(B2341,ZZZ_Part_Id_[[#All],[FGCODE]])))</f>
        <v>1</v>
      </c>
    </row>
    <row r="2342" spans="1:14" x14ac:dyDescent="0.3">
      <c r="A2342" s="2" t="s">
        <v>10400</v>
      </c>
      <c r="B2342" s="2" t="s">
        <v>5357</v>
      </c>
      <c r="C2342" s="2" t="s">
        <v>10401</v>
      </c>
      <c r="D2342" s="3">
        <v>6624</v>
      </c>
      <c r="E2342" s="3">
        <v>6624</v>
      </c>
      <c r="F2342" s="2" t="s">
        <v>16</v>
      </c>
      <c r="G2342" s="2" t="s">
        <v>10402</v>
      </c>
      <c r="H2342" s="3">
        <v>0</v>
      </c>
      <c r="I2342" s="2" t="s">
        <v>18</v>
      </c>
      <c r="J2342" s="2" t="s">
        <v>10403</v>
      </c>
      <c r="K2342" s="2" t="s">
        <v>16</v>
      </c>
      <c r="L2342" s="2" t="s">
        <v>10404</v>
      </c>
      <c r="M2342" s="4">
        <v>1968.59</v>
      </c>
      <c r="N2342" t="b">
        <f>OR(LEFT(B2342,3)="frg",(_xlfn.XMATCH(B2342,ZZZ_Part_Id_[[#All],[FGCODE]])))</f>
        <v>1</v>
      </c>
    </row>
    <row r="2343" spans="1:14" x14ac:dyDescent="0.3">
      <c r="A2343" s="2" t="s">
        <v>10405</v>
      </c>
      <c r="B2343" s="2" t="s">
        <v>5357</v>
      </c>
      <c r="C2343" s="2" t="s">
        <v>10406</v>
      </c>
      <c r="D2343" s="3">
        <v>6624</v>
      </c>
      <c r="E2343" s="3">
        <v>6624</v>
      </c>
      <c r="F2343" s="2" t="s">
        <v>16</v>
      </c>
      <c r="G2343" s="2" t="s">
        <v>10407</v>
      </c>
      <c r="H2343" s="3">
        <v>0</v>
      </c>
      <c r="I2343" s="2" t="s">
        <v>18</v>
      </c>
      <c r="J2343" s="2" t="s">
        <v>10408</v>
      </c>
      <c r="K2343" s="2" t="s">
        <v>16</v>
      </c>
      <c r="L2343" s="2" t="s">
        <v>10409</v>
      </c>
      <c r="M2343" s="4">
        <v>1968.59</v>
      </c>
      <c r="N2343" t="b">
        <f>OR(LEFT(B2343,3)="frg",(_xlfn.XMATCH(B2343,ZZZ_Part_Id_[[#All],[FGCODE]])))</f>
        <v>1</v>
      </c>
    </row>
    <row r="2344" spans="1:14" x14ac:dyDescent="0.3">
      <c r="A2344" s="2" t="s">
        <v>10410</v>
      </c>
      <c r="B2344" s="2" t="s">
        <v>1170</v>
      </c>
      <c r="C2344" s="2" t="s">
        <v>10411</v>
      </c>
      <c r="D2344" s="3">
        <v>24000</v>
      </c>
      <c r="E2344" s="3">
        <v>24000</v>
      </c>
      <c r="F2344" s="2" t="s">
        <v>16</v>
      </c>
      <c r="G2344" s="2" t="s">
        <v>10412</v>
      </c>
      <c r="H2344" s="3">
        <v>0</v>
      </c>
      <c r="I2344" s="2" t="s">
        <v>409</v>
      </c>
      <c r="J2344" s="2" t="s">
        <v>10413</v>
      </c>
      <c r="K2344" s="2" t="s">
        <v>16</v>
      </c>
      <c r="L2344" s="2" t="s">
        <v>10414</v>
      </c>
      <c r="M2344" s="4">
        <v>8302.7999999999993</v>
      </c>
      <c r="N2344" t="b">
        <f>OR(LEFT(B2344,3)="frg",(_xlfn.XMATCH(B2344,ZZZ_Part_Id_[[#All],[FGCODE]])))</f>
        <v>1</v>
      </c>
    </row>
    <row r="2345" spans="1:14" x14ac:dyDescent="0.3">
      <c r="A2345" s="2" t="s">
        <v>10415</v>
      </c>
      <c r="B2345" s="2" t="s">
        <v>4237</v>
      </c>
      <c r="C2345" s="2" t="s">
        <v>10416</v>
      </c>
      <c r="D2345" s="3">
        <v>12172</v>
      </c>
      <c r="E2345" s="3">
        <v>12172</v>
      </c>
      <c r="F2345" s="2" t="s">
        <v>16</v>
      </c>
      <c r="G2345" s="2" t="s">
        <v>10417</v>
      </c>
      <c r="H2345" s="3">
        <v>0</v>
      </c>
      <c r="I2345" s="2" t="s">
        <v>18</v>
      </c>
      <c r="J2345" s="2" t="s">
        <v>10418</v>
      </c>
      <c r="K2345" s="2" t="s">
        <v>16</v>
      </c>
      <c r="L2345" s="2" t="s">
        <v>10419</v>
      </c>
      <c r="M2345" s="4">
        <v>3026.69</v>
      </c>
      <c r="N2345" t="b">
        <f>OR(LEFT(B2345,3)="frg",(_xlfn.XMATCH(B2345,ZZZ_Part_Id_[[#All],[FGCODE]])))</f>
        <v>1</v>
      </c>
    </row>
    <row r="2346" spans="1:14" x14ac:dyDescent="0.3">
      <c r="A2346" s="2" t="s">
        <v>10420</v>
      </c>
      <c r="B2346" s="2" t="s">
        <v>14</v>
      </c>
      <c r="C2346" s="2" t="s">
        <v>10421</v>
      </c>
      <c r="D2346" s="3">
        <v>4</v>
      </c>
      <c r="E2346" s="3">
        <v>4</v>
      </c>
      <c r="F2346" s="2" t="s">
        <v>16</v>
      </c>
      <c r="G2346" s="2" t="s">
        <v>10422</v>
      </c>
      <c r="H2346" s="3">
        <v>0</v>
      </c>
      <c r="I2346" s="2" t="s">
        <v>409</v>
      </c>
      <c r="J2346" s="2" t="s">
        <v>10423</v>
      </c>
      <c r="K2346" s="2" t="s">
        <v>16</v>
      </c>
      <c r="L2346" s="2" t="s">
        <v>10424</v>
      </c>
      <c r="M2346" s="4">
        <v>0.31</v>
      </c>
      <c r="N2346" t="e">
        <f>OR(LEFT(B2346,3)="frg",(_xlfn.XMATCH(B2346,ZZZ_Part_Id_[[#All],[FGCODE]])))</f>
        <v>#N/A</v>
      </c>
    </row>
    <row r="2347" spans="1:14" x14ac:dyDescent="0.3">
      <c r="A2347" s="2" t="s">
        <v>10420</v>
      </c>
      <c r="B2347" s="2" t="s">
        <v>86</v>
      </c>
      <c r="C2347" s="2" t="s">
        <v>10425</v>
      </c>
      <c r="D2347" s="5">
        <v>-222</v>
      </c>
      <c r="E2347" s="5">
        <v>-222</v>
      </c>
      <c r="F2347" s="2" t="s">
        <v>23</v>
      </c>
      <c r="G2347" s="2" t="s">
        <v>10426</v>
      </c>
      <c r="H2347" s="3">
        <v>0</v>
      </c>
      <c r="I2347" s="2" t="s">
        <v>409</v>
      </c>
      <c r="J2347" s="2" t="s">
        <v>10427</v>
      </c>
      <c r="K2347" s="2" t="s">
        <v>23</v>
      </c>
      <c r="L2347" s="2" t="s">
        <v>10428</v>
      </c>
      <c r="M2347" s="6">
        <v>-581.15</v>
      </c>
      <c r="N2347" t="b">
        <f>OR(LEFT(B2347,3)="frg",(_xlfn.XMATCH(B2347,ZZZ_Part_Id_[[#All],[FGCODE]])))</f>
        <v>1</v>
      </c>
    </row>
    <row r="2348" spans="1:14" x14ac:dyDescent="0.3">
      <c r="A2348" s="2" t="s">
        <v>10420</v>
      </c>
      <c r="B2348" s="2" t="s">
        <v>797</v>
      </c>
      <c r="C2348" s="2" t="s">
        <v>10429</v>
      </c>
      <c r="D2348" s="3">
        <v>119520</v>
      </c>
      <c r="E2348" s="3">
        <v>119520</v>
      </c>
      <c r="F2348" s="2" t="s">
        <v>16</v>
      </c>
      <c r="G2348" s="2" t="s">
        <v>10430</v>
      </c>
      <c r="H2348" s="3">
        <v>0</v>
      </c>
      <c r="I2348" s="2" t="s">
        <v>409</v>
      </c>
      <c r="J2348" s="2" t="s">
        <v>10431</v>
      </c>
      <c r="K2348" s="2" t="s">
        <v>16</v>
      </c>
      <c r="L2348" s="2" t="s">
        <v>10432</v>
      </c>
      <c r="M2348" s="4">
        <v>6458.88</v>
      </c>
      <c r="N2348" t="b">
        <f>OR(LEFT(B2348,3)="frg",(_xlfn.XMATCH(B2348,ZZZ_Part_Id_[[#All],[FGCODE]])))</f>
        <v>1</v>
      </c>
    </row>
    <row r="2349" spans="1:14" x14ac:dyDescent="0.3">
      <c r="A2349" s="2" t="s">
        <v>10433</v>
      </c>
      <c r="B2349" s="2" t="s">
        <v>5477</v>
      </c>
      <c r="C2349" s="2" t="s">
        <v>10434</v>
      </c>
      <c r="D2349" s="3">
        <v>6624</v>
      </c>
      <c r="E2349" s="3">
        <v>6624</v>
      </c>
      <c r="F2349" s="2" t="s">
        <v>16</v>
      </c>
      <c r="G2349" s="2" t="s">
        <v>10435</v>
      </c>
      <c r="H2349" s="3">
        <v>0</v>
      </c>
      <c r="I2349" s="2" t="s">
        <v>18</v>
      </c>
      <c r="J2349" s="2" t="s">
        <v>10436</v>
      </c>
      <c r="K2349" s="2" t="s">
        <v>16</v>
      </c>
      <c r="L2349" s="2" t="s">
        <v>10437</v>
      </c>
      <c r="M2349" s="4">
        <v>1968.59</v>
      </c>
      <c r="N2349" t="b">
        <f>OR(LEFT(B2349,3)="frg",(_xlfn.XMATCH(B2349,ZZZ_Part_Id_[[#All],[FGCODE]])))</f>
        <v>1</v>
      </c>
    </row>
    <row r="2350" spans="1:14" x14ac:dyDescent="0.3">
      <c r="A2350" s="2" t="s">
        <v>10438</v>
      </c>
      <c r="B2350" s="2" t="s">
        <v>14</v>
      </c>
      <c r="C2350" s="2" t="s">
        <v>10439</v>
      </c>
      <c r="D2350" s="3">
        <v>4</v>
      </c>
      <c r="E2350" s="3">
        <v>4</v>
      </c>
      <c r="F2350" s="2" t="s">
        <v>16</v>
      </c>
      <c r="G2350" s="2" t="s">
        <v>10440</v>
      </c>
      <c r="H2350" s="3">
        <v>0</v>
      </c>
      <c r="I2350" s="2" t="s">
        <v>409</v>
      </c>
      <c r="J2350" s="2" t="s">
        <v>10441</v>
      </c>
      <c r="K2350" s="2" t="s">
        <v>16</v>
      </c>
      <c r="L2350" s="2" t="s">
        <v>10442</v>
      </c>
      <c r="M2350" s="4">
        <v>0.31</v>
      </c>
      <c r="N2350" t="e">
        <f>OR(LEFT(B2350,3)="frg",(_xlfn.XMATCH(B2350,ZZZ_Part_Id_[[#All],[FGCODE]])))</f>
        <v>#N/A</v>
      </c>
    </row>
    <row r="2351" spans="1:14" x14ac:dyDescent="0.3">
      <c r="A2351" s="2" t="s">
        <v>10438</v>
      </c>
      <c r="B2351" s="2" t="s">
        <v>3028</v>
      </c>
      <c r="C2351" s="2" t="s">
        <v>10443</v>
      </c>
      <c r="D2351" s="3">
        <v>50760</v>
      </c>
      <c r="E2351" s="3">
        <v>50760</v>
      </c>
      <c r="F2351" s="2" t="s">
        <v>16</v>
      </c>
      <c r="G2351" s="2" t="s">
        <v>10444</v>
      </c>
      <c r="H2351" s="3">
        <v>0</v>
      </c>
      <c r="I2351" s="2" t="s">
        <v>409</v>
      </c>
      <c r="J2351" s="2" t="s">
        <v>10445</v>
      </c>
      <c r="K2351" s="2" t="s">
        <v>16</v>
      </c>
      <c r="L2351" s="2" t="s">
        <v>10446</v>
      </c>
      <c r="M2351" s="4">
        <v>3327.82</v>
      </c>
      <c r="N2351" t="b">
        <f>OR(LEFT(B2351,3)="frg",(_xlfn.XMATCH(B2351,ZZZ_Part_Id_[[#All],[FGCODE]])))</f>
        <v>1</v>
      </c>
    </row>
    <row r="2352" spans="1:14" x14ac:dyDescent="0.3">
      <c r="A2352" s="2" t="s">
        <v>10447</v>
      </c>
      <c r="B2352" s="2" t="s">
        <v>14</v>
      </c>
      <c r="C2352" s="2" t="s">
        <v>10448</v>
      </c>
      <c r="D2352" s="3">
        <v>16</v>
      </c>
      <c r="E2352" s="3">
        <v>16</v>
      </c>
      <c r="F2352" s="2" t="s">
        <v>16</v>
      </c>
      <c r="G2352" s="2" t="s">
        <v>10449</v>
      </c>
      <c r="H2352" s="3">
        <v>0</v>
      </c>
      <c r="I2352" s="2" t="s">
        <v>409</v>
      </c>
      <c r="J2352" s="2" t="s">
        <v>10450</v>
      </c>
      <c r="K2352" s="2" t="s">
        <v>16</v>
      </c>
      <c r="L2352" s="2" t="s">
        <v>10451</v>
      </c>
      <c r="M2352" s="4">
        <v>1.23</v>
      </c>
      <c r="N2352" t="e">
        <f>OR(LEFT(B2352,3)="frg",(_xlfn.XMATCH(B2352,ZZZ_Part_Id_[[#All],[FGCODE]])))</f>
        <v>#N/A</v>
      </c>
    </row>
    <row r="2353" spans="1:14" x14ac:dyDescent="0.3">
      <c r="A2353" s="2" t="s">
        <v>10447</v>
      </c>
      <c r="B2353" s="2" t="s">
        <v>86</v>
      </c>
      <c r="C2353" s="2" t="s">
        <v>10452</v>
      </c>
      <c r="D2353" s="5">
        <v>-238</v>
      </c>
      <c r="E2353" s="5">
        <v>-238</v>
      </c>
      <c r="F2353" s="2" t="s">
        <v>23</v>
      </c>
      <c r="G2353" s="2" t="s">
        <v>10453</v>
      </c>
      <c r="H2353" s="3">
        <v>0</v>
      </c>
      <c r="I2353" s="2" t="s">
        <v>409</v>
      </c>
      <c r="J2353" s="2" t="s">
        <v>10454</v>
      </c>
      <c r="K2353" s="2" t="s">
        <v>23</v>
      </c>
      <c r="L2353" s="2" t="s">
        <v>10455</v>
      </c>
      <c r="M2353" s="6">
        <v>-623.04</v>
      </c>
      <c r="N2353" t="b">
        <f>OR(LEFT(B2353,3)="frg",(_xlfn.XMATCH(B2353,ZZZ_Part_Id_[[#All],[FGCODE]])))</f>
        <v>1</v>
      </c>
    </row>
    <row r="2354" spans="1:14" x14ac:dyDescent="0.3">
      <c r="A2354" s="2" t="s">
        <v>10447</v>
      </c>
      <c r="B2354" s="2" t="s">
        <v>76</v>
      </c>
      <c r="C2354" s="2" t="s">
        <v>10456</v>
      </c>
      <c r="D2354" s="3">
        <v>431460</v>
      </c>
      <c r="E2354" s="3">
        <v>431460</v>
      </c>
      <c r="F2354" s="2" t="s">
        <v>16</v>
      </c>
      <c r="G2354" s="2" t="s">
        <v>10457</v>
      </c>
      <c r="H2354" s="3">
        <v>0</v>
      </c>
      <c r="I2354" s="2" t="s">
        <v>409</v>
      </c>
      <c r="J2354" s="2" t="s">
        <v>10458</v>
      </c>
      <c r="K2354" s="2" t="s">
        <v>16</v>
      </c>
      <c r="L2354" s="2" t="s">
        <v>10459</v>
      </c>
      <c r="M2354" s="4">
        <v>28277.95</v>
      </c>
      <c r="N2354" t="b">
        <f>OR(LEFT(B2354,3)="frg",(_xlfn.XMATCH(B2354,ZZZ_Part_Id_[[#All],[FGCODE]])))</f>
        <v>1</v>
      </c>
    </row>
    <row r="2355" spans="1:14" x14ac:dyDescent="0.3">
      <c r="A2355" s="2" t="s">
        <v>10460</v>
      </c>
      <c r="B2355" s="2" t="s">
        <v>14</v>
      </c>
      <c r="C2355" s="2" t="s">
        <v>10461</v>
      </c>
      <c r="D2355" s="3">
        <v>10</v>
      </c>
      <c r="E2355" s="3">
        <v>10</v>
      </c>
      <c r="F2355" s="2" t="s">
        <v>16</v>
      </c>
      <c r="G2355" s="2" t="s">
        <v>10462</v>
      </c>
      <c r="H2355" s="3">
        <v>0</v>
      </c>
      <c r="I2355" s="2" t="s">
        <v>409</v>
      </c>
      <c r="J2355" s="2" t="s">
        <v>10463</v>
      </c>
      <c r="K2355" s="2" t="s">
        <v>16</v>
      </c>
      <c r="L2355" s="2" t="s">
        <v>10464</v>
      </c>
      <c r="M2355" s="4">
        <v>0.77</v>
      </c>
      <c r="N2355" t="e">
        <f>OR(LEFT(B2355,3)="frg",(_xlfn.XMATCH(B2355,ZZZ_Part_Id_[[#All],[FGCODE]])))</f>
        <v>#N/A</v>
      </c>
    </row>
    <row r="2356" spans="1:14" x14ac:dyDescent="0.3">
      <c r="A2356" s="2" t="s">
        <v>10460</v>
      </c>
      <c r="B2356" s="2" t="s">
        <v>6182</v>
      </c>
      <c r="C2356" s="2" t="s">
        <v>10465</v>
      </c>
      <c r="D2356" s="3">
        <v>239040</v>
      </c>
      <c r="E2356" s="3">
        <v>239040</v>
      </c>
      <c r="F2356" s="2" t="s">
        <v>16</v>
      </c>
      <c r="G2356" s="2" t="s">
        <v>10466</v>
      </c>
      <c r="H2356" s="3">
        <v>0</v>
      </c>
      <c r="I2356" s="2" t="s">
        <v>409</v>
      </c>
      <c r="J2356" s="2" t="s">
        <v>10467</v>
      </c>
      <c r="K2356" s="2" t="s">
        <v>16</v>
      </c>
      <c r="L2356" s="2" t="s">
        <v>10468</v>
      </c>
      <c r="M2356" s="4">
        <v>13510.56</v>
      </c>
      <c r="N2356" t="b">
        <f>OR(LEFT(B2356,3)="frg",(_xlfn.XMATCH(B2356,ZZZ_Part_Id_[[#All],[FGCODE]])))</f>
        <v>1</v>
      </c>
    </row>
    <row r="2357" spans="1:14" x14ac:dyDescent="0.3">
      <c r="A2357" s="2" t="s">
        <v>10469</v>
      </c>
      <c r="B2357" s="2" t="s">
        <v>14</v>
      </c>
      <c r="C2357" s="2" t="s">
        <v>10470</v>
      </c>
      <c r="D2357" s="3">
        <v>10</v>
      </c>
      <c r="E2357" s="3">
        <v>10</v>
      </c>
      <c r="F2357" s="2" t="s">
        <v>16</v>
      </c>
      <c r="G2357" s="2" t="s">
        <v>10471</v>
      </c>
      <c r="H2357" s="3">
        <v>0</v>
      </c>
      <c r="I2357" s="2" t="s">
        <v>409</v>
      </c>
      <c r="J2357" s="2" t="s">
        <v>10472</v>
      </c>
      <c r="K2357" s="2" t="s">
        <v>16</v>
      </c>
      <c r="L2357" s="2" t="s">
        <v>10473</v>
      </c>
      <c r="M2357" s="4">
        <v>0.77</v>
      </c>
      <c r="N2357" t="e">
        <f>OR(LEFT(B2357,3)="frg",(_xlfn.XMATCH(B2357,ZZZ_Part_Id_[[#All],[FGCODE]])))</f>
        <v>#N/A</v>
      </c>
    </row>
    <row r="2358" spans="1:14" x14ac:dyDescent="0.3">
      <c r="A2358" s="2" t="s">
        <v>10469</v>
      </c>
      <c r="B2358" s="2" t="s">
        <v>86</v>
      </c>
      <c r="C2358" s="2" t="s">
        <v>10474</v>
      </c>
      <c r="D2358" s="5">
        <v>-252</v>
      </c>
      <c r="E2358" s="5">
        <v>-252</v>
      </c>
      <c r="F2358" s="2" t="s">
        <v>23</v>
      </c>
      <c r="G2358" s="2" t="s">
        <v>10475</v>
      </c>
      <c r="H2358" s="3">
        <v>0</v>
      </c>
      <c r="I2358" s="2" t="s">
        <v>409</v>
      </c>
      <c r="J2358" s="2" t="s">
        <v>10476</v>
      </c>
      <c r="K2358" s="2" t="s">
        <v>23</v>
      </c>
      <c r="L2358" s="2" t="s">
        <v>10477</v>
      </c>
      <c r="M2358" s="6">
        <v>-659.69</v>
      </c>
      <c r="N2358" t="b">
        <f>OR(LEFT(B2358,3)="frg",(_xlfn.XMATCH(B2358,ZZZ_Part_Id_[[#All],[FGCODE]])))</f>
        <v>1</v>
      </c>
    </row>
    <row r="2359" spans="1:14" x14ac:dyDescent="0.3">
      <c r="A2359" s="2" t="s">
        <v>10469</v>
      </c>
      <c r="B2359" s="2" t="s">
        <v>4511</v>
      </c>
      <c r="C2359" s="2" t="s">
        <v>10478</v>
      </c>
      <c r="D2359" s="3">
        <v>302800</v>
      </c>
      <c r="E2359" s="3">
        <v>302800</v>
      </c>
      <c r="F2359" s="2" t="s">
        <v>16</v>
      </c>
      <c r="G2359" s="2" t="s">
        <v>10479</v>
      </c>
      <c r="H2359" s="3">
        <v>0</v>
      </c>
      <c r="I2359" s="2" t="s">
        <v>409</v>
      </c>
      <c r="J2359" s="2" t="s">
        <v>10480</v>
      </c>
      <c r="K2359" s="2" t="s">
        <v>16</v>
      </c>
      <c r="L2359" s="2" t="s">
        <v>10481</v>
      </c>
      <c r="M2359" s="4">
        <v>16744.8</v>
      </c>
      <c r="N2359" t="b">
        <f>OR(LEFT(B2359,3)="frg",(_xlfn.XMATCH(B2359,ZZZ_Part_Id_[[#All],[FGCODE]])))</f>
        <v>1</v>
      </c>
    </row>
    <row r="2360" spans="1:14" x14ac:dyDescent="0.3">
      <c r="A2360" s="2" t="s">
        <v>10482</v>
      </c>
      <c r="B2360" s="2" t="s">
        <v>37</v>
      </c>
      <c r="C2360" s="2" t="s">
        <v>10483</v>
      </c>
      <c r="D2360" s="3">
        <v>10</v>
      </c>
      <c r="E2360" s="3">
        <v>10</v>
      </c>
      <c r="F2360" s="2" t="s">
        <v>16</v>
      </c>
      <c r="G2360" s="2" t="s">
        <v>10484</v>
      </c>
      <c r="H2360" s="3">
        <v>0</v>
      </c>
      <c r="I2360" s="2" t="s">
        <v>18</v>
      </c>
      <c r="J2360" s="2" t="s">
        <v>10485</v>
      </c>
      <c r="K2360" s="2" t="s">
        <v>16</v>
      </c>
      <c r="L2360" s="2" t="s">
        <v>10486</v>
      </c>
      <c r="M2360" s="4">
        <v>160</v>
      </c>
      <c r="N2360" t="e">
        <f>OR(LEFT(B2360,3)="frg",(_xlfn.XMATCH(B2360,ZZZ_Part_Id_[[#All],[FGCODE]])))</f>
        <v>#N/A</v>
      </c>
    </row>
    <row r="2361" spans="1:14" x14ac:dyDescent="0.3">
      <c r="A2361" s="2" t="s">
        <v>10482</v>
      </c>
      <c r="B2361" s="2" t="s">
        <v>65</v>
      </c>
      <c r="C2361" s="2" t="s">
        <v>10487</v>
      </c>
      <c r="D2361" s="5">
        <v>-499</v>
      </c>
      <c r="E2361" s="5">
        <v>-499</v>
      </c>
      <c r="F2361" s="2" t="s">
        <v>23</v>
      </c>
      <c r="G2361" s="2" t="s">
        <v>10488</v>
      </c>
      <c r="H2361" s="3">
        <v>0</v>
      </c>
      <c r="I2361" s="2" t="s">
        <v>18</v>
      </c>
      <c r="J2361" s="2" t="s">
        <v>10489</v>
      </c>
      <c r="K2361" s="2" t="s">
        <v>23</v>
      </c>
      <c r="L2361" s="2" t="s">
        <v>10490</v>
      </c>
      <c r="M2361" s="6">
        <v>-1283.23</v>
      </c>
      <c r="N2361" t="b">
        <f>OR(LEFT(B2361,3)="frg",(_xlfn.XMATCH(B2361,ZZZ_Part_Id_[[#All],[FGCODE]])))</f>
        <v>1</v>
      </c>
    </row>
    <row r="2362" spans="1:14" x14ac:dyDescent="0.3">
      <c r="A2362" s="2" t="s">
        <v>10482</v>
      </c>
      <c r="B2362" s="2" t="s">
        <v>97</v>
      </c>
      <c r="C2362" s="2" t="s">
        <v>10491</v>
      </c>
      <c r="D2362" s="3">
        <v>67200</v>
      </c>
      <c r="E2362" s="3">
        <v>67200</v>
      </c>
      <c r="F2362" s="2" t="s">
        <v>16</v>
      </c>
      <c r="G2362" s="2" t="s">
        <v>10492</v>
      </c>
      <c r="H2362" s="3">
        <v>0</v>
      </c>
      <c r="I2362" s="2" t="s">
        <v>18</v>
      </c>
      <c r="J2362" s="2" t="s">
        <v>10493</v>
      </c>
      <c r="K2362" s="2" t="s">
        <v>16</v>
      </c>
      <c r="L2362" s="2" t="s">
        <v>10494</v>
      </c>
      <c r="M2362" s="4">
        <v>23046.240000000002</v>
      </c>
      <c r="N2362" t="b">
        <f>OR(LEFT(B2362,3)="frg",(_xlfn.XMATCH(B2362,ZZZ_Part_Id_[[#All],[FGCODE]])))</f>
        <v>1</v>
      </c>
    </row>
    <row r="2363" spans="1:14" x14ac:dyDescent="0.3">
      <c r="A2363" s="2" t="s">
        <v>10495</v>
      </c>
      <c r="B2363" s="2" t="s">
        <v>1113</v>
      </c>
      <c r="C2363" s="2" t="s">
        <v>10496</v>
      </c>
      <c r="D2363" s="3">
        <v>6624</v>
      </c>
      <c r="E2363" s="3">
        <v>6624</v>
      </c>
      <c r="F2363" s="2" t="s">
        <v>16</v>
      </c>
      <c r="G2363" s="2" t="s">
        <v>10497</v>
      </c>
      <c r="H2363" s="3">
        <v>0</v>
      </c>
      <c r="I2363" s="2" t="s">
        <v>18</v>
      </c>
      <c r="J2363" s="2" t="s">
        <v>10498</v>
      </c>
      <c r="K2363" s="2" t="s">
        <v>16</v>
      </c>
      <c r="L2363" s="2" t="s">
        <v>10499</v>
      </c>
      <c r="M2363" s="4">
        <v>1986.74</v>
      </c>
      <c r="N2363" t="b">
        <f>OR(LEFT(B2363,3)="frg",(_xlfn.XMATCH(B2363,ZZZ_Part_Id_[[#All],[FGCODE]])))</f>
        <v>1</v>
      </c>
    </row>
    <row r="2364" spans="1:14" x14ac:dyDescent="0.3">
      <c r="A2364" s="2" t="s">
        <v>10500</v>
      </c>
      <c r="B2364" s="2" t="s">
        <v>1113</v>
      </c>
      <c r="C2364" s="2" t="s">
        <v>10501</v>
      </c>
      <c r="D2364" s="3">
        <v>6624</v>
      </c>
      <c r="E2364" s="3">
        <v>6624</v>
      </c>
      <c r="F2364" s="2" t="s">
        <v>16</v>
      </c>
      <c r="G2364" s="2" t="s">
        <v>10502</v>
      </c>
      <c r="H2364" s="3">
        <v>0</v>
      </c>
      <c r="I2364" s="2" t="s">
        <v>18</v>
      </c>
      <c r="J2364" s="2" t="s">
        <v>10503</v>
      </c>
      <c r="K2364" s="2" t="s">
        <v>16</v>
      </c>
      <c r="L2364" s="2" t="s">
        <v>10504</v>
      </c>
      <c r="M2364" s="4">
        <v>1986.73</v>
      </c>
      <c r="N2364" t="b">
        <f>OR(LEFT(B2364,3)="frg",(_xlfn.XMATCH(B2364,ZZZ_Part_Id_[[#All],[FGCODE]])))</f>
        <v>1</v>
      </c>
    </row>
    <row r="2365" spans="1:14" x14ac:dyDescent="0.3">
      <c r="A2365" s="2" t="s">
        <v>10505</v>
      </c>
      <c r="B2365" s="2" t="s">
        <v>10506</v>
      </c>
      <c r="C2365" s="2" t="s">
        <v>10507</v>
      </c>
      <c r="D2365" s="3">
        <v>13248</v>
      </c>
      <c r="E2365" s="3">
        <v>13248</v>
      </c>
      <c r="F2365" s="2" t="s">
        <v>16</v>
      </c>
      <c r="G2365" s="2" t="s">
        <v>10508</v>
      </c>
      <c r="H2365" s="3">
        <v>0</v>
      </c>
      <c r="I2365" s="2" t="s">
        <v>18</v>
      </c>
      <c r="J2365" s="2" t="s">
        <v>10509</v>
      </c>
      <c r="K2365" s="2" t="s">
        <v>16</v>
      </c>
      <c r="L2365" s="2" t="s">
        <v>10510</v>
      </c>
      <c r="M2365" s="4">
        <v>4029.91</v>
      </c>
      <c r="N2365" t="b">
        <f>OR(LEFT(B2365,3)="frg",(_xlfn.XMATCH(B2365,ZZZ_Part_Id_[[#All],[FGCODE]])))</f>
        <v>1</v>
      </c>
    </row>
    <row r="2366" spans="1:14" x14ac:dyDescent="0.3">
      <c r="A2366" s="2" t="s">
        <v>10511</v>
      </c>
      <c r="B2366" s="2" t="s">
        <v>14</v>
      </c>
      <c r="C2366" s="2" t="s">
        <v>10512</v>
      </c>
      <c r="D2366" s="3">
        <v>140</v>
      </c>
      <c r="E2366" s="3">
        <v>140</v>
      </c>
      <c r="F2366" s="2" t="s">
        <v>16</v>
      </c>
      <c r="G2366" s="2" t="s">
        <v>10513</v>
      </c>
      <c r="H2366" s="3">
        <v>0</v>
      </c>
      <c r="I2366" s="2" t="s">
        <v>18</v>
      </c>
      <c r="J2366" s="2" t="s">
        <v>10514</v>
      </c>
      <c r="K2366" s="2" t="s">
        <v>16</v>
      </c>
      <c r="L2366" s="2" t="s">
        <v>10515</v>
      </c>
      <c r="M2366" s="4">
        <v>10.77</v>
      </c>
      <c r="N2366" t="e">
        <f>OR(LEFT(B2366,3)="frg",(_xlfn.XMATCH(B2366,ZZZ_Part_Id_[[#All],[FGCODE]])))</f>
        <v>#N/A</v>
      </c>
    </row>
    <row r="2367" spans="1:14" x14ac:dyDescent="0.3">
      <c r="A2367" s="2" t="s">
        <v>10511</v>
      </c>
      <c r="B2367" s="2" t="s">
        <v>740</v>
      </c>
      <c r="C2367" s="2" t="s">
        <v>10516</v>
      </c>
      <c r="D2367" s="3">
        <v>1019520</v>
      </c>
      <c r="E2367" s="3">
        <v>1019520</v>
      </c>
      <c r="F2367" s="2" t="s">
        <v>16</v>
      </c>
      <c r="G2367" s="2" t="s">
        <v>10517</v>
      </c>
      <c r="H2367" s="3">
        <v>0</v>
      </c>
      <c r="I2367" s="2" t="s">
        <v>18</v>
      </c>
      <c r="J2367" s="2" t="s">
        <v>10518</v>
      </c>
      <c r="K2367" s="2" t="s">
        <v>16</v>
      </c>
      <c r="L2367" s="2" t="s">
        <v>10519</v>
      </c>
      <c r="M2367" s="4">
        <v>202670.4</v>
      </c>
      <c r="N2367" t="b">
        <f>OR(LEFT(B2367,3)="frg",(_xlfn.XMATCH(B2367,ZZZ_Part_Id_[[#All],[FGCODE]])))</f>
        <v>1</v>
      </c>
    </row>
    <row r="2368" spans="1:14" x14ac:dyDescent="0.3">
      <c r="A2368" s="2" t="s">
        <v>10511</v>
      </c>
      <c r="B2368" s="2" t="s">
        <v>187</v>
      </c>
      <c r="C2368" s="2" t="s">
        <v>10520</v>
      </c>
      <c r="D2368" s="3">
        <v>95</v>
      </c>
      <c r="E2368" s="3">
        <v>95</v>
      </c>
      <c r="F2368" s="2" t="s">
        <v>16</v>
      </c>
      <c r="G2368" s="2" t="s">
        <v>131</v>
      </c>
      <c r="H2368" s="3">
        <v>0</v>
      </c>
      <c r="I2368" s="2" t="s">
        <v>18</v>
      </c>
      <c r="J2368" s="2" t="s">
        <v>10521</v>
      </c>
      <c r="K2368" s="2" t="s">
        <v>16</v>
      </c>
      <c r="L2368" s="2" t="s">
        <v>10522</v>
      </c>
      <c r="M2368" s="4">
        <v>420.1</v>
      </c>
      <c r="N2368" t="e">
        <f>OR(LEFT(B2368,3)="frg",(_xlfn.XMATCH(B2368,ZZZ_Part_Id_[[#All],[FGCODE]])))</f>
        <v>#N/A</v>
      </c>
    </row>
    <row r="2369" spans="1:14" x14ac:dyDescent="0.3">
      <c r="A2369" s="2" t="s">
        <v>10523</v>
      </c>
      <c r="B2369" s="2" t="s">
        <v>14</v>
      </c>
      <c r="C2369" s="2" t="s">
        <v>10524</v>
      </c>
      <c r="D2369" s="3">
        <v>14</v>
      </c>
      <c r="E2369" s="3">
        <v>14</v>
      </c>
      <c r="F2369" s="2" t="s">
        <v>16</v>
      </c>
      <c r="G2369" s="2" t="s">
        <v>10525</v>
      </c>
      <c r="H2369" s="3">
        <v>0</v>
      </c>
      <c r="I2369" s="2" t="s">
        <v>409</v>
      </c>
      <c r="J2369" s="2" t="s">
        <v>10526</v>
      </c>
      <c r="K2369" s="2" t="s">
        <v>16</v>
      </c>
      <c r="L2369" s="2" t="s">
        <v>10527</v>
      </c>
      <c r="M2369" s="4">
        <v>1.08</v>
      </c>
      <c r="N2369" t="e">
        <f>OR(LEFT(B2369,3)="frg",(_xlfn.XMATCH(B2369,ZZZ_Part_Id_[[#All],[FGCODE]])))</f>
        <v>#N/A</v>
      </c>
    </row>
    <row r="2370" spans="1:14" x14ac:dyDescent="0.3">
      <c r="A2370" s="2" t="s">
        <v>10523</v>
      </c>
      <c r="B2370" s="2" t="s">
        <v>86</v>
      </c>
      <c r="C2370" s="2" t="s">
        <v>10528</v>
      </c>
      <c r="D2370" s="5">
        <v>-238</v>
      </c>
      <c r="E2370" s="5">
        <v>-238</v>
      </c>
      <c r="F2370" s="2" t="s">
        <v>23</v>
      </c>
      <c r="G2370" s="2" t="s">
        <v>10529</v>
      </c>
      <c r="H2370" s="3">
        <v>0</v>
      </c>
      <c r="I2370" s="2" t="s">
        <v>409</v>
      </c>
      <c r="J2370" s="2" t="s">
        <v>10530</v>
      </c>
      <c r="K2370" s="2" t="s">
        <v>23</v>
      </c>
      <c r="L2370" s="2" t="s">
        <v>10531</v>
      </c>
      <c r="M2370" s="6">
        <v>-623.04</v>
      </c>
      <c r="N2370" t="b">
        <f>OR(LEFT(B2370,3)="frg",(_xlfn.XMATCH(B2370,ZZZ_Part_Id_[[#All],[FGCODE]])))</f>
        <v>1</v>
      </c>
    </row>
    <row r="2371" spans="1:14" x14ac:dyDescent="0.3">
      <c r="A2371" s="2" t="s">
        <v>10523</v>
      </c>
      <c r="B2371" s="2" t="s">
        <v>76</v>
      </c>
      <c r="C2371" s="2" t="s">
        <v>10532</v>
      </c>
      <c r="D2371" s="3">
        <v>329940</v>
      </c>
      <c r="E2371" s="3">
        <v>329940</v>
      </c>
      <c r="F2371" s="2" t="s">
        <v>16</v>
      </c>
      <c r="G2371" s="2" t="s">
        <v>10533</v>
      </c>
      <c r="H2371" s="3">
        <v>0</v>
      </c>
      <c r="I2371" s="2" t="s">
        <v>409</v>
      </c>
      <c r="J2371" s="2" t="s">
        <v>10534</v>
      </c>
      <c r="K2371" s="2" t="s">
        <v>16</v>
      </c>
      <c r="L2371" s="2" t="s">
        <v>10535</v>
      </c>
      <c r="M2371" s="4">
        <v>21624.32</v>
      </c>
      <c r="N2371" t="b">
        <f>OR(LEFT(B2371,3)="frg",(_xlfn.XMATCH(B2371,ZZZ_Part_Id_[[#All],[FGCODE]])))</f>
        <v>1</v>
      </c>
    </row>
    <row r="2372" spans="1:14" x14ac:dyDescent="0.3">
      <c r="A2372" s="2" t="s">
        <v>10523</v>
      </c>
      <c r="B2372" s="2" t="s">
        <v>37</v>
      </c>
      <c r="C2372" s="2" t="s">
        <v>10536</v>
      </c>
      <c r="D2372" s="3">
        <v>14</v>
      </c>
      <c r="E2372" s="3">
        <v>14</v>
      </c>
      <c r="F2372" s="2" t="s">
        <v>16</v>
      </c>
      <c r="G2372" s="2" t="s">
        <v>131</v>
      </c>
      <c r="H2372" s="3">
        <v>0</v>
      </c>
      <c r="I2372" s="2" t="s">
        <v>409</v>
      </c>
      <c r="J2372" s="2" t="s">
        <v>10537</v>
      </c>
      <c r="K2372" s="2" t="s">
        <v>16</v>
      </c>
      <c r="L2372" s="2" t="s">
        <v>10538</v>
      </c>
      <c r="M2372" s="4">
        <v>224</v>
      </c>
      <c r="N2372" t="e">
        <f>OR(LEFT(B2372,3)="frg",(_xlfn.XMATCH(B2372,ZZZ_Part_Id_[[#All],[FGCODE]])))</f>
        <v>#N/A</v>
      </c>
    </row>
    <row r="2373" spans="1:14" x14ac:dyDescent="0.3">
      <c r="A2373" s="2" t="s">
        <v>10539</v>
      </c>
      <c r="B2373" s="2" t="s">
        <v>86</v>
      </c>
      <c r="C2373" s="2" t="s">
        <v>10540</v>
      </c>
      <c r="D2373" s="5">
        <v>-268</v>
      </c>
      <c r="E2373" s="5">
        <v>-268</v>
      </c>
      <c r="F2373" s="2" t="s">
        <v>23</v>
      </c>
      <c r="G2373" s="2" t="s">
        <v>10541</v>
      </c>
      <c r="H2373" s="3">
        <v>0</v>
      </c>
      <c r="I2373" s="2" t="s">
        <v>18</v>
      </c>
      <c r="J2373" s="2" t="s">
        <v>10542</v>
      </c>
      <c r="K2373" s="2" t="s">
        <v>23</v>
      </c>
      <c r="L2373" s="2" t="s">
        <v>10543</v>
      </c>
      <c r="M2373" s="6">
        <v>-701.57</v>
      </c>
      <c r="N2373" t="b">
        <f>OR(LEFT(B2373,3)="frg",(_xlfn.XMATCH(B2373,ZZZ_Part_Id_[[#All],[FGCODE]])))</f>
        <v>1</v>
      </c>
    </row>
    <row r="2374" spans="1:14" x14ac:dyDescent="0.3">
      <c r="A2374" s="2" t="s">
        <v>10539</v>
      </c>
      <c r="B2374" s="2" t="s">
        <v>2840</v>
      </c>
      <c r="C2374" s="2" t="s">
        <v>10544</v>
      </c>
      <c r="D2374" s="3">
        <v>30240</v>
      </c>
      <c r="E2374" s="3">
        <v>30240</v>
      </c>
      <c r="F2374" s="2" t="s">
        <v>16</v>
      </c>
      <c r="G2374" s="2" t="s">
        <v>10545</v>
      </c>
      <c r="H2374" s="3">
        <v>0</v>
      </c>
      <c r="I2374" s="2" t="s">
        <v>18</v>
      </c>
      <c r="J2374" s="2" t="s">
        <v>10546</v>
      </c>
      <c r="K2374" s="2" t="s">
        <v>16</v>
      </c>
      <c r="L2374" s="2" t="s">
        <v>10547</v>
      </c>
      <c r="M2374" s="4">
        <v>5558.4</v>
      </c>
      <c r="N2374" t="b">
        <f>OR(LEFT(B2374,3)="frg",(_xlfn.XMATCH(B2374,ZZZ_Part_Id_[[#All],[FGCODE]])))</f>
        <v>1</v>
      </c>
    </row>
    <row r="2375" spans="1:14" x14ac:dyDescent="0.3">
      <c r="A2375" s="2" t="s">
        <v>10548</v>
      </c>
      <c r="B2375" s="2" t="s">
        <v>4988</v>
      </c>
      <c r="C2375" s="2" t="s">
        <v>10549</v>
      </c>
      <c r="D2375" s="3">
        <v>20160</v>
      </c>
      <c r="E2375" s="3">
        <v>20160</v>
      </c>
      <c r="F2375" s="2" t="s">
        <v>16</v>
      </c>
      <c r="G2375" s="2" t="s">
        <v>10550</v>
      </c>
      <c r="H2375" s="3">
        <v>0</v>
      </c>
      <c r="I2375" s="2" t="s">
        <v>18</v>
      </c>
      <c r="J2375" s="2" t="s">
        <v>10551</v>
      </c>
      <c r="K2375" s="2" t="s">
        <v>16</v>
      </c>
      <c r="L2375" s="2" t="s">
        <v>10552</v>
      </c>
      <c r="M2375" s="4">
        <v>3416.72</v>
      </c>
      <c r="N2375" t="b">
        <f>OR(LEFT(B2375,3)="frg",(_xlfn.XMATCH(B2375,ZZZ_Part_Id_[[#All],[FGCODE]])))</f>
        <v>1</v>
      </c>
    </row>
    <row r="2376" spans="1:14" x14ac:dyDescent="0.3">
      <c r="A2376" s="2" t="s">
        <v>10553</v>
      </c>
      <c r="B2376" s="2" t="s">
        <v>14</v>
      </c>
      <c r="C2376" s="2" t="s">
        <v>10554</v>
      </c>
      <c r="D2376" s="3">
        <v>14</v>
      </c>
      <c r="E2376" s="3">
        <v>14</v>
      </c>
      <c r="F2376" s="2" t="s">
        <v>16</v>
      </c>
      <c r="G2376" s="2" t="s">
        <v>10555</v>
      </c>
      <c r="H2376" s="3">
        <v>0</v>
      </c>
      <c r="I2376" s="2" t="s">
        <v>18</v>
      </c>
      <c r="J2376" s="2" t="s">
        <v>10556</v>
      </c>
      <c r="K2376" s="2" t="s">
        <v>16</v>
      </c>
      <c r="L2376" s="2" t="s">
        <v>10557</v>
      </c>
      <c r="M2376" s="4">
        <v>1.08</v>
      </c>
      <c r="N2376" t="e">
        <f>OR(LEFT(B2376,3)="frg",(_xlfn.XMATCH(B2376,ZZZ_Part_Id_[[#All],[FGCODE]])))</f>
        <v>#N/A</v>
      </c>
    </row>
    <row r="2377" spans="1:14" x14ac:dyDescent="0.3">
      <c r="A2377" s="2" t="s">
        <v>10553</v>
      </c>
      <c r="B2377" s="2" t="s">
        <v>65</v>
      </c>
      <c r="C2377" s="2" t="s">
        <v>10558</v>
      </c>
      <c r="D2377" s="5">
        <v>-140</v>
      </c>
      <c r="E2377" s="5">
        <v>-140</v>
      </c>
      <c r="F2377" s="2" t="s">
        <v>23</v>
      </c>
      <c r="G2377" s="2" t="s">
        <v>10559</v>
      </c>
      <c r="H2377" s="3">
        <v>0</v>
      </c>
      <c r="I2377" s="2" t="s">
        <v>18</v>
      </c>
      <c r="J2377" s="2" t="s">
        <v>10560</v>
      </c>
      <c r="K2377" s="2" t="s">
        <v>23</v>
      </c>
      <c r="L2377" s="2" t="s">
        <v>10561</v>
      </c>
      <c r="M2377" s="6">
        <v>-360.02</v>
      </c>
      <c r="N2377" t="b">
        <f>OR(LEFT(B2377,3)="frg",(_xlfn.XMATCH(B2377,ZZZ_Part_Id_[[#All],[FGCODE]])))</f>
        <v>1</v>
      </c>
    </row>
    <row r="2378" spans="1:14" x14ac:dyDescent="0.3">
      <c r="A2378" s="2" t="s">
        <v>10553</v>
      </c>
      <c r="B2378" s="2" t="s">
        <v>2611</v>
      </c>
      <c r="C2378" s="2" t="s">
        <v>10562</v>
      </c>
      <c r="D2378" s="3">
        <v>138528</v>
      </c>
      <c r="E2378" s="3">
        <v>138528</v>
      </c>
      <c r="F2378" s="2" t="s">
        <v>16</v>
      </c>
      <c r="G2378" s="2" t="s">
        <v>10563</v>
      </c>
      <c r="H2378" s="3">
        <v>0</v>
      </c>
      <c r="I2378" s="2" t="s">
        <v>18</v>
      </c>
      <c r="J2378" s="2" t="s">
        <v>10564</v>
      </c>
      <c r="K2378" s="2" t="s">
        <v>16</v>
      </c>
      <c r="L2378" s="2" t="s">
        <v>10565</v>
      </c>
      <c r="M2378" s="4">
        <v>12466.09</v>
      </c>
      <c r="N2378" t="b">
        <f>OR(LEFT(B2378,3)="frg",(_xlfn.XMATCH(B2378,ZZZ_Part_Id_[[#All],[FGCODE]])))</f>
        <v>1</v>
      </c>
    </row>
    <row r="2379" spans="1:14" x14ac:dyDescent="0.3">
      <c r="A2379" s="2" t="s">
        <v>10566</v>
      </c>
      <c r="B2379" s="2" t="s">
        <v>289</v>
      </c>
      <c r="C2379" s="2" t="s">
        <v>10567</v>
      </c>
      <c r="D2379" s="3">
        <v>45000</v>
      </c>
      <c r="E2379" s="3">
        <v>45000</v>
      </c>
      <c r="F2379" s="2" t="s">
        <v>16</v>
      </c>
      <c r="G2379" s="2" t="s">
        <v>10568</v>
      </c>
      <c r="H2379" s="3">
        <v>0</v>
      </c>
      <c r="I2379" s="2" t="s">
        <v>409</v>
      </c>
      <c r="J2379" s="2" t="s">
        <v>10569</v>
      </c>
      <c r="K2379" s="2" t="s">
        <v>16</v>
      </c>
      <c r="L2379" s="2" t="s">
        <v>10570</v>
      </c>
      <c r="M2379" s="4">
        <v>5129.55</v>
      </c>
      <c r="N2379" t="b">
        <f>OR(LEFT(B2379,3)="frg",(_xlfn.XMATCH(B2379,ZZZ_Part_Id_[[#All],[FGCODE]])))</f>
        <v>1</v>
      </c>
    </row>
    <row r="2380" spans="1:14" x14ac:dyDescent="0.3">
      <c r="A2380" s="2" t="s">
        <v>10571</v>
      </c>
      <c r="B2380" s="2" t="s">
        <v>86</v>
      </c>
      <c r="C2380" s="2" t="s">
        <v>10572</v>
      </c>
      <c r="D2380" s="5">
        <v>-140</v>
      </c>
      <c r="E2380" s="5">
        <v>-140</v>
      </c>
      <c r="F2380" s="2" t="s">
        <v>23</v>
      </c>
      <c r="G2380" s="2" t="s">
        <v>10573</v>
      </c>
      <c r="H2380" s="3">
        <v>0</v>
      </c>
      <c r="I2380" s="2" t="s">
        <v>18</v>
      </c>
      <c r="J2380" s="2" t="s">
        <v>10574</v>
      </c>
      <c r="K2380" s="2" t="s">
        <v>23</v>
      </c>
      <c r="L2380" s="2" t="s">
        <v>10575</v>
      </c>
      <c r="M2380" s="6">
        <v>-366.49</v>
      </c>
      <c r="N2380" t="b">
        <f>OR(LEFT(B2380,3)="frg",(_xlfn.XMATCH(B2380,ZZZ_Part_Id_[[#All],[FGCODE]])))</f>
        <v>1</v>
      </c>
    </row>
    <row r="2381" spans="1:14" x14ac:dyDescent="0.3">
      <c r="A2381" s="2" t="s">
        <v>10571</v>
      </c>
      <c r="B2381" s="2" t="s">
        <v>2803</v>
      </c>
      <c r="C2381" s="2" t="s">
        <v>10576</v>
      </c>
      <c r="D2381" s="3">
        <v>40320</v>
      </c>
      <c r="E2381" s="3">
        <v>40320</v>
      </c>
      <c r="F2381" s="2" t="s">
        <v>16</v>
      </c>
      <c r="G2381" s="2" t="s">
        <v>10577</v>
      </c>
      <c r="H2381" s="3">
        <v>0</v>
      </c>
      <c r="I2381" s="2" t="s">
        <v>18</v>
      </c>
      <c r="J2381" s="2" t="s">
        <v>10578</v>
      </c>
      <c r="K2381" s="2" t="s">
        <v>16</v>
      </c>
      <c r="L2381" s="2" t="s">
        <v>10579</v>
      </c>
      <c r="M2381" s="4">
        <v>7519.68</v>
      </c>
      <c r="N2381" t="b">
        <f>OR(LEFT(B2381,3)="frg",(_xlfn.XMATCH(B2381,ZZZ_Part_Id_[[#All],[FGCODE]])))</f>
        <v>1</v>
      </c>
    </row>
    <row r="2382" spans="1:14" x14ac:dyDescent="0.3">
      <c r="A2382" s="2" t="s">
        <v>10580</v>
      </c>
      <c r="B2382" s="2" t="s">
        <v>14</v>
      </c>
      <c r="C2382" s="2" t="s">
        <v>10581</v>
      </c>
      <c r="D2382" s="3">
        <v>140</v>
      </c>
      <c r="E2382" s="3">
        <v>140</v>
      </c>
      <c r="F2382" s="2" t="s">
        <v>16</v>
      </c>
      <c r="G2382" s="2" t="s">
        <v>10582</v>
      </c>
      <c r="H2382" s="3">
        <v>0</v>
      </c>
      <c r="I2382" s="2" t="s">
        <v>18</v>
      </c>
      <c r="J2382" s="2" t="s">
        <v>10583</v>
      </c>
      <c r="K2382" s="2" t="s">
        <v>16</v>
      </c>
      <c r="L2382" s="2" t="s">
        <v>10584</v>
      </c>
      <c r="M2382" s="4">
        <v>10.77</v>
      </c>
      <c r="N2382" t="e">
        <f>OR(LEFT(B2382,3)="frg",(_xlfn.XMATCH(B2382,ZZZ_Part_Id_[[#All],[FGCODE]])))</f>
        <v>#N/A</v>
      </c>
    </row>
    <row r="2383" spans="1:14" x14ac:dyDescent="0.3">
      <c r="A2383" s="2" t="s">
        <v>10580</v>
      </c>
      <c r="B2383" s="2" t="s">
        <v>1027</v>
      </c>
      <c r="C2383" s="2" t="s">
        <v>10585</v>
      </c>
      <c r="D2383" s="3">
        <v>562860</v>
      </c>
      <c r="E2383" s="3">
        <v>562860</v>
      </c>
      <c r="F2383" s="2" t="s">
        <v>16</v>
      </c>
      <c r="G2383" s="2" t="s">
        <v>10586</v>
      </c>
      <c r="H2383" s="3">
        <v>0</v>
      </c>
      <c r="I2383" s="2" t="s">
        <v>18</v>
      </c>
      <c r="J2383" s="2" t="s">
        <v>10587</v>
      </c>
      <c r="K2383" s="2" t="s">
        <v>16</v>
      </c>
      <c r="L2383" s="2" t="s">
        <v>10588</v>
      </c>
      <c r="M2383" s="4">
        <v>113326.19</v>
      </c>
      <c r="N2383" t="b">
        <f>OR(LEFT(B2383,3)="frg",(_xlfn.XMATCH(B2383,ZZZ_Part_Id_[[#All],[FGCODE]])))</f>
        <v>1</v>
      </c>
    </row>
    <row r="2384" spans="1:14" x14ac:dyDescent="0.3">
      <c r="A2384" s="2" t="s">
        <v>10589</v>
      </c>
      <c r="B2384" s="2" t="s">
        <v>14</v>
      </c>
      <c r="C2384" s="2" t="s">
        <v>10590</v>
      </c>
      <c r="D2384" s="3">
        <v>4</v>
      </c>
      <c r="E2384" s="3">
        <v>4</v>
      </c>
      <c r="F2384" s="2" t="s">
        <v>16</v>
      </c>
      <c r="G2384" s="2" t="s">
        <v>10591</v>
      </c>
      <c r="H2384" s="3">
        <v>0</v>
      </c>
      <c r="I2384" s="2" t="s">
        <v>18</v>
      </c>
      <c r="J2384" s="2" t="s">
        <v>10592</v>
      </c>
      <c r="K2384" s="2" t="s">
        <v>16</v>
      </c>
      <c r="L2384" s="2" t="s">
        <v>10593</v>
      </c>
      <c r="M2384" s="4">
        <v>0.31</v>
      </c>
      <c r="N2384" t="e">
        <f>OR(LEFT(B2384,3)="frg",(_xlfn.XMATCH(B2384,ZZZ_Part_Id_[[#All],[FGCODE]])))</f>
        <v>#N/A</v>
      </c>
    </row>
    <row r="2385" spans="1:14" x14ac:dyDescent="0.3">
      <c r="A2385" s="2" t="s">
        <v>10589</v>
      </c>
      <c r="B2385" s="2" t="s">
        <v>6182</v>
      </c>
      <c r="C2385" s="2" t="s">
        <v>10594</v>
      </c>
      <c r="D2385" s="3">
        <v>119520</v>
      </c>
      <c r="E2385" s="3">
        <v>119520</v>
      </c>
      <c r="F2385" s="2" t="s">
        <v>16</v>
      </c>
      <c r="G2385" s="2" t="s">
        <v>10595</v>
      </c>
      <c r="H2385" s="3">
        <v>0</v>
      </c>
      <c r="I2385" s="2" t="s">
        <v>18</v>
      </c>
      <c r="J2385" s="2" t="s">
        <v>10596</v>
      </c>
      <c r="K2385" s="2" t="s">
        <v>16</v>
      </c>
      <c r="L2385" s="2" t="s">
        <v>10597</v>
      </c>
      <c r="M2385" s="4">
        <v>6755.28</v>
      </c>
      <c r="N2385" t="b">
        <f>OR(LEFT(B2385,3)="frg",(_xlfn.XMATCH(B2385,ZZZ_Part_Id_[[#All],[FGCODE]])))</f>
        <v>1</v>
      </c>
    </row>
    <row r="2386" spans="1:14" x14ac:dyDescent="0.3">
      <c r="A2386" s="2" t="s">
        <v>10598</v>
      </c>
      <c r="B2386" s="2" t="s">
        <v>14</v>
      </c>
      <c r="C2386" s="2" t="s">
        <v>10599</v>
      </c>
      <c r="D2386" s="3">
        <v>40</v>
      </c>
      <c r="E2386" s="3">
        <v>40</v>
      </c>
      <c r="F2386" s="2" t="s">
        <v>16</v>
      </c>
      <c r="G2386" s="2" t="s">
        <v>10600</v>
      </c>
      <c r="H2386" s="3">
        <v>0</v>
      </c>
      <c r="I2386" s="2" t="s">
        <v>18</v>
      </c>
      <c r="J2386" s="2" t="s">
        <v>10601</v>
      </c>
      <c r="K2386" s="2" t="s">
        <v>16</v>
      </c>
      <c r="L2386" s="2" t="s">
        <v>10602</v>
      </c>
      <c r="M2386" s="4">
        <v>3.08</v>
      </c>
      <c r="N2386" t="e">
        <f>OR(LEFT(B2386,3)="frg",(_xlfn.XMATCH(B2386,ZZZ_Part_Id_[[#All],[FGCODE]])))</f>
        <v>#N/A</v>
      </c>
    </row>
    <row r="2387" spans="1:14" x14ac:dyDescent="0.3">
      <c r="A2387" s="2" t="s">
        <v>10598</v>
      </c>
      <c r="B2387" s="2" t="s">
        <v>6182</v>
      </c>
      <c r="C2387" s="2" t="s">
        <v>10603</v>
      </c>
      <c r="D2387" s="3">
        <v>119520</v>
      </c>
      <c r="E2387" s="3">
        <v>0</v>
      </c>
      <c r="F2387" s="2" t="s">
        <v>16</v>
      </c>
      <c r="G2387" s="2" t="s">
        <v>10604</v>
      </c>
      <c r="H2387" s="3">
        <v>0</v>
      </c>
      <c r="I2387" s="2" t="s">
        <v>18</v>
      </c>
      <c r="J2387" s="2" t="s">
        <v>10605</v>
      </c>
      <c r="K2387" s="2" t="s">
        <v>16</v>
      </c>
      <c r="L2387" s="2" t="s">
        <v>10606</v>
      </c>
      <c r="M2387" s="4">
        <v>0</v>
      </c>
      <c r="N2387" t="b">
        <f>OR(LEFT(B2387,3)="frg",(_xlfn.XMATCH(B2387,ZZZ_Part_Id_[[#All],[FGCODE]])))</f>
        <v>1</v>
      </c>
    </row>
    <row r="2388" spans="1:14" x14ac:dyDescent="0.3">
      <c r="A2388" s="2" t="s">
        <v>10598</v>
      </c>
      <c r="B2388" s="2" t="s">
        <v>4511</v>
      </c>
      <c r="C2388" s="2" t="s">
        <v>10607</v>
      </c>
      <c r="D2388" s="3">
        <v>776880</v>
      </c>
      <c r="E2388" s="3">
        <v>776880</v>
      </c>
      <c r="F2388" s="2" t="s">
        <v>16</v>
      </c>
      <c r="G2388" s="2" t="s">
        <v>131</v>
      </c>
      <c r="H2388" s="3">
        <v>0</v>
      </c>
      <c r="I2388" s="2" t="s">
        <v>18</v>
      </c>
      <c r="J2388" s="2" t="s">
        <v>10608</v>
      </c>
      <c r="K2388" s="2" t="s">
        <v>16</v>
      </c>
      <c r="L2388" s="2" t="s">
        <v>10609</v>
      </c>
      <c r="M2388" s="4">
        <v>42961.35</v>
      </c>
      <c r="N2388" t="b">
        <f>OR(LEFT(B2388,3)="frg",(_xlfn.XMATCH(B2388,ZZZ_Part_Id_[[#All],[FGCODE]])))</f>
        <v>1</v>
      </c>
    </row>
    <row r="2389" spans="1:14" x14ac:dyDescent="0.3">
      <c r="A2389" s="2" t="s">
        <v>10598</v>
      </c>
      <c r="B2389" s="2" t="s">
        <v>37</v>
      </c>
      <c r="C2389" s="2" t="s">
        <v>10610</v>
      </c>
      <c r="D2389" s="3">
        <v>26</v>
      </c>
      <c r="E2389" s="3">
        <v>26</v>
      </c>
      <c r="F2389" s="2" t="s">
        <v>16</v>
      </c>
      <c r="G2389" s="2" t="s">
        <v>131</v>
      </c>
      <c r="H2389" s="3">
        <v>0</v>
      </c>
      <c r="I2389" s="2" t="s">
        <v>18</v>
      </c>
      <c r="J2389" s="2" t="s">
        <v>10611</v>
      </c>
      <c r="K2389" s="2" t="s">
        <v>16</v>
      </c>
      <c r="L2389" s="2" t="s">
        <v>10612</v>
      </c>
      <c r="M2389" s="4">
        <v>416</v>
      </c>
      <c r="N2389" t="e">
        <f>OR(LEFT(B2389,3)="frg",(_xlfn.XMATCH(B2389,ZZZ_Part_Id_[[#All],[FGCODE]])))</f>
        <v>#N/A</v>
      </c>
    </row>
    <row r="2390" spans="1:14" x14ac:dyDescent="0.3">
      <c r="A2390" s="2" t="s">
        <v>10613</v>
      </c>
      <c r="B2390" s="2" t="s">
        <v>14</v>
      </c>
      <c r="C2390" s="2" t="s">
        <v>10614</v>
      </c>
      <c r="D2390" s="3">
        <v>20</v>
      </c>
      <c r="E2390" s="3">
        <v>20</v>
      </c>
      <c r="F2390" s="2" t="s">
        <v>16</v>
      </c>
      <c r="G2390" s="2" t="s">
        <v>10615</v>
      </c>
      <c r="H2390" s="3">
        <v>0</v>
      </c>
      <c r="I2390" s="2" t="s">
        <v>18</v>
      </c>
      <c r="J2390" s="2" t="s">
        <v>10616</v>
      </c>
      <c r="K2390" s="2" t="s">
        <v>16</v>
      </c>
      <c r="L2390" s="2" t="s">
        <v>10617</v>
      </c>
      <c r="M2390" s="4">
        <v>1.54</v>
      </c>
      <c r="N2390" t="e">
        <f>OR(LEFT(B2390,3)="frg",(_xlfn.XMATCH(B2390,ZZZ_Part_Id_[[#All],[FGCODE]])))</f>
        <v>#N/A</v>
      </c>
    </row>
    <row r="2391" spans="1:14" x14ac:dyDescent="0.3">
      <c r="A2391" s="2" t="s">
        <v>10613</v>
      </c>
      <c r="B2391" s="2" t="s">
        <v>2121</v>
      </c>
      <c r="C2391" s="2" t="s">
        <v>10618</v>
      </c>
      <c r="D2391" s="3">
        <v>99360</v>
      </c>
      <c r="E2391" s="3">
        <v>99360</v>
      </c>
      <c r="F2391" s="2" t="s">
        <v>16</v>
      </c>
      <c r="G2391" s="2" t="s">
        <v>10619</v>
      </c>
      <c r="H2391" s="3">
        <v>0</v>
      </c>
      <c r="I2391" s="2" t="s">
        <v>18</v>
      </c>
      <c r="J2391" s="2" t="s">
        <v>10620</v>
      </c>
      <c r="K2391" s="2" t="s">
        <v>16</v>
      </c>
      <c r="L2391" s="2" t="s">
        <v>10621</v>
      </c>
      <c r="M2391" s="4">
        <v>23046.6</v>
      </c>
      <c r="N2391" t="b">
        <f>OR(LEFT(B2391,3)="frg",(_xlfn.XMATCH(B2391,ZZZ_Part_Id_[[#All],[FGCODE]])))</f>
        <v>1</v>
      </c>
    </row>
    <row r="2392" spans="1:14" x14ac:dyDescent="0.3">
      <c r="A2392" s="2" t="s">
        <v>10622</v>
      </c>
      <c r="B2392" s="2" t="s">
        <v>14</v>
      </c>
      <c r="C2392" s="2" t="s">
        <v>10623</v>
      </c>
      <c r="D2392" s="3">
        <v>4</v>
      </c>
      <c r="E2392" s="3">
        <v>4</v>
      </c>
      <c r="F2392" s="2" t="s">
        <v>16</v>
      </c>
      <c r="G2392" s="2" t="s">
        <v>10624</v>
      </c>
      <c r="H2392" s="3">
        <v>0</v>
      </c>
      <c r="I2392" s="2" t="s">
        <v>409</v>
      </c>
      <c r="J2392" s="2" t="s">
        <v>10625</v>
      </c>
      <c r="K2392" s="2" t="s">
        <v>16</v>
      </c>
      <c r="L2392" s="2" t="s">
        <v>10626</v>
      </c>
      <c r="M2392" s="4">
        <v>0.31</v>
      </c>
      <c r="N2392" t="e">
        <f>OR(LEFT(B2392,3)="frg",(_xlfn.XMATCH(B2392,ZZZ_Part_Id_[[#All],[FGCODE]])))</f>
        <v>#N/A</v>
      </c>
    </row>
    <row r="2393" spans="1:14" x14ac:dyDescent="0.3">
      <c r="A2393" s="2" t="s">
        <v>10622</v>
      </c>
      <c r="B2393" s="2" t="s">
        <v>65</v>
      </c>
      <c r="C2393" s="2" t="s">
        <v>10627</v>
      </c>
      <c r="D2393" s="5">
        <v>-147</v>
      </c>
      <c r="E2393" s="5">
        <v>-147</v>
      </c>
      <c r="F2393" s="2" t="s">
        <v>23</v>
      </c>
      <c r="G2393" s="2" t="s">
        <v>10628</v>
      </c>
      <c r="H2393" s="3">
        <v>0</v>
      </c>
      <c r="I2393" s="2" t="s">
        <v>409</v>
      </c>
      <c r="J2393" s="2" t="s">
        <v>10629</v>
      </c>
      <c r="K2393" s="2" t="s">
        <v>23</v>
      </c>
      <c r="L2393" s="2" t="s">
        <v>10630</v>
      </c>
      <c r="M2393" s="6">
        <v>-378.03</v>
      </c>
      <c r="N2393" t="b">
        <f>OR(LEFT(B2393,3)="frg",(_xlfn.XMATCH(B2393,ZZZ_Part_Id_[[#All],[FGCODE]])))</f>
        <v>1</v>
      </c>
    </row>
    <row r="2394" spans="1:14" x14ac:dyDescent="0.3">
      <c r="A2394" s="2" t="s">
        <v>10622</v>
      </c>
      <c r="B2394" s="2" t="s">
        <v>2934</v>
      </c>
      <c r="C2394" s="2" t="s">
        <v>10631</v>
      </c>
      <c r="D2394" s="3">
        <v>32832</v>
      </c>
      <c r="E2394" s="3">
        <v>32832</v>
      </c>
      <c r="F2394" s="2" t="s">
        <v>16</v>
      </c>
      <c r="G2394" s="2" t="s">
        <v>10632</v>
      </c>
      <c r="H2394" s="3">
        <v>0</v>
      </c>
      <c r="I2394" s="2" t="s">
        <v>409</v>
      </c>
      <c r="J2394" s="2" t="s">
        <v>10633</v>
      </c>
      <c r="K2394" s="2" t="s">
        <v>16</v>
      </c>
      <c r="L2394" s="2" t="s">
        <v>10634</v>
      </c>
      <c r="M2394" s="4">
        <v>4082</v>
      </c>
      <c r="N2394" t="b">
        <f>OR(LEFT(B2394,3)="frg",(_xlfn.XMATCH(B2394,ZZZ_Part_Id_[[#All],[FGCODE]])))</f>
        <v>1</v>
      </c>
    </row>
    <row r="2395" spans="1:14" x14ac:dyDescent="0.3">
      <c r="A2395" s="2" t="s">
        <v>10635</v>
      </c>
      <c r="B2395" s="2" t="s">
        <v>4955</v>
      </c>
      <c r="C2395" s="2" t="s">
        <v>10636</v>
      </c>
      <c r="D2395" s="3">
        <v>31968</v>
      </c>
      <c r="E2395" s="3">
        <v>31968</v>
      </c>
      <c r="F2395" s="2" t="s">
        <v>16</v>
      </c>
      <c r="G2395" s="2" t="s">
        <v>10637</v>
      </c>
      <c r="H2395" s="3">
        <v>0</v>
      </c>
      <c r="I2395" s="2" t="s">
        <v>409</v>
      </c>
      <c r="J2395" s="2" t="s">
        <v>10638</v>
      </c>
      <c r="K2395" s="2" t="s">
        <v>16</v>
      </c>
      <c r="L2395" s="2" t="s">
        <v>10639</v>
      </c>
      <c r="M2395" s="4">
        <v>2967.27</v>
      </c>
      <c r="N2395" t="b">
        <f>OR(LEFT(B2395,3)="frg",(_xlfn.XMATCH(B2395,ZZZ_Part_Id_[[#All],[FGCODE]])))</f>
        <v>1</v>
      </c>
    </row>
    <row r="2396" spans="1:14" x14ac:dyDescent="0.3">
      <c r="A2396" s="2" t="s">
        <v>10640</v>
      </c>
      <c r="B2396" s="2" t="s">
        <v>14</v>
      </c>
      <c r="C2396" s="2" t="s">
        <v>10641</v>
      </c>
      <c r="D2396" s="3">
        <v>140</v>
      </c>
      <c r="E2396" s="3">
        <v>140</v>
      </c>
      <c r="F2396" s="2" t="s">
        <v>16</v>
      </c>
      <c r="G2396" s="2" t="s">
        <v>10642</v>
      </c>
      <c r="H2396" s="3">
        <v>0</v>
      </c>
      <c r="I2396" s="2" t="s">
        <v>18</v>
      </c>
      <c r="J2396" s="2" t="s">
        <v>10643</v>
      </c>
      <c r="K2396" s="2" t="s">
        <v>16</v>
      </c>
      <c r="L2396" s="2" t="s">
        <v>10644</v>
      </c>
      <c r="M2396" s="4">
        <v>10.77</v>
      </c>
      <c r="N2396" t="e">
        <f>OR(LEFT(B2396,3)="frg",(_xlfn.XMATCH(B2396,ZZZ_Part_Id_[[#All],[FGCODE]])))</f>
        <v>#N/A</v>
      </c>
    </row>
    <row r="2397" spans="1:14" x14ac:dyDescent="0.3">
      <c r="A2397" s="2" t="s">
        <v>10640</v>
      </c>
      <c r="B2397" s="2" t="s">
        <v>1027</v>
      </c>
      <c r="C2397" s="2" t="s">
        <v>10645</v>
      </c>
      <c r="D2397" s="3">
        <v>1019520</v>
      </c>
      <c r="E2397" s="3">
        <v>1019520</v>
      </c>
      <c r="F2397" s="2" t="s">
        <v>16</v>
      </c>
      <c r="G2397" s="2" t="s">
        <v>10646</v>
      </c>
      <c r="H2397" s="3">
        <v>0</v>
      </c>
      <c r="I2397" s="2" t="s">
        <v>18</v>
      </c>
      <c r="J2397" s="2" t="s">
        <v>10647</v>
      </c>
      <c r="K2397" s="2" t="s">
        <v>16</v>
      </c>
      <c r="L2397" s="2" t="s">
        <v>10648</v>
      </c>
      <c r="M2397" s="4">
        <v>205270.08</v>
      </c>
      <c r="N2397" t="b">
        <f>OR(LEFT(B2397,3)="frg",(_xlfn.XMATCH(B2397,ZZZ_Part_Id_[[#All],[FGCODE]])))</f>
        <v>1</v>
      </c>
    </row>
    <row r="2398" spans="1:14" x14ac:dyDescent="0.3">
      <c r="A2398" s="2" t="s">
        <v>10640</v>
      </c>
      <c r="B2398" s="2" t="s">
        <v>187</v>
      </c>
      <c r="C2398" s="2" t="s">
        <v>10649</v>
      </c>
      <c r="D2398" s="3">
        <v>95</v>
      </c>
      <c r="E2398" s="3">
        <v>95</v>
      </c>
      <c r="F2398" s="2" t="s">
        <v>16</v>
      </c>
      <c r="G2398" s="2" t="s">
        <v>131</v>
      </c>
      <c r="H2398" s="3">
        <v>0</v>
      </c>
      <c r="I2398" s="2" t="s">
        <v>18</v>
      </c>
      <c r="J2398" s="2" t="s">
        <v>10650</v>
      </c>
      <c r="K2398" s="2" t="s">
        <v>16</v>
      </c>
      <c r="L2398" s="2" t="s">
        <v>10651</v>
      </c>
      <c r="M2398" s="4">
        <v>420.1</v>
      </c>
      <c r="N2398" t="e">
        <f>OR(LEFT(B2398,3)="frg",(_xlfn.XMATCH(B2398,ZZZ_Part_Id_[[#All],[FGCODE]])))</f>
        <v>#N/A</v>
      </c>
    </row>
    <row r="2399" spans="1:14" x14ac:dyDescent="0.3">
      <c r="A2399" s="2" t="s">
        <v>10652</v>
      </c>
      <c r="B2399" s="2" t="s">
        <v>14</v>
      </c>
      <c r="C2399" s="2" t="s">
        <v>10653</v>
      </c>
      <c r="D2399" s="3">
        <v>6</v>
      </c>
      <c r="E2399" s="3">
        <v>6</v>
      </c>
      <c r="F2399" s="2" t="s">
        <v>16</v>
      </c>
      <c r="G2399" s="2" t="s">
        <v>10654</v>
      </c>
      <c r="H2399" s="3">
        <v>0</v>
      </c>
      <c r="I2399" s="2" t="s">
        <v>409</v>
      </c>
      <c r="J2399" s="2" t="s">
        <v>10655</v>
      </c>
      <c r="K2399" s="2" t="s">
        <v>16</v>
      </c>
      <c r="L2399" s="2" t="s">
        <v>10656</v>
      </c>
      <c r="M2399" s="4">
        <v>0.46</v>
      </c>
      <c r="N2399" t="e">
        <f>OR(LEFT(B2399,3)="frg",(_xlfn.XMATCH(B2399,ZZZ_Part_Id_[[#All],[FGCODE]])))</f>
        <v>#N/A</v>
      </c>
    </row>
    <row r="2400" spans="1:14" x14ac:dyDescent="0.3">
      <c r="A2400" s="2" t="s">
        <v>10652</v>
      </c>
      <c r="B2400" s="2" t="s">
        <v>76</v>
      </c>
      <c r="C2400" s="2" t="s">
        <v>10657</v>
      </c>
      <c r="D2400" s="3">
        <v>152280</v>
      </c>
      <c r="E2400" s="3">
        <v>152280</v>
      </c>
      <c r="F2400" s="2" t="s">
        <v>16</v>
      </c>
      <c r="G2400" s="2" t="s">
        <v>10658</v>
      </c>
      <c r="H2400" s="3">
        <v>0</v>
      </c>
      <c r="I2400" s="2" t="s">
        <v>409</v>
      </c>
      <c r="J2400" s="2" t="s">
        <v>10659</v>
      </c>
      <c r="K2400" s="2" t="s">
        <v>16</v>
      </c>
      <c r="L2400" s="2" t="s">
        <v>10660</v>
      </c>
      <c r="M2400" s="4">
        <v>9980.4599999999991</v>
      </c>
      <c r="N2400" t="b">
        <f>OR(LEFT(B2400,3)="frg",(_xlfn.XMATCH(B2400,ZZZ_Part_Id_[[#All],[FGCODE]])))</f>
        <v>1</v>
      </c>
    </row>
    <row r="2401" spans="1:14" x14ac:dyDescent="0.3">
      <c r="A2401" s="2" t="s">
        <v>10652</v>
      </c>
      <c r="B2401" s="2" t="s">
        <v>37</v>
      </c>
      <c r="C2401" s="2" t="s">
        <v>10661</v>
      </c>
      <c r="D2401" s="3">
        <v>6</v>
      </c>
      <c r="E2401" s="3">
        <v>6</v>
      </c>
      <c r="F2401" s="2" t="s">
        <v>16</v>
      </c>
      <c r="G2401" s="2" t="s">
        <v>131</v>
      </c>
      <c r="H2401" s="3">
        <v>0</v>
      </c>
      <c r="I2401" s="2" t="s">
        <v>409</v>
      </c>
      <c r="J2401" s="2" t="s">
        <v>10662</v>
      </c>
      <c r="K2401" s="2" t="s">
        <v>16</v>
      </c>
      <c r="L2401" s="2" t="s">
        <v>10663</v>
      </c>
      <c r="M2401" s="4">
        <v>96</v>
      </c>
      <c r="N2401" t="e">
        <f>OR(LEFT(B2401,3)="frg",(_xlfn.XMATCH(B2401,ZZZ_Part_Id_[[#All],[FGCODE]])))</f>
        <v>#N/A</v>
      </c>
    </row>
    <row r="2402" spans="1:14" x14ac:dyDescent="0.3">
      <c r="A2402" s="2" t="s">
        <v>10664</v>
      </c>
      <c r="B2402" s="2" t="s">
        <v>14</v>
      </c>
      <c r="C2402" s="2" t="s">
        <v>10665</v>
      </c>
      <c r="D2402" s="3">
        <v>14</v>
      </c>
      <c r="E2402" s="3">
        <v>14</v>
      </c>
      <c r="F2402" s="2" t="s">
        <v>16</v>
      </c>
      <c r="G2402" s="2" t="s">
        <v>10666</v>
      </c>
      <c r="H2402" s="3">
        <v>0</v>
      </c>
      <c r="I2402" s="2" t="s">
        <v>409</v>
      </c>
      <c r="J2402" s="2" t="s">
        <v>10667</v>
      </c>
      <c r="K2402" s="2" t="s">
        <v>16</v>
      </c>
      <c r="L2402" s="2" t="s">
        <v>10668</v>
      </c>
      <c r="M2402" s="4">
        <v>1.08</v>
      </c>
      <c r="N2402" t="e">
        <f>OR(LEFT(B2402,3)="frg",(_xlfn.XMATCH(B2402,ZZZ_Part_Id_[[#All],[FGCODE]])))</f>
        <v>#N/A</v>
      </c>
    </row>
    <row r="2403" spans="1:14" x14ac:dyDescent="0.3">
      <c r="A2403" s="2" t="s">
        <v>10664</v>
      </c>
      <c r="B2403" s="2" t="s">
        <v>10669</v>
      </c>
      <c r="C2403" s="2" t="s">
        <v>10670</v>
      </c>
      <c r="D2403" s="3">
        <v>354816</v>
      </c>
      <c r="E2403" s="3">
        <v>354816</v>
      </c>
      <c r="F2403" s="2" t="s">
        <v>16</v>
      </c>
      <c r="G2403" s="2" t="s">
        <v>10671</v>
      </c>
      <c r="H2403" s="3">
        <v>0</v>
      </c>
      <c r="I2403" s="2" t="s">
        <v>409</v>
      </c>
      <c r="J2403" s="2" t="s">
        <v>10672</v>
      </c>
      <c r="K2403" s="2" t="s">
        <v>16</v>
      </c>
      <c r="L2403" s="2" t="s">
        <v>10673</v>
      </c>
      <c r="M2403" s="4">
        <v>3331.72</v>
      </c>
      <c r="N2403" t="b">
        <f>OR(LEFT(B2403,3)="frg",(_xlfn.XMATCH(B2403,ZZZ_Part_Id_[[#All],[FGCODE]])))</f>
        <v>1</v>
      </c>
    </row>
    <row r="2404" spans="1:14" x14ac:dyDescent="0.3">
      <c r="A2404" s="2" t="s">
        <v>10664</v>
      </c>
      <c r="B2404" s="2" t="s">
        <v>37</v>
      </c>
      <c r="C2404" s="2" t="s">
        <v>10674</v>
      </c>
      <c r="D2404" s="3">
        <v>14</v>
      </c>
      <c r="E2404" s="3">
        <v>14</v>
      </c>
      <c r="F2404" s="2" t="s">
        <v>16</v>
      </c>
      <c r="G2404" s="2" t="s">
        <v>131</v>
      </c>
      <c r="H2404" s="3">
        <v>0</v>
      </c>
      <c r="I2404" s="2" t="s">
        <v>409</v>
      </c>
      <c r="J2404" s="2" t="s">
        <v>10675</v>
      </c>
      <c r="K2404" s="2" t="s">
        <v>16</v>
      </c>
      <c r="L2404" s="2" t="s">
        <v>10676</v>
      </c>
      <c r="M2404" s="4">
        <v>224</v>
      </c>
      <c r="N2404" t="e">
        <f>OR(LEFT(B2404,3)="frg",(_xlfn.XMATCH(B2404,ZZZ_Part_Id_[[#All],[FGCODE]])))</f>
        <v>#N/A</v>
      </c>
    </row>
    <row r="2405" spans="1:14" x14ac:dyDescent="0.3">
      <c r="A2405" s="2" t="s">
        <v>10677</v>
      </c>
      <c r="B2405" s="2" t="s">
        <v>14</v>
      </c>
      <c r="C2405" s="2" t="s">
        <v>10678</v>
      </c>
      <c r="D2405" s="3">
        <v>10</v>
      </c>
      <c r="E2405" s="3">
        <v>10</v>
      </c>
      <c r="F2405" s="2" t="s">
        <v>16</v>
      </c>
      <c r="G2405" s="2" t="s">
        <v>10679</v>
      </c>
      <c r="H2405" s="3">
        <v>0</v>
      </c>
      <c r="I2405" s="2" t="s">
        <v>18</v>
      </c>
      <c r="J2405" s="2" t="s">
        <v>10680</v>
      </c>
      <c r="K2405" s="2" t="s">
        <v>16</v>
      </c>
      <c r="L2405" s="2" t="s">
        <v>10681</v>
      </c>
      <c r="M2405" s="4">
        <v>0.77</v>
      </c>
      <c r="N2405" t="e">
        <f>OR(LEFT(B2405,3)="frg",(_xlfn.XMATCH(B2405,ZZZ_Part_Id_[[#All],[FGCODE]])))</f>
        <v>#N/A</v>
      </c>
    </row>
    <row r="2406" spans="1:14" x14ac:dyDescent="0.3">
      <c r="A2406" s="2" t="s">
        <v>10677</v>
      </c>
      <c r="B2406" s="2" t="s">
        <v>308</v>
      </c>
      <c r="C2406" s="2" t="s">
        <v>10682</v>
      </c>
      <c r="D2406" s="3">
        <v>162000</v>
      </c>
      <c r="E2406" s="3">
        <v>162000</v>
      </c>
      <c r="F2406" s="2" t="s">
        <v>16</v>
      </c>
      <c r="G2406" s="2" t="s">
        <v>10683</v>
      </c>
      <c r="H2406" s="3">
        <v>0</v>
      </c>
      <c r="I2406" s="2" t="s">
        <v>18</v>
      </c>
      <c r="J2406" s="2" t="s">
        <v>10684</v>
      </c>
      <c r="K2406" s="2" t="s">
        <v>16</v>
      </c>
      <c r="L2406" s="2" t="s">
        <v>10685</v>
      </c>
      <c r="M2406" s="4">
        <v>9585.5400000000009</v>
      </c>
      <c r="N2406" t="b">
        <f>OR(LEFT(B2406,3)="frg",(_xlfn.XMATCH(B2406,ZZZ_Part_Id_[[#All],[FGCODE]])))</f>
        <v>1</v>
      </c>
    </row>
    <row r="2407" spans="1:14" x14ac:dyDescent="0.3">
      <c r="A2407" s="2" t="s">
        <v>10686</v>
      </c>
      <c r="B2407" s="2" t="s">
        <v>14</v>
      </c>
      <c r="C2407" s="2" t="s">
        <v>10687</v>
      </c>
      <c r="D2407" s="3">
        <v>10</v>
      </c>
      <c r="E2407" s="3">
        <v>10</v>
      </c>
      <c r="F2407" s="2" t="s">
        <v>16</v>
      </c>
      <c r="G2407" s="2" t="s">
        <v>10688</v>
      </c>
      <c r="H2407" s="3">
        <v>0</v>
      </c>
      <c r="I2407" s="2" t="s">
        <v>18</v>
      </c>
      <c r="J2407" s="2" t="s">
        <v>10689</v>
      </c>
      <c r="K2407" s="2" t="s">
        <v>16</v>
      </c>
      <c r="L2407" s="2" t="s">
        <v>10690</v>
      </c>
      <c r="M2407" s="4">
        <v>0.77</v>
      </c>
      <c r="N2407" t="e">
        <f>OR(LEFT(B2407,3)="frg",(_xlfn.XMATCH(B2407,ZZZ_Part_Id_[[#All],[FGCODE]])))</f>
        <v>#N/A</v>
      </c>
    </row>
    <row r="2408" spans="1:14" x14ac:dyDescent="0.3">
      <c r="A2408" s="2" t="s">
        <v>10686</v>
      </c>
      <c r="B2408" s="2" t="s">
        <v>86</v>
      </c>
      <c r="C2408" s="2" t="s">
        <v>10691</v>
      </c>
      <c r="D2408" s="5">
        <v>-224</v>
      </c>
      <c r="E2408" s="5">
        <v>-224</v>
      </c>
      <c r="F2408" s="2" t="s">
        <v>23</v>
      </c>
      <c r="G2408" s="2" t="s">
        <v>10692</v>
      </c>
      <c r="H2408" s="3">
        <v>0</v>
      </c>
      <c r="I2408" s="2" t="s">
        <v>18</v>
      </c>
      <c r="J2408" s="2" t="s">
        <v>10693</v>
      </c>
      <c r="K2408" s="2" t="s">
        <v>23</v>
      </c>
      <c r="L2408" s="2" t="s">
        <v>10694</v>
      </c>
      <c r="M2408" s="6">
        <v>-586.39</v>
      </c>
      <c r="N2408" t="b">
        <f>OR(LEFT(B2408,3)="frg",(_xlfn.XMATCH(B2408,ZZZ_Part_Id_[[#All],[FGCODE]])))</f>
        <v>1</v>
      </c>
    </row>
    <row r="2409" spans="1:14" x14ac:dyDescent="0.3">
      <c r="A2409" s="2" t="s">
        <v>10686</v>
      </c>
      <c r="B2409" s="2" t="s">
        <v>91</v>
      </c>
      <c r="C2409" s="2" t="s">
        <v>10695</v>
      </c>
      <c r="D2409" s="3">
        <v>243000</v>
      </c>
      <c r="E2409" s="3">
        <v>243000</v>
      </c>
      <c r="F2409" s="2" t="s">
        <v>16</v>
      </c>
      <c r="G2409" s="2" t="s">
        <v>10696</v>
      </c>
      <c r="H2409" s="3">
        <v>0</v>
      </c>
      <c r="I2409" s="2" t="s">
        <v>18</v>
      </c>
      <c r="J2409" s="2" t="s">
        <v>10697</v>
      </c>
      <c r="K2409" s="2" t="s">
        <v>16</v>
      </c>
      <c r="L2409" s="2" t="s">
        <v>10698</v>
      </c>
      <c r="M2409" s="4">
        <v>14106.15</v>
      </c>
      <c r="N2409" t="b">
        <f>OR(LEFT(B2409,3)="frg",(_xlfn.XMATCH(B2409,ZZZ_Part_Id_[[#All],[FGCODE]])))</f>
        <v>1</v>
      </c>
    </row>
    <row r="2410" spans="1:14" x14ac:dyDescent="0.3">
      <c r="A2410" s="2" t="s">
        <v>10699</v>
      </c>
      <c r="B2410" s="2" t="s">
        <v>3028</v>
      </c>
      <c r="C2410" s="2" t="s">
        <v>10700</v>
      </c>
      <c r="D2410" s="3">
        <v>25380</v>
      </c>
      <c r="E2410" s="3">
        <v>0</v>
      </c>
      <c r="F2410" s="2" t="s">
        <v>16</v>
      </c>
      <c r="G2410" s="2" t="s">
        <v>10701</v>
      </c>
      <c r="H2410" s="3">
        <v>0</v>
      </c>
      <c r="I2410" s="2" t="s">
        <v>10702</v>
      </c>
      <c r="J2410" s="2" t="s">
        <v>10703</v>
      </c>
      <c r="K2410" s="2" t="s">
        <v>16</v>
      </c>
      <c r="L2410" s="2" t="s">
        <v>10704</v>
      </c>
      <c r="M2410" s="4">
        <v>0</v>
      </c>
      <c r="N2410" t="b">
        <f>OR(LEFT(B2410,3)="frg",(_xlfn.XMATCH(B2410,ZZZ_Part_Id_[[#All],[FGCODE]])))</f>
        <v>1</v>
      </c>
    </row>
    <row r="2411" spans="1:14" x14ac:dyDescent="0.3">
      <c r="A2411" s="2" t="s">
        <v>10705</v>
      </c>
      <c r="B2411" s="2" t="s">
        <v>14</v>
      </c>
      <c r="C2411" s="2" t="s">
        <v>10706</v>
      </c>
      <c r="D2411" s="3">
        <v>4</v>
      </c>
      <c r="E2411" s="3">
        <v>4</v>
      </c>
      <c r="F2411" s="2" t="s">
        <v>16</v>
      </c>
      <c r="G2411" s="2" t="s">
        <v>10707</v>
      </c>
      <c r="H2411" s="3">
        <v>0</v>
      </c>
      <c r="I2411" s="2" t="s">
        <v>409</v>
      </c>
      <c r="J2411" s="2" t="s">
        <v>10708</v>
      </c>
      <c r="K2411" s="2" t="s">
        <v>16</v>
      </c>
      <c r="L2411" s="2" t="s">
        <v>10709</v>
      </c>
      <c r="M2411" s="4">
        <v>0.31</v>
      </c>
      <c r="N2411" t="e">
        <f>OR(LEFT(B2411,3)="frg",(_xlfn.XMATCH(B2411,ZZZ_Part_Id_[[#All],[FGCODE]])))</f>
        <v>#N/A</v>
      </c>
    </row>
    <row r="2412" spans="1:14" x14ac:dyDescent="0.3">
      <c r="A2412" s="2" t="s">
        <v>10705</v>
      </c>
      <c r="B2412" s="2" t="s">
        <v>1667</v>
      </c>
      <c r="C2412" s="2" t="s">
        <v>10710</v>
      </c>
      <c r="D2412" s="3">
        <v>62640</v>
      </c>
      <c r="E2412" s="3">
        <v>62640</v>
      </c>
      <c r="F2412" s="2" t="s">
        <v>16</v>
      </c>
      <c r="G2412" s="2" t="s">
        <v>10711</v>
      </c>
      <c r="H2412" s="3">
        <v>0</v>
      </c>
      <c r="I2412" s="2" t="s">
        <v>409</v>
      </c>
      <c r="J2412" s="2" t="s">
        <v>10712</v>
      </c>
      <c r="K2412" s="2" t="s">
        <v>16</v>
      </c>
      <c r="L2412" s="2" t="s">
        <v>10713</v>
      </c>
      <c r="M2412" s="4">
        <v>5095.7700000000004</v>
      </c>
      <c r="N2412" t="b">
        <f>OR(LEFT(B2412,3)="frg",(_xlfn.XMATCH(B2412,ZZZ_Part_Id_[[#All],[FGCODE]])))</f>
        <v>1</v>
      </c>
    </row>
    <row r="2413" spans="1:14" x14ac:dyDescent="0.3">
      <c r="A2413" s="2" t="s">
        <v>10714</v>
      </c>
      <c r="B2413" s="2" t="s">
        <v>86</v>
      </c>
      <c r="C2413" s="2" t="s">
        <v>10715</v>
      </c>
      <c r="D2413" s="5">
        <v>-240</v>
      </c>
      <c r="E2413" s="5">
        <v>-240</v>
      </c>
      <c r="F2413" s="2" t="s">
        <v>23</v>
      </c>
      <c r="G2413" s="2" t="s">
        <v>10716</v>
      </c>
      <c r="H2413" s="3">
        <v>0</v>
      </c>
      <c r="I2413" s="2" t="s">
        <v>409</v>
      </c>
      <c r="J2413" s="2" t="s">
        <v>10717</v>
      </c>
      <c r="K2413" s="2" t="s">
        <v>23</v>
      </c>
      <c r="L2413" s="2" t="s">
        <v>10718</v>
      </c>
      <c r="M2413" s="6">
        <v>-628.27</v>
      </c>
      <c r="N2413" t="b">
        <f>OR(LEFT(B2413,3)="frg",(_xlfn.XMATCH(B2413,ZZZ_Part_Id_[[#All],[FGCODE]])))</f>
        <v>1</v>
      </c>
    </row>
    <row r="2414" spans="1:14" x14ac:dyDescent="0.3">
      <c r="A2414" s="2" t="s">
        <v>10714</v>
      </c>
      <c r="B2414" s="2" t="s">
        <v>10719</v>
      </c>
      <c r="C2414" s="2" t="s">
        <v>10720</v>
      </c>
      <c r="D2414" s="3">
        <v>83520</v>
      </c>
      <c r="E2414" s="3">
        <v>83520</v>
      </c>
      <c r="F2414" s="2" t="s">
        <v>16</v>
      </c>
      <c r="G2414" s="2" t="s">
        <v>10721</v>
      </c>
      <c r="H2414" s="3">
        <v>0</v>
      </c>
      <c r="I2414" s="2" t="s">
        <v>409</v>
      </c>
      <c r="J2414" s="2" t="s">
        <v>10722</v>
      </c>
      <c r="K2414" s="2" t="s">
        <v>16</v>
      </c>
      <c r="L2414" s="2" t="s">
        <v>10723</v>
      </c>
      <c r="M2414" s="4">
        <v>6744.24</v>
      </c>
      <c r="N2414" t="b">
        <f>OR(LEFT(B2414,3)="frg",(_xlfn.XMATCH(B2414,ZZZ_Part_Id_[[#All],[FGCODE]])))</f>
        <v>1</v>
      </c>
    </row>
    <row r="2415" spans="1:14" x14ac:dyDescent="0.3">
      <c r="A2415" s="2" t="s">
        <v>10724</v>
      </c>
      <c r="B2415" s="2" t="s">
        <v>693</v>
      </c>
      <c r="C2415" s="2" t="s">
        <v>10725</v>
      </c>
      <c r="D2415" s="3">
        <v>32760</v>
      </c>
      <c r="E2415" s="3">
        <v>32760</v>
      </c>
      <c r="F2415" s="2" t="s">
        <v>16</v>
      </c>
      <c r="G2415" s="2" t="s">
        <v>10726</v>
      </c>
      <c r="H2415" s="3">
        <v>0</v>
      </c>
      <c r="I2415" s="2" t="s">
        <v>18</v>
      </c>
      <c r="J2415" s="2" t="s">
        <v>10727</v>
      </c>
      <c r="K2415" s="2" t="s">
        <v>16</v>
      </c>
      <c r="L2415" s="2" t="s">
        <v>10728</v>
      </c>
      <c r="M2415" s="4">
        <v>4538.8999999999996</v>
      </c>
      <c r="N2415" t="b">
        <f>OR(LEFT(B2415,3)="frg",(_xlfn.XMATCH(B2415,ZZZ_Part_Id_[[#All],[FGCODE]])))</f>
        <v>1</v>
      </c>
    </row>
    <row r="2416" spans="1:14" x14ac:dyDescent="0.3">
      <c r="A2416" s="2" t="s">
        <v>10729</v>
      </c>
      <c r="B2416" s="2" t="s">
        <v>14</v>
      </c>
      <c r="C2416" s="2" t="s">
        <v>10730</v>
      </c>
      <c r="D2416" s="3">
        <v>4</v>
      </c>
      <c r="E2416" s="3">
        <v>4</v>
      </c>
      <c r="F2416" s="2" t="s">
        <v>16</v>
      </c>
      <c r="G2416" s="2" t="s">
        <v>10731</v>
      </c>
      <c r="H2416" s="3">
        <v>0</v>
      </c>
      <c r="I2416" s="2" t="s">
        <v>18</v>
      </c>
      <c r="J2416" s="2" t="s">
        <v>10732</v>
      </c>
      <c r="K2416" s="2" t="s">
        <v>16</v>
      </c>
      <c r="L2416" s="2" t="s">
        <v>10733</v>
      </c>
      <c r="M2416" s="4">
        <v>0.31</v>
      </c>
      <c r="N2416" t="e">
        <f>OR(LEFT(B2416,3)="frg",(_xlfn.XMATCH(B2416,ZZZ_Part_Id_[[#All],[FGCODE]])))</f>
        <v>#N/A</v>
      </c>
    </row>
    <row r="2417" spans="1:14" x14ac:dyDescent="0.3">
      <c r="A2417" s="2" t="s">
        <v>10729</v>
      </c>
      <c r="B2417" s="2" t="s">
        <v>65</v>
      </c>
      <c r="C2417" s="2" t="s">
        <v>10734</v>
      </c>
      <c r="D2417" s="5">
        <v>-323</v>
      </c>
      <c r="E2417" s="5">
        <v>-323</v>
      </c>
      <c r="F2417" s="2" t="s">
        <v>23</v>
      </c>
      <c r="G2417" s="2" t="s">
        <v>10735</v>
      </c>
      <c r="H2417" s="3">
        <v>0</v>
      </c>
      <c r="I2417" s="2" t="s">
        <v>18</v>
      </c>
      <c r="J2417" s="2" t="s">
        <v>10736</v>
      </c>
      <c r="K2417" s="2" t="s">
        <v>23</v>
      </c>
      <c r="L2417" s="2" t="s">
        <v>10737</v>
      </c>
      <c r="M2417" s="6">
        <v>-830.63</v>
      </c>
      <c r="N2417" t="b">
        <f>OR(LEFT(B2417,3)="frg",(_xlfn.XMATCH(B2417,ZZZ_Part_Id_[[#All],[FGCODE]])))</f>
        <v>1</v>
      </c>
    </row>
    <row r="2418" spans="1:14" x14ac:dyDescent="0.3">
      <c r="A2418" s="2" t="s">
        <v>10729</v>
      </c>
      <c r="B2418" s="2" t="s">
        <v>740</v>
      </c>
      <c r="C2418" s="2" t="s">
        <v>10738</v>
      </c>
      <c r="D2418" s="3">
        <v>42480</v>
      </c>
      <c r="E2418" s="3">
        <v>42480</v>
      </c>
      <c r="F2418" s="2" t="s">
        <v>16</v>
      </c>
      <c r="G2418" s="2" t="s">
        <v>10739</v>
      </c>
      <c r="H2418" s="3">
        <v>0</v>
      </c>
      <c r="I2418" s="2" t="s">
        <v>18</v>
      </c>
      <c r="J2418" s="2" t="s">
        <v>10740</v>
      </c>
      <c r="K2418" s="2" t="s">
        <v>16</v>
      </c>
      <c r="L2418" s="2" t="s">
        <v>10741</v>
      </c>
      <c r="M2418" s="4">
        <v>8444.6</v>
      </c>
      <c r="N2418" t="b">
        <f>OR(LEFT(B2418,3)="frg",(_xlfn.XMATCH(B2418,ZZZ_Part_Id_[[#All],[FGCODE]])))</f>
        <v>1</v>
      </c>
    </row>
    <row r="2419" spans="1:14" x14ac:dyDescent="0.3">
      <c r="A2419" s="2" t="s">
        <v>10729</v>
      </c>
      <c r="B2419" s="2" t="s">
        <v>37</v>
      </c>
      <c r="C2419" s="2" t="s">
        <v>10742</v>
      </c>
      <c r="D2419" s="3">
        <v>4</v>
      </c>
      <c r="E2419" s="3">
        <v>4</v>
      </c>
      <c r="F2419" s="2" t="s">
        <v>16</v>
      </c>
      <c r="G2419" s="2" t="s">
        <v>10743</v>
      </c>
      <c r="H2419" s="3">
        <v>0</v>
      </c>
      <c r="I2419" s="2" t="s">
        <v>18</v>
      </c>
      <c r="J2419" s="2" t="s">
        <v>10744</v>
      </c>
      <c r="K2419" s="2" t="s">
        <v>16</v>
      </c>
      <c r="L2419" s="2" t="s">
        <v>10745</v>
      </c>
      <c r="M2419" s="4">
        <v>64</v>
      </c>
      <c r="N2419" t="e">
        <f>OR(LEFT(B2419,3)="frg",(_xlfn.XMATCH(B2419,ZZZ_Part_Id_[[#All],[FGCODE]])))</f>
        <v>#N/A</v>
      </c>
    </row>
    <row r="2420" spans="1:14" x14ac:dyDescent="0.3">
      <c r="A2420" s="2" t="s">
        <v>10746</v>
      </c>
      <c r="B2420" s="2" t="s">
        <v>5357</v>
      </c>
      <c r="C2420" s="2" t="s">
        <v>10747</v>
      </c>
      <c r="D2420" s="3">
        <v>6624</v>
      </c>
      <c r="E2420" s="3">
        <v>6624</v>
      </c>
      <c r="F2420" s="2" t="s">
        <v>16</v>
      </c>
      <c r="G2420" s="2" t="s">
        <v>10748</v>
      </c>
      <c r="H2420" s="3">
        <v>0</v>
      </c>
      <c r="I2420" s="2" t="s">
        <v>18</v>
      </c>
      <c r="J2420" s="2" t="s">
        <v>10749</v>
      </c>
      <c r="K2420" s="2" t="s">
        <v>16</v>
      </c>
      <c r="L2420" s="2" t="s">
        <v>10750</v>
      </c>
      <c r="M2420" s="4">
        <v>1968.59</v>
      </c>
      <c r="N2420" t="b">
        <f>OR(LEFT(B2420,3)="frg",(_xlfn.XMATCH(B2420,ZZZ_Part_Id_[[#All],[FGCODE]])))</f>
        <v>1</v>
      </c>
    </row>
    <row r="2421" spans="1:14" x14ac:dyDescent="0.3">
      <c r="A2421" s="2" t="s">
        <v>10751</v>
      </c>
      <c r="B2421" s="2" t="s">
        <v>5357</v>
      </c>
      <c r="C2421" s="2" t="s">
        <v>10752</v>
      </c>
      <c r="D2421" s="3">
        <v>6624</v>
      </c>
      <c r="E2421" s="3">
        <v>6624</v>
      </c>
      <c r="F2421" s="2" t="s">
        <v>16</v>
      </c>
      <c r="G2421" s="2" t="s">
        <v>10753</v>
      </c>
      <c r="H2421" s="3">
        <v>0</v>
      </c>
      <c r="I2421" s="2" t="s">
        <v>409</v>
      </c>
      <c r="J2421" s="2" t="s">
        <v>10754</v>
      </c>
      <c r="K2421" s="2" t="s">
        <v>16</v>
      </c>
      <c r="L2421" s="2" t="s">
        <v>10755</v>
      </c>
      <c r="M2421" s="4">
        <v>1968.59</v>
      </c>
      <c r="N2421" t="b">
        <f>OR(LEFT(B2421,3)="frg",(_xlfn.XMATCH(B2421,ZZZ_Part_Id_[[#All],[FGCODE]])))</f>
        <v>1</v>
      </c>
    </row>
    <row r="2422" spans="1:14" x14ac:dyDescent="0.3">
      <c r="A2422" s="2" t="s">
        <v>10756</v>
      </c>
      <c r="B2422" s="2" t="s">
        <v>14</v>
      </c>
      <c r="C2422" s="2" t="s">
        <v>10757</v>
      </c>
      <c r="D2422" s="3">
        <v>6</v>
      </c>
      <c r="E2422" s="3">
        <v>6</v>
      </c>
      <c r="F2422" s="2" t="s">
        <v>16</v>
      </c>
      <c r="G2422" s="2" t="s">
        <v>10758</v>
      </c>
      <c r="H2422" s="3">
        <v>0</v>
      </c>
      <c r="I2422" s="2" t="s">
        <v>409</v>
      </c>
      <c r="J2422" s="2" t="s">
        <v>10759</v>
      </c>
      <c r="K2422" s="2" t="s">
        <v>16</v>
      </c>
      <c r="L2422" s="2" t="s">
        <v>10760</v>
      </c>
      <c r="M2422" s="4">
        <v>0.46</v>
      </c>
      <c r="N2422" t="e">
        <f>OR(LEFT(B2422,3)="frg",(_xlfn.XMATCH(B2422,ZZZ_Part_Id_[[#All],[FGCODE]])))</f>
        <v>#N/A</v>
      </c>
    </row>
    <row r="2423" spans="1:14" x14ac:dyDescent="0.3">
      <c r="A2423" s="2" t="s">
        <v>10756</v>
      </c>
      <c r="B2423" s="2" t="s">
        <v>37</v>
      </c>
      <c r="C2423" s="2" t="s">
        <v>10761</v>
      </c>
      <c r="D2423" s="3">
        <v>6</v>
      </c>
      <c r="E2423" s="3">
        <v>6</v>
      </c>
      <c r="F2423" s="2" t="s">
        <v>16</v>
      </c>
      <c r="G2423" s="2" t="s">
        <v>10762</v>
      </c>
      <c r="H2423" s="3">
        <v>0</v>
      </c>
      <c r="I2423" s="2" t="s">
        <v>409</v>
      </c>
      <c r="J2423" s="2" t="s">
        <v>10763</v>
      </c>
      <c r="K2423" s="2" t="s">
        <v>16</v>
      </c>
      <c r="L2423" s="2" t="s">
        <v>10764</v>
      </c>
      <c r="M2423" s="4">
        <v>96</v>
      </c>
      <c r="N2423" t="e">
        <f>OR(LEFT(B2423,3)="frg",(_xlfn.XMATCH(B2423,ZZZ_Part_Id_[[#All],[FGCODE]])))</f>
        <v>#N/A</v>
      </c>
    </row>
    <row r="2424" spans="1:14" x14ac:dyDescent="0.3">
      <c r="A2424" s="2" t="s">
        <v>10756</v>
      </c>
      <c r="B2424" s="2" t="s">
        <v>2319</v>
      </c>
      <c r="C2424" s="2" t="s">
        <v>10765</v>
      </c>
      <c r="D2424" s="3">
        <v>152064</v>
      </c>
      <c r="E2424" s="3">
        <v>152064</v>
      </c>
      <c r="F2424" s="2" t="s">
        <v>16</v>
      </c>
      <c r="G2424" s="2" t="s">
        <v>10766</v>
      </c>
      <c r="H2424" s="3">
        <v>0</v>
      </c>
      <c r="I2424" s="2" t="s">
        <v>409</v>
      </c>
      <c r="J2424" s="2" t="s">
        <v>10767</v>
      </c>
      <c r="K2424" s="2" t="s">
        <v>16</v>
      </c>
      <c r="L2424" s="2" t="s">
        <v>10768</v>
      </c>
      <c r="M2424" s="4">
        <v>11666.34</v>
      </c>
      <c r="N2424" t="b">
        <f>OR(LEFT(B2424,3)="frg",(_xlfn.XMATCH(B2424,ZZZ_Part_Id_[[#All],[FGCODE]])))</f>
        <v>1</v>
      </c>
    </row>
    <row r="2425" spans="1:14" x14ac:dyDescent="0.3">
      <c r="A2425" s="2" t="s">
        <v>10769</v>
      </c>
      <c r="B2425" s="2" t="s">
        <v>740</v>
      </c>
      <c r="C2425" s="2" t="s">
        <v>10770</v>
      </c>
      <c r="D2425" s="3">
        <v>84960</v>
      </c>
      <c r="E2425" s="3">
        <v>0</v>
      </c>
      <c r="F2425" s="2" t="s">
        <v>16</v>
      </c>
      <c r="G2425" s="2" t="s">
        <v>10771</v>
      </c>
      <c r="H2425" s="3">
        <v>0</v>
      </c>
      <c r="I2425" s="2" t="s">
        <v>18</v>
      </c>
      <c r="J2425" s="2" t="s">
        <v>10772</v>
      </c>
      <c r="K2425" s="2" t="s">
        <v>16</v>
      </c>
      <c r="L2425" s="2" t="s">
        <v>10773</v>
      </c>
      <c r="M2425" s="4">
        <v>0</v>
      </c>
      <c r="N2425" t="b">
        <f>OR(LEFT(B2425,3)="frg",(_xlfn.XMATCH(B2425,ZZZ_Part_Id_[[#All],[FGCODE]])))</f>
        <v>1</v>
      </c>
    </row>
    <row r="2426" spans="1:14" x14ac:dyDescent="0.3">
      <c r="A2426" s="2" t="s">
        <v>10774</v>
      </c>
      <c r="B2426" s="2" t="s">
        <v>14</v>
      </c>
      <c r="C2426" s="2" t="s">
        <v>10775</v>
      </c>
      <c r="D2426" s="3">
        <v>50</v>
      </c>
      <c r="E2426" s="3">
        <v>50</v>
      </c>
      <c r="F2426" s="2" t="s">
        <v>16</v>
      </c>
      <c r="G2426" s="2" t="s">
        <v>10776</v>
      </c>
      <c r="H2426" s="3">
        <v>0</v>
      </c>
      <c r="I2426" s="2" t="s">
        <v>18</v>
      </c>
      <c r="J2426" s="2" t="s">
        <v>10777</v>
      </c>
      <c r="K2426" s="2" t="s">
        <v>16</v>
      </c>
      <c r="L2426" s="2" t="s">
        <v>10778</v>
      </c>
      <c r="M2426" s="4">
        <v>3.85</v>
      </c>
      <c r="N2426" t="e">
        <f>OR(LEFT(B2426,3)="frg",(_xlfn.XMATCH(B2426,ZZZ_Part_Id_[[#All],[FGCODE]])))</f>
        <v>#N/A</v>
      </c>
    </row>
    <row r="2427" spans="1:14" x14ac:dyDescent="0.3">
      <c r="A2427" s="2" t="s">
        <v>10774</v>
      </c>
      <c r="B2427" s="2" t="s">
        <v>9405</v>
      </c>
      <c r="C2427" s="2" t="s">
        <v>10779</v>
      </c>
      <c r="D2427" s="3">
        <v>1269000</v>
      </c>
      <c r="E2427" s="3">
        <v>1269000</v>
      </c>
      <c r="F2427" s="2" t="s">
        <v>16</v>
      </c>
      <c r="G2427" s="2" t="s">
        <v>10780</v>
      </c>
      <c r="H2427" s="3">
        <v>0</v>
      </c>
      <c r="I2427" s="2" t="s">
        <v>18</v>
      </c>
      <c r="J2427" s="2" t="s">
        <v>10781</v>
      </c>
      <c r="K2427" s="2" t="s">
        <v>16</v>
      </c>
      <c r="L2427" s="2" t="s">
        <v>10782</v>
      </c>
      <c r="M2427" s="4">
        <v>81850.5</v>
      </c>
      <c r="N2427" t="b">
        <f>OR(LEFT(B2427,3)="frg",(_xlfn.XMATCH(B2427,ZZZ_Part_Id_[[#All],[FGCODE]])))</f>
        <v>1</v>
      </c>
    </row>
    <row r="2428" spans="1:14" x14ac:dyDescent="0.3">
      <c r="A2428" s="2" t="s">
        <v>10783</v>
      </c>
      <c r="B2428" s="2" t="s">
        <v>14</v>
      </c>
      <c r="C2428" s="2" t="s">
        <v>10784</v>
      </c>
      <c r="D2428" s="3">
        <v>4</v>
      </c>
      <c r="E2428" s="3">
        <v>4</v>
      </c>
      <c r="F2428" s="2" t="s">
        <v>16</v>
      </c>
      <c r="G2428" s="2" t="s">
        <v>10785</v>
      </c>
      <c r="H2428" s="3">
        <v>0</v>
      </c>
      <c r="I2428" s="2" t="s">
        <v>18</v>
      </c>
      <c r="J2428" s="2" t="s">
        <v>10786</v>
      </c>
      <c r="K2428" s="2" t="s">
        <v>16</v>
      </c>
      <c r="L2428" s="2" t="s">
        <v>10787</v>
      </c>
      <c r="M2428" s="4">
        <v>0.31</v>
      </c>
      <c r="N2428" t="e">
        <f>OR(LEFT(B2428,3)="frg",(_xlfn.XMATCH(B2428,ZZZ_Part_Id_[[#All],[FGCODE]])))</f>
        <v>#N/A</v>
      </c>
    </row>
    <row r="2429" spans="1:14" x14ac:dyDescent="0.3">
      <c r="A2429" s="2" t="s">
        <v>10783</v>
      </c>
      <c r="B2429" s="2" t="s">
        <v>2121</v>
      </c>
      <c r="C2429" s="2" t="s">
        <v>10788</v>
      </c>
      <c r="D2429" s="3">
        <v>19872</v>
      </c>
      <c r="E2429" s="3">
        <v>19872</v>
      </c>
      <c r="F2429" s="2" t="s">
        <v>16</v>
      </c>
      <c r="G2429" s="2" t="s">
        <v>10789</v>
      </c>
      <c r="H2429" s="3">
        <v>0</v>
      </c>
      <c r="I2429" s="2" t="s">
        <v>18</v>
      </c>
      <c r="J2429" s="2" t="s">
        <v>10790</v>
      </c>
      <c r="K2429" s="2" t="s">
        <v>16</v>
      </c>
      <c r="L2429" s="2" t="s">
        <v>10791</v>
      </c>
      <c r="M2429" s="4">
        <v>4609.32</v>
      </c>
      <c r="N2429" t="b">
        <f>OR(LEFT(B2429,3)="frg",(_xlfn.XMATCH(B2429,ZZZ_Part_Id_[[#All],[FGCODE]])))</f>
        <v>1</v>
      </c>
    </row>
    <row r="2430" spans="1:14" x14ac:dyDescent="0.3">
      <c r="A2430" s="2" t="s">
        <v>10792</v>
      </c>
      <c r="B2430" s="2" t="s">
        <v>1027</v>
      </c>
      <c r="C2430" s="2" t="s">
        <v>10793</v>
      </c>
      <c r="D2430" s="3">
        <v>84960</v>
      </c>
      <c r="E2430" s="3">
        <v>84960</v>
      </c>
      <c r="F2430" s="2" t="s">
        <v>16</v>
      </c>
      <c r="G2430" s="2" t="s">
        <v>10794</v>
      </c>
      <c r="H2430" s="3">
        <v>0</v>
      </c>
      <c r="I2430" s="2" t="s">
        <v>18</v>
      </c>
      <c r="J2430" s="2" t="s">
        <v>10795</v>
      </c>
      <c r="K2430" s="2" t="s">
        <v>16</v>
      </c>
      <c r="L2430" s="2" t="s">
        <v>10796</v>
      </c>
      <c r="M2430" s="4">
        <v>17105.84</v>
      </c>
      <c r="N2430" t="b">
        <f>OR(LEFT(B2430,3)="frg",(_xlfn.XMATCH(B2430,ZZZ_Part_Id_[[#All],[FGCODE]])))</f>
        <v>1</v>
      </c>
    </row>
    <row r="2431" spans="1:14" x14ac:dyDescent="0.3">
      <c r="A2431" s="2" t="s">
        <v>10797</v>
      </c>
      <c r="B2431" s="2" t="s">
        <v>1170</v>
      </c>
      <c r="C2431" s="2" t="s">
        <v>10798</v>
      </c>
      <c r="D2431" s="3">
        <v>292800</v>
      </c>
      <c r="E2431" s="3">
        <v>292800</v>
      </c>
      <c r="F2431" s="2" t="s">
        <v>16</v>
      </c>
      <c r="G2431" s="2" t="s">
        <v>10799</v>
      </c>
      <c r="H2431" s="3">
        <v>0</v>
      </c>
      <c r="I2431" s="2" t="s">
        <v>409</v>
      </c>
      <c r="J2431" s="2" t="s">
        <v>10800</v>
      </c>
      <c r="K2431" s="2" t="s">
        <v>16</v>
      </c>
      <c r="L2431" s="2" t="s">
        <v>10801</v>
      </c>
      <c r="M2431" s="4">
        <v>101294.16</v>
      </c>
      <c r="N2431" t="b">
        <f>OR(LEFT(B2431,3)="frg",(_xlfn.XMATCH(B2431,ZZZ_Part_Id_[[#All],[FGCODE]])))</f>
        <v>1</v>
      </c>
    </row>
    <row r="2432" spans="1:14" x14ac:dyDescent="0.3">
      <c r="A2432" s="2" t="s">
        <v>10797</v>
      </c>
      <c r="B2432" s="2" t="s">
        <v>14</v>
      </c>
      <c r="C2432" s="2" t="s">
        <v>10802</v>
      </c>
      <c r="D2432" s="3">
        <v>61</v>
      </c>
      <c r="E2432" s="3">
        <v>61</v>
      </c>
      <c r="F2432" s="2" t="s">
        <v>16</v>
      </c>
      <c r="G2432" s="2" t="s">
        <v>10803</v>
      </c>
      <c r="H2432" s="3">
        <v>0</v>
      </c>
      <c r="I2432" s="2" t="s">
        <v>409</v>
      </c>
      <c r="J2432" s="2" t="s">
        <v>10804</v>
      </c>
      <c r="K2432" s="2" t="s">
        <v>16</v>
      </c>
      <c r="L2432" s="2" t="s">
        <v>10805</v>
      </c>
      <c r="M2432" s="4">
        <v>4.6900000000000004</v>
      </c>
      <c r="N2432" t="e">
        <f>OR(LEFT(B2432,3)="frg",(_xlfn.XMATCH(B2432,ZZZ_Part_Id_[[#All],[FGCODE]])))</f>
        <v>#N/A</v>
      </c>
    </row>
    <row r="2433" spans="1:14" x14ac:dyDescent="0.3">
      <c r="A2433" s="2" t="s">
        <v>10797</v>
      </c>
      <c r="B2433" s="2" t="s">
        <v>140</v>
      </c>
      <c r="C2433" s="2" t="s">
        <v>10806</v>
      </c>
      <c r="D2433" s="3">
        <v>2.44</v>
      </c>
      <c r="E2433" s="3">
        <v>2.44</v>
      </c>
      <c r="F2433" s="2" t="s">
        <v>16</v>
      </c>
      <c r="G2433" s="2" t="s">
        <v>10807</v>
      </c>
      <c r="H2433" s="3">
        <v>0</v>
      </c>
      <c r="I2433" s="2" t="s">
        <v>409</v>
      </c>
      <c r="J2433" s="2" t="s">
        <v>10808</v>
      </c>
      <c r="K2433" s="2" t="s">
        <v>16</v>
      </c>
      <c r="L2433" s="2" t="s">
        <v>10809</v>
      </c>
      <c r="M2433" s="4">
        <v>5.28</v>
      </c>
      <c r="N2433" t="e">
        <f>OR(LEFT(B2433,3)="frg",(_xlfn.XMATCH(B2433,ZZZ_Part_Id_[[#All],[FGCODE]])))</f>
        <v>#N/A</v>
      </c>
    </row>
    <row r="2434" spans="1:14" x14ac:dyDescent="0.3">
      <c r="A2434" s="2" t="s">
        <v>10797</v>
      </c>
      <c r="B2434" s="2" t="s">
        <v>192</v>
      </c>
      <c r="C2434" s="2" t="s">
        <v>10810</v>
      </c>
      <c r="D2434" s="3">
        <v>0.61</v>
      </c>
      <c r="E2434" s="3">
        <v>0.61</v>
      </c>
      <c r="F2434" s="2" t="s">
        <v>194</v>
      </c>
      <c r="G2434" s="2" t="s">
        <v>10811</v>
      </c>
      <c r="H2434" s="3">
        <v>0</v>
      </c>
      <c r="I2434" s="2" t="s">
        <v>409</v>
      </c>
      <c r="J2434" s="2" t="s">
        <v>10812</v>
      </c>
      <c r="K2434" s="2" t="s">
        <v>194</v>
      </c>
      <c r="L2434" s="2" t="s">
        <v>10813</v>
      </c>
      <c r="M2434" s="4">
        <v>3.19</v>
      </c>
      <c r="N2434" t="e">
        <f>OR(LEFT(B2434,3)="frg",(_xlfn.XMATCH(B2434,ZZZ_Part_Id_[[#All],[FGCODE]])))</f>
        <v>#N/A</v>
      </c>
    </row>
    <row r="2435" spans="1:14" x14ac:dyDescent="0.3">
      <c r="A2435" s="2" t="s">
        <v>10797</v>
      </c>
      <c r="B2435" s="2" t="s">
        <v>145</v>
      </c>
      <c r="C2435" s="2" t="s">
        <v>10814</v>
      </c>
      <c r="D2435" s="3">
        <v>0.24399999999999999</v>
      </c>
      <c r="E2435" s="3">
        <v>0.24399999999999999</v>
      </c>
      <c r="F2435" s="2" t="s">
        <v>147</v>
      </c>
      <c r="G2435" s="2" t="s">
        <v>10815</v>
      </c>
      <c r="H2435" s="3">
        <v>0</v>
      </c>
      <c r="I2435" s="2" t="s">
        <v>409</v>
      </c>
      <c r="J2435" s="2" t="s">
        <v>10816</v>
      </c>
      <c r="K2435" s="2" t="s">
        <v>147</v>
      </c>
      <c r="L2435" s="2" t="s">
        <v>10817</v>
      </c>
      <c r="M2435" s="4">
        <v>38.159999999999997</v>
      </c>
      <c r="N2435" t="e">
        <f>OR(LEFT(B2435,3)="frg",(_xlfn.XMATCH(B2435,ZZZ_Part_Id_[[#All],[FGCODE]])))</f>
        <v>#N/A</v>
      </c>
    </row>
    <row r="2436" spans="1:14" x14ac:dyDescent="0.3">
      <c r="A2436" s="2" t="s">
        <v>10818</v>
      </c>
      <c r="B2436" s="2" t="s">
        <v>14</v>
      </c>
      <c r="C2436" s="2" t="s">
        <v>10819</v>
      </c>
      <c r="D2436" s="3">
        <v>40</v>
      </c>
      <c r="E2436" s="3">
        <v>40</v>
      </c>
      <c r="F2436" s="2" t="s">
        <v>16</v>
      </c>
      <c r="G2436" s="2" t="s">
        <v>10820</v>
      </c>
      <c r="H2436" s="3">
        <v>0</v>
      </c>
      <c r="I2436" s="2" t="s">
        <v>18</v>
      </c>
      <c r="J2436" s="2" t="s">
        <v>10821</v>
      </c>
      <c r="K2436" s="2" t="s">
        <v>16</v>
      </c>
      <c r="L2436" s="2" t="s">
        <v>10822</v>
      </c>
      <c r="M2436" s="4">
        <v>3.08</v>
      </c>
      <c r="N2436" t="e">
        <f>OR(LEFT(B2436,3)="frg",(_xlfn.XMATCH(B2436,ZZZ_Part_Id_[[#All],[FGCODE]])))</f>
        <v>#N/A</v>
      </c>
    </row>
    <row r="2437" spans="1:14" x14ac:dyDescent="0.3">
      <c r="A2437" s="2" t="s">
        <v>10818</v>
      </c>
      <c r="B2437" s="2" t="s">
        <v>65</v>
      </c>
      <c r="C2437" s="2" t="s">
        <v>10823</v>
      </c>
      <c r="D2437" s="5">
        <v>-238</v>
      </c>
      <c r="E2437" s="5">
        <v>-238</v>
      </c>
      <c r="F2437" s="2" t="s">
        <v>23</v>
      </c>
      <c r="G2437" s="2" t="s">
        <v>10824</v>
      </c>
      <c r="H2437" s="3">
        <v>0</v>
      </c>
      <c r="I2437" s="2" t="s">
        <v>18</v>
      </c>
      <c r="J2437" s="2" t="s">
        <v>10825</v>
      </c>
      <c r="K2437" s="2" t="s">
        <v>23</v>
      </c>
      <c r="L2437" s="2" t="s">
        <v>10826</v>
      </c>
      <c r="M2437" s="6">
        <v>-612.04</v>
      </c>
      <c r="N2437" t="b">
        <f>OR(LEFT(B2437,3)="frg",(_xlfn.XMATCH(B2437,ZZZ_Part_Id_[[#All],[FGCODE]])))</f>
        <v>1</v>
      </c>
    </row>
    <row r="2438" spans="1:14" x14ac:dyDescent="0.3">
      <c r="A2438" s="2" t="s">
        <v>10818</v>
      </c>
      <c r="B2438" s="2" t="s">
        <v>9405</v>
      </c>
      <c r="C2438" s="2" t="s">
        <v>10827</v>
      </c>
      <c r="D2438" s="3">
        <v>1116720</v>
      </c>
      <c r="E2438" s="3">
        <v>1116720</v>
      </c>
      <c r="F2438" s="2" t="s">
        <v>16</v>
      </c>
      <c r="G2438" s="2" t="s">
        <v>10828</v>
      </c>
      <c r="H2438" s="3">
        <v>0</v>
      </c>
      <c r="I2438" s="2" t="s">
        <v>18</v>
      </c>
      <c r="J2438" s="2" t="s">
        <v>10829</v>
      </c>
      <c r="K2438" s="2" t="s">
        <v>16</v>
      </c>
      <c r="L2438" s="2" t="s">
        <v>10830</v>
      </c>
      <c r="M2438" s="4">
        <v>72028.44</v>
      </c>
      <c r="N2438" t="b">
        <f>OR(LEFT(B2438,3)="frg",(_xlfn.XMATCH(B2438,ZZZ_Part_Id_[[#All],[FGCODE]])))</f>
        <v>1</v>
      </c>
    </row>
    <row r="2439" spans="1:14" x14ac:dyDescent="0.3">
      <c r="A2439" s="2" t="s">
        <v>10831</v>
      </c>
      <c r="B2439" s="2" t="s">
        <v>1170</v>
      </c>
      <c r="C2439" s="2" t="s">
        <v>10832</v>
      </c>
      <c r="D2439" s="3">
        <v>292800</v>
      </c>
      <c r="E2439" s="3">
        <v>292800</v>
      </c>
      <c r="F2439" s="2" t="s">
        <v>16</v>
      </c>
      <c r="G2439" s="2" t="s">
        <v>10833</v>
      </c>
      <c r="H2439" s="3">
        <v>0</v>
      </c>
      <c r="I2439" s="2" t="s">
        <v>409</v>
      </c>
      <c r="J2439" s="2" t="s">
        <v>10834</v>
      </c>
      <c r="K2439" s="2" t="s">
        <v>16</v>
      </c>
      <c r="L2439" s="2" t="s">
        <v>10835</v>
      </c>
      <c r="M2439" s="4">
        <v>101294.16</v>
      </c>
      <c r="N2439" t="b">
        <f>OR(LEFT(B2439,3)="frg",(_xlfn.XMATCH(B2439,ZZZ_Part_Id_[[#All],[FGCODE]])))</f>
        <v>1</v>
      </c>
    </row>
    <row r="2440" spans="1:14" x14ac:dyDescent="0.3">
      <c r="A2440" s="2" t="s">
        <v>10836</v>
      </c>
      <c r="B2440" s="2" t="s">
        <v>14</v>
      </c>
      <c r="C2440" s="2" t="s">
        <v>10837</v>
      </c>
      <c r="D2440" s="3">
        <v>10</v>
      </c>
      <c r="E2440" s="3">
        <v>10</v>
      </c>
      <c r="F2440" s="2" t="s">
        <v>16</v>
      </c>
      <c r="G2440" s="2" t="s">
        <v>10838</v>
      </c>
      <c r="H2440" s="3">
        <v>0</v>
      </c>
      <c r="I2440" s="2" t="s">
        <v>18</v>
      </c>
      <c r="J2440" s="2" t="s">
        <v>10839</v>
      </c>
      <c r="K2440" s="2" t="s">
        <v>16</v>
      </c>
      <c r="L2440" s="2" t="s">
        <v>10840</v>
      </c>
      <c r="M2440" s="4">
        <v>0.77</v>
      </c>
      <c r="N2440" t="e">
        <f>OR(LEFT(B2440,3)="frg",(_xlfn.XMATCH(B2440,ZZZ_Part_Id_[[#All],[FGCODE]])))</f>
        <v>#N/A</v>
      </c>
    </row>
    <row r="2441" spans="1:14" x14ac:dyDescent="0.3">
      <c r="A2441" s="2" t="s">
        <v>10836</v>
      </c>
      <c r="B2441" s="2" t="s">
        <v>4988</v>
      </c>
      <c r="C2441" s="2" t="s">
        <v>10841</v>
      </c>
      <c r="D2441" s="3">
        <v>60480</v>
      </c>
      <c r="E2441" s="3">
        <v>60480</v>
      </c>
      <c r="F2441" s="2" t="s">
        <v>16</v>
      </c>
      <c r="G2441" s="2" t="s">
        <v>10842</v>
      </c>
      <c r="H2441" s="3">
        <v>0</v>
      </c>
      <c r="I2441" s="2" t="s">
        <v>18</v>
      </c>
      <c r="J2441" s="2" t="s">
        <v>10843</v>
      </c>
      <c r="K2441" s="2" t="s">
        <v>16</v>
      </c>
      <c r="L2441" s="2" t="s">
        <v>10844</v>
      </c>
      <c r="M2441" s="4">
        <v>10250.16</v>
      </c>
      <c r="N2441" t="b">
        <f>OR(LEFT(B2441,3)="frg",(_xlfn.XMATCH(B2441,ZZZ_Part_Id_[[#All],[FGCODE]])))</f>
        <v>1</v>
      </c>
    </row>
    <row r="2442" spans="1:14" x14ac:dyDescent="0.3">
      <c r="A2442" s="2" t="s">
        <v>10845</v>
      </c>
      <c r="B2442" s="2" t="s">
        <v>2840</v>
      </c>
      <c r="C2442" s="2" t="s">
        <v>10846</v>
      </c>
      <c r="D2442" s="3">
        <v>30240</v>
      </c>
      <c r="E2442" s="3">
        <v>30240</v>
      </c>
      <c r="F2442" s="2" t="s">
        <v>16</v>
      </c>
      <c r="G2442" s="2" t="s">
        <v>10847</v>
      </c>
      <c r="H2442" s="3">
        <v>0</v>
      </c>
      <c r="I2442" s="2" t="s">
        <v>18</v>
      </c>
      <c r="J2442" s="2" t="s">
        <v>10848</v>
      </c>
      <c r="K2442" s="2" t="s">
        <v>16</v>
      </c>
      <c r="L2442" s="2" t="s">
        <v>10849</v>
      </c>
      <c r="M2442" s="4">
        <v>5558.4</v>
      </c>
      <c r="N2442" t="b">
        <f>OR(LEFT(B2442,3)="frg",(_xlfn.XMATCH(B2442,ZZZ_Part_Id_[[#All],[FGCODE]])))</f>
        <v>1</v>
      </c>
    </row>
    <row r="2443" spans="1:14" x14ac:dyDescent="0.3">
      <c r="A2443" s="2" t="s">
        <v>10850</v>
      </c>
      <c r="B2443" s="2" t="s">
        <v>21</v>
      </c>
      <c r="C2443" s="2" t="s">
        <v>10851</v>
      </c>
      <c r="D2443" s="5">
        <v>-28</v>
      </c>
      <c r="E2443" s="5">
        <v>-28</v>
      </c>
      <c r="F2443" s="2" t="s">
        <v>23</v>
      </c>
      <c r="G2443" s="2" t="s">
        <v>10852</v>
      </c>
      <c r="H2443" s="3">
        <v>0</v>
      </c>
      <c r="I2443" s="2" t="s">
        <v>409</v>
      </c>
      <c r="J2443" s="2" t="s">
        <v>10853</v>
      </c>
      <c r="K2443" s="2" t="s">
        <v>23</v>
      </c>
      <c r="L2443" s="2" t="s">
        <v>10854</v>
      </c>
      <c r="M2443" s="6">
        <v>-61.78</v>
      </c>
      <c r="N2443" t="b">
        <f>OR(LEFT(B2443,3)="frg",(_xlfn.XMATCH(B2443,ZZZ_Part_Id_[[#All],[FGCODE]])))</f>
        <v>1</v>
      </c>
    </row>
    <row r="2444" spans="1:14" x14ac:dyDescent="0.3">
      <c r="A2444" s="2" t="s">
        <v>10850</v>
      </c>
      <c r="B2444" s="2" t="s">
        <v>2023</v>
      </c>
      <c r="C2444" s="2" t="s">
        <v>10855</v>
      </c>
      <c r="D2444" s="3">
        <v>20640</v>
      </c>
      <c r="E2444" s="3">
        <v>20640</v>
      </c>
      <c r="F2444" s="2" t="s">
        <v>16</v>
      </c>
      <c r="G2444" s="2" t="s">
        <v>10856</v>
      </c>
      <c r="H2444" s="3">
        <v>0</v>
      </c>
      <c r="I2444" s="2" t="s">
        <v>409</v>
      </c>
      <c r="J2444" s="2" t="s">
        <v>10857</v>
      </c>
      <c r="K2444" s="2" t="s">
        <v>16</v>
      </c>
      <c r="L2444" s="2" t="s">
        <v>10858</v>
      </c>
      <c r="M2444" s="4">
        <v>2044.6</v>
      </c>
      <c r="N2444" t="b">
        <f>OR(LEFT(B2444,3)="frg",(_xlfn.XMATCH(B2444,ZZZ_Part_Id_[[#All],[FGCODE]])))</f>
        <v>1</v>
      </c>
    </row>
    <row r="2445" spans="1:14" x14ac:dyDescent="0.3">
      <c r="A2445" s="2" t="s">
        <v>10859</v>
      </c>
      <c r="B2445" s="2" t="s">
        <v>293</v>
      </c>
      <c r="C2445" s="2" t="s">
        <v>10860</v>
      </c>
      <c r="D2445" s="3">
        <v>10656</v>
      </c>
      <c r="E2445" s="3">
        <v>10656</v>
      </c>
      <c r="F2445" s="2" t="s">
        <v>16</v>
      </c>
      <c r="G2445" s="2" t="s">
        <v>10861</v>
      </c>
      <c r="H2445" s="3">
        <v>0</v>
      </c>
      <c r="I2445" s="2" t="s">
        <v>409</v>
      </c>
      <c r="J2445" s="2" t="s">
        <v>10862</v>
      </c>
      <c r="K2445" s="2" t="s">
        <v>16</v>
      </c>
      <c r="L2445" s="2" t="s">
        <v>10863</v>
      </c>
      <c r="M2445" s="4">
        <v>658.11</v>
      </c>
      <c r="N2445" t="b">
        <f>OR(LEFT(B2445,3)="frg",(_xlfn.XMATCH(B2445,ZZZ_Part_Id_[[#All],[FGCODE]])))</f>
        <v>1</v>
      </c>
    </row>
    <row r="2446" spans="1:14" x14ac:dyDescent="0.3">
      <c r="A2446" s="2" t="s">
        <v>10864</v>
      </c>
      <c r="B2446" s="2" t="s">
        <v>14</v>
      </c>
      <c r="C2446" s="2" t="s">
        <v>10865</v>
      </c>
      <c r="D2446" s="3">
        <v>1</v>
      </c>
      <c r="E2446" s="3">
        <v>0</v>
      </c>
      <c r="F2446" s="2" t="s">
        <v>16</v>
      </c>
      <c r="G2446" s="2" t="s">
        <v>10866</v>
      </c>
      <c r="H2446" s="3">
        <v>0</v>
      </c>
      <c r="I2446" s="2" t="s">
        <v>18</v>
      </c>
      <c r="J2446" s="2" t="s">
        <v>10867</v>
      </c>
      <c r="K2446" s="2" t="s">
        <v>16</v>
      </c>
      <c r="L2446" s="2" t="s">
        <v>10868</v>
      </c>
      <c r="M2446" s="4">
        <v>0</v>
      </c>
      <c r="N2446" t="e">
        <f>OR(LEFT(B2446,3)="frg",(_xlfn.XMATCH(B2446,ZZZ_Part_Id_[[#All],[FGCODE]])))</f>
        <v>#N/A</v>
      </c>
    </row>
    <row r="2447" spans="1:14" x14ac:dyDescent="0.3">
      <c r="A2447" s="2" t="s">
        <v>10864</v>
      </c>
      <c r="B2447" s="2" t="s">
        <v>2086</v>
      </c>
      <c r="C2447" s="2" t="s">
        <v>10869</v>
      </c>
      <c r="D2447" s="3">
        <v>4224</v>
      </c>
      <c r="E2447" s="3">
        <v>4224</v>
      </c>
      <c r="F2447" s="2" t="s">
        <v>16</v>
      </c>
      <c r="G2447" s="2" t="s">
        <v>10870</v>
      </c>
      <c r="H2447" s="3">
        <v>0</v>
      </c>
      <c r="I2447" s="2" t="s">
        <v>18</v>
      </c>
      <c r="J2447" s="2" t="s">
        <v>10871</v>
      </c>
      <c r="K2447" s="2" t="s">
        <v>16</v>
      </c>
      <c r="L2447" s="2" t="s">
        <v>10872</v>
      </c>
      <c r="M2447" s="4">
        <v>991.8</v>
      </c>
      <c r="N2447" t="b">
        <f>OR(LEFT(B2447,3)="frg",(_xlfn.XMATCH(B2447,ZZZ_Part_Id_[[#All],[FGCODE]])))</f>
        <v>1</v>
      </c>
    </row>
    <row r="2448" spans="1:14" x14ac:dyDescent="0.3">
      <c r="A2448" s="2" t="s">
        <v>10873</v>
      </c>
      <c r="B2448" s="2" t="s">
        <v>14</v>
      </c>
      <c r="C2448" s="2" t="s">
        <v>10874</v>
      </c>
      <c r="D2448" s="3">
        <v>2</v>
      </c>
      <c r="E2448" s="3">
        <v>2</v>
      </c>
      <c r="F2448" s="2" t="s">
        <v>16</v>
      </c>
      <c r="G2448" s="2" t="s">
        <v>10875</v>
      </c>
      <c r="H2448" s="3">
        <v>0</v>
      </c>
      <c r="I2448" s="2" t="s">
        <v>409</v>
      </c>
      <c r="J2448" s="2" t="s">
        <v>10876</v>
      </c>
      <c r="K2448" s="2" t="s">
        <v>16</v>
      </c>
      <c r="L2448" s="2" t="s">
        <v>10877</v>
      </c>
      <c r="M2448" s="4">
        <v>0.15</v>
      </c>
      <c r="N2448" t="e">
        <f>OR(LEFT(B2448,3)="frg",(_xlfn.XMATCH(B2448,ZZZ_Part_Id_[[#All],[FGCODE]])))</f>
        <v>#N/A</v>
      </c>
    </row>
    <row r="2449" spans="1:14" x14ac:dyDescent="0.3">
      <c r="A2449" s="2" t="s">
        <v>10873</v>
      </c>
      <c r="B2449" s="2" t="s">
        <v>485</v>
      </c>
      <c r="C2449" s="2" t="s">
        <v>10878</v>
      </c>
      <c r="D2449" s="3">
        <v>38400</v>
      </c>
      <c r="E2449" s="3">
        <v>38400</v>
      </c>
      <c r="F2449" s="2" t="s">
        <v>16</v>
      </c>
      <c r="G2449" s="2" t="s">
        <v>10879</v>
      </c>
      <c r="H2449" s="3">
        <v>0</v>
      </c>
      <c r="I2449" s="2" t="s">
        <v>409</v>
      </c>
      <c r="J2449" s="2" t="s">
        <v>10880</v>
      </c>
      <c r="K2449" s="2" t="s">
        <v>16</v>
      </c>
      <c r="L2449" s="2" t="s">
        <v>10881</v>
      </c>
      <c r="M2449" s="4">
        <v>3905.66</v>
      </c>
      <c r="N2449" t="b">
        <f>OR(LEFT(B2449,3)="frg",(_xlfn.XMATCH(B2449,ZZZ_Part_Id_[[#All],[FGCODE]])))</f>
        <v>1</v>
      </c>
    </row>
    <row r="2450" spans="1:14" x14ac:dyDescent="0.3">
      <c r="A2450" s="2" t="s">
        <v>10882</v>
      </c>
      <c r="B2450" s="2" t="s">
        <v>14</v>
      </c>
      <c r="C2450" s="2" t="s">
        <v>10883</v>
      </c>
      <c r="D2450" s="3">
        <v>3</v>
      </c>
      <c r="E2450" s="3">
        <v>3</v>
      </c>
      <c r="F2450" s="2" t="s">
        <v>16</v>
      </c>
      <c r="G2450" s="2" t="s">
        <v>10884</v>
      </c>
      <c r="H2450" s="3">
        <v>0</v>
      </c>
      <c r="I2450" s="2" t="s">
        <v>409</v>
      </c>
      <c r="J2450" s="2" t="s">
        <v>10885</v>
      </c>
      <c r="K2450" s="2" t="s">
        <v>16</v>
      </c>
      <c r="L2450" s="2" t="s">
        <v>10886</v>
      </c>
      <c r="M2450" s="4">
        <v>0.23</v>
      </c>
      <c r="N2450" t="e">
        <f>OR(LEFT(B2450,3)="frg",(_xlfn.XMATCH(B2450,ZZZ_Part_Id_[[#All],[FGCODE]])))</f>
        <v>#N/A</v>
      </c>
    </row>
    <row r="2451" spans="1:14" x14ac:dyDescent="0.3">
      <c r="A2451" s="2" t="s">
        <v>10882</v>
      </c>
      <c r="B2451" s="2" t="s">
        <v>4424</v>
      </c>
      <c r="C2451" s="2" t="s">
        <v>10887</v>
      </c>
      <c r="D2451" s="3">
        <v>76140</v>
      </c>
      <c r="E2451" s="3">
        <v>76140</v>
      </c>
      <c r="F2451" s="2" t="s">
        <v>16</v>
      </c>
      <c r="G2451" s="2" t="s">
        <v>10888</v>
      </c>
      <c r="H2451" s="3">
        <v>0</v>
      </c>
      <c r="I2451" s="2" t="s">
        <v>409</v>
      </c>
      <c r="J2451" s="2" t="s">
        <v>10889</v>
      </c>
      <c r="K2451" s="2" t="s">
        <v>16</v>
      </c>
      <c r="L2451" s="2" t="s">
        <v>10890</v>
      </c>
      <c r="M2451" s="4">
        <v>4923.21</v>
      </c>
      <c r="N2451" t="b">
        <f>OR(LEFT(B2451,3)="frg",(_xlfn.XMATCH(B2451,ZZZ_Part_Id_[[#All],[FGCODE]])))</f>
        <v>1</v>
      </c>
    </row>
    <row r="2452" spans="1:14" x14ac:dyDescent="0.3">
      <c r="A2452" s="2" t="s">
        <v>10891</v>
      </c>
      <c r="B2452" s="2" t="s">
        <v>192</v>
      </c>
      <c r="C2452" s="2" t="s">
        <v>10892</v>
      </c>
      <c r="D2452" s="3">
        <v>0.34</v>
      </c>
      <c r="E2452" s="3">
        <v>0.34</v>
      </c>
      <c r="F2452" s="2" t="s">
        <v>194</v>
      </c>
      <c r="G2452" s="2" t="s">
        <v>10893</v>
      </c>
      <c r="H2452" s="3">
        <v>0</v>
      </c>
      <c r="I2452" s="2" t="s">
        <v>409</v>
      </c>
      <c r="J2452" s="2" t="s">
        <v>10894</v>
      </c>
      <c r="K2452" s="2" t="s">
        <v>194</v>
      </c>
      <c r="L2452" s="2" t="s">
        <v>10895</v>
      </c>
      <c r="M2452" s="4">
        <v>1.78</v>
      </c>
      <c r="N2452" t="e">
        <f>OR(LEFT(B2452,3)="frg",(_xlfn.XMATCH(B2452,ZZZ_Part_Id_[[#All],[FGCODE]])))</f>
        <v>#N/A</v>
      </c>
    </row>
    <row r="2453" spans="1:14" x14ac:dyDescent="0.3">
      <c r="A2453" s="2" t="s">
        <v>10891</v>
      </c>
      <c r="B2453" s="2" t="s">
        <v>14</v>
      </c>
      <c r="C2453" s="2" t="s">
        <v>10896</v>
      </c>
      <c r="D2453" s="3">
        <v>34</v>
      </c>
      <c r="E2453" s="3">
        <v>34</v>
      </c>
      <c r="F2453" s="2" t="s">
        <v>16</v>
      </c>
      <c r="G2453" s="2" t="s">
        <v>10897</v>
      </c>
      <c r="H2453" s="3">
        <v>0</v>
      </c>
      <c r="I2453" s="2" t="s">
        <v>409</v>
      </c>
      <c r="J2453" s="2" t="s">
        <v>10898</v>
      </c>
      <c r="K2453" s="2" t="s">
        <v>16</v>
      </c>
      <c r="L2453" s="2" t="s">
        <v>10899</v>
      </c>
      <c r="M2453" s="4">
        <v>2.62</v>
      </c>
      <c r="N2453" t="e">
        <f>OR(LEFT(B2453,3)="frg",(_xlfn.XMATCH(B2453,ZZZ_Part_Id_[[#All],[FGCODE]])))</f>
        <v>#N/A</v>
      </c>
    </row>
    <row r="2454" spans="1:14" x14ac:dyDescent="0.3">
      <c r="A2454" s="2" t="s">
        <v>10891</v>
      </c>
      <c r="B2454" s="2" t="s">
        <v>1170</v>
      </c>
      <c r="C2454" s="2" t="s">
        <v>10900</v>
      </c>
      <c r="D2454" s="3">
        <v>163200</v>
      </c>
      <c r="E2454" s="3">
        <v>163200</v>
      </c>
      <c r="F2454" s="2" t="s">
        <v>16</v>
      </c>
      <c r="G2454" s="2" t="s">
        <v>10901</v>
      </c>
      <c r="H2454" s="3">
        <v>0</v>
      </c>
      <c r="I2454" s="2" t="s">
        <v>409</v>
      </c>
      <c r="J2454" s="2" t="s">
        <v>10902</v>
      </c>
      <c r="K2454" s="2" t="s">
        <v>16</v>
      </c>
      <c r="L2454" s="2" t="s">
        <v>10903</v>
      </c>
      <c r="M2454" s="4">
        <v>56459.040000000001</v>
      </c>
      <c r="N2454" t="b">
        <f>OR(LEFT(B2454,3)="frg",(_xlfn.XMATCH(B2454,ZZZ_Part_Id_[[#All],[FGCODE]])))</f>
        <v>1</v>
      </c>
    </row>
    <row r="2455" spans="1:14" x14ac:dyDescent="0.3">
      <c r="A2455" s="2" t="s">
        <v>10904</v>
      </c>
      <c r="B2455" s="2" t="s">
        <v>14</v>
      </c>
      <c r="C2455" s="2" t="s">
        <v>10905</v>
      </c>
      <c r="D2455" s="3">
        <v>57</v>
      </c>
      <c r="E2455" s="3">
        <v>57</v>
      </c>
      <c r="F2455" s="2" t="s">
        <v>16</v>
      </c>
      <c r="G2455" s="2" t="s">
        <v>10906</v>
      </c>
      <c r="H2455" s="3">
        <v>0</v>
      </c>
      <c r="I2455" s="2" t="s">
        <v>18</v>
      </c>
      <c r="J2455" s="2" t="s">
        <v>10907</v>
      </c>
      <c r="K2455" s="2" t="s">
        <v>16</v>
      </c>
      <c r="L2455" s="2" t="s">
        <v>10908</v>
      </c>
      <c r="M2455" s="4">
        <v>4.3899999999999997</v>
      </c>
      <c r="N2455" t="e">
        <f>OR(LEFT(B2455,3)="frg",(_xlfn.XMATCH(B2455,ZZZ_Part_Id_[[#All],[FGCODE]])))</f>
        <v>#N/A</v>
      </c>
    </row>
    <row r="2456" spans="1:14" x14ac:dyDescent="0.3">
      <c r="A2456" s="2" t="s">
        <v>10904</v>
      </c>
      <c r="B2456" s="2" t="s">
        <v>517</v>
      </c>
      <c r="C2456" s="2" t="s">
        <v>10909</v>
      </c>
      <c r="D2456" s="3">
        <v>574560</v>
      </c>
      <c r="E2456" s="3">
        <v>574560</v>
      </c>
      <c r="F2456" s="2" t="s">
        <v>16</v>
      </c>
      <c r="G2456" s="2" t="s">
        <v>10910</v>
      </c>
      <c r="H2456" s="3">
        <v>0</v>
      </c>
      <c r="I2456" s="2" t="s">
        <v>18</v>
      </c>
      <c r="J2456" s="2" t="s">
        <v>10911</v>
      </c>
      <c r="K2456" s="2" t="s">
        <v>16</v>
      </c>
      <c r="L2456" s="2" t="s">
        <v>10912</v>
      </c>
      <c r="M2456" s="4">
        <v>104523.75</v>
      </c>
      <c r="N2456" t="b">
        <f>OR(LEFT(B2456,3)="frg",(_xlfn.XMATCH(B2456,ZZZ_Part_Id_[[#All],[FGCODE]])))</f>
        <v>1</v>
      </c>
    </row>
    <row r="2457" spans="1:14" x14ac:dyDescent="0.3">
      <c r="A2457" s="2" t="s">
        <v>10913</v>
      </c>
      <c r="B2457" s="2" t="s">
        <v>14</v>
      </c>
      <c r="C2457" s="2" t="s">
        <v>10914</v>
      </c>
      <c r="D2457" s="3">
        <v>2</v>
      </c>
      <c r="E2457" s="3">
        <v>2</v>
      </c>
      <c r="F2457" s="2" t="s">
        <v>16</v>
      </c>
      <c r="G2457" s="2" t="s">
        <v>10915</v>
      </c>
      <c r="H2457" s="3">
        <v>0</v>
      </c>
      <c r="I2457" s="2" t="s">
        <v>18</v>
      </c>
      <c r="J2457" s="2" t="s">
        <v>10916</v>
      </c>
      <c r="K2457" s="2" t="s">
        <v>16</v>
      </c>
      <c r="L2457" s="2" t="s">
        <v>10917</v>
      </c>
      <c r="M2457" s="4">
        <v>0.15</v>
      </c>
      <c r="N2457" t="e">
        <f>OR(LEFT(B2457,3)="frg",(_xlfn.XMATCH(B2457,ZZZ_Part_Id_[[#All],[FGCODE]])))</f>
        <v>#N/A</v>
      </c>
    </row>
    <row r="2458" spans="1:14" x14ac:dyDescent="0.3">
      <c r="A2458" s="2" t="s">
        <v>10913</v>
      </c>
      <c r="B2458" s="2" t="s">
        <v>192</v>
      </c>
      <c r="C2458" s="2" t="s">
        <v>10918</v>
      </c>
      <c r="D2458" s="3">
        <v>0.02</v>
      </c>
      <c r="E2458" s="3">
        <v>0.02</v>
      </c>
      <c r="F2458" s="2" t="s">
        <v>194</v>
      </c>
      <c r="G2458" s="2" t="s">
        <v>10919</v>
      </c>
      <c r="H2458" s="3">
        <v>0</v>
      </c>
      <c r="I2458" s="2" t="s">
        <v>18</v>
      </c>
      <c r="J2458" s="2" t="s">
        <v>10920</v>
      </c>
      <c r="K2458" s="2" t="s">
        <v>194</v>
      </c>
      <c r="L2458" s="2" t="s">
        <v>10921</v>
      </c>
      <c r="M2458" s="4">
        <v>0.1</v>
      </c>
      <c r="N2458" t="e">
        <f>OR(LEFT(B2458,3)="frg",(_xlfn.XMATCH(B2458,ZZZ_Part_Id_[[#All],[FGCODE]])))</f>
        <v>#N/A</v>
      </c>
    </row>
    <row r="2459" spans="1:14" x14ac:dyDescent="0.3">
      <c r="A2459" s="2" t="s">
        <v>10913</v>
      </c>
      <c r="B2459" s="2" t="s">
        <v>6955</v>
      </c>
      <c r="C2459" s="2" t="s">
        <v>10922</v>
      </c>
      <c r="D2459" s="3">
        <v>41760</v>
      </c>
      <c r="E2459" s="3">
        <v>41770</v>
      </c>
      <c r="F2459" s="2" t="s">
        <v>16</v>
      </c>
      <c r="G2459" s="2" t="s">
        <v>10923</v>
      </c>
      <c r="H2459" s="3">
        <v>0</v>
      </c>
      <c r="I2459" s="2" t="s">
        <v>18</v>
      </c>
      <c r="J2459" s="2" t="s">
        <v>10924</v>
      </c>
      <c r="K2459" s="2" t="s">
        <v>16</v>
      </c>
      <c r="L2459" s="2" t="s">
        <v>10925</v>
      </c>
      <c r="M2459" s="4">
        <v>3619.79</v>
      </c>
      <c r="N2459" t="b">
        <f>OR(LEFT(B2459,3)="frg",(_xlfn.XMATCH(B2459,ZZZ_Part_Id_[[#All],[FGCODE]])))</f>
        <v>1</v>
      </c>
    </row>
    <row r="2460" spans="1:14" x14ac:dyDescent="0.3">
      <c r="A2460" s="2" t="s">
        <v>10926</v>
      </c>
      <c r="B2460" s="2" t="s">
        <v>14</v>
      </c>
      <c r="C2460" s="2" t="s">
        <v>10927</v>
      </c>
      <c r="D2460" s="3">
        <v>17</v>
      </c>
      <c r="E2460" s="3">
        <v>17</v>
      </c>
      <c r="F2460" s="2" t="s">
        <v>16</v>
      </c>
      <c r="G2460" s="2" t="s">
        <v>10928</v>
      </c>
      <c r="H2460" s="3">
        <v>0</v>
      </c>
      <c r="I2460" s="2" t="s">
        <v>409</v>
      </c>
      <c r="J2460" s="2" t="s">
        <v>10929</v>
      </c>
      <c r="K2460" s="2" t="s">
        <v>16</v>
      </c>
      <c r="L2460" s="2" t="s">
        <v>10930</v>
      </c>
      <c r="M2460" s="4">
        <v>1.31</v>
      </c>
      <c r="N2460" t="e">
        <f>OR(LEFT(B2460,3)="frg",(_xlfn.XMATCH(B2460,ZZZ_Part_Id_[[#All],[FGCODE]])))</f>
        <v>#N/A</v>
      </c>
    </row>
    <row r="2461" spans="1:14" x14ac:dyDescent="0.3">
      <c r="A2461" s="2" t="s">
        <v>10926</v>
      </c>
      <c r="B2461" s="2" t="s">
        <v>192</v>
      </c>
      <c r="C2461" s="2" t="s">
        <v>10931</v>
      </c>
      <c r="D2461" s="3">
        <v>0.17</v>
      </c>
      <c r="E2461" s="3">
        <v>0.17</v>
      </c>
      <c r="F2461" s="2" t="s">
        <v>194</v>
      </c>
      <c r="G2461" s="2" t="s">
        <v>10932</v>
      </c>
      <c r="H2461" s="3">
        <v>0</v>
      </c>
      <c r="I2461" s="2" t="s">
        <v>409</v>
      </c>
      <c r="J2461" s="2" t="s">
        <v>10933</v>
      </c>
      <c r="K2461" s="2" t="s">
        <v>194</v>
      </c>
      <c r="L2461" s="2" t="s">
        <v>10934</v>
      </c>
      <c r="M2461" s="4">
        <v>0.89</v>
      </c>
      <c r="N2461" t="e">
        <f>OR(LEFT(B2461,3)="frg",(_xlfn.XMATCH(B2461,ZZZ_Part_Id_[[#All],[FGCODE]])))</f>
        <v>#N/A</v>
      </c>
    </row>
    <row r="2462" spans="1:14" x14ac:dyDescent="0.3">
      <c r="A2462" s="2" t="s">
        <v>10926</v>
      </c>
      <c r="B2462" s="2" t="s">
        <v>86</v>
      </c>
      <c r="C2462" s="2" t="s">
        <v>10935</v>
      </c>
      <c r="D2462" s="5">
        <v>-222</v>
      </c>
      <c r="E2462" s="5">
        <v>-222</v>
      </c>
      <c r="F2462" s="2" t="s">
        <v>23</v>
      </c>
      <c r="G2462" s="2" t="s">
        <v>10936</v>
      </c>
      <c r="H2462" s="3">
        <v>0</v>
      </c>
      <c r="I2462" s="2" t="s">
        <v>409</v>
      </c>
      <c r="J2462" s="2" t="s">
        <v>10937</v>
      </c>
      <c r="K2462" s="2" t="s">
        <v>23</v>
      </c>
      <c r="L2462" s="2" t="s">
        <v>10938</v>
      </c>
      <c r="M2462" s="6">
        <v>-581.15</v>
      </c>
      <c r="N2462" t="b">
        <f>OR(LEFT(B2462,3)="frg",(_xlfn.XMATCH(B2462,ZZZ_Part_Id_[[#All],[FGCODE]])))</f>
        <v>1</v>
      </c>
    </row>
    <row r="2463" spans="1:14" x14ac:dyDescent="0.3">
      <c r="A2463" s="2" t="s">
        <v>10926</v>
      </c>
      <c r="B2463" s="2" t="s">
        <v>37</v>
      </c>
      <c r="C2463" s="2" t="s">
        <v>10939</v>
      </c>
      <c r="D2463" s="3">
        <v>17</v>
      </c>
      <c r="E2463" s="3">
        <v>17</v>
      </c>
      <c r="F2463" s="2" t="s">
        <v>16</v>
      </c>
      <c r="G2463" s="2" t="s">
        <v>10940</v>
      </c>
      <c r="H2463" s="3">
        <v>0</v>
      </c>
      <c r="I2463" s="2" t="s">
        <v>409</v>
      </c>
      <c r="J2463" s="2" t="s">
        <v>10941</v>
      </c>
      <c r="K2463" s="2" t="s">
        <v>16</v>
      </c>
      <c r="L2463" s="2" t="s">
        <v>10942</v>
      </c>
      <c r="M2463" s="4">
        <v>272</v>
      </c>
      <c r="N2463" t="e">
        <f>OR(LEFT(B2463,3)="frg",(_xlfn.XMATCH(B2463,ZZZ_Part_Id_[[#All],[FGCODE]])))</f>
        <v>#N/A</v>
      </c>
    </row>
    <row r="2464" spans="1:14" x14ac:dyDescent="0.3">
      <c r="A2464" s="2" t="s">
        <v>10926</v>
      </c>
      <c r="B2464" s="2" t="s">
        <v>4511</v>
      </c>
      <c r="C2464" s="2" t="s">
        <v>10943</v>
      </c>
      <c r="D2464" s="3">
        <v>537840</v>
      </c>
      <c r="E2464" s="3">
        <v>537840</v>
      </c>
      <c r="F2464" s="2" t="s">
        <v>16</v>
      </c>
      <c r="G2464" s="2" t="s">
        <v>10944</v>
      </c>
      <c r="H2464" s="3">
        <v>0</v>
      </c>
      <c r="I2464" s="2" t="s">
        <v>409</v>
      </c>
      <c r="J2464" s="2" t="s">
        <v>10945</v>
      </c>
      <c r="K2464" s="2" t="s">
        <v>16</v>
      </c>
      <c r="L2464" s="2" t="s">
        <v>10946</v>
      </c>
      <c r="M2464" s="4">
        <v>29742.48</v>
      </c>
      <c r="N2464" t="b">
        <f>OR(LEFT(B2464,3)="frg",(_xlfn.XMATCH(B2464,ZZZ_Part_Id_[[#All],[FGCODE]])))</f>
        <v>1</v>
      </c>
    </row>
    <row r="2465" spans="1:14" x14ac:dyDescent="0.3">
      <c r="A2465" s="2" t="s">
        <v>10947</v>
      </c>
      <c r="B2465" s="2" t="s">
        <v>14</v>
      </c>
      <c r="C2465" s="2" t="s">
        <v>10948</v>
      </c>
      <c r="D2465" s="3">
        <v>6</v>
      </c>
      <c r="E2465" s="3">
        <v>6</v>
      </c>
      <c r="F2465" s="2" t="s">
        <v>16</v>
      </c>
      <c r="G2465" s="2" t="s">
        <v>10949</v>
      </c>
      <c r="H2465" s="3">
        <v>0</v>
      </c>
      <c r="I2465" s="2" t="s">
        <v>409</v>
      </c>
      <c r="J2465" s="2" t="s">
        <v>10950</v>
      </c>
      <c r="K2465" s="2" t="s">
        <v>16</v>
      </c>
      <c r="L2465" s="2" t="s">
        <v>10951</v>
      </c>
      <c r="M2465" s="4">
        <v>0.46</v>
      </c>
      <c r="N2465" t="e">
        <f>OR(LEFT(B2465,3)="frg",(_xlfn.XMATCH(B2465,ZZZ_Part_Id_[[#All],[FGCODE]])))</f>
        <v>#N/A</v>
      </c>
    </row>
    <row r="2466" spans="1:14" x14ac:dyDescent="0.3">
      <c r="A2466" s="2" t="s">
        <v>10947</v>
      </c>
      <c r="B2466" s="2" t="s">
        <v>192</v>
      </c>
      <c r="C2466" s="2" t="s">
        <v>10952</v>
      </c>
      <c r="D2466" s="3">
        <v>0.06</v>
      </c>
      <c r="E2466" s="3">
        <v>0.06</v>
      </c>
      <c r="F2466" s="2" t="s">
        <v>194</v>
      </c>
      <c r="G2466" s="2" t="s">
        <v>10953</v>
      </c>
      <c r="H2466" s="3">
        <v>0</v>
      </c>
      <c r="I2466" s="2" t="s">
        <v>409</v>
      </c>
      <c r="J2466" s="2" t="s">
        <v>10954</v>
      </c>
      <c r="K2466" s="2" t="s">
        <v>194</v>
      </c>
      <c r="L2466" s="2" t="s">
        <v>10955</v>
      </c>
      <c r="M2466" s="4">
        <v>0.31</v>
      </c>
      <c r="N2466" t="e">
        <f>OR(LEFT(B2466,3)="frg",(_xlfn.XMATCH(B2466,ZZZ_Part_Id_[[#All],[FGCODE]])))</f>
        <v>#N/A</v>
      </c>
    </row>
    <row r="2467" spans="1:14" x14ac:dyDescent="0.3">
      <c r="A2467" s="2" t="s">
        <v>10947</v>
      </c>
      <c r="B2467" s="2" t="s">
        <v>3759</v>
      </c>
      <c r="C2467" s="2" t="s">
        <v>10956</v>
      </c>
      <c r="D2467" s="3">
        <v>179280</v>
      </c>
      <c r="E2467" s="3">
        <v>179280</v>
      </c>
      <c r="F2467" s="2" t="s">
        <v>16</v>
      </c>
      <c r="G2467" s="2" t="s">
        <v>10957</v>
      </c>
      <c r="H2467" s="3">
        <v>0</v>
      </c>
      <c r="I2467" s="2" t="s">
        <v>409</v>
      </c>
      <c r="J2467" s="2" t="s">
        <v>10958</v>
      </c>
      <c r="K2467" s="2" t="s">
        <v>16</v>
      </c>
      <c r="L2467" s="2" t="s">
        <v>10959</v>
      </c>
      <c r="M2467" s="4">
        <v>9840.66</v>
      </c>
      <c r="N2467" t="b">
        <f>OR(LEFT(B2467,3)="frg",(_xlfn.XMATCH(B2467,ZZZ_Part_Id_[[#All],[FGCODE]])))</f>
        <v>1</v>
      </c>
    </row>
    <row r="2468" spans="1:14" x14ac:dyDescent="0.3">
      <c r="A2468" s="2" t="s">
        <v>10960</v>
      </c>
      <c r="B2468" s="2" t="s">
        <v>14</v>
      </c>
      <c r="C2468" s="2" t="s">
        <v>10961</v>
      </c>
      <c r="D2468" s="3">
        <v>40</v>
      </c>
      <c r="E2468" s="3">
        <v>40</v>
      </c>
      <c r="F2468" s="2" t="s">
        <v>16</v>
      </c>
      <c r="G2468" s="2" t="s">
        <v>10962</v>
      </c>
      <c r="H2468" s="3">
        <v>0</v>
      </c>
      <c r="I2468" s="2" t="s">
        <v>18</v>
      </c>
      <c r="J2468" s="2" t="s">
        <v>10963</v>
      </c>
      <c r="K2468" s="2" t="s">
        <v>16</v>
      </c>
      <c r="L2468" s="2" t="s">
        <v>10964</v>
      </c>
      <c r="M2468" s="4">
        <v>3.08</v>
      </c>
      <c r="N2468" t="e">
        <f>OR(LEFT(B2468,3)="frg",(_xlfn.XMATCH(B2468,ZZZ_Part_Id_[[#All],[FGCODE]])))</f>
        <v>#N/A</v>
      </c>
    </row>
    <row r="2469" spans="1:14" x14ac:dyDescent="0.3">
      <c r="A2469" s="2" t="s">
        <v>10960</v>
      </c>
      <c r="B2469" s="2" t="s">
        <v>517</v>
      </c>
      <c r="C2469" s="2" t="s">
        <v>10965</v>
      </c>
      <c r="D2469" s="3">
        <v>504000</v>
      </c>
      <c r="E2469" s="3">
        <v>504000</v>
      </c>
      <c r="F2469" s="2" t="s">
        <v>16</v>
      </c>
      <c r="G2469" s="2" t="s">
        <v>10966</v>
      </c>
      <c r="H2469" s="3">
        <v>0</v>
      </c>
      <c r="I2469" s="2" t="s">
        <v>18</v>
      </c>
      <c r="J2469" s="2" t="s">
        <v>10967</v>
      </c>
      <c r="K2469" s="2" t="s">
        <v>16</v>
      </c>
      <c r="L2469" s="2" t="s">
        <v>10968</v>
      </c>
      <c r="M2469" s="4">
        <v>91687.5</v>
      </c>
      <c r="N2469" t="b">
        <f>OR(LEFT(B2469,3)="frg",(_xlfn.XMATCH(B2469,ZZZ_Part_Id_[[#All],[FGCODE]])))</f>
        <v>1</v>
      </c>
    </row>
    <row r="2470" spans="1:14" x14ac:dyDescent="0.3">
      <c r="A2470" s="2" t="s">
        <v>10960</v>
      </c>
      <c r="B2470" s="2" t="s">
        <v>187</v>
      </c>
      <c r="C2470" s="2" t="s">
        <v>10969</v>
      </c>
      <c r="D2470" s="3">
        <v>64</v>
      </c>
      <c r="E2470" s="3">
        <v>64</v>
      </c>
      <c r="F2470" s="2" t="s">
        <v>16</v>
      </c>
      <c r="G2470" s="2" t="s">
        <v>131</v>
      </c>
      <c r="H2470" s="3">
        <v>0</v>
      </c>
      <c r="I2470" s="2" t="s">
        <v>18</v>
      </c>
      <c r="J2470" s="2" t="s">
        <v>10970</v>
      </c>
      <c r="K2470" s="2" t="s">
        <v>16</v>
      </c>
      <c r="L2470" s="2" t="s">
        <v>10971</v>
      </c>
      <c r="M2470" s="4">
        <v>283.02</v>
      </c>
      <c r="N2470" t="e">
        <f>OR(LEFT(B2470,3)="frg",(_xlfn.XMATCH(B2470,ZZZ_Part_Id_[[#All],[FGCODE]])))</f>
        <v>#N/A</v>
      </c>
    </row>
    <row r="2471" spans="1:14" x14ac:dyDescent="0.3">
      <c r="A2471" s="2" t="s">
        <v>10972</v>
      </c>
      <c r="B2471" s="2" t="s">
        <v>14</v>
      </c>
      <c r="C2471" s="2" t="s">
        <v>10973</v>
      </c>
      <c r="D2471" s="3">
        <v>11</v>
      </c>
      <c r="E2471" s="3">
        <v>11</v>
      </c>
      <c r="F2471" s="2" t="s">
        <v>16</v>
      </c>
      <c r="G2471" s="2" t="s">
        <v>10974</v>
      </c>
      <c r="H2471" s="3">
        <v>0</v>
      </c>
      <c r="I2471" s="2" t="s">
        <v>18</v>
      </c>
      <c r="J2471" s="2" t="s">
        <v>10975</v>
      </c>
      <c r="K2471" s="2" t="s">
        <v>16</v>
      </c>
      <c r="L2471" s="2" t="s">
        <v>10976</v>
      </c>
      <c r="M2471" s="4">
        <v>0.85</v>
      </c>
      <c r="N2471" t="e">
        <f>OR(LEFT(B2471,3)="frg",(_xlfn.XMATCH(B2471,ZZZ_Part_Id_[[#All],[FGCODE]])))</f>
        <v>#N/A</v>
      </c>
    </row>
    <row r="2472" spans="1:14" x14ac:dyDescent="0.3">
      <c r="A2472" s="2" t="s">
        <v>10972</v>
      </c>
      <c r="B2472" s="2" t="s">
        <v>192</v>
      </c>
      <c r="C2472" s="2" t="s">
        <v>10977</v>
      </c>
      <c r="D2472" s="3">
        <v>0.11</v>
      </c>
      <c r="E2472" s="3">
        <v>0.11</v>
      </c>
      <c r="F2472" s="2" t="s">
        <v>194</v>
      </c>
      <c r="G2472" s="2" t="s">
        <v>10978</v>
      </c>
      <c r="H2472" s="3">
        <v>0</v>
      </c>
      <c r="I2472" s="2" t="s">
        <v>18</v>
      </c>
      <c r="J2472" s="2" t="s">
        <v>10979</v>
      </c>
      <c r="K2472" s="2" t="s">
        <v>194</v>
      </c>
      <c r="L2472" s="2" t="s">
        <v>10980</v>
      </c>
      <c r="M2472" s="4">
        <v>0.57999999999999996</v>
      </c>
      <c r="N2472" t="e">
        <f>OR(LEFT(B2472,3)="frg",(_xlfn.XMATCH(B2472,ZZZ_Part_Id_[[#All],[FGCODE]])))</f>
        <v>#N/A</v>
      </c>
    </row>
    <row r="2473" spans="1:14" x14ac:dyDescent="0.3">
      <c r="A2473" s="2" t="s">
        <v>10972</v>
      </c>
      <c r="B2473" s="2" t="s">
        <v>65</v>
      </c>
      <c r="C2473" s="2" t="s">
        <v>10981</v>
      </c>
      <c r="D2473" s="5">
        <v>-526</v>
      </c>
      <c r="E2473" s="5">
        <v>-526</v>
      </c>
      <c r="F2473" s="2" t="s">
        <v>23</v>
      </c>
      <c r="G2473" s="2" t="s">
        <v>10982</v>
      </c>
      <c r="H2473" s="3">
        <v>0</v>
      </c>
      <c r="I2473" s="2" t="s">
        <v>18</v>
      </c>
      <c r="J2473" s="2" t="s">
        <v>10983</v>
      </c>
      <c r="K2473" s="2" t="s">
        <v>23</v>
      </c>
      <c r="L2473" s="2" t="s">
        <v>10984</v>
      </c>
      <c r="M2473" s="6">
        <v>-1352.66</v>
      </c>
      <c r="N2473" t="b">
        <f>OR(LEFT(B2473,3)="frg",(_xlfn.XMATCH(B2473,ZZZ_Part_Id_[[#All],[FGCODE]])))</f>
        <v>1</v>
      </c>
    </row>
    <row r="2474" spans="1:14" x14ac:dyDescent="0.3">
      <c r="A2474" s="2" t="s">
        <v>10972</v>
      </c>
      <c r="B2474" s="2" t="s">
        <v>2305</v>
      </c>
      <c r="C2474" s="2" t="s">
        <v>10985</v>
      </c>
      <c r="D2474" s="3">
        <v>329472</v>
      </c>
      <c r="E2474" s="3">
        <v>329472</v>
      </c>
      <c r="F2474" s="2" t="s">
        <v>16</v>
      </c>
      <c r="G2474" s="2" t="s">
        <v>10986</v>
      </c>
      <c r="H2474" s="3">
        <v>0</v>
      </c>
      <c r="I2474" s="2" t="s">
        <v>18</v>
      </c>
      <c r="J2474" s="2" t="s">
        <v>10987</v>
      </c>
      <c r="K2474" s="2" t="s">
        <v>16</v>
      </c>
      <c r="L2474" s="2" t="s">
        <v>10988</v>
      </c>
      <c r="M2474" s="4">
        <v>23886.720000000001</v>
      </c>
      <c r="N2474" t="b">
        <f>OR(LEFT(B2474,3)="frg",(_xlfn.XMATCH(B2474,ZZZ_Part_Id_[[#All],[FGCODE]])))</f>
        <v>1</v>
      </c>
    </row>
    <row r="2475" spans="1:14" x14ac:dyDescent="0.3">
      <c r="A2475" s="2" t="s">
        <v>10989</v>
      </c>
      <c r="B2475" s="2" t="s">
        <v>14</v>
      </c>
      <c r="C2475" s="2" t="s">
        <v>10990</v>
      </c>
      <c r="D2475" s="3">
        <v>40</v>
      </c>
      <c r="E2475" s="3">
        <v>40</v>
      </c>
      <c r="F2475" s="2" t="s">
        <v>16</v>
      </c>
      <c r="G2475" s="2" t="s">
        <v>10991</v>
      </c>
      <c r="H2475" s="3">
        <v>0</v>
      </c>
      <c r="I2475" s="2" t="s">
        <v>409</v>
      </c>
      <c r="J2475" s="2" t="s">
        <v>10992</v>
      </c>
      <c r="K2475" s="2" t="s">
        <v>16</v>
      </c>
      <c r="L2475" s="2" t="s">
        <v>10993</v>
      </c>
      <c r="M2475" s="4">
        <v>3.08</v>
      </c>
      <c r="N2475" t="e">
        <f>OR(LEFT(B2475,3)="frg",(_xlfn.XMATCH(B2475,ZZZ_Part_Id_[[#All],[FGCODE]])))</f>
        <v>#N/A</v>
      </c>
    </row>
    <row r="2476" spans="1:14" x14ac:dyDescent="0.3">
      <c r="A2476" s="2" t="s">
        <v>10989</v>
      </c>
      <c r="B2476" s="2" t="s">
        <v>1170</v>
      </c>
      <c r="C2476" s="2" t="s">
        <v>10994</v>
      </c>
      <c r="D2476" s="3">
        <v>172800</v>
      </c>
      <c r="E2476" s="3">
        <v>172800</v>
      </c>
      <c r="F2476" s="2" t="s">
        <v>16</v>
      </c>
      <c r="G2476" s="2" t="s">
        <v>10995</v>
      </c>
      <c r="H2476" s="3">
        <v>0</v>
      </c>
      <c r="I2476" s="2" t="s">
        <v>409</v>
      </c>
      <c r="J2476" s="2" t="s">
        <v>10996</v>
      </c>
      <c r="K2476" s="2" t="s">
        <v>16</v>
      </c>
      <c r="L2476" s="2" t="s">
        <v>10997</v>
      </c>
      <c r="M2476" s="4">
        <v>59780.160000000003</v>
      </c>
      <c r="N2476" t="b">
        <f>OR(LEFT(B2476,3)="frg",(_xlfn.XMATCH(B2476,ZZZ_Part_Id_[[#All],[FGCODE]])))</f>
        <v>1</v>
      </c>
    </row>
    <row r="2477" spans="1:14" x14ac:dyDescent="0.3">
      <c r="A2477" s="2" t="s">
        <v>10998</v>
      </c>
      <c r="B2477" s="2" t="s">
        <v>14</v>
      </c>
      <c r="C2477" s="2" t="s">
        <v>10999</v>
      </c>
      <c r="D2477" s="3">
        <v>10</v>
      </c>
      <c r="E2477" s="3">
        <v>10</v>
      </c>
      <c r="F2477" s="2" t="s">
        <v>16</v>
      </c>
      <c r="G2477" s="2" t="s">
        <v>11000</v>
      </c>
      <c r="H2477" s="3">
        <v>0</v>
      </c>
      <c r="I2477" s="2" t="s">
        <v>18</v>
      </c>
      <c r="J2477" s="2" t="s">
        <v>11001</v>
      </c>
      <c r="K2477" s="2" t="s">
        <v>16</v>
      </c>
      <c r="L2477" s="2" t="s">
        <v>11002</v>
      </c>
      <c r="M2477" s="4">
        <v>0.77</v>
      </c>
      <c r="N2477" t="e">
        <f>OR(LEFT(B2477,3)="frg",(_xlfn.XMATCH(B2477,ZZZ_Part_Id_[[#All],[FGCODE]])))</f>
        <v>#N/A</v>
      </c>
    </row>
    <row r="2478" spans="1:14" x14ac:dyDescent="0.3">
      <c r="A2478" s="2" t="s">
        <v>10998</v>
      </c>
      <c r="B2478" s="2" t="s">
        <v>2086</v>
      </c>
      <c r="C2478" s="2" t="s">
        <v>11003</v>
      </c>
      <c r="D2478" s="3">
        <v>38016</v>
      </c>
      <c r="E2478" s="3">
        <v>38016</v>
      </c>
      <c r="F2478" s="2" t="s">
        <v>16</v>
      </c>
      <c r="G2478" s="2" t="s">
        <v>11004</v>
      </c>
      <c r="H2478" s="3">
        <v>0</v>
      </c>
      <c r="I2478" s="2" t="s">
        <v>18</v>
      </c>
      <c r="J2478" s="2" t="s">
        <v>11005</v>
      </c>
      <c r="K2478" s="2" t="s">
        <v>16</v>
      </c>
      <c r="L2478" s="2" t="s">
        <v>11006</v>
      </c>
      <c r="M2478" s="4">
        <v>8926.2000000000007</v>
      </c>
      <c r="N2478" t="b">
        <f>OR(LEFT(B2478,3)="frg",(_xlfn.XMATCH(B2478,ZZZ_Part_Id_[[#All],[FGCODE]])))</f>
        <v>1</v>
      </c>
    </row>
    <row r="2479" spans="1:14" x14ac:dyDescent="0.3">
      <c r="A2479" s="2" t="s">
        <v>11007</v>
      </c>
      <c r="B2479" s="2" t="s">
        <v>103</v>
      </c>
      <c r="C2479" s="2" t="s">
        <v>11008</v>
      </c>
      <c r="D2479" s="3">
        <v>10620</v>
      </c>
      <c r="E2479" s="3">
        <v>0</v>
      </c>
      <c r="F2479" s="2" t="s">
        <v>16</v>
      </c>
      <c r="G2479" s="2" t="s">
        <v>11009</v>
      </c>
      <c r="H2479" s="3">
        <v>0</v>
      </c>
      <c r="I2479" s="2" t="s">
        <v>18</v>
      </c>
      <c r="J2479" s="2" t="s">
        <v>35</v>
      </c>
      <c r="K2479" s="2" t="s">
        <v>16</v>
      </c>
      <c r="L2479" s="2" t="s">
        <v>11010</v>
      </c>
      <c r="M2479" s="4">
        <v>0</v>
      </c>
      <c r="N2479" t="b">
        <f>OR(LEFT(B2479,3)="frg",(_xlfn.XMATCH(B2479,ZZZ_Part_Id_[[#All],[FGCODE]])))</f>
        <v>1</v>
      </c>
    </row>
    <row r="2480" spans="1:14" x14ac:dyDescent="0.3">
      <c r="A2480" s="2" t="s">
        <v>11011</v>
      </c>
      <c r="B2480" s="2" t="s">
        <v>103</v>
      </c>
      <c r="C2480" s="2" t="s">
        <v>11012</v>
      </c>
      <c r="D2480" s="3">
        <v>10620</v>
      </c>
      <c r="E2480" s="3">
        <v>0</v>
      </c>
      <c r="F2480" s="2" t="s">
        <v>16</v>
      </c>
      <c r="G2480" s="2" t="s">
        <v>11013</v>
      </c>
      <c r="H2480" s="3">
        <v>0</v>
      </c>
      <c r="I2480" s="2" t="s">
        <v>18</v>
      </c>
      <c r="J2480" s="2" t="s">
        <v>35</v>
      </c>
      <c r="K2480" s="2" t="s">
        <v>16</v>
      </c>
      <c r="L2480" s="2" t="s">
        <v>11014</v>
      </c>
      <c r="M2480" s="4">
        <v>0</v>
      </c>
      <c r="N2480" t="b">
        <f>OR(LEFT(B2480,3)="frg",(_xlfn.XMATCH(B2480,ZZZ_Part_Id_[[#All],[FGCODE]])))</f>
        <v>1</v>
      </c>
    </row>
    <row r="2481" spans="1:14" x14ac:dyDescent="0.3">
      <c r="A2481" s="2" t="s">
        <v>11015</v>
      </c>
      <c r="B2481" s="2" t="s">
        <v>5357</v>
      </c>
      <c r="C2481" s="2" t="s">
        <v>11016</v>
      </c>
      <c r="D2481" s="3">
        <v>13248</v>
      </c>
      <c r="E2481" s="3">
        <v>0</v>
      </c>
      <c r="F2481" s="2" t="s">
        <v>16</v>
      </c>
      <c r="G2481" s="2" t="s">
        <v>11017</v>
      </c>
      <c r="H2481" s="3">
        <v>0</v>
      </c>
      <c r="I2481" s="2" t="s">
        <v>18</v>
      </c>
      <c r="J2481" s="2" t="s">
        <v>35</v>
      </c>
      <c r="K2481" s="2" t="s">
        <v>16</v>
      </c>
      <c r="L2481" s="2" t="s">
        <v>11018</v>
      </c>
      <c r="M2481" s="4">
        <v>0</v>
      </c>
      <c r="N2481" t="b">
        <f>OR(LEFT(B2481,3)="frg",(_xlfn.XMATCH(B2481,ZZZ_Part_Id_[[#All],[FGCODE]])))</f>
        <v>1</v>
      </c>
    </row>
    <row r="2482" spans="1:14" x14ac:dyDescent="0.3">
      <c r="A2482" s="2" t="s">
        <v>11019</v>
      </c>
      <c r="B2482" s="2" t="s">
        <v>5357</v>
      </c>
      <c r="C2482" s="2" t="s">
        <v>11020</v>
      </c>
      <c r="D2482" s="3">
        <v>6624</v>
      </c>
      <c r="E2482" s="3">
        <v>0</v>
      </c>
      <c r="F2482" s="2" t="s">
        <v>16</v>
      </c>
      <c r="G2482" s="2" t="s">
        <v>11021</v>
      </c>
      <c r="H2482" s="3">
        <v>0</v>
      </c>
      <c r="I2482" s="2" t="s">
        <v>18</v>
      </c>
      <c r="J2482" s="2" t="s">
        <v>35</v>
      </c>
      <c r="K2482" s="2" t="s">
        <v>16</v>
      </c>
      <c r="L2482" s="2" t="s">
        <v>11022</v>
      </c>
      <c r="M2482" s="4">
        <v>0</v>
      </c>
      <c r="N2482" t="b">
        <f>OR(LEFT(B2482,3)="frg",(_xlfn.XMATCH(B2482,ZZZ_Part_Id_[[#All],[FGCODE]])))</f>
        <v>1</v>
      </c>
    </row>
    <row r="2483" spans="1:14" x14ac:dyDescent="0.3">
      <c r="A2483" s="2" t="s">
        <v>11023</v>
      </c>
      <c r="B2483" s="2" t="s">
        <v>5357</v>
      </c>
      <c r="C2483" s="2" t="s">
        <v>11024</v>
      </c>
      <c r="D2483" s="3">
        <v>6624</v>
      </c>
      <c r="E2483" s="3">
        <v>0</v>
      </c>
      <c r="F2483" s="2" t="s">
        <v>16</v>
      </c>
      <c r="G2483" s="2" t="s">
        <v>11025</v>
      </c>
      <c r="H2483" s="3">
        <v>0</v>
      </c>
      <c r="I2483" s="2" t="s">
        <v>18</v>
      </c>
      <c r="J2483" s="2" t="s">
        <v>35</v>
      </c>
      <c r="K2483" s="2" t="s">
        <v>16</v>
      </c>
      <c r="L2483" s="2" t="s">
        <v>11026</v>
      </c>
      <c r="M2483" s="4">
        <v>0</v>
      </c>
      <c r="N2483" t="b">
        <f>OR(LEFT(B2483,3)="frg",(_xlfn.XMATCH(B2483,ZZZ_Part_Id_[[#All],[FGCODE]])))</f>
        <v>1</v>
      </c>
    </row>
    <row r="2484" spans="1:14" x14ac:dyDescent="0.3">
      <c r="A2484" s="2" t="s">
        <v>11027</v>
      </c>
      <c r="B2484" s="2" t="s">
        <v>5357</v>
      </c>
      <c r="C2484" s="2" t="s">
        <v>11028</v>
      </c>
      <c r="D2484" s="3">
        <v>6624</v>
      </c>
      <c r="E2484" s="3">
        <v>0</v>
      </c>
      <c r="F2484" s="2" t="s">
        <v>16</v>
      </c>
      <c r="G2484" s="2" t="s">
        <v>11029</v>
      </c>
      <c r="H2484" s="3">
        <v>0</v>
      </c>
      <c r="I2484" s="2" t="s">
        <v>18</v>
      </c>
      <c r="J2484" s="2" t="s">
        <v>35</v>
      </c>
      <c r="K2484" s="2" t="s">
        <v>16</v>
      </c>
      <c r="L2484" s="2" t="s">
        <v>11030</v>
      </c>
      <c r="M2484" s="4">
        <v>0</v>
      </c>
      <c r="N2484" t="b">
        <f>OR(LEFT(B2484,3)="frg",(_xlfn.XMATCH(B2484,ZZZ_Part_Id_[[#All],[FGCODE]])))</f>
        <v>1</v>
      </c>
    </row>
    <row r="2485" spans="1:14" x14ac:dyDescent="0.3">
      <c r="A2485" s="2" t="s">
        <v>11031</v>
      </c>
      <c r="B2485" s="2" t="s">
        <v>14</v>
      </c>
      <c r="C2485" s="2" t="s">
        <v>11032</v>
      </c>
      <c r="D2485" s="3">
        <v>10</v>
      </c>
      <c r="E2485" s="3">
        <v>10</v>
      </c>
      <c r="F2485" s="2" t="s">
        <v>16</v>
      </c>
      <c r="G2485" s="2" t="s">
        <v>11033</v>
      </c>
      <c r="H2485" s="3">
        <v>0</v>
      </c>
      <c r="I2485" s="2" t="s">
        <v>18</v>
      </c>
      <c r="J2485" s="2" t="s">
        <v>11034</v>
      </c>
      <c r="K2485" s="2" t="s">
        <v>16</v>
      </c>
      <c r="L2485" s="2" t="s">
        <v>11035</v>
      </c>
      <c r="M2485" s="4">
        <v>0.77</v>
      </c>
      <c r="N2485" t="e">
        <f>OR(LEFT(B2485,3)="frg",(_xlfn.XMATCH(B2485,ZZZ_Part_Id_[[#All],[FGCODE]])))</f>
        <v>#N/A</v>
      </c>
    </row>
    <row r="2486" spans="1:14" x14ac:dyDescent="0.3">
      <c r="A2486" s="2" t="s">
        <v>11031</v>
      </c>
      <c r="B2486" s="2" t="s">
        <v>65</v>
      </c>
      <c r="C2486" s="2" t="s">
        <v>11036</v>
      </c>
      <c r="D2486" s="5">
        <v>-85</v>
      </c>
      <c r="E2486" s="5">
        <v>-85</v>
      </c>
      <c r="F2486" s="2" t="s">
        <v>23</v>
      </c>
      <c r="G2486" s="2" t="s">
        <v>11037</v>
      </c>
      <c r="H2486" s="3">
        <v>0</v>
      </c>
      <c r="I2486" s="2" t="s">
        <v>18</v>
      </c>
      <c r="J2486" s="2" t="s">
        <v>11038</v>
      </c>
      <c r="K2486" s="2" t="s">
        <v>23</v>
      </c>
      <c r="L2486" s="2" t="s">
        <v>11039</v>
      </c>
      <c r="M2486" s="6">
        <v>-218.59</v>
      </c>
      <c r="N2486" t="b">
        <f>OR(LEFT(B2486,3)="frg",(_xlfn.XMATCH(B2486,ZZZ_Part_Id_[[#All],[FGCODE]])))</f>
        <v>1</v>
      </c>
    </row>
    <row r="2487" spans="1:14" x14ac:dyDescent="0.3">
      <c r="A2487" s="2" t="s">
        <v>11031</v>
      </c>
      <c r="B2487" s="2" t="s">
        <v>11040</v>
      </c>
      <c r="C2487" s="2" t="s">
        <v>11041</v>
      </c>
      <c r="D2487" s="3">
        <v>108970</v>
      </c>
      <c r="E2487" s="3">
        <v>108970</v>
      </c>
      <c r="F2487" s="2" t="s">
        <v>16</v>
      </c>
      <c r="G2487" s="2" t="s">
        <v>11042</v>
      </c>
      <c r="H2487" s="3">
        <v>0</v>
      </c>
      <c r="I2487" s="2" t="s">
        <v>18</v>
      </c>
      <c r="J2487" s="2" t="s">
        <v>11043</v>
      </c>
      <c r="K2487" s="2" t="s">
        <v>16</v>
      </c>
      <c r="L2487" s="2" t="s">
        <v>11044</v>
      </c>
      <c r="M2487" s="4">
        <v>20388.27</v>
      </c>
      <c r="N2487" t="b">
        <f>OR(LEFT(B2487,3)="frg",(_xlfn.XMATCH(B2487,ZZZ_Part_Id_[[#All],[FGCODE]])))</f>
        <v>1</v>
      </c>
    </row>
    <row r="2488" spans="1:14" x14ac:dyDescent="0.3">
      <c r="A2488" s="2" t="s">
        <v>11045</v>
      </c>
      <c r="B2488" s="2" t="s">
        <v>172</v>
      </c>
      <c r="C2488" s="2" t="s">
        <v>11046</v>
      </c>
      <c r="D2488" s="3">
        <v>10</v>
      </c>
      <c r="E2488" s="3">
        <v>10</v>
      </c>
      <c r="F2488" s="2" t="s">
        <v>23</v>
      </c>
      <c r="G2488" s="2" t="s">
        <v>11047</v>
      </c>
      <c r="H2488" s="3">
        <v>0</v>
      </c>
      <c r="I2488" s="2" t="s">
        <v>18</v>
      </c>
      <c r="J2488" s="2" t="s">
        <v>11048</v>
      </c>
      <c r="K2488" s="2" t="s">
        <v>23</v>
      </c>
      <c r="L2488" s="2" t="s">
        <v>11049</v>
      </c>
      <c r="M2488" s="4">
        <v>73.900000000000006</v>
      </c>
      <c r="N2488" t="e">
        <f>OR(LEFT(B2488,3)="frg",(_xlfn.XMATCH(B2488,ZZZ_Part_Id_[[#All],[FGCODE]])))</f>
        <v>#N/A</v>
      </c>
    </row>
    <row r="2489" spans="1:14" x14ac:dyDescent="0.3">
      <c r="A2489" s="2" t="s">
        <v>11045</v>
      </c>
      <c r="B2489" s="2" t="s">
        <v>14</v>
      </c>
      <c r="C2489" s="2" t="s">
        <v>11050</v>
      </c>
      <c r="D2489" s="3">
        <v>10</v>
      </c>
      <c r="E2489" s="3">
        <v>10</v>
      </c>
      <c r="F2489" s="2" t="s">
        <v>16</v>
      </c>
      <c r="G2489" s="2" t="s">
        <v>11051</v>
      </c>
      <c r="H2489" s="3">
        <v>0</v>
      </c>
      <c r="I2489" s="2" t="s">
        <v>18</v>
      </c>
      <c r="J2489" s="2" t="s">
        <v>11052</v>
      </c>
      <c r="K2489" s="2" t="s">
        <v>16</v>
      </c>
      <c r="L2489" s="2" t="s">
        <v>11053</v>
      </c>
      <c r="M2489" s="4">
        <v>0.77</v>
      </c>
      <c r="N2489" t="e">
        <f>OR(LEFT(B2489,3)="frg",(_xlfn.XMATCH(B2489,ZZZ_Part_Id_[[#All],[FGCODE]])))</f>
        <v>#N/A</v>
      </c>
    </row>
    <row r="2490" spans="1:14" x14ac:dyDescent="0.3">
      <c r="A2490" s="2" t="s">
        <v>11045</v>
      </c>
      <c r="B2490" s="2" t="s">
        <v>11054</v>
      </c>
      <c r="C2490" s="2" t="s">
        <v>11055</v>
      </c>
      <c r="D2490" s="3">
        <v>59616</v>
      </c>
      <c r="E2490" s="3">
        <v>59616</v>
      </c>
      <c r="F2490" s="2" t="s">
        <v>16</v>
      </c>
      <c r="G2490" s="2" t="s">
        <v>11056</v>
      </c>
      <c r="H2490" s="3">
        <v>0</v>
      </c>
      <c r="I2490" s="2" t="s">
        <v>18</v>
      </c>
      <c r="J2490" s="2" t="s">
        <v>11057</v>
      </c>
      <c r="K2490" s="2" t="s">
        <v>16</v>
      </c>
      <c r="L2490" s="2" t="s">
        <v>11058</v>
      </c>
      <c r="M2490" s="4">
        <v>16281.72</v>
      </c>
      <c r="N2490" t="b">
        <f>OR(LEFT(B2490,3)="frg",(_xlfn.XMATCH(B2490,ZZZ_Part_Id_[[#All],[FGCODE]])))</f>
        <v>1</v>
      </c>
    </row>
    <row r="2491" spans="1:14" x14ac:dyDescent="0.3">
      <c r="A2491" s="2" t="s">
        <v>11059</v>
      </c>
      <c r="B2491" s="2" t="s">
        <v>172</v>
      </c>
      <c r="C2491" s="2" t="s">
        <v>11060</v>
      </c>
      <c r="D2491" s="3">
        <v>4</v>
      </c>
      <c r="E2491" s="3">
        <v>4</v>
      </c>
      <c r="F2491" s="2" t="s">
        <v>23</v>
      </c>
      <c r="G2491" s="2" t="s">
        <v>11061</v>
      </c>
      <c r="H2491" s="3">
        <v>0</v>
      </c>
      <c r="I2491" s="2" t="s">
        <v>18</v>
      </c>
      <c r="J2491" s="2" t="s">
        <v>11062</v>
      </c>
      <c r="K2491" s="2" t="s">
        <v>23</v>
      </c>
      <c r="L2491" s="2" t="s">
        <v>11063</v>
      </c>
      <c r="M2491" s="4">
        <v>29.56</v>
      </c>
      <c r="N2491" t="e">
        <f>OR(LEFT(B2491,3)="frg",(_xlfn.XMATCH(B2491,ZZZ_Part_Id_[[#All],[FGCODE]])))</f>
        <v>#N/A</v>
      </c>
    </row>
    <row r="2492" spans="1:14" x14ac:dyDescent="0.3">
      <c r="A2492" s="2" t="s">
        <v>11059</v>
      </c>
      <c r="B2492" s="2" t="s">
        <v>21</v>
      </c>
      <c r="C2492" s="2" t="s">
        <v>11064</v>
      </c>
      <c r="D2492" s="5">
        <v>-83</v>
      </c>
      <c r="E2492" s="5">
        <v>-83</v>
      </c>
      <c r="F2492" s="2" t="s">
        <v>23</v>
      </c>
      <c r="G2492" s="2" t="s">
        <v>11065</v>
      </c>
      <c r="H2492" s="3">
        <v>0</v>
      </c>
      <c r="I2492" s="2" t="s">
        <v>18</v>
      </c>
      <c r="J2492" s="2" t="s">
        <v>11066</v>
      </c>
      <c r="K2492" s="2" t="s">
        <v>23</v>
      </c>
      <c r="L2492" s="2" t="s">
        <v>11067</v>
      </c>
      <c r="M2492" s="6">
        <v>-183.13</v>
      </c>
      <c r="N2492" t="b">
        <f>OR(LEFT(B2492,3)="frg",(_xlfn.XMATCH(B2492,ZZZ_Part_Id_[[#All],[FGCODE]])))</f>
        <v>1</v>
      </c>
    </row>
    <row r="2493" spans="1:14" x14ac:dyDescent="0.3">
      <c r="A2493" s="2" t="s">
        <v>11059</v>
      </c>
      <c r="B2493" s="2" t="s">
        <v>11068</v>
      </c>
      <c r="C2493" s="2" t="s">
        <v>11069</v>
      </c>
      <c r="D2493" s="3">
        <v>87715</v>
      </c>
      <c r="E2493" s="3">
        <v>87715</v>
      </c>
      <c r="F2493" s="2" t="s">
        <v>16</v>
      </c>
      <c r="G2493" s="2" t="s">
        <v>11070</v>
      </c>
      <c r="H2493" s="3">
        <v>0</v>
      </c>
      <c r="I2493" s="2" t="s">
        <v>18</v>
      </c>
      <c r="J2493" s="2" t="s">
        <v>11071</v>
      </c>
      <c r="K2493" s="2" t="s">
        <v>16</v>
      </c>
      <c r="L2493" s="2" t="s">
        <v>11072</v>
      </c>
      <c r="M2493" s="4">
        <v>16614.97</v>
      </c>
      <c r="N2493" t="b">
        <f>OR(LEFT(B2493,3)="frg",(_xlfn.XMATCH(B2493,ZZZ_Part_Id_[[#All],[FGCODE]])))</f>
        <v>1</v>
      </c>
    </row>
    <row r="2494" spans="1:14" x14ac:dyDescent="0.3">
      <c r="A2494" s="2" t="s">
        <v>11073</v>
      </c>
      <c r="B2494" s="2" t="s">
        <v>21</v>
      </c>
      <c r="C2494" s="2" t="s">
        <v>11074</v>
      </c>
      <c r="D2494" s="5">
        <v>-99</v>
      </c>
      <c r="E2494" s="5">
        <v>-99</v>
      </c>
      <c r="F2494" s="2" t="s">
        <v>23</v>
      </c>
      <c r="G2494" s="2" t="s">
        <v>11075</v>
      </c>
      <c r="H2494" s="3">
        <v>0</v>
      </c>
      <c r="I2494" s="2" t="s">
        <v>18</v>
      </c>
      <c r="J2494" s="2" t="s">
        <v>11076</v>
      </c>
      <c r="K2494" s="2" t="s">
        <v>23</v>
      </c>
      <c r="L2494" s="2" t="s">
        <v>11077</v>
      </c>
      <c r="M2494" s="6">
        <v>-218.43</v>
      </c>
      <c r="N2494" t="b">
        <f>OR(LEFT(B2494,3)="frg",(_xlfn.XMATCH(B2494,ZZZ_Part_Id_[[#All],[FGCODE]])))</f>
        <v>1</v>
      </c>
    </row>
    <row r="2495" spans="1:14" x14ac:dyDescent="0.3">
      <c r="A2495" s="2" t="s">
        <v>11073</v>
      </c>
      <c r="B2495" s="2" t="s">
        <v>187</v>
      </c>
      <c r="C2495" s="2" t="s">
        <v>11078</v>
      </c>
      <c r="D2495" s="3">
        <v>10</v>
      </c>
      <c r="E2495" s="3">
        <v>10</v>
      </c>
      <c r="F2495" s="2" t="s">
        <v>16</v>
      </c>
      <c r="G2495" s="2" t="s">
        <v>11079</v>
      </c>
      <c r="H2495" s="3">
        <v>0</v>
      </c>
      <c r="I2495" s="2" t="s">
        <v>18</v>
      </c>
      <c r="J2495" s="2" t="s">
        <v>11080</v>
      </c>
      <c r="K2495" s="2" t="s">
        <v>16</v>
      </c>
      <c r="L2495" s="2" t="s">
        <v>11081</v>
      </c>
      <c r="M2495" s="4">
        <v>44.22</v>
      </c>
      <c r="N2495" t="e">
        <f>OR(LEFT(B2495,3)="frg",(_xlfn.XMATCH(B2495,ZZZ_Part_Id_[[#All],[FGCODE]])))</f>
        <v>#N/A</v>
      </c>
    </row>
    <row r="2496" spans="1:14" x14ac:dyDescent="0.3">
      <c r="A2496" s="2" t="s">
        <v>11073</v>
      </c>
      <c r="B2496" s="2" t="s">
        <v>11082</v>
      </c>
      <c r="C2496" s="2" t="s">
        <v>11083</v>
      </c>
      <c r="D2496" s="3">
        <v>68440</v>
      </c>
      <c r="E2496" s="3">
        <v>68440</v>
      </c>
      <c r="F2496" s="2" t="s">
        <v>16</v>
      </c>
      <c r="G2496" s="2" t="s">
        <v>11084</v>
      </c>
      <c r="H2496" s="3">
        <v>0</v>
      </c>
      <c r="I2496" s="2" t="s">
        <v>18</v>
      </c>
      <c r="J2496" s="2" t="s">
        <v>11085</v>
      </c>
      <c r="K2496" s="2" t="s">
        <v>16</v>
      </c>
      <c r="L2496" s="2" t="s">
        <v>11086</v>
      </c>
      <c r="M2496" s="4">
        <v>18912.03</v>
      </c>
      <c r="N2496" t="b">
        <f>OR(LEFT(B2496,3)="frg",(_xlfn.XMATCH(B2496,ZZZ_Part_Id_[[#All],[FGCODE]])))</f>
        <v>1</v>
      </c>
    </row>
    <row r="2497" spans="1:14" x14ac:dyDescent="0.3">
      <c r="A2497" s="2" t="s">
        <v>11087</v>
      </c>
      <c r="B2497" s="2" t="s">
        <v>14</v>
      </c>
      <c r="C2497" s="2" t="s">
        <v>11088</v>
      </c>
      <c r="D2497" s="3">
        <v>1</v>
      </c>
      <c r="E2497" s="3">
        <v>0</v>
      </c>
      <c r="F2497" s="2" t="s">
        <v>16</v>
      </c>
      <c r="G2497" s="2" t="s">
        <v>11089</v>
      </c>
      <c r="H2497" s="3">
        <v>0</v>
      </c>
      <c r="I2497" s="2" t="s">
        <v>18</v>
      </c>
      <c r="J2497" s="2" t="s">
        <v>11090</v>
      </c>
      <c r="K2497" s="2" t="s">
        <v>16</v>
      </c>
      <c r="L2497" s="2" t="s">
        <v>11091</v>
      </c>
      <c r="M2497" s="4">
        <v>0</v>
      </c>
      <c r="N2497" t="e">
        <f>OR(LEFT(B2497,3)="frg",(_xlfn.XMATCH(B2497,ZZZ_Part_Id_[[#All],[FGCODE]])))</f>
        <v>#N/A</v>
      </c>
    </row>
    <row r="2498" spans="1:14" x14ac:dyDescent="0.3">
      <c r="A2498" s="2" t="s">
        <v>11087</v>
      </c>
      <c r="B2498" s="2" t="s">
        <v>4511</v>
      </c>
      <c r="C2498" s="2" t="s">
        <v>11092</v>
      </c>
      <c r="D2498" s="3">
        <v>29880</v>
      </c>
      <c r="E2498" s="3">
        <v>0</v>
      </c>
      <c r="F2498" s="2" t="s">
        <v>16</v>
      </c>
      <c r="G2498" s="2" t="s">
        <v>11093</v>
      </c>
      <c r="H2498" s="3">
        <v>0</v>
      </c>
      <c r="I2498" s="2" t="s">
        <v>18</v>
      </c>
      <c r="J2498" s="2" t="s">
        <v>11094</v>
      </c>
      <c r="K2498" s="2" t="s">
        <v>16</v>
      </c>
      <c r="L2498" s="2" t="s">
        <v>11095</v>
      </c>
      <c r="M2498" s="4">
        <v>0</v>
      </c>
      <c r="N2498" t="b">
        <f>OR(LEFT(B2498,3)="frg",(_xlfn.XMATCH(B2498,ZZZ_Part_Id_[[#All],[FGCODE]])))</f>
        <v>1</v>
      </c>
    </row>
    <row r="2499" spans="1:14" x14ac:dyDescent="0.3">
      <c r="A2499" s="2" t="s">
        <v>11096</v>
      </c>
      <c r="B2499" s="2" t="s">
        <v>187</v>
      </c>
      <c r="C2499" s="2" t="s">
        <v>11097</v>
      </c>
      <c r="D2499" s="3">
        <v>95</v>
      </c>
      <c r="E2499" s="3">
        <v>95</v>
      </c>
      <c r="F2499" s="2" t="s">
        <v>16</v>
      </c>
      <c r="G2499" s="2" t="s">
        <v>11098</v>
      </c>
      <c r="H2499" s="3">
        <v>0</v>
      </c>
      <c r="I2499" s="2" t="s">
        <v>18</v>
      </c>
      <c r="J2499" s="2" t="s">
        <v>11099</v>
      </c>
      <c r="K2499" s="2" t="s">
        <v>16</v>
      </c>
      <c r="L2499" s="2" t="s">
        <v>11100</v>
      </c>
      <c r="M2499" s="4">
        <v>420.1</v>
      </c>
      <c r="N2499" t="e">
        <f>OR(LEFT(B2499,3)="frg",(_xlfn.XMATCH(B2499,ZZZ_Part_Id_[[#All],[FGCODE]])))</f>
        <v>#N/A</v>
      </c>
    </row>
    <row r="2500" spans="1:14" x14ac:dyDescent="0.3">
      <c r="A2500" s="2" t="s">
        <v>11096</v>
      </c>
      <c r="B2500" s="2" t="s">
        <v>6156</v>
      </c>
      <c r="C2500" s="2" t="s">
        <v>11101</v>
      </c>
      <c r="D2500" s="3">
        <v>609408</v>
      </c>
      <c r="E2500" s="3">
        <v>609408</v>
      </c>
      <c r="F2500" s="2" t="s">
        <v>16</v>
      </c>
      <c r="G2500" s="2" t="s">
        <v>11102</v>
      </c>
      <c r="H2500" s="3">
        <v>0</v>
      </c>
      <c r="I2500" s="2" t="s">
        <v>18</v>
      </c>
      <c r="J2500" s="2" t="s">
        <v>11103</v>
      </c>
      <c r="K2500" s="2" t="s">
        <v>16</v>
      </c>
      <c r="L2500" s="2" t="s">
        <v>11104</v>
      </c>
      <c r="M2500" s="4">
        <v>190658.97</v>
      </c>
      <c r="N2500" t="b">
        <f>OR(LEFT(B2500,3)="frg",(_xlfn.XMATCH(B2500,ZZZ_Part_Id_[[#All],[FGCODE]])))</f>
        <v>1</v>
      </c>
    </row>
    <row r="2501" spans="1:14" x14ac:dyDescent="0.3">
      <c r="A2501" s="2" t="s">
        <v>11105</v>
      </c>
      <c r="B2501" s="2" t="s">
        <v>14</v>
      </c>
      <c r="C2501" s="2" t="s">
        <v>11106</v>
      </c>
      <c r="D2501" s="3">
        <v>35</v>
      </c>
      <c r="E2501" s="3">
        <v>35</v>
      </c>
      <c r="F2501" s="2" t="s">
        <v>16</v>
      </c>
      <c r="G2501" s="2" t="s">
        <v>11107</v>
      </c>
      <c r="H2501" s="3">
        <v>0</v>
      </c>
      <c r="I2501" s="2" t="s">
        <v>18</v>
      </c>
      <c r="J2501" s="2" t="s">
        <v>11108</v>
      </c>
      <c r="K2501" s="2" t="s">
        <v>16</v>
      </c>
      <c r="L2501" s="2" t="s">
        <v>11109</v>
      </c>
      <c r="M2501" s="4">
        <v>2.69</v>
      </c>
      <c r="N2501" t="e">
        <f>OR(LEFT(B2501,3)="frg",(_xlfn.XMATCH(B2501,ZZZ_Part_Id_[[#All],[FGCODE]])))</f>
        <v>#N/A</v>
      </c>
    </row>
    <row r="2502" spans="1:14" x14ac:dyDescent="0.3">
      <c r="A2502" s="2" t="s">
        <v>11105</v>
      </c>
      <c r="B2502" s="2" t="s">
        <v>187</v>
      </c>
      <c r="C2502" s="2" t="s">
        <v>11110</v>
      </c>
      <c r="D2502" s="3">
        <v>35</v>
      </c>
      <c r="E2502" s="3">
        <v>35</v>
      </c>
      <c r="F2502" s="2" t="s">
        <v>16</v>
      </c>
      <c r="G2502" s="2" t="s">
        <v>11111</v>
      </c>
      <c r="H2502" s="3">
        <v>0</v>
      </c>
      <c r="I2502" s="2" t="s">
        <v>18</v>
      </c>
      <c r="J2502" s="2" t="s">
        <v>11112</v>
      </c>
      <c r="K2502" s="2" t="s">
        <v>16</v>
      </c>
      <c r="L2502" s="2" t="s">
        <v>11113</v>
      </c>
      <c r="M2502" s="4">
        <v>154.77000000000001</v>
      </c>
      <c r="N2502" t="e">
        <f>OR(LEFT(B2502,3)="frg",(_xlfn.XMATCH(B2502,ZZZ_Part_Id_[[#All],[FGCODE]])))</f>
        <v>#N/A</v>
      </c>
    </row>
    <row r="2503" spans="1:14" x14ac:dyDescent="0.3">
      <c r="A2503" s="2" t="s">
        <v>11105</v>
      </c>
      <c r="B2503" s="2" t="s">
        <v>517</v>
      </c>
      <c r="C2503" s="2" t="s">
        <v>11114</v>
      </c>
      <c r="D2503" s="3">
        <v>352800</v>
      </c>
      <c r="E2503" s="3">
        <v>352800</v>
      </c>
      <c r="F2503" s="2" t="s">
        <v>16</v>
      </c>
      <c r="G2503" s="2" t="s">
        <v>11115</v>
      </c>
      <c r="H2503" s="3">
        <v>0</v>
      </c>
      <c r="I2503" s="2" t="s">
        <v>18</v>
      </c>
      <c r="J2503" s="2" t="s">
        <v>11116</v>
      </c>
      <c r="K2503" s="2" t="s">
        <v>16</v>
      </c>
      <c r="L2503" s="2" t="s">
        <v>11117</v>
      </c>
      <c r="M2503" s="4">
        <v>64181.25</v>
      </c>
      <c r="N2503" t="b">
        <f>OR(LEFT(B2503,3)="frg",(_xlfn.XMATCH(B2503,ZZZ_Part_Id_[[#All],[FGCODE]])))</f>
        <v>1</v>
      </c>
    </row>
    <row r="2504" spans="1:14" x14ac:dyDescent="0.3">
      <c r="A2504" s="2" t="s">
        <v>11118</v>
      </c>
      <c r="B2504" s="2" t="s">
        <v>65</v>
      </c>
      <c r="C2504" s="2" t="s">
        <v>11119</v>
      </c>
      <c r="D2504" s="5">
        <v>-710</v>
      </c>
      <c r="E2504" s="3">
        <v>0</v>
      </c>
      <c r="F2504" s="2" t="s">
        <v>23</v>
      </c>
      <c r="G2504" s="2" t="s">
        <v>11120</v>
      </c>
      <c r="H2504" s="3">
        <v>0</v>
      </c>
      <c r="I2504" s="2" t="s">
        <v>409</v>
      </c>
      <c r="J2504" s="2" t="s">
        <v>11121</v>
      </c>
      <c r="K2504" s="2" t="s">
        <v>23</v>
      </c>
      <c r="L2504" s="2" t="s">
        <v>11122</v>
      </c>
      <c r="M2504" s="4">
        <v>0</v>
      </c>
      <c r="N2504" t="b">
        <f>OR(LEFT(B2504,3)="frg",(_xlfn.XMATCH(B2504,ZZZ_Part_Id_[[#All],[FGCODE]])))</f>
        <v>1</v>
      </c>
    </row>
    <row r="2505" spans="1:14" x14ac:dyDescent="0.3">
      <c r="A2505" s="2" t="s">
        <v>11118</v>
      </c>
      <c r="B2505" s="2" t="s">
        <v>1170</v>
      </c>
      <c r="C2505" s="2" t="s">
        <v>11123</v>
      </c>
      <c r="D2505" s="3">
        <v>96000</v>
      </c>
      <c r="E2505" s="3">
        <v>0</v>
      </c>
      <c r="F2505" s="2" t="s">
        <v>16</v>
      </c>
      <c r="G2505" s="2" t="s">
        <v>11124</v>
      </c>
      <c r="H2505" s="3">
        <v>0</v>
      </c>
      <c r="I2505" s="2" t="s">
        <v>409</v>
      </c>
      <c r="J2505" s="2" t="s">
        <v>11125</v>
      </c>
      <c r="K2505" s="2" t="s">
        <v>16</v>
      </c>
      <c r="L2505" s="2" t="s">
        <v>11126</v>
      </c>
      <c r="M2505" s="4">
        <v>0</v>
      </c>
      <c r="N2505" t="b">
        <f>OR(LEFT(B2505,3)="frg",(_xlfn.XMATCH(B2505,ZZZ_Part_Id_[[#All],[FGCODE]])))</f>
        <v>1</v>
      </c>
    </row>
    <row r="2506" spans="1:14" x14ac:dyDescent="0.3">
      <c r="A2506" s="2" t="s">
        <v>11127</v>
      </c>
      <c r="B2506" s="2" t="s">
        <v>517</v>
      </c>
      <c r="C2506" s="2" t="s">
        <v>11128</v>
      </c>
      <c r="D2506" s="3">
        <v>40320</v>
      </c>
      <c r="E2506" s="3">
        <v>40320</v>
      </c>
      <c r="F2506" s="2" t="s">
        <v>16</v>
      </c>
      <c r="G2506" s="2" t="s">
        <v>11129</v>
      </c>
      <c r="H2506" s="3">
        <v>0</v>
      </c>
      <c r="I2506" s="2" t="s">
        <v>18</v>
      </c>
      <c r="J2506" s="2" t="s">
        <v>11130</v>
      </c>
      <c r="K2506" s="2" t="s">
        <v>16</v>
      </c>
      <c r="L2506" s="2" t="s">
        <v>11131</v>
      </c>
      <c r="M2506" s="4">
        <v>7335</v>
      </c>
      <c r="N2506" t="b">
        <f>OR(LEFT(B2506,3)="frg",(_xlfn.XMATCH(B2506,ZZZ_Part_Id_[[#All],[FGCODE]])))</f>
        <v>1</v>
      </c>
    </row>
    <row r="2507" spans="1:14" x14ac:dyDescent="0.3">
      <c r="A2507" s="2" t="s">
        <v>11132</v>
      </c>
      <c r="B2507" s="2" t="s">
        <v>65</v>
      </c>
      <c r="C2507" s="2" t="s">
        <v>11133</v>
      </c>
      <c r="D2507" s="5">
        <v>-748</v>
      </c>
      <c r="E2507" s="5">
        <v>-748</v>
      </c>
      <c r="F2507" s="2" t="s">
        <v>23</v>
      </c>
      <c r="G2507" s="2" t="s">
        <v>11134</v>
      </c>
      <c r="H2507" s="3">
        <v>0</v>
      </c>
      <c r="I2507" s="2" t="s">
        <v>409</v>
      </c>
      <c r="J2507" s="2" t="s">
        <v>11135</v>
      </c>
      <c r="K2507" s="2" t="s">
        <v>23</v>
      </c>
      <c r="L2507" s="2" t="s">
        <v>11136</v>
      </c>
      <c r="M2507" s="6">
        <v>-1923.56</v>
      </c>
      <c r="N2507" t="b">
        <f>OR(LEFT(B2507,3)="frg",(_xlfn.XMATCH(B2507,ZZZ_Part_Id_[[#All],[FGCODE]])))</f>
        <v>1</v>
      </c>
    </row>
    <row r="2508" spans="1:14" x14ac:dyDescent="0.3">
      <c r="A2508" s="2" t="s">
        <v>11132</v>
      </c>
      <c r="B2508" s="2" t="s">
        <v>1170</v>
      </c>
      <c r="C2508" s="2" t="s">
        <v>11137</v>
      </c>
      <c r="D2508" s="3">
        <v>96000</v>
      </c>
      <c r="E2508" s="3">
        <v>96000</v>
      </c>
      <c r="F2508" s="2" t="s">
        <v>16</v>
      </c>
      <c r="G2508" s="2" t="s">
        <v>11138</v>
      </c>
      <c r="H2508" s="3">
        <v>0</v>
      </c>
      <c r="I2508" s="2" t="s">
        <v>409</v>
      </c>
      <c r="J2508" s="2" t="s">
        <v>11139</v>
      </c>
      <c r="K2508" s="2" t="s">
        <v>16</v>
      </c>
      <c r="L2508" s="2" t="s">
        <v>11140</v>
      </c>
      <c r="M2508" s="4">
        <v>33214.06</v>
      </c>
      <c r="N2508" t="b">
        <f>OR(LEFT(B2508,3)="frg",(_xlfn.XMATCH(B2508,ZZZ_Part_Id_[[#All],[FGCODE]])))</f>
        <v>1</v>
      </c>
    </row>
    <row r="2509" spans="1:14" x14ac:dyDescent="0.3">
      <c r="A2509" s="2" t="s">
        <v>11141</v>
      </c>
      <c r="B2509" s="2" t="s">
        <v>11054</v>
      </c>
      <c r="C2509" s="2" t="s">
        <v>11142</v>
      </c>
      <c r="D2509" s="3">
        <v>94569</v>
      </c>
      <c r="E2509" s="3">
        <v>94569</v>
      </c>
      <c r="F2509" s="2" t="s">
        <v>16</v>
      </c>
      <c r="G2509" s="2" t="s">
        <v>11143</v>
      </c>
      <c r="H2509" s="3">
        <v>0</v>
      </c>
      <c r="I2509" s="2" t="s">
        <v>18</v>
      </c>
      <c r="J2509" s="2" t="s">
        <v>35</v>
      </c>
      <c r="K2509" s="2" t="s">
        <v>16</v>
      </c>
      <c r="L2509" s="2" t="s">
        <v>11144</v>
      </c>
      <c r="M2509" s="4">
        <v>25828.69</v>
      </c>
      <c r="N2509" t="b">
        <f>OR(LEFT(B2509,3)="frg",(_xlfn.XMATCH(B2509,ZZZ_Part_Id_[[#All],[FGCODE]])))</f>
        <v>1</v>
      </c>
    </row>
    <row r="2510" spans="1:14" x14ac:dyDescent="0.3">
      <c r="A2510" s="2" t="s">
        <v>11145</v>
      </c>
      <c r="B2510" s="2" t="s">
        <v>14</v>
      </c>
      <c r="C2510" s="2" t="s">
        <v>11146</v>
      </c>
      <c r="D2510" s="3">
        <v>85</v>
      </c>
      <c r="E2510" s="3">
        <v>85</v>
      </c>
      <c r="F2510" s="2" t="s">
        <v>16</v>
      </c>
      <c r="G2510" s="2" t="s">
        <v>11147</v>
      </c>
      <c r="H2510" s="3">
        <v>0</v>
      </c>
      <c r="I2510" s="2" t="s">
        <v>18</v>
      </c>
      <c r="J2510" s="2" t="s">
        <v>11148</v>
      </c>
      <c r="K2510" s="2" t="s">
        <v>16</v>
      </c>
      <c r="L2510" s="2" t="s">
        <v>11149</v>
      </c>
      <c r="M2510" s="4">
        <v>6.54</v>
      </c>
      <c r="N2510" t="e">
        <f>OR(LEFT(B2510,3)="frg",(_xlfn.XMATCH(B2510,ZZZ_Part_Id_[[#All],[FGCODE]])))</f>
        <v>#N/A</v>
      </c>
    </row>
    <row r="2511" spans="1:14" x14ac:dyDescent="0.3">
      <c r="A2511" s="2" t="s">
        <v>11145</v>
      </c>
      <c r="B2511" s="2" t="s">
        <v>187</v>
      </c>
      <c r="C2511" s="2" t="s">
        <v>11150</v>
      </c>
      <c r="D2511" s="3">
        <v>85</v>
      </c>
      <c r="E2511" s="3">
        <v>85</v>
      </c>
      <c r="F2511" s="2" t="s">
        <v>16</v>
      </c>
      <c r="G2511" s="2" t="s">
        <v>11151</v>
      </c>
      <c r="H2511" s="3">
        <v>0</v>
      </c>
      <c r="I2511" s="2" t="s">
        <v>18</v>
      </c>
      <c r="J2511" s="2" t="s">
        <v>11152</v>
      </c>
      <c r="K2511" s="2" t="s">
        <v>16</v>
      </c>
      <c r="L2511" s="2" t="s">
        <v>11153</v>
      </c>
      <c r="M2511" s="4">
        <v>375.88</v>
      </c>
      <c r="N2511" t="e">
        <f>OR(LEFT(B2511,3)="frg",(_xlfn.XMATCH(B2511,ZZZ_Part_Id_[[#All],[FGCODE]])))</f>
        <v>#N/A</v>
      </c>
    </row>
    <row r="2512" spans="1:14" x14ac:dyDescent="0.3">
      <c r="A2512" s="2" t="s">
        <v>11145</v>
      </c>
      <c r="B2512" s="2" t="s">
        <v>6156</v>
      </c>
      <c r="C2512" s="2" t="s">
        <v>11154</v>
      </c>
      <c r="D2512" s="3">
        <v>563040</v>
      </c>
      <c r="E2512" s="3">
        <v>563040</v>
      </c>
      <c r="F2512" s="2" t="s">
        <v>16</v>
      </c>
      <c r="G2512" s="2" t="s">
        <v>11155</v>
      </c>
      <c r="H2512" s="3">
        <v>0</v>
      </c>
      <c r="I2512" s="2" t="s">
        <v>18</v>
      </c>
      <c r="J2512" s="2" t="s">
        <v>11156</v>
      </c>
      <c r="K2512" s="2" t="s">
        <v>16</v>
      </c>
      <c r="L2512" s="2" t="s">
        <v>11157</v>
      </c>
      <c r="M2512" s="4">
        <v>176147.16</v>
      </c>
      <c r="N2512" t="b">
        <f>OR(LEFT(B2512,3)="frg",(_xlfn.XMATCH(B2512,ZZZ_Part_Id_[[#All],[FGCODE]])))</f>
        <v>1</v>
      </c>
    </row>
    <row r="2513" spans="1:14" x14ac:dyDescent="0.3">
      <c r="A2513" s="2" t="s">
        <v>11158</v>
      </c>
      <c r="B2513" s="2" t="s">
        <v>14</v>
      </c>
      <c r="C2513" s="2" t="s">
        <v>11159</v>
      </c>
      <c r="D2513" s="3">
        <v>14</v>
      </c>
      <c r="E2513" s="3">
        <v>14</v>
      </c>
      <c r="F2513" s="2" t="s">
        <v>16</v>
      </c>
      <c r="G2513" s="2" t="s">
        <v>11160</v>
      </c>
      <c r="H2513" s="3">
        <v>0</v>
      </c>
      <c r="I2513" s="2" t="s">
        <v>18</v>
      </c>
      <c r="J2513" s="2" t="s">
        <v>11161</v>
      </c>
      <c r="K2513" s="2" t="s">
        <v>16</v>
      </c>
      <c r="L2513" s="2" t="s">
        <v>11162</v>
      </c>
      <c r="M2513" s="4">
        <v>1.08</v>
      </c>
      <c r="N2513" t="e">
        <f>OR(LEFT(B2513,3)="frg",(_xlfn.XMATCH(B2513,ZZZ_Part_Id_[[#All],[FGCODE]])))</f>
        <v>#N/A</v>
      </c>
    </row>
    <row r="2514" spans="1:14" x14ac:dyDescent="0.3">
      <c r="A2514" s="2" t="s">
        <v>11158</v>
      </c>
      <c r="B2514" s="2" t="s">
        <v>21</v>
      </c>
      <c r="C2514" s="2" t="s">
        <v>11163</v>
      </c>
      <c r="D2514" s="5">
        <v>-140</v>
      </c>
      <c r="E2514" s="5">
        <v>-140</v>
      </c>
      <c r="F2514" s="2" t="s">
        <v>23</v>
      </c>
      <c r="G2514" s="2" t="s">
        <v>11164</v>
      </c>
      <c r="H2514" s="3">
        <v>0</v>
      </c>
      <c r="I2514" s="2" t="s">
        <v>18</v>
      </c>
      <c r="J2514" s="2" t="s">
        <v>11165</v>
      </c>
      <c r="K2514" s="2" t="s">
        <v>23</v>
      </c>
      <c r="L2514" s="2" t="s">
        <v>11166</v>
      </c>
      <c r="M2514" s="6">
        <v>-330.46</v>
      </c>
      <c r="N2514" t="b">
        <f>OR(LEFT(B2514,3)="frg",(_xlfn.XMATCH(B2514,ZZZ_Part_Id_[[#All],[FGCODE]])))</f>
        <v>1</v>
      </c>
    </row>
    <row r="2515" spans="1:14" x14ac:dyDescent="0.3">
      <c r="A2515" s="2" t="s">
        <v>11158</v>
      </c>
      <c r="B2515" s="2" t="s">
        <v>6156</v>
      </c>
      <c r="C2515" s="2" t="s">
        <v>11167</v>
      </c>
      <c r="D2515" s="3">
        <v>86112</v>
      </c>
      <c r="E2515" s="3">
        <v>86112</v>
      </c>
      <c r="F2515" s="2" t="s">
        <v>16</v>
      </c>
      <c r="G2515" s="2" t="s">
        <v>11168</v>
      </c>
      <c r="H2515" s="3">
        <v>0</v>
      </c>
      <c r="I2515" s="2" t="s">
        <v>18</v>
      </c>
      <c r="J2515" s="2" t="s">
        <v>11169</v>
      </c>
      <c r="K2515" s="2" t="s">
        <v>16</v>
      </c>
      <c r="L2515" s="2" t="s">
        <v>11170</v>
      </c>
      <c r="M2515" s="4">
        <v>26940.16</v>
      </c>
      <c r="N2515" t="b">
        <f>OR(LEFT(B2515,3)="frg",(_xlfn.XMATCH(B2515,ZZZ_Part_Id_[[#All],[FGCODE]])))</f>
        <v>1</v>
      </c>
    </row>
    <row r="2516" spans="1:14" x14ac:dyDescent="0.3">
      <c r="A2516" s="2" t="s">
        <v>11171</v>
      </c>
      <c r="B2516" s="2" t="s">
        <v>187</v>
      </c>
      <c r="C2516" s="2" t="s">
        <v>11172</v>
      </c>
      <c r="D2516" s="3">
        <v>13</v>
      </c>
      <c r="E2516" s="3">
        <v>13</v>
      </c>
      <c r="F2516" s="2" t="s">
        <v>16</v>
      </c>
      <c r="G2516" s="2" t="s">
        <v>11173</v>
      </c>
      <c r="H2516" s="3">
        <v>0</v>
      </c>
      <c r="I2516" s="2" t="s">
        <v>18</v>
      </c>
      <c r="J2516" s="2" t="s">
        <v>11174</v>
      </c>
      <c r="K2516" s="2" t="s">
        <v>16</v>
      </c>
      <c r="L2516" s="2" t="s">
        <v>11175</v>
      </c>
      <c r="M2516" s="4">
        <v>57.49</v>
      </c>
      <c r="N2516" t="e">
        <f>OR(LEFT(B2516,3)="frg",(_xlfn.XMATCH(B2516,ZZZ_Part_Id_[[#All],[FGCODE]])))</f>
        <v>#N/A</v>
      </c>
    </row>
    <row r="2517" spans="1:14" x14ac:dyDescent="0.3">
      <c r="A2517" s="2" t="s">
        <v>11171</v>
      </c>
      <c r="B2517" s="2" t="s">
        <v>14</v>
      </c>
      <c r="C2517" s="2" t="s">
        <v>11176</v>
      </c>
      <c r="D2517" s="3">
        <v>13</v>
      </c>
      <c r="E2517" s="3">
        <v>13</v>
      </c>
      <c r="F2517" s="2" t="s">
        <v>16</v>
      </c>
      <c r="G2517" s="2" t="s">
        <v>11177</v>
      </c>
      <c r="H2517" s="3">
        <v>0</v>
      </c>
      <c r="I2517" s="2" t="s">
        <v>18</v>
      </c>
      <c r="J2517" s="2" t="s">
        <v>11178</v>
      </c>
      <c r="K2517" s="2" t="s">
        <v>16</v>
      </c>
      <c r="L2517" s="2" t="s">
        <v>11179</v>
      </c>
      <c r="M2517" s="4">
        <v>1</v>
      </c>
      <c r="N2517" t="e">
        <f>OR(LEFT(B2517,3)="frg",(_xlfn.XMATCH(B2517,ZZZ_Part_Id_[[#All],[FGCODE]])))</f>
        <v>#N/A</v>
      </c>
    </row>
    <row r="2518" spans="1:14" x14ac:dyDescent="0.3">
      <c r="A2518" s="2" t="s">
        <v>11171</v>
      </c>
      <c r="B2518" s="2" t="s">
        <v>65</v>
      </c>
      <c r="C2518" s="2" t="s">
        <v>11180</v>
      </c>
      <c r="D2518" s="5">
        <v>-45</v>
      </c>
      <c r="E2518" s="5">
        <v>-45</v>
      </c>
      <c r="F2518" s="2" t="s">
        <v>23</v>
      </c>
      <c r="G2518" s="2" t="s">
        <v>11181</v>
      </c>
      <c r="H2518" s="3">
        <v>0</v>
      </c>
      <c r="I2518" s="2" t="s">
        <v>18</v>
      </c>
      <c r="J2518" s="2" t="s">
        <v>11182</v>
      </c>
      <c r="K2518" s="2" t="s">
        <v>23</v>
      </c>
      <c r="L2518" s="2" t="s">
        <v>11183</v>
      </c>
      <c r="M2518" s="6">
        <v>-115.72</v>
      </c>
      <c r="N2518" t="b">
        <f>OR(LEFT(B2518,3)="frg",(_xlfn.XMATCH(B2518,ZZZ_Part_Id_[[#All],[FGCODE]])))</f>
        <v>1</v>
      </c>
    </row>
    <row r="2519" spans="1:14" x14ac:dyDescent="0.3">
      <c r="A2519" s="2" t="s">
        <v>11171</v>
      </c>
      <c r="B2519" s="2" t="s">
        <v>11040</v>
      </c>
      <c r="C2519" s="2" t="s">
        <v>11184</v>
      </c>
      <c r="D2519" s="3">
        <v>139542</v>
      </c>
      <c r="E2519" s="3">
        <v>139542</v>
      </c>
      <c r="F2519" s="2" t="s">
        <v>16</v>
      </c>
      <c r="G2519" s="2" t="s">
        <v>11185</v>
      </c>
      <c r="H2519" s="3">
        <v>0</v>
      </c>
      <c r="I2519" s="2" t="s">
        <v>18</v>
      </c>
      <c r="J2519" s="2" t="s">
        <v>11186</v>
      </c>
      <c r="K2519" s="2" t="s">
        <v>16</v>
      </c>
      <c r="L2519" s="2" t="s">
        <v>11187</v>
      </c>
      <c r="M2519" s="4">
        <v>26108.31</v>
      </c>
      <c r="N2519" t="b">
        <f>OR(LEFT(B2519,3)="frg",(_xlfn.XMATCH(B2519,ZZZ_Part_Id_[[#All],[FGCODE]])))</f>
        <v>1</v>
      </c>
    </row>
    <row r="2520" spans="1:14" x14ac:dyDescent="0.3">
      <c r="A2520" s="2" t="s">
        <v>11188</v>
      </c>
      <c r="B2520" s="2" t="s">
        <v>14</v>
      </c>
      <c r="C2520" s="2" t="s">
        <v>11189</v>
      </c>
      <c r="D2520" s="3">
        <v>140</v>
      </c>
      <c r="E2520" s="3">
        <v>140</v>
      </c>
      <c r="F2520" s="2" t="s">
        <v>16</v>
      </c>
      <c r="G2520" s="2" t="s">
        <v>11190</v>
      </c>
      <c r="H2520" s="3">
        <v>0</v>
      </c>
      <c r="I2520" s="2" t="s">
        <v>409</v>
      </c>
      <c r="J2520" s="2" t="s">
        <v>11191</v>
      </c>
      <c r="K2520" s="2" t="s">
        <v>16</v>
      </c>
      <c r="L2520" s="2" t="s">
        <v>11192</v>
      </c>
      <c r="M2520" s="4">
        <v>10.77</v>
      </c>
      <c r="N2520" t="e">
        <f>OR(LEFT(B2520,3)="frg",(_xlfn.XMATCH(B2520,ZZZ_Part_Id_[[#All],[FGCODE]])))</f>
        <v>#N/A</v>
      </c>
    </row>
    <row r="2521" spans="1:14" x14ac:dyDescent="0.3">
      <c r="A2521" s="2" t="s">
        <v>11188</v>
      </c>
      <c r="B2521" s="2" t="s">
        <v>187</v>
      </c>
      <c r="C2521" s="2" t="s">
        <v>11193</v>
      </c>
      <c r="D2521" s="3">
        <v>95</v>
      </c>
      <c r="E2521" s="3">
        <v>95</v>
      </c>
      <c r="F2521" s="2" t="s">
        <v>16</v>
      </c>
      <c r="G2521" s="2" t="s">
        <v>11194</v>
      </c>
      <c r="H2521" s="3">
        <v>0</v>
      </c>
      <c r="I2521" s="2" t="s">
        <v>409</v>
      </c>
      <c r="J2521" s="2" t="s">
        <v>11195</v>
      </c>
      <c r="K2521" s="2" t="s">
        <v>16</v>
      </c>
      <c r="L2521" s="2" t="s">
        <v>11196</v>
      </c>
      <c r="M2521" s="4">
        <v>420.1</v>
      </c>
      <c r="N2521" t="e">
        <f>OR(LEFT(B2521,3)="frg",(_xlfn.XMATCH(B2521,ZZZ_Part_Id_[[#All],[FGCODE]])))</f>
        <v>#N/A</v>
      </c>
    </row>
    <row r="2522" spans="1:14" x14ac:dyDescent="0.3">
      <c r="A2522" s="2" t="s">
        <v>11188</v>
      </c>
      <c r="B2522" s="2" t="s">
        <v>4791</v>
      </c>
      <c r="C2522" s="2" t="s">
        <v>11197</v>
      </c>
      <c r="D2522" s="3">
        <v>635904</v>
      </c>
      <c r="E2522" s="3">
        <v>635904</v>
      </c>
      <c r="F2522" s="2" t="s">
        <v>16</v>
      </c>
      <c r="G2522" s="2" t="s">
        <v>11198</v>
      </c>
      <c r="H2522" s="3">
        <v>0</v>
      </c>
      <c r="I2522" s="2" t="s">
        <v>409</v>
      </c>
      <c r="J2522" s="2" t="s">
        <v>11199</v>
      </c>
      <c r="K2522" s="2" t="s">
        <v>16</v>
      </c>
      <c r="L2522" s="2" t="s">
        <v>11200</v>
      </c>
      <c r="M2522" s="4">
        <v>186739.20000000001</v>
      </c>
      <c r="N2522" t="b">
        <f>OR(LEFT(B2522,3)="frg",(_xlfn.XMATCH(B2522,ZZZ_Part_Id_[[#All],[FGCODE]])))</f>
        <v>1</v>
      </c>
    </row>
    <row r="2523" spans="1:14" x14ac:dyDescent="0.3">
      <c r="A2523" s="2" t="s">
        <v>11201</v>
      </c>
      <c r="B2523" s="2" t="s">
        <v>14</v>
      </c>
      <c r="C2523" s="2" t="s">
        <v>11202</v>
      </c>
      <c r="D2523" s="3">
        <v>10</v>
      </c>
      <c r="E2523" s="3">
        <v>10</v>
      </c>
      <c r="F2523" s="2" t="s">
        <v>16</v>
      </c>
      <c r="G2523" s="2" t="s">
        <v>11203</v>
      </c>
      <c r="H2523" s="3">
        <v>0</v>
      </c>
      <c r="I2523" s="2" t="s">
        <v>18</v>
      </c>
      <c r="J2523" s="2" t="s">
        <v>11204</v>
      </c>
      <c r="K2523" s="2" t="s">
        <v>16</v>
      </c>
      <c r="L2523" s="2" t="s">
        <v>11205</v>
      </c>
      <c r="M2523" s="4">
        <v>0.77</v>
      </c>
      <c r="N2523" t="e">
        <f>OR(LEFT(B2523,3)="frg",(_xlfn.XMATCH(B2523,ZZZ_Part_Id_[[#All],[FGCODE]])))</f>
        <v>#N/A</v>
      </c>
    </row>
    <row r="2524" spans="1:14" x14ac:dyDescent="0.3">
      <c r="A2524" s="2" t="s">
        <v>11201</v>
      </c>
      <c r="B2524" s="2" t="s">
        <v>86</v>
      </c>
      <c r="C2524" s="2" t="s">
        <v>11206</v>
      </c>
      <c r="D2524" s="5">
        <v>-268</v>
      </c>
      <c r="E2524" s="5">
        <v>-268</v>
      </c>
      <c r="F2524" s="2" t="s">
        <v>23</v>
      </c>
      <c r="G2524" s="2" t="s">
        <v>11207</v>
      </c>
      <c r="H2524" s="3">
        <v>0</v>
      </c>
      <c r="I2524" s="2" t="s">
        <v>18</v>
      </c>
      <c r="J2524" s="2" t="s">
        <v>11208</v>
      </c>
      <c r="K2524" s="2" t="s">
        <v>23</v>
      </c>
      <c r="L2524" s="2" t="s">
        <v>11209</v>
      </c>
      <c r="M2524" s="6">
        <v>-701.57</v>
      </c>
      <c r="N2524" t="b">
        <f>OR(LEFT(B2524,3)="frg",(_xlfn.XMATCH(B2524,ZZZ_Part_Id_[[#All],[FGCODE]])))</f>
        <v>1</v>
      </c>
    </row>
    <row r="2525" spans="1:14" x14ac:dyDescent="0.3">
      <c r="A2525" s="2" t="s">
        <v>11201</v>
      </c>
      <c r="B2525" s="2" t="s">
        <v>11210</v>
      </c>
      <c r="C2525" s="2" t="s">
        <v>11211</v>
      </c>
      <c r="D2525" s="3">
        <v>100800</v>
      </c>
      <c r="E2525" s="3">
        <v>100800</v>
      </c>
      <c r="F2525" s="2" t="s">
        <v>16</v>
      </c>
      <c r="G2525" s="2" t="s">
        <v>11212</v>
      </c>
      <c r="H2525" s="3">
        <v>0</v>
      </c>
      <c r="I2525" s="2" t="s">
        <v>18</v>
      </c>
      <c r="J2525" s="2" t="s">
        <v>11213</v>
      </c>
      <c r="K2525" s="2" t="s">
        <v>16</v>
      </c>
      <c r="L2525" s="2" t="s">
        <v>11214</v>
      </c>
      <c r="M2525" s="4">
        <v>17543.2</v>
      </c>
      <c r="N2525" t="b">
        <f>OR(LEFT(B2525,3)="frg",(_xlfn.XMATCH(B2525,ZZZ_Part_Id_[[#All],[FGCODE]])))</f>
        <v>1</v>
      </c>
    </row>
    <row r="2526" spans="1:14" x14ac:dyDescent="0.3">
      <c r="A2526" s="2" t="s">
        <v>11215</v>
      </c>
      <c r="B2526" s="2" t="s">
        <v>14</v>
      </c>
      <c r="C2526" s="2" t="s">
        <v>11216</v>
      </c>
      <c r="D2526" s="3">
        <v>10</v>
      </c>
      <c r="E2526" s="3">
        <v>10</v>
      </c>
      <c r="F2526" s="2" t="s">
        <v>16</v>
      </c>
      <c r="G2526" s="2" t="s">
        <v>11217</v>
      </c>
      <c r="H2526" s="3">
        <v>0</v>
      </c>
      <c r="I2526" s="2" t="s">
        <v>18</v>
      </c>
      <c r="J2526" s="2" t="s">
        <v>11218</v>
      </c>
      <c r="K2526" s="2" t="s">
        <v>16</v>
      </c>
      <c r="L2526" s="2" t="s">
        <v>11219</v>
      </c>
      <c r="M2526" s="4">
        <v>0.77</v>
      </c>
      <c r="N2526" t="e">
        <f>OR(LEFT(B2526,3)="frg",(_xlfn.XMATCH(B2526,ZZZ_Part_Id_[[#All],[FGCODE]])))</f>
        <v>#N/A</v>
      </c>
    </row>
    <row r="2527" spans="1:14" x14ac:dyDescent="0.3">
      <c r="A2527" s="2" t="s">
        <v>11215</v>
      </c>
      <c r="B2527" s="2" t="s">
        <v>37</v>
      </c>
      <c r="C2527" s="2" t="s">
        <v>11220</v>
      </c>
      <c r="D2527" s="3">
        <v>10</v>
      </c>
      <c r="E2527" s="3">
        <v>10</v>
      </c>
      <c r="F2527" s="2" t="s">
        <v>16</v>
      </c>
      <c r="G2527" s="2" t="s">
        <v>11221</v>
      </c>
      <c r="H2527" s="3">
        <v>0</v>
      </c>
      <c r="I2527" s="2" t="s">
        <v>18</v>
      </c>
      <c r="J2527" s="2" t="s">
        <v>11222</v>
      </c>
      <c r="K2527" s="2" t="s">
        <v>16</v>
      </c>
      <c r="L2527" s="2" t="s">
        <v>11223</v>
      </c>
      <c r="M2527" s="4">
        <v>160</v>
      </c>
      <c r="N2527" t="e">
        <f>OR(LEFT(B2527,3)="frg",(_xlfn.XMATCH(B2527,ZZZ_Part_Id_[[#All],[FGCODE]])))</f>
        <v>#N/A</v>
      </c>
    </row>
    <row r="2528" spans="1:14" x14ac:dyDescent="0.3">
      <c r="A2528" s="2" t="s">
        <v>11215</v>
      </c>
      <c r="B2528" s="2" t="s">
        <v>86</v>
      </c>
      <c r="C2528" s="2" t="s">
        <v>11224</v>
      </c>
      <c r="D2528" s="5">
        <v>-238</v>
      </c>
      <c r="E2528" s="5">
        <v>-238</v>
      </c>
      <c r="F2528" s="2" t="s">
        <v>23</v>
      </c>
      <c r="G2528" s="2" t="s">
        <v>11225</v>
      </c>
      <c r="H2528" s="3">
        <v>0</v>
      </c>
      <c r="I2528" s="2" t="s">
        <v>18</v>
      </c>
      <c r="J2528" s="2" t="s">
        <v>11226</v>
      </c>
      <c r="K2528" s="2" t="s">
        <v>23</v>
      </c>
      <c r="L2528" s="2" t="s">
        <v>11227</v>
      </c>
      <c r="M2528" s="6">
        <v>-623.04</v>
      </c>
      <c r="N2528" t="b">
        <f>OR(LEFT(B2528,3)="frg",(_xlfn.XMATCH(B2528,ZZZ_Part_Id_[[#All],[FGCODE]])))</f>
        <v>1</v>
      </c>
    </row>
    <row r="2529" spans="1:14" x14ac:dyDescent="0.3">
      <c r="A2529" s="2" t="s">
        <v>11215</v>
      </c>
      <c r="B2529" s="2" t="s">
        <v>76</v>
      </c>
      <c r="C2529" s="2" t="s">
        <v>11228</v>
      </c>
      <c r="D2529" s="3">
        <v>279180</v>
      </c>
      <c r="E2529" s="3">
        <v>279180</v>
      </c>
      <c r="F2529" s="2" t="s">
        <v>16</v>
      </c>
      <c r="G2529" s="2" t="s">
        <v>11229</v>
      </c>
      <c r="H2529" s="3">
        <v>0</v>
      </c>
      <c r="I2529" s="2" t="s">
        <v>18</v>
      </c>
      <c r="J2529" s="2" t="s">
        <v>11230</v>
      </c>
      <c r="K2529" s="2" t="s">
        <v>16</v>
      </c>
      <c r="L2529" s="2" t="s">
        <v>11231</v>
      </c>
      <c r="M2529" s="4">
        <v>18300.240000000002</v>
      </c>
      <c r="N2529" t="b">
        <f>OR(LEFT(B2529,3)="frg",(_xlfn.XMATCH(B2529,ZZZ_Part_Id_[[#All],[FGCODE]])))</f>
        <v>1</v>
      </c>
    </row>
    <row r="2530" spans="1:14" x14ac:dyDescent="0.3">
      <c r="A2530" s="2" t="s">
        <v>11232</v>
      </c>
      <c r="B2530" s="2" t="s">
        <v>14</v>
      </c>
      <c r="C2530" s="2" t="s">
        <v>11233</v>
      </c>
      <c r="D2530" s="3">
        <v>2</v>
      </c>
      <c r="E2530" s="3">
        <v>2</v>
      </c>
      <c r="F2530" s="2" t="s">
        <v>16</v>
      </c>
      <c r="G2530" s="2" t="s">
        <v>11234</v>
      </c>
      <c r="H2530" s="3">
        <v>0</v>
      </c>
      <c r="I2530" s="2" t="s">
        <v>409</v>
      </c>
      <c r="J2530" s="2" t="s">
        <v>11235</v>
      </c>
      <c r="K2530" s="2" t="s">
        <v>16</v>
      </c>
      <c r="L2530" s="2" t="s">
        <v>11236</v>
      </c>
      <c r="M2530" s="4">
        <v>0.15</v>
      </c>
      <c r="N2530" t="e">
        <f>OR(LEFT(B2530,3)="frg",(_xlfn.XMATCH(B2530,ZZZ_Part_Id_[[#All],[FGCODE]])))</f>
        <v>#N/A</v>
      </c>
    </row>
    <row r="2531" spans="1:14" x14ac:dyDescent="0.3">
      <c r="A2531" s="2" t="s">
        <v>11232</v>
      </c>
      <c r="B2531" s="2" t="s">
        <v>37</v>
      </c>
      <c r="C2531" s="2" t="s">
        <v>11237</v>
      </c>
      <c r="D2531" s="3">
        <v>2</v>
      </c>
      <c r="E2531" s="3">
        <v>2</v>
      </c>
      <c r="F2531" s="2" t="s">
        <v>16</v>
      </c>
      <c r="G2531" s="2" t="s">
        <v>11238</v>
      </c>
      <c r="H2531" s="3">
        <v>0</v>
      </c>
      <c r="I2531" s="2" t="s">
        <v>409</v>
      </c>
      <c r="J2531" s="2" t="s">
        <v>11239</v>
      </c>
      <c r="K2531" s="2" t="s">
        <v>16</v>
      </c>
      <c r="L2531" s="2" t="s">
        <v>11240</v>
      </c>
      <c r="M2531" s="4">
        <v>32</v>
      </c>
      <c r="N2531" t="e">
        <f>OR(LEFT(B2531,3)="frg",(_xlfn.XMATCH(B2531,ZZZ_Part_Id_[[#All],[FGCODE]])))</f>
        <v>#N/A</v>
      </c>
    </row>
    <row r="2532" spans="1:14" x14ac:dyDescent="0.3">
      <c r="A2532" s="2" t="s">
        <v>11232</v>
      </c>
      <c r="B2532" s="2" t="s">
        <v>11241</v>
      </c>
      <c r="C2532" s="2" t="s">
        <v>11242</v>
      </c>
      <c r="D2532" s="3">
        <v>50760</v>
      </c>
      <c r="E2532" s="3">
        <v>50760</v>
      </c>
      <c r="F2532" s="2" t="s">
        <v>16</v>
      </c>
      <c r="G2532" s="2" t="s">
        <v>11243</v>
      </c>
      <c r="H2532" s="3">
        <v>0</v>
      </c>
      <c r="I2532" s="2" t="s">
        <v>409</v>
      </c>
      <c r="J2532" s="2" t="s">
        <v>11244</v>
      </c>
      <c r="K2532" s="2" t="s">
        <v>16</v>
      </c>
      <c r="L2532" s="2" t="s">
        <v>11245</v>
      </c>
      <c r="M2532" s="4">
        <v>3136.96</v>
      </c>
      <c r="N2532" t="b">
        <f>OR(LEFT(B2532,3)="frg",(_xlfn.XMATCH(B2532,ZZZ_Part_Id_[[#All],[FGCODE]])))</f>
        <v>1</v>
      </c>
    </row>
    <row r="2533" spans="1:14" x14ac:dyDescent="0.3">
      <c r="A2533" s="2" t="s">
        <v>11246</v>
      </c>
      <c r="B2533" s="2" t="s">
        <v>517</v>
      </c>
      <c r="C2533" s="2" t="s">
        <v>11247</v>
      </c>
      <c r="D2533" s="3">
        <v>10080</v>
      </c>
      <c r="E2533" s="3">
        <v>10080</v>
      </c>
      <c r="F2533" s="2" t="s">
        <v>16</v>
      </c>
      <c r="G2533" s="2" t="s">
        <v>11248</v>
      </c>
      <c r="H2533" s="3">
        <v>0</v>
      </c>
      <c r="I2533" s="2" t="s">
        <v>18</v>
      </c>
      <c r="J2533" s="2" t="s">
        <v>11249</v>
      </c>
      <c r="K2533" s="2" t="s">
        <v>16</v>
      </c>
      <c r="L2533" s="2" t="s">
        <v>11250</v>
      </c>
      <c r="M2533" s="4">
        <v>1833.95</v>
      </c>
      <c r="N2533" t="b">
        <f>OR(LEFT(B2533,3)="frg",(_xlfn.XMATCH(B2533,ZZZ_Part_Id_[[#All],[FGCODE]])))</f>
        <v>1</v>
      </c>
    </row>
    <row r="2534" spans="1:14" x14ac:dyDescent="0.3">
      <c r="A2534" s="2" t="s">
        <v>11251</v>
      </c>
      <c r="B2534" s="2" t="s">
        <v>517</v>
      </c>
      <c r="C2534" s="2" t="s">
        <v>11252</v>
      </c>
      <c r="D2534" s="3">
        <v>10080</v>
      </c>
      <c r="E2534" s="3">
        <v>10080</v>
      </c>
      <c r="F2534" s="2" t="s">
        <v>16</v>
      </c>
      <c r="G2534" s="2" t="s">
        <v>11253</v>
      </c>
      <c r="H2534" s="3">
        <v>0</v>
      </c>
      <c r="I2534" s="2" t="s">
        <v>18</v>
      </c>
      <c r="J2534" s="2" t="s">
        <v>11254</v>
      </c>
      <c r="K2534" s="2" t="s">
        <v>16</v>
      </c>
      <c r="L2534" s="2" t="s">
        <v>11255</v>
      </c>
      <c r="M2534" s="4">
        <v>1833.95</v>
      </c>
      <c r="N2534" t="b">
        <f>OR(LEFT(B2534,3)="frg",(_xlfn.XMATCH(B2534,ZZZ_Part_Id_[[#All],[FGCODE]])))</f>
        <v>1</v>
      </c>
    </row>
    <row r="2535" spans="1:14" x14ac:dyDescent="0.3">
      <c r="A2535" s="2" t="s">
        <v>11256</v>
      </c>
      <c r="B2535" s="2" t="s">
        <v>11257</v>
      </c>
      <c r="C2535" s="2" t="s">
        <v>11258</v>
      </c>
      <c r="D2535" s="3">
        <v>138060</v>
      </c>
      <c r="E2535" s="3">
        <v>0</v>
      </c>
      <c r="F2535" s="2" t="s">
        <v>16</v>
      </c>
      <c r="G2535" s="2" t="s">
        <v>11259</v>
      </c>
      <c r="H2535" s="3">
        <v>0</v>
      </c>
      <c r="I2535" s="2" t="s">
        <v>18</v>
      </c>
      <c r="J2535" s="2" t="s">
        <v>11260</v>
      </c>
      <c r="K2535" s="2" t="s">
        <v>16</v>
      </c>
      <c r="L2535" s="2" t="s">
        <v>11261</v>
      </c>
      <c r="M2535" s="4">
        <v>0</v>
      </c>
      <c r="N2535" t="b">
        <f>OR(LEFT(B2535,3)="frg",(_xlfn.XMATCH(B2535,ZZZ_Part_Id_[[#All],[FGCODE]])))</f>
        <v>1</v>
      </c>
    </row>
    <row r="2536" spans="1:14" x14ac:dyDescent="0.3">
      <c r="A2536" s="2" t="s">
        <v>11256</v>
      </c>
      <c r="B2536" s="2" t="s">
        <v>11068</v>
      </c>
      <c r="C2536" s="2" t="s">
        <v>11262</v>
      </c>
      <c r="D2536" s="3">
        <v>138060</v>
      </c>
      <c r="E2536" s="3">
        <v>138060</v>
      </c>
      <c r="F2536" s="2" t="s">
        <v>16</v>
      </c>
      <c r="G2536" s="2" t="s">
        <v>131</v>
      </c>
      <c r="H2536" s="3">
        <v>0</v>
      </c>
      <c r="I2536" s="2" t="s">
        <v>18</v>
      </c>
      <c r="J2536" s="2" t="s">
        <v>11263</v>
      </c>
      <c r="K2536" s="2" t="s">
        <v>16</v>
      </c>
      <c r="L2536" s="2" t="s">
        <v>11264</v>
      </c>
      <c r="M2536" s="4">
        <v>26151.33</v>
      </c>
      <c r="N2536" t="b">
        <f>OR(LEFT(B2536,3)="frg",(_xlfn.XMATCH(B2536,ZZZ_Part_Id_[[#All],[FGCODE]])))</f>
        <v>1</v>
      </c>
    </row>
    <row r="2537" spans="1:14" x14ac:dyDescent="0.3">
      <c r="A2537" s="2" t="s">
        <v>11265</v>
      </c>
      <c r="B2537" s="2" t="s">
        <v>187</v>
      </c>
      <c r="C2537" s="2" t="s">
        <v>11266</v>
      </c>
      <c r="D2537" s="3">
        <v>95</v>
      </c>
      <c r="E2537" s="3">
        <v>95</v>
      </c>
      <c r="F2537" s="2" t="s">
        <v>16</v>
      </c>
      <c r="G2537" s="2" t="s">
        <v>11267</v>
      </c>
      <c r="H2537" s="3">
        <v>0</v>
      </c>
      <c r="I2537" s="2" t="s">
        <v>18</v>
      </c>
      <c r="J2537" s="2" t="s">
        <v>11268</v>
      </c>
      <c r="K2537" s="2" t="s">
        <v>16</v>
      </c>
      <c r="L2537" s="2" t="s">
        <v>11269</v>
      </c>
      <c r="M2537" s="4">
        <v>420.1</v>
      </c>
      <c r="N2537" t="e">
        <f>OR(LEFT(B2537,3)="frg",(_xlfn.XMATCH(B2537,ZZZ_Part_Id_[[#All],[FGCODE]])))</f>
        <v>#N/A</v>
      </c>
    </row>
    <row r="2538" spans="1:14" x14ac:dyDescent="0.3">
      <c r="A2538" s="2" t="s">
        <v>11265</v>
      </c>
      <c r="B2538" s="2" t="s">
        <v>740</v>
      </c>
      <c r="C2538" s="2" t="s">
        <v>11270</v>
      </c>
      <c r="D2538" s="3">
        <v>1040760</v>
      </c>
      <c r="E2538" s="3">
        <v>1040760</v>
      </c>
      <c r="F2538" s="2" t="s">
        <v>16</v>
      </c>
      <c r="G2538" s="2" t="s">
        <v>11271</v>
      </c>
      <c r="H2538" s="3">
        <v>0</v>
      </c>
      <c r="I2538" s="2" t="s">
        <v>18</v>
      </c>
      <c r="J2538" s="2" t="s">
        <v>11272</v>
      </c>
      <c r="K2538" s="2" t="s">
        <v>16</v>
      </c>
      <c r="L2538" s="2" t="s">
        <v>11273</v>
      </c>
      <c r="M2538" s="4">
        <v>206913.28</v>
      </c>
      <c r="N2538" t="b">
        <f>OR(LEFT(B2538,3)="frg",(_xlfn.XMATCH(B2538,ZZZ_Part_Id_[[#All],[FGCODE]])))</f>
        <v>1</v>
      </c>
    </row>
    <row r="2539" spans="1:14" x14ac:dyDescent="0.3">
      <c r="A2539" s="2" t="s">
        <v>11274</v>
      </c>
      <c r="B2539" s="2" t="s">
        <v>14</v>
      </c>
      <c r="C2539" s="2" t="s">
        <v>11275</v>
      </c>
      <c r="D2539" s="3">
        <v>64</v>
      </c>
      <c r="E2539" s="3">
        <v>64</v>
      </c>
      <c r="F2539" s="2" t="s">
        <v>16</v>
      </c>
      <c r="G2539" s="2" t="s">
        <v>11276</v>
      </c>
      <c r="H2539" s="3">
        <v>0</v>
      </c>
      <c r="I2539" s="2" t="s">
        <v>18</v>
      </c>
      <c r="J2539" s="2" t="s">
        <v>11277</v>
      </c>
      <c r="K2539" s="2" t="s">
        <v>16</v>
      </c>
      <c r="L2539" s="2" t="s">
        <v>11278</v>
      </c>
      <c r="M2539" s="4">
        <v>4.92</v>
      </c>
      <c r="N2539" t="e">
        <f>OR(LEFT(B2539,3)="frg",(_xlfn.XMATCH(B2539,ZZZ_Part_Id_[[#All],[FGCODE]])))</f>
        <v>#N/A</v>
      </c>
    </row>
    <row r="2540" spans="1:14" x14ac:dyDescent="0.3">
      <c r="A2540" s="2" t="s">
        <v>11274</v>
      </c>
      <c r="B2540" s="2" t="s">
        <v>4791</v>
      </c>
      <c r="C2540" s="2" t="s">
        <v>11279</v>
      </c>
      <c r="D2540" s="3">
        <v>317952</v>
      </c>
      <c r="E2540" s="3">
        <v>317952</v>
      </c>
      <c r="F2540" s="2" t="s">
        <v>16</v>
      </c>
      <c r="G2540" s="2" t="s">
        <v>11280</v>
      </c>
      <c r="H2540" s="3">
        <v>0</v>
      </c>
      <c r="I2540" s="2" t="s">
        <v>18</v>
      </c>
      <c r="J2540" s="2" t="s">
        <v>11281</v>
      </c>
      <c r="K2540" s="2" t="s">
        <v>16</v>
      </c>
      <c r="L2540" s="2" t="s">
        <v>11282</v>
      </c>
      <c r="M2540" s="4">
        <v>93369.600000000006</v>
      </c>
      <c r="N2540" t="b">
        <f>OR(LEFT(B2540,3)="frg",(_xlfn.XMATCH(B2540,ZZZ_Part_Id_[[#All],[FGCODE]])))</f>
        <v>1</v>
      </c>
    </row>
    <row r="2541" spans="1:14" x14ac:dyDescent="0.3">
      <c r="A2541" s="2" t="s">
        <v>11283</v>
      </c>
      <c r="B2541" s="2" t="s">
        <v>14</v>
      </c>
      <c r="C2541" s="2" t="s">
        <v>11284</v>
      </c>
      <c r="D2541" s="3">
        <v>13</v>
      </c>
      <c r="E2541" s="3">
        <v>13</v>
      </c>
      <c r="F2541" s="2" t="s">
        <v>16</v>
      </c>
      <c r="G2541" s="2" t="s">
        <v>11285</v>
      </c>
      <c r="H2541" s="3">
        <v>0</v>
      </c>
      <c r="I2541" s="2" t="s">
        <v>18</v>
      </c>
      <c r="J2541" s="2" t="s">
        <v>11286</v>
      </c>
      <c r="K2541" s="2" t="s">
        <v>16</v>
      </c>
      <c r="L2541" s="2" t="s">
        <v>11287</v>
      </c>
      <c r="M2541" s="4">
        <v>1</v>
      </c>
      <c r="N2541" t="e">
        <f>OR(LEFT(B2541,3)="frg",(_xlfn.XMATCH(B2541,ZZZ_Part_Id_[[#All],[FGCODE]])))</f>
        <v>#N/A</v>
      </c>
    </row>
    <row r="2542" spans="1:14" x14ac:dyDescent="0.3">
      <c r="A2542" s="2" t="s">
        <v>11283</v>
      </c>
      <c r="B2542" s="2" t="s">
        <v>37</v>
      </c>
      <c r="C2542" s="2" t="s">
        <v>11288</v>
      </c>
      <c r="D2542" s="3">
        <v>13</v>
      </c>
      <c r="E2542" s="3">
        <v>13</v>
      </c>
      <c r="F2542" s="2" t="s">
        <v>16</v>
      </c>
      <c r="G2542" s="2" t="s">
        <v>11289</v>
      </c>
      <c r="H2542" s="3">
        <v>0</v>
      </c>
      <c r="I2542" s="2" t="s">
        <v>18</v>
      </c>
      <c r="J2542" s="2" t="s">
        <v>11290</v>
      </c>
      <c r="K2542" s="2" t="s">
        <v>16</v>
      </c>
      <c r="L2542" s="2" t="s">
        <v>11291</v>
      </c>
      <c r="M2542" s="4">
        <v>208</v>
      </c>
      <c r="N2542" t="e">
        <f>OR(LEFT(B2542,3)="frg",(_xlfn.XMATCH(B2542,ZZZ_Part_Id_[[#All],[FGCODE]])))</f>
        <v>#N/A</v>
      </c>
    </row>
    <row r="2543" spans="1:14" x14ac:dyDescent="0.3">
      <c r="A2543" s="2" t="s">
        <v>11283</v>
      </c>
      <c r="B2543" s="2" t="s">
        <v>11241</v>
      </c>
      <c r="C2543" s="2" t="s">
        <v>11292</v>
      </c>
      <c r="D2543" s="3">
        <v>329940</v>
      </c>
      <c r="E2543" s="3">
        <v>329940</v>
      </c>
      <c r="F2543" s="2" t="s">
        <v>16</v>
      </c>
      <c r="G2543" s="2" t="s">
        <v>11293</v>
      </c>
      <c r="H2543" s="3">
        <v>0</v>
      </c>
      <c r="I2543" s="2" t="s">
        <v>18</v>
      </c>
      <c r="J2543" s="2" t="s">
        <v>11294</v>
      </c>
      <c r="K2543" s="2" t="s">
        <v>16</v>
      </c>
      <c r="L2543" s="2" t="s">
        <v>11295</v>
      </c>
      <c r="M2543" s="4">
        <v>20390.240000000002</v>
      </c>
      <c r="N2543" t="b">
        <f>OR(LEFT(B2543,3)="frg",(_xlfn.XMATCH(B2543,ZZZ_Part_Id_[[#All],[FGCODE]])))</f>
        <v>1</v>
      </c>
    </row>
    <row r="2544" spans="1:14" x14ac:dyDescent="0.3">
      <c r="A2544" s="2" t="s">
        <v>11296</v>
      </c>
      <c r="B2544" s="2" t="s">
        <v>6182</v>
      </c>
      <c r="C2544" s="2" t="s">
        <v>11297</v>
      </c>
      <c r="D2544" s="3">
        <v>209160</v>
      </c>
      <c r="E2544" s="3">
        <v>209160</v>
      </c>
      <c r="F2544" s="2" t="s">
        <v>16</v>
      </c>
      <c r="G2544" s="2" t="s">
        <v>11298</v>
      </c>
      <c r="H2544" s="3">
        <v>0</v>
      </c>
      <c r="I2544" s="2" t="s">
        <v>18</v>
      </c>
      <c r="J2544" s="2" t="s">
        <v>11299</v>
      </c>
      <c r="K2544" s="2" t="s">
        <v>16</v>
      </c>
      <c r="L2544" s="2" t="s">
        <v>11300</v>
      </c>
      <c r="M2544" s="4">
        <v>11869.83</v>
      </c>
      <c r="N2544" t="b">
        <f>OR(LEFT(B2544,3)="frg",(_xlfn.XMATCH(B2544,ZZZ_Part_Id_[[#All],[FGCODE]])))</f>
        <v>1</v>
      </c>
    </row>
    <row r="2545" spans="1:14" x14ac:dyDescent="0.3">
      <c r="A2545" s="2" t="s">
        <v>11301</v>
      </c>
      <c r="B2545" s="2" t="s">
        <v>14</v>
      </c>
      <c r="C2545" s="2" t="s">
        <v>11302</v>
      </c>
      <c r="D2545" s="3">
        <v>40</v>
      </c>
      <c r="E2545" s="3">
        <v>40</v>
      </c>
      <c r="F2545" s="2" t="s">
        <v>16</v>
      </c>
      <c r="G2545" s="2" t="s">
        <v>11303</v>
      </c>
      <c r="H2545" s="3">
        <v>0</v>
      </c>
      <c r="I2545" s="2" t="s">
        <v>409</v>
      </c>
      <c r="J2545" s="2" t="s">
        <v>11304</v>
      </c>
      <c r="K2545" s="2" t="s">
        <v>16</v>
      </c>
      <c r="L2545" s="2" t="s">
        <v>11305</v>
      </c>
      <c r="M2545" s="4">
        <v>3.08</v>
      </c>
      <c r="N2545" t="e">
        <f>OR(LEFT(B2545,3)="frg",(_xlfn.XMATCH(B2545,ZZZ_Part_Id_[[#All],[FGCODE]])))</f>
        <v>#N/A</v>
      </c>
    </row>
    <row r="2546" spans="1:14" x14ac:dyDescent="0.3">
      <c r="A2546" s="2" t="s">
        <v>11301</v>
      </c>
      <c r="B2546" s="2" t="s">
        <v>97</v>
      </c>
      <c r="C2546" s="2" t="s">
        <v>11306</v>
      </c>
      <c r="D2546" s="3">
        <v>158400</v>
      </c>
      <c r="E2546" s="3">
        <v>158400</v>
      </c>
      <c r="F2546" s="2" t="s">
        <v>16</v>
      </c>
      <c r="G2546" s="2" t="s">
        <v>11307</v>
      </c>
      <c r="H2546" s="3">
        <v>0</v>
      </c>
      <c r="I2546" s="2" t="s">
        <v>409</v>
      </c>
      <c r="J2546" s="2" t="s">
        <v>11308</v>
      </c>
      <c r="K2546" s="2" t="s">
        <v>16</v>
      </c>
      <c r="L2546" s="2" t="s">
        <v>11309</v>
      </c>
      <c r="M2546" s="4">
        <v>54331.199999999997</v>
      </c>
      <c r="N2546" t="b">
        <f>OR(LEFT(B2546,3)="frg",(_xlfn.XMATCH(B2546,ZZZ_Part_Id_[[#All],[FGCODE]])))</f>
        <v>1</v>
      </c>
    </row>
    <row r="2547" spans="1:14" x14ac:dyDescent="0.3">
      <c r="A2547" s="2" t="s">
        <v>11310</v>
      </c>
      <c r="B2547" s="2" t="s">
        <v>11082</v>
      </c>
      <c r="C2547" s="2" t="s">
        <v>11311</v>
      </c>
      <c r="D2547" s="3">
        <v>26496</v>
      </c>
      <c r="E2547" s="3">
        <v>26496</v>
      </c>
      <c r="F2547" s="2" t="s">
        <v>16</v>
      </c>
      <c r="G2547" s="2" t="s">
        <v>11312</v>
      </c>
      <c r="H2547" s="3">
        <v>0</v>
      </c>
      <c r="I2547" s="2" t="s">
        <v>18</v>
      </c>
      <c r="J2547" s="2" t="s">
        <v>35</v>
      </c>
      <c r="K2547" s="2" t="s">
        <v>16</v>
      </c>
      <c r="L2547" s="2" t="s">
        <v>11313</v>
      </c>
      <c r="M2547" s="4">
        <v>7321.38</v>
      </c>
      <c r="N2547" t="b">
        <f>OR(LEFT(B2547,3)="frg",(_xlfn.XMATCH(B2547,ZZZ_Part_Id_[[#All],[FGCODE]])))</f>
        <v>1</v>
      </c>
    </row>
    <row r="2548" spans="1:14" x14ac:dyDescent="0.3">
      <c r="A2548" s="2" t="s">
        <v>11314</v>
      </c>
      <c r="B2548" s="2" t="s">
        <v>187</v>
      </c>
      <c r="C2548" s="2" t="s">
        <v>11315</v>
      </c>
      <c r="D2548" s="3">
        <v>95</v>
      </c>
      <c r="E2548" s="3">
        <v>95</v>
      </c>
      <c r="F2548" s="2" t="s">
        <v>16</v>
      </c>
      <c r="G2548" s="2" t="s">
        <v>11316</v>
      </c>
      <c r="H2548" s="3">
        <v>0</v>
      </c>
      <c r="I2548" s="2" t="s">
        <v>409</v>
      </c>
      <c r="J2548" s="2" t="s">
        <v>11317</v>
      </c>
      <c r="K2548" s="2" t="s">
        <v>16</v>
      </c>
      <c r="L2548" s="2" t="s">
        <v>11318</v>
      </c>
      <c r="M2548" s="4">
        <v>420.1</v>
      </c>
      <c r="N2548" t="e">
        <f>OR(LEFT(B2548,3)="frg",(_xlfn.XMATCH(B2548,ZZZ_Part_Id_[[#All],[FGCODE]])))</f>
        <v>#N/A</v>
      </c>
    </row>
    <row r="2549" spans="1:14" x14ac:dyDescent="0.3">
      <c r="A2549" s="2" t="s">
        <v>11314</v>
      </c>
      <c r="B2549" s="2" t="s">
        <v>97</v>
      </c>
      <c r="C2549" s="2" t="s">
        <v>11319</v>
      </c>
      <c r="D2549" s="3">
        <v>398400</v>
      </c>
      <c r="E2549" s="3">
        <v>398400</v>
      </c>
      <c r="F2549" s="2" t="s">
        <v>16</v>
      </c>
      <c r="G2549" s="2" t="s">
        <v>11320</v>
      </c>
      <c r="H2549" s="3">
        <v>0</v>
      </c>
      <c r="I2549" s="2" t="s">
        <v>409</v>
      </c>
      <c r="J2549" s="2" t="s">
        <v>11321</v>
      </c>
      <c r="K2549" s="2" t="s">
        <v>16</v>
      </c>
      <c r="L2549" s="2" t="s">
        <v>11322</v>
      </c>
      <c r="M2549" s="4">
        <v>136651.20000000001</v>
      </c>
      <c r="N2549" t="b">
        <f>OR(LEFT(B2549,3)="frg",(_xlfn.XMATCH(B2549,ZZZ_Part_Id_[[#All],[FGCODE]])))</f>
        <v>1</v>
      </c>
    </row>
    <row r="2550" spans="1:14" x14ac:dyDescent="0.3">
      <c r="A2550" s="2" t="s">
        <v>11323</v>
      </c>
      <c r="B2550" s="2" t="s">
        <v>14</v>
      </c>
      <c r="C2550" s="2" t="s">
        <v>11324</v>
      </c>
      <c r="D2550" s="3">
        <v>10</v>
      </c>
      <c r="E2550" s="3">
        <v>10</v>
      </c>
      <c r="F2550" s="2" t="s">
        <v>16</v>
      </c>
      <c r="G2550" s="2" t="s">
        <v>11325</v>
      </c>
      <c r="H2550" s="3">
        <v>0</v>
      </c>
      <c r="I2550" s="2" t="s">
        <v>18</v>
      </c>
      <c r="J2550" s="2" t="s">
        <v>11326</v>
      </c>
      <c r="K2550" s="2" t="s">
        <v>16</v>
      </c>
      <c r="L2550" s="2" t="s">
        <v>11327</v>
      </c>
      <c r="M2550" s="4">
        <v>0.77</v>
      </c>
      <c r="N2550" t="e">
        <f>OR(LEFT(B2550,3)="frg",(_xlfn.XMATCH(B2550,ZZZ_Part_Id_[[#All],[FGCODE]])))</f>
        <v>#N/A</v>
      </c>
    </row>
    <row r="2551" spans="1:14" x14ac:dyDescent="0.3">
      <c r="A2551" s="2" t="s">
        <v>11323</v>
      </c>
      <c r="B2551" s="2" t="s">
        <v>86</v>
      </c>
      <c r="C2551" s="2" t="s">
        <v>11328</v>
      </c>
      <c r="D2551" s="5">
        <v>-261</v>
      </c>
      <c r="E2551" s="5">
        <v>-261</v>
      </c>
      <c r="F2551" s="2" t="s">
        <v>23</v>
      </c>
      <c r="G2551" s="2" t="s">
        <v>11329</v>
      </c>
      <c r="H2551" s="3">
        <v>0</v>
      </c>
      <c r="I2551" s="2" t="s">
        <v>18</v>
      </c>
      <c r="J2551" s="2" t="s">
        <v>11330</v>
      </c>
      <c r="K2551" s="2" t="s">
        <v>23</v>
      </c>
      <c r="L2551" s="2" t="s">
        <v>11331</v>
      </c>
      <c r="M2551" s="6">
        <v>-683.25</v>
      </c>
      <c r="N2551" t="b">
        <f>OR(LEFT(B2551,3)="frg",(_xlfn.XMATCH(B2551,ZZZ_Part_Id_[[#All],[FGCODE]])))</f>
        <v>1</v>
      </c>
    </row>
    <row r="2552" spans="1:14" x14ac:dyDescent="0.3">
      <c r="A2552" s="2" t="s">
        <v>11323</v>
      </c>
      <c r="B2552" s="2" t="s">
        <v>11332</v>
      </c>
      <c r="C2552" s="2" t="s">
        <v>11333</v>
      </c>
      <c r="D2552" s="3">
        <v>167040</v>
      </c>
      <c r="E2552" s="3">
        <v>167040</v>
      </c>
      <c r="F2552" s="2" t="s">
        <v>16</v>
      </c>
      <c r="G2552" s="2" t="s">
        <v>11334</v>
      </c>
      <c r="H2552" s="3">
        <v>0</v>
      </c>
      <c r="I2552" s="2" t="s">
        <v>18</v>
      </c>
      <c r="J2552" s="2" t="s">
        <v>11335</v>
      </c>
      <c r="K2552" s="2" t="s">
        <v>16</v>
      </c>
      <c r="L2552" s="2" t="s">
        <v>11336</v>
      </c>
      <c r="M2552" s="4">
        <v>13505.21</v>
      </c>
      <c r="N2552" t="b">
        <f>OR(LEFT(B2552,3)="frg",(_xlfn.XMATCH(B2552,ZZZ_Part_Id_[[#All],[FGCODE]])))</f>
        <v>1</v>
      </c>
    </row>
    <row r="2553" spans="1:14" x14ac:dyDescent="0.3">
      <c r="A2553" s="2" t="s">
        <v>11337</v>
      </c>
      <c r="B2553" s="2" t="s">
        <v>14</v>
      </c>
      <c r="C2553" s="2" t="s">
        <v>11338</v>
      </c>
      <c r="D2553" s="3">
        <v>10</v>
      </c>
      <c r="E2553" s="3">
        <v>10</v>
      </c>
      <c r="F2553" s="2" t="s">
        <v>16</v>
      </c>
      <c r="G2553" s="2" t="s">
        <v>11339</v>
      </c>
      <c r="H2553" s="3">
        <v>0</v>
      </c>
      <c r="I2553" s="2" t="s">
        <v>18</v>
      </c>
      <c r="J2553" s="2" t="s">
        <v>11340</v>
      </c>
      <c r="K2553" s="2" t="s">
        <v>16</v>
      </c>
      <c r="L2553" s="2" t="s">
        <v>11341</v>
      </c>
      <c r="M2553" s="4">
        <v>0.77</v>
      </c>
      <c r="N2553" t="e">
        <f>OR(LEFT(B2553,3)="frg",(_xlfn.XMATCH(B2553,ZZZ_Part_Id_[[#All],[FGCODE]])))</f>
        <v>#N/A</v>
      </c>
    </row>
    <row r="2554" spans="1:14" x14ac:dyDescent="0.3">
      <c r="A2554" s="2" t="s">
        <v>11337</v>
      </c>
      <c r="B2554" s="2" t="s">
        <v>2100</v>
      </c>
      <c r="C2554" s="2" t="s">
        <v>11342</v>
      </c>
      <c r="D2554" s="3">
        <v>53100</v>
      </c>
      <c r="E2554" s="3">
        <v>53100</v>
      </c>
      <c r="F2554" s="2" t="s">
        <v>16</v>
      </c>
      <c r="G2554" s="2" t="s">
        <v>11343</v>
      </c>
      <c r="H2554" s="3">
        <v>0</v>
      </c>
      <c r="I2554" s="2" t="s">
        <v>18</v>
      </c>
      <c r="J2554" s="2" t="s">
        <v>11344</v>
      </c>
      <c r="K2554" s="2" t="s">
        <v>16</v>
      </c>
      <c r="L2554" s="2" t="s">
        <v>11345</v>
      </c>
      <c r="M2554" s="4">
        <v>10556.8</v>
      </c>
      <c r="N2554" t="b">
        <f>OR(LEFT(B2554,3)="frg",(_xlfn.XMATCH(B2554,ZZZ_Part_Id_[[#All],[FGCODE]])))</f>
        <v>1</v>
      </c>
    </row>
    <row r="2555" spans="1:14" x14ac:dyDescent="0.3">
      <c r="A2555" s="2" t="s">
        <v>11346</v>
      </c>
      <c r="B2555" s="2" t="s">
        <v>103</v>
      </c>
      <c r="C2555" s="2" t="s">
        <v>11347</v>
      </c>
      <c r="D2555" s="3">
        <v>10620</v>
      </c>
      <c r="E2555" s="3">
        <v>10620</v>
      </c>
      <c r="F2555" s="2" t="s">
        <v>16</v>
      </c>
      <c r="G2555" s="2" t="s">
        <v>11348</v>
      </c>
      <c r="H2555" s="3">
        <v>0</v>
      </c>
      <c r="I2555" s="2" t="s">
        <v>18</v>
      </c>
      <c r="J2555" s="2" t="s">
        <v>11349</v>
      </c>
      <c r="K2555" s="2" t="s">
        <v>16</v>
      </c>
      <c r="L2555" s="2" t="s">
        <v>11350</v>
      </c>
      <c r="M2555" s="4">
        <v>2126.44</v>
      </c>
      <c r="N2555" t="b">
        <f>OR(LEFT(B2555,3)="frg",(_xlfn.XMATCH(B2555,ZZZ_Part_Id_[[#All],[FGCODE]])))</f>
        <v>1</v>
      </c>
    </row>
    <row r="2556" spans="1:14" x14ac:dyDescent="0.3">
      <c r="A2556" s="2" t="s">
        <v>11351</v>
      </c>
      <c r="B2556" s="2" t="s">
        <v>740</v>
      </c>
      <c r="C2556" s="2" t="s">
        <v>11352</v>
      </c>
      <c r="D2556" s="3">
        <v>10620</v>
      </c>
      <c r="E2556" s="3">
        <v>10620</v>
      </c>
      <c r="F2556" s="2" t="s">
        <v>16</v>
      </c>
      <c r="G2556" s="2" t="s">
        <v>11353</v>
      </c>
      <c r="H2556" s="3">
        <v>0</v>
      </c>
      <c r="I2556" s="2" t="s">
        <v>18</v>
      </c>
      <c r="J2556" s="2" t="s">
        <v>11354</v>
      </c>
      <c r="K2556" s="2" t="s">
        <v>16</v>
      </c>
      <c r="L2556" s="2" t="s">
        <v>11355</v>
      </c>
      <c r="M2556" s="4">
        <v>2111.36</v>
      </c>
      <c r="N2556" t="b">
        <f>OR(LEFT(B2556,3)="frg",(_xlfn.XMATCH(B2556,ZZZ_Part_Id_[[#All],[FGCODE]])))</f>
        <v>1</v>
      </c>
    </row>
    <row r="2557" spans="1:14" x14ac:dyDescent="0.3">
      <c r="A2557" s="2" t="s">
        <v>11356</v>
      </c>
      <c r="B2557" s="2" t="s">
        <v>37</v>
      </c>
      <c r="C2557" s="2" t="s">
        <v>11357</v>
      </c>
      <c r="D2557" s="3">
        <v>7</v>
      </c>
      <c r="E2557" s="3">
        <v>7</v>
      </c>
      <c r="F2557" s="2" t="s">
        <v>16</v>
      </c>
      <c r="G2557" s="2" t="s">
        <v>11358</v>
      </c>
      <c r="H2557" s="3">
        <v>0</v>
      </c>
      <c r="I2557" s="2" t="s">
        <v>409</v>
      </c>
      <c r="J2557" s="2" t="s">
        <v>11359</v>
      </c>
      <c r="K2557" s="2" t="s">
        <v>16</v>
      </c>
      <c r="L2557" s="2" t="s">
        <v>11360</v>
      </c>
      <c r="M2557" s="4">
        <v>112</v>
      </c>
      <c r="N2557" t="e">
        <f>OR(LEFT(B2557,3)="frg",(_xlfn.XMATCH(B2557,ZZZ_Part_Id_[[#All],[FGCODE]])))</f>
        <v>#N/A</v>
      </c>
    </row>
    <row r="2558" spans="1:14" x14ac:dyDescent="0.3">
      <c r="A2558" s="2" t="s">
        <v>11356</v>
      </c>
      <c r="B2558" s="2" t="s">
        <v>65</v>
      </c>
      <c r="C2558" s="2" t="s">
        <v>11361</v>
      </c>
      <c r="D2558" s="5">
        <v>-249</v>
      </c>
      <c r="E2558" s="5">
        <v>-249</v>
      </c>
      <c r="F2558" s="2" t="s">
        <v>23</v>
      </c>
      <c r="G2558" s="2" t="s">
        <v>11362</v>
      </c>
      <c r="H2558" s="3">
        <v>0</v>
      </c>
      <c r="I2558" s="2" t="s">
        <v>409</v>
      </c>
      <c r="J2558" s="2" t="s">
        <v>11363</v>
      </c>
      <c r="K2558" s="2" t="s">
        <v>23</v>
      </c>
      <c r="L2558" s="2" t="s">
        <v>11364</v>
      </c>
      <c r="M2558" s="6">
        <v>-640.33000000000004</v>
      </c>
      <c r="N2558" t="b">
        <f>OR(LEFT(B2558,3)="frg",(_xlfn.XMATCH(B2558,ZZZ_Part_Id_[[#All],[FGCODE]])))</f>
        <v>1</v>
      </c>
    </row>
    <row r="2559" spans="1:14" x14ac:dyDescent="0.3">
      <c r="A2559" s="2" t="s">
        <v>11356</v>
      </c>
      <c r="B2559" s="2" t="s">
        <v>97</v>
      </c>
      <c r="C2559" s="2" t="s">
        <v>11365</v>
      </c>
      <c r="D2559" s="3">
        <v>38400</v>
      </c>
      <c r="E2559" s="3">
        <v>38400</v>
      </c>
      <c r="F2559" s="2" t="s">
        <v>16</v>
      </c>
      <c r="G2559" s="2" t="s">
        <v>11366</v>
      </c>
      <c r="H2559" s="3">
        <v>0</v>
      </c>
      <c r="I2559" s="2" t="s">
        <v>409</v>
      </c>
      <c r="J2559" s="2" t="s">
        <v>11367</v>
      </c>
      <c r="K2559" s="2" t="s">
        <v>16</v>
      </c>
      <c r="L2559" s="2" t="s">
        <v>11368</v>
      </c>
      <c r="M2559" s="4">
        <v>13171.2</v>
      </c>
      <c r="N2559" t="b">
        <f>OR(LEFT(B2559,3)="frg",(_xlfn.XMATCH(B2559,ZZZ_Part_Id_[[#All],[FGCODE]])))</f>
        <v>1</v>
      </c>
    </row>
    <row r="2560" spans="1:14" x14ac:dyDescent="0.3">
      <c r="A2560" s="2" t="s">
        <v>11369</v>
      </c>
      <c r="B2560" s="2" t="s">
        <v>14</v>
      </c>
      <c r="C2560" s="2" t="s">
        <v>11370</v>
      </c>
      <c r="D2560" s="3">
        <v>48</v>
      </c>
      <c r="E2560" s="3">
        <v>48</v>
      </c>
      <c r="F2560" s="2" t="s">
        <v>16</v>
      </c>
      <c r="G2560" s="2" t="s">
        <v>11371</v>
      </c>
      <c r="H2560" s="3">
        <v>0</v>
      </c>
      <c r="I2560" s="2" t="s">
        <v>409</v>
      </c>
      <c r="J2560" s="2" t="s">
        <v>11372</v>
      </c>
      <c r="K2560" s="2" t="s">
        <v>16</v>
      </c>
      <c r="L2560" s="2" t="s">
        <v>11373</v>
      </c>
      <c r="M2560" s="4">
        <v>3.69</v>
      </c>
      <c r="N2560" t="e">
        <f>OR(LEFT(B2560,3)="frg",(_xlfn.XMATCH(B2560,ZZZ_Part_Id_[[#All],[FGCODE]])))</f>
        <v>#N/A</v>
      </c>
    </row>
    <row r="2561" spans="1:14" x14ac:dyDescent="0.3">
      <c r="A2561" s="2" t="s">
        <v>11369</v>
      </c>
      <c r="B2561" s="2" t="s">
        <v>9405</v>
      </c>
      <c r="C2561" s="2" t="s">
        <v>11374</v>
      </c>
      <c r="D2561" s="3">
        <v>1218240</v>
      </c>
      <c r="E2561" s="3">
        <v>1218240</v>
      </c>
      <c r="F2561" s="2" t="s">
        <v>16</v>
      </c>
      <c r="G2561" s="2" t="s">
        <v>11375</v>
      </c>
      <c r="H2561" s="3">
        <v>0</v>
      </c>
      <c r="I2561" s="2" t="s">
        <v>409</v>
      </c>
      <c r="J2561" s="2" t="s">
        <v>11376</v>
      </c>
      <c r="K2561" s="2" t="s">
        <v>16</v>
      </c>
      <c r="L2561" s="2" t="s">
        <v>11377</v>
      </c>
      <c r="M2561" s="4">
        <v>78588.479999999996</v>
      </c>
      <c r="N2561" t="b">
        <f>OR(LEFT(B2561,3)="frg",(_xlfn.XMATCH(B2561,ZZZ_Part_Id_[[#All],[FGCODE]])))</f>
        <v>1</v>
      </c>
    </row>
    <row r="2562" spans="1:14" x14ac:dyDescent="0.3">
      <c r="A2562" s="2" t="s">
        <v>11378</v>
      </c>
      <c r="B2562" s="2" t="s">
        <v>14</v>
      </c>
      <c r="C2562" s="2" t="s">
        <v>11379</v>
      </c>
      <c r="D2562" s="3">
        <v>4</v>
      </c>
      <c r="E2562" s="3">
        <v>4</v>
      </c>
      <c r="F2562" s="2" t="s">
        <v>16</v>
      </c>
      <c r="G2562" s="2" t="s">
        <v>11380</v>
      </c>
      <c r="H2562" s="3">
        <v>0</v>
      </c>
      <c r="I2562" s="2" t="s">
        <v>409</v>
      </c>
      <c r="J2562" s="2" t="s">
        <v>11381</v>
      </c>
      <c r="K2562" s="2" t="s">
        <v>16</v>
      </c>
      <c r="L2562" s="2" t="s">
        <v>11382</v>
      </c>
      <c r="M2562" s="4">
        <v>0.31</v>
      </c>
      <c r="N2562" t="e">
        <f>OR(LEFT(B2562,3)="frg",(_xlfn.XMATCH(B2562,ZZZ_Part_Id_[[#All],[FGCODE]])))</f>
        <v>#N/A</v>
      </c>
    </row>
    <row r="2563" spans="1:14" x14ac:dyDescent="0.3">
      <c r="A2563" s="2" t="s">
        <v>11378</v>
      </c>
      <c r="B2563" s="2" t="s">
        <v>4791</v>
      </c>
      <c r="C2563" s="2" t="s">
        <v>11383</v>
      </c>
      <c r="D2563" s="3">
        <v>19872</v>
      </c>
      <c r="E2563" s="3">
        <v>19872</v>
      </c>
      <c r="F2563" s="2" t="s">
        <v>16</v>
      </c>
      <c r="G2563" s="2" t="s">
        <v>11384</v>
      </c>
      <c r="H2563" s="3">
        <v>0</v>
      </c>
      <c r="I2563" s="2" t="s">
        <v>409</v>
      </c>
      <c r="J2563" s="2" t="s">
        <v>11385</v>
      </c>
      <c r="K2563" s="2" t="s">
        <v>16</v>
      </c>
      <c r="L2563" s="2" t="s">
        <v>11386</v>
      </c>
      <c r="M2563" s="4">
        <v>5835.6</v>
      </c>
      <c r="N2563" t="b">
        <f>OR(LEFT(B2563,3)="frg",(_xlfn.XMATCH(B2563,ZZZ_Part_Id_[[#All],[FGCODE]])))</f>
        <v>1</v>
      </c>
    </row>
    <row r="2564" spans="1:14" x14ac:dyDescent="0.3">
      <c r="A2564" s="2" t="s">
        <v>11387</v>
      </c>
      <c r="B2564" s="2" t="s">
        <v>5347</v>
      </c>
      <c r="C2564" s="2" t="s">
        <v>11388</v>
      </c>
      <c r="D2564" s="3">
        <v>6624</v>
      </c>
      <c r="E2564" s="3">
        <v>6624</v>
      </c>
      <c r="F2564" s="2" t="s">
        <v>16</v>
      </c>
      <c r="G2564" s="2" t="s">
        <v>11389</v>
      </c>
      <c r="H2564" s="3">
        <v>0</v>
      </c>
      <c r="I2564" s="2" t="s">
        <v>18</v>
      </c>
      <c r="J2564" s="2" t="s">
        <v>11390</v>
      </c>
      <c r="K2564" s="2" t="s">
        <v>16</v>
      </c>
      <c r="L2564" s="2" t="s">
        <v>11391</v>
      </c>
      <c r="M2564" s="4">
        <v>1945.2</v>
      </c>
      <c r="N2564" t="b">
        <f>OR(LEFT(B2564,3)="frg",(_xlfn.XMATCH(B2564,ZZZ_Part_Id_[[#All],[FGCODE]])))</f>
        <v>1</v>
      </c>
    </row>
    <row r="2565" spans="1:14" x14ac:dyDescent="0.3">
      <c r="A2565" s="2" t="s">
        <v>11392</v>
      </c>
      <c r="B2565" s="2" t="s">
        <v>5347</v>
      </c>
      <c r="C2565" s="2" t="s">
        <v>11393</v>
      </c>
      <c r="D2565" s="3">
        <v>6624</v>
      </c>
      <c r="E2565" s="3">
        <v>6624</v>
      </c>
      <c r="F2565" s="2" t="s">
        <v>16</v>
      </c>
      <c r="G2565" s="2" t="s">
        <v>11394</v>
      </c>
      <c r="H2565" s="3">
        <v>0</v>
      </c>
      <c r="I2565" s="2" t="s">
        <v>18</v>
      </c>
      <c r="J2565" s="2" t="s">
        <v>11395</v>
      </c>
      <c r="K2565" s="2" t="s">
        <v>16</v>
      </c>
      <c r="L2565" s="2" t="s">
        <v>11396</v>
      </c>
      <c r="M2565" s="4">
        <v>1945.2</v>
      </c>
      <c r="N2565" t="b">
        <f>OR(LEFT(B2565,3)="frg",(_xlfn.XMATCH(B2565,ZZZ_Part_Id_[[#All],[FGCODE]])))</f>
        <v>1</v>
      </c>
    </row>
    <row r="2566" spans="1:14" x14ac:dyDescent="0.3">
      <c r="A2566" s="2" t="s">
        <v>11397</v>
      </c>
      <c r="B2566" s="2" t="s">
        <v>5347</v>
      </c>
      <c r="C2566" s="2" t="s">
        <v>11398</v>
      </c>
      <c r="D2566" s="3">
        <v>6624</v>
      </c>
      <c r="E2566" s="3">
        <v>6624</v>
      </c>
      <c r="F2566" s="2" t="s">
        <v>16</v>
      </c>
      <c r="G2566" s="2" t="s">
        <v>11399</v>
      </c>
      <c r="H2566" s="3">
        <v>0</v>
      </c>
      <c r="I2566" s="2" t="s">
        <v>18</v>
      </c>
      <c r="J2566" s="2" t="s">
        <v>11400</v>
      </c>
      <c r="K2566" s="2" t="s">
        <v>16</v>
      </c>
      <c r="L2566" s="2" t="s">
        <v>11401</v>
      </c>
      <c r="M2566" s="4">
        <v>1945.2</v>
      </c>
      <c r="N2566" t="b">
        <f>OR(LEFT(B2566,3)="frg",(_xlfn.XMATCH(B2566,ZZZ_Part_Id_[[#All],[FGCODE]])))</f>
        <v>1</v>
      </c>
    </row>
    <row r="2567" spans="1:14" x14ac:dyDescent="0.3">
      <c r="A2567" s="2" t="s">
        <v>11402</v>
      </c>
      <c r="B2567" s="2" t="s">
        <v>14</v>
      </c>
      <c r="C2567" s="2" t="s">
        <v>11403</v>
      </c>
      <c r="D2567" s="3">
        <v>85</v>
      </c>
      <c r="E2567" s="3">
        <v>85</v>
      </c>
      <c r="F2567" s="2" t="s">
        <v>16</v>
      </c>
      <c r="G2567" s="2" t="s">
        <v>11404</v>
      </c>
      <c r="H2567" s="3">
        <v>0</v>
      </c>
      <c r="I2567" s="2" t="s">
        <v>409</v>
      </c>
      <c r="J2567" s="2" t="s">
        <v>11405</v>
      </c>
      <c r="K2567" s="2" t="s">
        <v>16</v>
      </c>
      <c r="L2567" s="2" t="s">
        <v>11406</v>
      </c>
      <c r="M2567" s="4">
        <v>6.54</v>
      </c>
      <c r="N2567" t="e">
        <f>OR(LEFT(B2567,3)="frg",(_xlfn.XMATCH(B2567,ZZZ_Part_Id_[[#All],[FGCODE]])))</f>
        <v>#N/A</v>
      </c>
    </row>
    <row r="2568" spans="1:14" x14ac:dyDescent="0.3">
      <c r="A2568" s="2" t="s">
        <v>11402</v>
      </c>
      <c r="B2568" s="2" t="s">
        <v>187</v>
      </c>
      <c r="C2568" s="2" t="s">
        <v>11407</v>
      </c>
      <c r="D2568" s="3">
        <v>85</v>
      </c>
      <c r="E2568" s="3">
        <v>85</v>
      </c>
      <c r="F2568" s="2" t="s">
        <v>16</v>
      </c>
      <c r="G2568" s="2" t="s">
        <v>11408</v>
      </c>
      <c r="H2568" s="3">
        <v>0</v>
      </c>
      <c r="I2568" s="2" t="s">
        <v>409</v>
      </c>
      <c r="J2568" s="2" t="s">
        <v>11409</v>
      </c>
      <c r="K2568" s="2" t="s">
        <v>16</v>
      </c>
      <c r="L2568" s="2" t="s">
        <v>11410</v>
      </c>
      <c r="M2568" s="4">
        <v>376.15</v>
      </c>
      <c r="N2568" t="e">
        <f>OR(LEFT(B2568,3)="frg",(_xlfn.XMATCH(B2568,ZZZ_Part_Id_[[#All],[FGCODE]])))</f>
        <v>#N/A</v>
      </c>
    </row>
    <row r="2569" spans="1:14" x14ac:dyDescent="0.3">
      <c r="A2569" s="2" t="s">
        <v>11402</v>
      </c>
      <c r="B2569" s="2" t="s">
        <v>97</v>
      </c>
      <c r="C2569" s="2" t="s">
        <v>11411</v>
      </c>
      <c r="D2569" s="3">
        <v>388800</v>
      </c>
      <c r="E2569" s="3">
        <v>388800</v>
      </c>
      <c r="F2569" s="2" t="s">
        <v>16</v>
      </c>
      <c r="G2569" s="2" t="s">
        <v>11412</v>
      </c>
      <c r="H2569" s="3">
        <v>0</v>
      </c>
      <c r="I2569" s="2" t="s">
        <v>409</v>
      </c>
      <c r="J2569" s="2" t="s">
        <v>11413</v>
      </c>
      <c r="K2569" s="2" t="s">
        <v>16</v>
      </c>
      <c r="L2569" s="2" t="s">
        <v>11414</v>
      </c>
      <c r="M2569" s="4">
        <v>133358.39999999999</v>
      </c>
      <c r="N2569" t="b">
        <f>OR(LEFT(B2569,3)="frg",(_xlfn.XMATCH(B2569,ZZZ_Part_Id_[[#All],[FGCODE]])))</f>
        <v>1</v>
      </c>
    </row>
    <row r="2570" spans="1:14" x14ac:dyDescent="0.3">
      <c r="A2570" s="2" t="s">
        <v>11415</v>
      </c>
      <c r="B2570" s="2" t="s">
        <v>14</v>
      </c>
      <c r="C2570" s="2" t="s">
        <v>11416</v>
      </c>
      <c r="D2570" s="3">
        <v>10</v>
      </c>
      <c r="E2570" s="3">
        <v>10</v>
      </c>
      <c r="F2570" s="2" t="s">
        <v>16</v>
      </c>
      <c r="G2570" s="2" t="s">
        <v>11417</v>
      </c>
      <c r="H2570" s="3">
        <v>0</v>
      </c>
      <c r="I2570" s="2" t="s">
        <v>409</v>
      </c>
      <c r="J2570" s="2" t="s">
        <v>11418</v>
      </c>
      <c r="K2570" s="2" t="s">
        <v>16</v>
      </c>
      <c r="L2570" s="2" t="s">
        <v>11419</v>
      </c>
      <c r="M2570" s="4">
        <v>0.77</v>
      </c>
      <c r="N2570" t="e">
        <f>OR(LEFT(B2570,3)="frg",(_xlfn.XMATCH(B2570,ZZZ_Part_Id_[[#All],[FGCODE]])))</f>
        <v>#N/A</v>
      </c>
    </row>
    <row r="2571" spans="1:14" x14ac:dyDescent="0.3">
      <c r="A2571" s="2" t="s">
        <v>11415</v>
      </c>
      <c r="B2571" s="2" t="s">
        <v>86</v>
      </c>
      <c r="C2571" s="2" t="s">
        <v>11420</v>
      </c>
      <c r="D2571" s="5">
        <v>-1200</v>
      </c>
      <c r="E2571" s="5">
        <v>-1200</v>
      </c>
      <c r="F2571" s="2" t="s">
        <v>23</v>
      </c>
      <c r="G2571" s="2" t="s">
        <v>11421</v>
      </c>
      <c r="H2571" s="3">
        <v>0</v>
      </c>
      <c r="I2571" s="2" t="s">
        <v>409</v>
      </c>
      <c r="J2571" s="2" t="s">
        <v>11422</v>
      </c>
      <c r="K2571" s="2" t="s">
        <v>23</v>
      </c>
      <c r="L2571" s="2" t="s">
        <v>11423</v>
      </c>
      <c r="M2571" s="6">
        <v>-3141.36</v>
      </c>
      <c r="N2571" t="b">
        <f>OR(LEFT(B2571,3)="frg",(_xlfn.XMATCH(B2571,ZZZ_Part_Id_[[#All],[FGCODE]])))</f>
        <v>1</v>
      </c>
    </row>
    <row r="2572" spans="1:14" x14ac:dyDescent="0.3">
      <c r="A2572" s="2" t="s">
        <v>11415</v>
      </c>
      <c r="B2572" s="2" t="s">
        <v>10719</v>
      </c>
      <c r="C2572" s="2" t="s">
        <v>11424</v>
      </c>
      <c r="D2572" s="3">
        <v>250560</v>
      </c>
      <c r="E2572" s="3">
        <v>250560</v>
      </c>
      <c r="F2572" s="2" t="s">
        <v>16</v>
      </c>
      <c r="G2572" s="2" t="s">
        <v>11425</v>
      </c>
      <c r="H2572" s="3">
        <v>0</v>
      </c>
      <c r="I2572" s="2" t="s">
        <v>409</v>
      </c>
      <c r="J2572" s="2" t="s">
        <v>11426</v>
      </c>
      <c r="K2572" s="2" t="s">
        <v>16</v>
      </c>
      <c r="L2572" s="2" t="s">
        <v>11427</v>
      </c>
      <c r="M2572" s="4">
        <v>20235.240000000002</v>
      </c>
      <c r="N2572" t="b">
        <f>OR(LEFT(B2572,3)="frg",(_xlfn.XMATCH(B2572,ZZZ_Part_Id_[[#All],[FGCODE]])))</f>
        <v>1</v>
      </c>
    </row>
    <row r="2573" spans="1:14" x14ac:dyDescent="0.3">
      <c r="A2573" s="2" t="s">
        <v>11428</v>
      </c>
      <c r="B2573" s="2" t="s">
        <v>14</v>
      </c>
      <c r="C2573" s="2" t="s">
        <v>11429</v>
      </c>
      <c r="D2573" s="3">
        <v>95</v>
      </c>
      <c r="E2573" s="3">
        <v>95</v>
      </c>
      <c r="F2573" s="2" t="s">
        <v>16</v>
      </c>
      <c r="G2573" s="2" t="s">
        <v>11430</v>
      </c>
      <c r="H2573" s="3">
        <v>0</v>
      </c>
      <c r="I2573" s="2" t="s">
        <v>18</v>
      </c>
      <c r="J2573" s="2" t="s">
        <v>11431</v>
      </c>
      <c r="K2573" s="2" t="s">
        <v>16</v>
      </c>
      <c r="L2573" s="2" t="s">
        <v>11432</v>
      </c>
      <c r="M2573" s="4">
        <v>7.31</v>
      </c>
      <c r="N2573" t="e">
        <f>OR(LEFT(B2573,3)="frg",(_xlfn.XMATCH(B2573,ZZZ_Part_Id_[[#All],[FGCODE]])))</f>
        <v>#N/A</v>
      </c>
    </row>
    <row r="2574" spans="1:14" x14ac:dyDescent="0.3">
      <c r="A2574" s="2" t="s">
        <v>11428</v>
      </c>
      <c r="B2574" s="2" t="s">
        <v>187</v>
      </c>
      <c r="C2574" s="2" t="s">
        <v>11433</v>
      </c>
      <c r="D2574" s="3">
        <v>95</v>
      </c>
      <c r="E2574" s="3">
        <v>95</v>
      </c>
      <c r="F2574" s="2" t="s">
        <v>16</v>
      </c>
      <c r="G2574" s="2" t="s">
        <v>11434</v>
      </c>
      <c r="H2574" s="3">
        <v>0</v>
      </c>
      <c r="I2574" s="2" t="s">
        <v>18</v>
      </c>
      <c r="J2574" s="2" t="s">
        <v>11435</v>
      </c>
      <c r="K2574" s="2" t="s">
        <v>16</v>
      </c>
      <c r="L2574" s="2" t="s">
        <v>11436</v>
      </c>
      <c r="M2574" s="4">
        <v>420.4</v>
      </c>
      <c r="N2574" t="e">
        <f>OR(LEFT(B2574,3)="frg",(_xlfn.XMATCH(B2574,ZZZ_Part_Id_[[#All],[FGCODE]])))</f>
        <v>#N/A</v>
      </c>
    </row>
    <row r="2575" spans="1:14" x14ac:dyDescent="0.3">
      <c r="A2575" s="2" t="s">
        <v>11428</v>
      </c>
      <c r="B2575" s="2" t="s">
        <v>9405</v>
      </c>
      <c r="C2575" s="2" t="s">
        <v>11437</v>
      </c>
      <c r="D2575" s="3">
        <v>2436480</v>
      </c>
      <c r="E2575" s="3">
        <v>2436480</v>
      </c>
      <c r="F2575" s="2" t="s">
        <v>16</v>
      </c>
      <c r="G2575" s="2" t="s">
        <v>11438</v>
      </c>
      <c r="H2575" s="3">
        <v>0</v>
      </c>
      <c r="I2575" s="2" t="s">
        <v>18</v>
      </c>
      <c r="J2575" s="2" t="s">
        <v>11439</v>
      </c>
      <c r="K2575" s="2" t="s">
        <v>16</v>
      </c>
      <c r="L2575" s="2" t="s">
        <v>11440</v>
      </c>
      <c r="M2575" s="4">
        <v>157176.95999999999</v>
      </c>
      <c r="N2575" t="b">
        <f>OR(LEFT(B2575,3)="frg",(_xlfn.XMATCH(B2575,ZZZ_Part_Id_[[#All],[FGCODE]])))</f>
        <v>1</v>
      </c>
    </row>
    <row r="2576" spans="1:14" x14ac:dyDescent="0.3">
      <c r="A2576" s="2" t="s">
        <v>11441</v>
      </c>
      <c r="B2576" s="2" t="s">
        <v>11241</v>
      </c>
      <c r="C2576" s="2" t="s">
        <v>11442</v>
      </c>
      <c r="D2576" s="3">
        <v>50760</v>
      </c>
      <c r="E2576" s="3">
        <v>50760</v>
      </c>
      <c r="F2576" s="2" t="s">
        <v>16</v>
      </c>
      <c r="G2576" s="2" t="s">
        <v>11443</v>
      </c>
      <c r="H2576" s="3">
        <v>0</v>
      </c>
      <c r="I2576" s="2" t="s">
        <v>18</v>
      </c>
      <c r="J2576" s="2" t="s">
        <v>11444</v>
      </c>
      <c r="K2576" s="2" t="s">
        <v>16</v>
      </c>
      <c r="L2576" s="2" t="s">
        <v>11445</v>
      </c>
      <c r="M2576" s="4">
        <v>3136.96</v>
      </c>
      <c r="N2576" t="b">
        <f>OR(LEFT(B2576,3)="frg",(_xlfn.XMATCH(B2576,ZZZ_Part_Id_[[#All],[FGCODE]])))</f>
        <v>1</v>
      </c>
    </row>
    <row r="2577" spans="1:14" x14ac:dyDescent="0.3">
      <c r="A2577" s="2" t="s">
        <v>11446</v>
      </c>
      <c r="B2577" s="2" t="s">
        <v>65</v>
      </c>
      <c r="C2577" s="2" t="s">
        <v>11447</v>
      </c>
      <c r="D2577" s="5">
        <v>-140</v>
      </c>
      <c r="E2577" s="5">
        <v>-140</v>
      </c>
      <c r="F2577" s="2" t="s">
        <v>23</v>
      </c>
      <c r="G2577" s="2" t="s">
        <v>11448</v>
      </c>
      <c r="H2577" s="3">
        <v>0</v>
      </c>
      <c r="I2577" s="2" t="s">
        <v>409</v>
      </c>
      <c r="J2577" s="2" t="s">
        <v>11449</v>
      </c>
      <c r="K2577" s="2" t="s">
        <v>23</v>
      </c>
      <c r="L2577" s="2" t="s">
        <v>11450</v>
      </c>
      <c r="M2577" s="6">
        <v>-360.02</v>
      </c>
      <c r="N2577" t="b">
        <f>OR(LEFT(B2577,3)="frg",(_xlfn.XMATCH(B2577,ZZZ_Part_Id_[[#All],[FGCODE]])))</f>
        <v>1</v>
      </c>
    </row>
    <row r="2578" spans="1:14" x14ac:dyDescent="0.3">
      <c r="A2578" s="2" t="s">
        <v>11446</v>
      </c>
      <c r="B2578" s="2" t="s">
        <v>2115</v>
      </c>
      <c r="C2578" s="2" t="s">
        <v>11451</v>
      </c>
      <c r="D2578" s="3">
        <v>7200</v>
      </c>
      <c r="E2578" s="3">
        <v>7200</v>
      </c>
      <c r="F2578" s="2" t="s">
        <v>16</v>
      </c>
      <c r="G2578" s="2" t="s">
        <v>11452</v>
      </c>
      <c r="H2578" s="3">
        <v>0</v>
      </c>
      <c r="I2578" s="2" t="s">
        <v>409</v>
      </c>
      <c r="J2578" s="2" t="s">
        <v>11453</v>
      </c>
      <c r="K2578" s="2" t="s">
        <v>16</v>
      </c>
      <c r="L2578" s="2" t="s">
        <v>11454</v>
      </c>
      <c r="M2578" s="4">
        <v>2394.14</v>
      </c>
      <c r="N2578" t="b">
        <f>OR(LEFT(B2578,3)="frg",(_xlfn.XMATCH(B2578,ZZZ_Part_Id_[[#All],[FGCODE]])))</f>
        <v>1</v>
      </c>
    </row>
    <row r="2579" spans="1:14" x14ac:dyDescent="0.3">
      <c r="A2579" s="2" t="s">
        <v>11455</v>
      </c>
      <c r="B2579" s="2" t="s">
        <v>14</v>
      </c>
      <c r="C2579" s="2" t="s">
        <v>11456</v>
      </c>
      <c r="D2579" s="3">
        <v>15</v>
      </c>
      <c r="E2579" s="3">
        <v>15</v>
      </c>
      <c r="F2579" s="2" t="s">
        <v>16</v>
      </c>
      <c r="G2579" s="2" t="s">
        <v>11457</v>
      </c>
      <c r="H2579" s="3">
        <v>0</v>
      </c>
      <c r="I2579" s="2" t="s">
        <v>409</v>
      </c>
      <c r="J2579" s="2" t="s">
        <v>11458</v>
      </c>
      <c r="K2579" s="2" t="s">
        <v>16</v>
      </c>
      <c r="L2579" s="2" t="s">
        <v>11459</v>
      </c>
      <c r="M2579" s="4">
        <v>1.1499999999999999</v>
      </c>
      <c r="N2579" t="e">
        <f>OR(LEFT(B2579,3)="frg",(_xlfn.XMATCH(B2579,ZZZ_Part_Id_[[#All],[FGCODE]])))</f>
        <v>#N/A</v>
      </c>
    </row>
    <row r="2580" spans="1:14" x14ac:dyDescent="0.3">
      <c r="A2580" s="2" t="s">
        <v>11455</v>
      </c>
      <c r="B2580" s="2" t="s">
        <v>97</v>
      </c>
      <c r="C2580" s="2" t="s">
        <v>11460</v>
      </c>
      <c r="D2580" s="3">
        <v>72000</v>
      </c>
      <c r="E2580" s="3">
        <v>72000</v>
      </c>
      <c r="F2580" s="2" t="s">
        <v>16</v>
      </c>
      <c r="G2580" s="2" t="s">
        <v>11461</v>
      </c>
      <c r="H2580" s="3">
        <v>0</v>
      </c>
      <c r="I2580" s="2" t="s">
        <v>409</v>
      </c>
      <c r="J2580" s="2" t="s">
        <v>11462</v>
      </c>
      <c r="K2580" s="2" t="s">
        <v>16</v>
      </c>
      <c r="L2580" s="2" t="s">
        <v>11463</v>
      </c>
      <c r="M2580" s="4">
        <v>24696</v>
      </c>
      <c r="N2580" t="b">
        <f>OR(LEFT(B2580,3)="frg",(_xlfn.XMATCH(B2580,ZZZ_Part_Id_[[#All],[FGCODE]])))</f>
        <v>1</v>
      </c>
    </row>
    <row r="2581" spans="1:14" x14ac:dyDescent="0.3">
      <c r="A2581" s="2" t="s">
        <v>11464</v>
      </c>
      <c r="B2581" s="2" t="s">
        <v>14</v>
      </c>
      <c r="C2581" s="2" t="s">
        <v>11465</v>
      </c>
      <c r="D2581" s="3">
        <v>10</v>
      </c>
      <c r="E2581" s="3">
        <v>10</v>
      </c>
      <c r="F2581" s="2" t="s">
        <v>16</v>
      </c>
      <c r="G2581" s="2" t="s">
        <v>11466</v>
      </c>
      <c r="H2581" s="3">
        <v>0</v>
      </c>
      <c r="I2581" s="2" t="s">
        <v>409</v>
      </c>
      <c r="J2581" s="2" t="s">
        <v>11467</v>
      </c>
      <c r="K2581" s="2" t="s">
        <v>16</v>
      </c>
      <c r="L2581" s="2" t="s">
        <v>11468</v>
      </c>
      <c r="M2581" s="4">
        <v>0.77</v>
      </c>
      <c r="N2581" t="e">
        <f>OR(LEFT(B2581,3)="frg",(_xlfn.XMATCH(B2581,ZZZ_Part_Id_[[#All],[FGCODE]])))</f>
        <v>#N/A</v>
      </c>
    </row>
    <row r="2582" spans="1:14" x14ac:dyDescent="0.3">
      <c r="A2582" s="2" t="s">
        <v>11464</v>
      </c>
      <c r="B2582" s="2" t="s">
        <v>86</v>
      </c>
      <c r="C2582" s="2" t="s">
        <v>11469</v>
      </c>
      <c r="D2582" s="5">
        <v>-259</v>
      </c>
      <c r="E2582" s="5">
        <v>-259</v>
      </c>
      <c r="F2582" s="2" t="s">
        <v>23</v>
      </c>
      <c r="G2582" s="2" t="s">
        <v>11470</v>
      </c>
      <c r="H2582" s="3">
        <v>0</v>
      </c>
      <c r="I2582" s="2" t="s">
        <v>409</v>
      </c>
      <c r="J2582" s="2" t="s">
        <v>11471</v>
      </c>
      <c r="K2582" s="2" t="s">
        <v>23</v>
      </c>
      <c r="L2582" s="2" t="s">
        <v>11472</v>
      </c>
      <c r="M2582" s="6">
        <v>-678.01</v>
      </c>
      <c r="N2582" t="b">
        <f>OR(LEFT(B2582,3)="frg",(_xlfn.XMATCH(B2582,ZZZ_Part_Id_[[#All],[FGCODE]])))</f>
        <v>1</v>
      </c>
    </row>
    <row r="2583" spans="1:14" x14ac:dyDescent="0.3">
      <c r="A2583" s="2" t="s">
        <v>11464</v>
      </c>
      <c r="B2583" s="2" t="s">
        <v>5507</v>
      </c>
      <c r="C2583" s="2" t="s">
        <v>11473</v>
      </c>
      <c r="D2583" s="3">
        <v>134400</v>
      </c>
      <c r="E2583" s="3">
        <v>134400</v>
      </c>
      <c r="F2583" s="2" t="s">
        <v>16</v>
      </c>
      <c r="G2583" s="2" t="s">
        <v>11474</v>
      </c>
      <c r="H2583" s="3">
        <v>0</v>
      </c>
      <c r="I2583" s="2" t="s">
        <v>409</v>
      </c>
      <c r="J2583" s="2" t="s">
        <v>11475</v>
      </c>
      <c r="K2583" s="2" t="s">
        <v>16</v>
      </c>
      <c r="L2583" s="2" t="s">
        <v>11476</v>
      </c>
      <c r="M2583" s="4">
        <v>13044.85</v>
      </c>
      <c r="N2583" t="b">
        <f>OR(LEFT(B2583,3)="frg",(_xlfn.XMATCH(B2583,ZZZ_Part_Id_[[#All],[FGCODE]])))</f>
        <v>1</v>
      </c>
    </row>
    <row r="2584" spans="1:14" x14ac:dyDescent="0.3">
      <c r="A2584" s="2" t="s">
        <v>11477</v>
      </c>
      <c r="B2584" s="2" t="s">
        <v>37</v>
      </c>
      <c r="C2584" s="2" t="s">
        <v>11478</v>
      </c>
      <c r="D2584" s="3">
        <v>9</v>
      </c>
      <c r="E2584" s="3">
        <v>9</v>
      </c>
      <c r="F2584" s="2" t="s">
        <v>16</v>
      </c>
      <c r="G2584" s="2" t="s">
        <v>11479</v>
      </c>
      <c r="H2584" s="3">
        <v>0</v>
      </c>
      <c r="I2584" s="2" t="s">
        <v>409</v>
      </c>
      <c r="J2584" s="2" t="s">
        <v>11480</v>
      </c>
      <c r="K2584" s="2" t="s">
        <v>16</v>
      </c>
      <c r="L2584" s="2" t="s">
        <v>11481</v>
      </c>
      <c r="M2584" s="4">
        <v>144</v>
      </c>
      <c r="N2584" t="e">
        <f>OR(LEFT(B2584,3)="frg",(_xlfn.XMATCH(B2584,ZZZ_Part_Id_[[#All],[FGCODE]])))</f>
        <v>#N/A</v>
      </c>
    </row>
    <row r="2585" spans="1:14" x14ac:dyDescent="0.3">
      <c r="A2585" s="2" t="s">
        <v>11477</v>
      </c>
      <c r="B2585" s="2" t="s">
        <v>65</v>
      </c>
      <c r="C2585" s="2" t="s">
        <v>11482</v>
      </c>
      <c r="D2585" s="5">
        <v>-249</v>
      </c>
      <c r="E2585" s="5">
        <v>-249</v>
      </c>
      <c r="F2585" s="2" t="s">
        <v>23</v>
      </c>
      <c r="G2585" s="2" t="s">
        <v>11483</v>
      </c>
      <c r="H2585" s="3">
        <v>0</v>
      </c>
      <c r="I2585" s="2" t="s">
        <v>409</v>
      </c>
      <c r="J2585" s="2" t="s">
        <v>11484</v>
      </c>
      <c r="K2585" s="2" t="s">
        <v>23</v>
      </c>
      <c r="L2585" s="2" t="s">
        <v>11485</v>
      </c>
      <c r="M2585" s="6">
        <v>-640.33000000000004</v>
      </c>
      <c r="N2585" t="b">
        <f>OR(LEFT(B2585,3)="frg",(_xlfn.XMATCH(B2585,ZZZ_Part_Id_[[#All],[FGCODE]])))</f>
        <v>1</v>
      </c>
    </row>
    <row r="2586" spans="1:14" x14ac:dyDescent="0.3">
      <c r="A2586" s="2" t="s">
        <v>11477</v>
      </c>
      <c r="B2586" s="2" t="s">
        <v>97</v>
      </c>
      <c r="C2586" s="2" t="s">
        <v>11486</v>
      </c>
      <c r="D2586" s="3">
        <v>48000</v>
      </c>
      <c r="E2586" s="3">
        <v>48000</v>
      </c>
      <c r="F2586" s="2" t="s">
        <v>16</v>
      </c>
      <c r="G2586" s="2" t="s">
        <v>11487</v>
      </c>
      <c r="H2586" s="3">
        <v>0</v>
      </c>
      <c r="I2586" s="2" t="s">
        <v>409</v>
      </c>
      <c r="J2586" s="2" t="s">
        <v>11488</v>
      </c>
      <c r="K2586" s="2" t="s">
        <v>16</v>
      </c>
      <c r="L2586" s="2" t="s">
        <v>11489</v>
      </c>
      <c r="M2586" s="4">
        <v>16464</v>
      </c>
      <c r="N2586" t="b">
        <f>OR(LEFT(B2586,3)="frg",(_xlfn.XMATCH(B2586,ZZZ_Part_Id_[[#All],[FGCODE]])))</f>
        <v>1</v>
      </c>
    </row>
    <row r="2587" spans="1:14" x14ac:dyDescent="0.3">
      <c r="A2587" s="2" t="s">
        <v>11490</v>
      </c>
      <c r="B2587" s="2" t="s">
        <v>14</v>
      </c>
      <c r="C2587" s="2" t="s">
        <v>11491</v>
      </c>
      <c r="D2587" s="3">
        <v>10</v>
      </c>
      <c r="E2587" s="3">
        <v>10</v>
      </c>
      <c r="F2587" s="2" t="s">
        <v>16</v>
      </c>
      <c r="G2587" s="2" t="s">
        <v>11492</v>
      </c>
      <c r="H2587" s="3">
        <v>0</v>
      </c>
      <c r="I2587" s="2" t="s">
        <v>18</v>
      </c>
      <c r="J2587" s="2" t="s">
        <v>11493</v>
      </c>
      <c r="K2587" s="2" t="s">
        <v>16</v>
      </c>
      <c r="L2587" s="2" t="s">
        <v>11494</v>
      </c>
      <c r="M2587" s="4">
        <v>0.77</v>
      </c>
      <c r="N2587" t="e">
        <f>OR(LEFT(B2587,3)="frg",(_xlfn.XMATCH(B2587,ZZZ_Part_Id_[[#All],[FGCODE]])))</f>
        <v>#N/A</v>
      </c>
    </row>
    <row r="2588" spans="1:14" x14ac:dyDescent="0.3">
      <c r="A2588" s="2" t="s">
        <v>11490</v>
      </c>
      <c r="B2588" s="2" t="s">
        <v>2803</v>
      </c>
      <c r="C2588" s="2" t="s">
        <v>11495</v>
      </c>
      <c r="D2588" s="3">
        <v>80640</v>
      </c>
      <c r="E2588" s="3">
        <v>80640</v>
      </c>
      <c r="F2588" s="2" t="s">
        <v>16</v>
      </c>
      <c r="G2588" s="2" t="s">
        <v>11496</v>
      </c>
      <c r="H2588" s="3">
        <v>0</v>
      </c>
      <c r="I2588" s="2" t="s">
        <v>18</v>
      </c>
      <c r="J2588" s="2" t="s">
        <v>11497</v>
      </c>
      <c r="K2588" s="2" t="s">
        <v>16</v>
      </c>
      <c r="L2588" s="2" t="s">
        <v>11498</v>
      </c>
      <c r="M2588" s="4">
        <v>15040.96</v>
      </c>
      <c r="N2588" t="b">
        <f>OR(LEFT(B2588,3)="frg",(_xlfn.XMATCH(B2588,ZZZ_Part_Id_[[#All],[FGCODE]])))</f>
        <v>1</v>
      </c>
    </row>
    <row r="2589" spans="1:14" x14ac:dyDescent="0.3">
      <c r="A2589" s="2" t="s">
        <v>11499</v>
      </c>
      <c r="B2589" s="2" t="s">
        <v>445</v>
      </c>
      <c r="C2589" s="2" t="s">
        <v>11500</v>
      </c>
      <c r="D2589" s="3">
        <v>50760</v>
      </c>
      <c r="E2589" s="3">
        <v>50760</v>
      </c>
      <c r="F2589" s="2" t="s">
        <v>16</v>
      </c>
      <c r="G2589" s="2" t="s">
        <v>11501</v>
      </c>
      <c r="H2589" s="3">
        <v>0</v>
      </c>
      <c r="I2589" s="2" t="s">
        <v>409</v>
      </c>
      <c r="J2589" s="2" t="s">
        <v>11502</v>
      </c>
      <c r="K2589" s="2" t="s">
        <v>16</v>
      </c>
      <c r="L2589" s="2" t="s">
        <v>11503</v>
      </c>
      <c r="M2589" s="4">
        <v>3383.66</v>
      </c>
      <c r="N2589" t="b">
        <f>OR(LEFT(B2589,3)="frg",(_xlfn.XMATCH(B2589,ZZZ_Part_Id_[[#All],[FGCODE]])))</f>
        <v>1</v>
      </c>
    </row>
    <row r="2590" spans="1:14" x14ac:dyDescent="0.3">
      <c r="A2590" s="2" t="s">
        <v>11504</v>
      </c>
      <c r="B2590" s="2" t="s">
        <v>3113</v>
      </c>
      <c r="C2590" s="2" t="s">
        <v>11505</v>
      </c>
      <c r="D2590" s="3">
        <v>41760</v>
      </c>
      <c r="E2590" s="3">
        <v>41760</v>
      </c>
      <c r="F2590" s="2" t="s">
        <v>16</v>
      </c>
      <c r="G2590" s="2" t="s">
        <v>11506</v>
      </c>
      <c r="H2590" s="3">
        <v>0</v>
      </c>
      <c r="I2590" s="2" t="s">
        <v>409</v>
      </c>
      <c r="J2590" s="2" t="s">
        <v>11507</v>
      </c>
      <c r="K2590" s="2" t="s">
        <v>16</v>
      </c>
      <c r="L2590" s="2" t="s">
        <v>11508</v>
      </c>
      <c r="M2590" s="4">
        <v>3272.32</v>
      </c>
      <c r="N2590" t="b">
        <f>OR(LEFT(B2590,3)="frg",(_xlfn.XMATCH(B2590,ZZZ_Part_Id_[[#All],[FGCODE]])))</f>
        <v>1</v>
      </c>
    </row>
    <row r="2591" spans="1:14" x14ac:dyDescent="0.3">
      <c r="A2591" s="2" t="s">
        <v>11509</v>
      </c>
      <c r="B2591" s="2" t="s">
        <v>3759</v>
      </c>
      <c r="C2591" s="2" t="s">
        <v>11510</v>
      </c>
      <c r="D2591" s="3">
        <v>149400</v>
      </c>
      <c r="E2591" s="3">
        <v>149400</v>
      </c>
      <c r="F2591" s="2" t="s">
        <v>16</v>
      </c>
      <c r="G2591" s="2" t="s">
        <v>11511</v>
      </c>
      <c r="H2591" s="3">
        <v>0</v>
      </c>
      <c r="I2591" s="2" t="s">
        <v>18</v>
      </c>
      <c r="J2591" s="2" t="s">
        <v>11512</v>
      </c>
      <c r="K2591" s="2" t="s">
        <v>16</v>
      </c>
      <c r="L2591" s="2" t="s">
        <v>11513</v>
      </c>
      <c r="M2591" s="4">
        <v>8202.0499999999993</v>
      </c>
      <c r="N2591" t="b">
        <f>OR(LEFT(B2591,3)="frg",(_xlfn.XMATCH(B2591,ZZZ_Part_Id_[[#All],[FGCODE]])))</f>
        <v>1</v>
      </c>
    </row>
    <row r="2592" spans="1:14" x14ac:dyDescent="0.3">
      <c r="A2592" s="2" t="s">
        <v>11514</v>
      </c>
      <c r="B2592" s="2" t="s">
        <v>14</v>
      </c>
      <c r="C2592" s="2" t="s">
        <v>11515</v>
      </c>
      <c r="D2592" s="3">
        <v>3</v>
      </c>
      <c r="E2592" s="3">
        <v>3</v>
      </c>
      <c r="F2592" s="2" t="s">
        <v>16</v>
      </c>
      <c r="G2592" s="2" t="s">
        <v>11516</v>
      </c>
      <c r="H2592" s="3">
        <v>0</v>
      </c>
      <c r="I2592" s="2" t="s">
        <v>409</v>
      </c>
      <c r="J2592" s="2" t="s">
        <v>11517</v>
      </c>
      <c r="K2592" s="2" t="s">
        <v>16</v>
      </c>
      <c r="L2592" s="2" t="s">
        <v>11518</v>
      </c>
      <c r="M2592" s="4">
        <v>0.23</v>
      </c>
      <c r="N2592" t="e">
        <f>OR(LEFT(B2592,3)="frg",(_xlfn.XMATCH(B2592,ZZZ_Part_Id_[[#All],[FGCODE]])))</f>
        <v>#N/A</v>
      </c>
    </row>
    <row r="2593" spans="1:14" x14ac:dyDescent="0.3">
      <c r="A2593" s="2" t="s">
        <v>11514</v>
      </c>
      <c r="B2593" s="2" t="s">
        <v>37</v>
      </c>
      <c r="C2593" s="2" t="s">
        <v>11519</v>
      </c>
      <c r="D2593" s="3">
        <v>3</v>
      </c>
      <c r="E2593" s="3">
        <v>3</v>
      </c>
      <c r="F2593" s="2" t="s">
        <v>16</v>
      </c>
      <c r="G2593" s="2" t="s">
        <v>11520</v>
      </c>
      <c r="H2593" s="3">
        <v>0</v>
      </c>
      <c r="I2593" s="2" t="s">
        <v>409</v>
      </c>
      <c r="J2593" s="2" t="s">
        <v>11521</v>
      </c>
      <c r="K2593" s="2" t="s">
        <v>16</v>
      </c>
      <c r="L2593" s="2" t="s">
        <v>11522</v>
      </c>
      <c r="M2593" s="4">
        <v>48</v>
      </c>
      <c r="N2593" t="e">
        <f>OR(LEFT(B2593,3)="frg",(_xlfn.XMATCH(B2593,ZZZ_Part_Id_[[#All],[FGCODE]])))</f>
        <v>#N/A</v>
      </c>
    </row>
    <row r="2594" spans="1:14" x14ac:dyDescent="0.3">
      <c r="A2594" s="2" t="s">
        <v>11514</v>
      </c>
      <c r="B2594" s="2" t="s">
        <v>4511</v>
      </c>
      <c r="C2594" s="2" t="s">
        <v>11523</v>
      </c>
      <c r="D2594" s="3">
        <v>89640</v>
      </c>
      <c r="E2594" s="3">
        <v>89640</v>
      </c>
      <c r="F2594" s="2" t="s">
        <v>16</v>
      </c>
      <c r="G2594" s="2" t="s">
        <v>11524</v>
      </c>
      <c r="H2594" s="3">
        <v>0</v>
      </c>
      <c r="I2594" s="2" t="s">
        <v>409</v>
      </c>
      <c r="J2594" s="2" t="s">
        <v>11525</v>
      </c>
      <c r="K2594" s="2" t="s">
        <v>16</v>
      </c>
      <c r="L2594" s="2" t="s">
        <v>11526</v>
      </c>
      <c r="M2594" s="4">
        <v>4973.22</v>
      </c>
      <c r="N2594" t="b">
        <f>OR(LEFT(B2594,3)="frg",(_xlfn.XMATCH(B2594,ZZZ_Part_Id_[[#All],[FGCODE]])))</f>
        <v>1</v>
      </c>
    </row>
    <row r="2595" spans="1:14" x14ac:dyDescent="0.3">
      <c r="A2595" s="2" t="s">
        <v>11527</v>
      </c>
      <c r="B2595" s="2" t="s">
        <v>11054</v>
      </c>
      <c r="C2595" s="2" t="s">
        <v>11528</v>
      </c>
      <c r="D2595" s="3">
        <v>4791</v>
      </c>
      <c r="E2595" s="3">
        <v>4791</v>
      </c>
      <c r="F2595" s="2" t="s">
        <v>16</v>
      </c>
      <c r="G2595" s="2" t="s">
        <v>11529</v>
      </c>
      <c r="H2595" s="3">
        <v>0</v>
      </c>
      <c r="I2595" s="2" t="s">
        <v>409</v>
      </c>
      <c r="J2595" s="2" t="s">
        <v>35</v>
      </c>
      <c r="K2595" s="2" t="s">
        <v>16</v>
      </c>
      <c r="L2595" s="2" t="s">
        <v>11530</v>
      </c>
      <c r="M2595" s="4">
        <v>1308.52</v>
      </c>
      <c r="N2595" t="b">
        <f>OR(LEFT(B2595,3)="frg",(_xlfn.XMATCH(B2595,ZZZ_Part_Id_[[#All],[FGCODE]])))</f>
        <v>1</v>
      </c>
    </row>
    <row r="2596" spans="1:14" x14ac:dyDescent="0.3">
      <c r="A2596" s="2" t="s">
        <v>11527</v>
      </c>
      <c r="B2596" s="2" t="s">
        <v>11531</v>
      </c>
      <c r="C2596" s="2" t="s">
        <v>11532</v>
      </c>
      <c r="D2596" s="3">
        <v>8457</v>
      </c>
      <c r="E2596" s="3">
        <v>8456</v>
      </c>
      <c r="F2596" s="2" t="s">
        <v>16</v>
      </c>
      <c r="G2596" s="2" t="s">
        <v>131</v>
      </c>
      <c r="H2596" s="3">
        <v>0</v>
      </c>
      <c r="I2596" s="2" t="s">
        <v>409</v>
      </c>
      <c r="J2596" s="2" t="s">
        <v>35</v>
      </c>
      <c r="K2596" s="2" t="s">
        <v>16</v>
      </c>
      <c r="L2596" s="2" t="s">
        <v>11533</v>
      </c>
      <c r="M2596" s="4">
        <v>2140.88</v>
      </c>
      <c r="N2596" t="b">
        <f>OR(LEFT(B2596,3)="frg",(_xlfn.XMATCH(B2596,ZZZ_Part_Id_[[#All],[FGCODE]])))</f>
        <v>1</v>
      </c>
    </row>
    <row r="2597" spans="1:14" x14ac:dyDescent="0.3">
      <c r="A2597" s="2" t="s">
        <v>11534</v>
      </c>
      <c r="B2597" s="2" t="s">
        <v>11082</v>
      </c>
      <c r="C2597" s="2" t="s">
        <v>11535</v>
      </c>
      <c r="D2597" s="3">
        <v>13248</v>
      </c>
      <c r="E2597" s="3">
        <v>13248</v>
      </c>
      <c r="F2597" s="2" t="s">
        <v>16</v>
      </c>
      <c r="G2597" s="2" t="s">
        <v>11536</v>
      </c>
      <c r="H2597" s="3">
        <v>0</v>
      </c>
      <c r="I2597" s="2" t="s">
        <v>409</v>
      </c>
      <c r="J2597" s="2" t="s">
        <v>35</v>
      </c>
      <c r="K2597" s="2" t="s">
        <v>16</v>
      </c>
      <c r="L2597" s="2" t="s">
        <v>11537</v>
      </c>
      <c r="M2597" s="4">
        <v>3660.69</v>
      </c>
      <c r="N2597" t="b">
        <f>OR(LEFT(B2597,3)="frg",(_xlfn.XMATCH(B2597,ZZZ_Part_Id_[[#All],[FGCODE]])))</f>
        <v>1</v>
      </c>
    </row>
    <row r="2598" spans="1:14" x14ac:dyDescent="0.3">
      <c r="A2598" s="2" t="s">
        <v>11538</v>
      </c>
      <c r="B2598" s="2" t="s">
        <v>70</v>
      </c>
      <c r="C2598" s="2" t="s">
        <v>11539</v>
      </c>
      <c r="D2598" s="3">
        <v>82368</v>
      </c>
      <c r="E2598" s="3">
        <v>82368</v>
      </c>
      <c r="F2598" s="2" t="s">
        <v>16</v>
      </c>
      <c r="G2598" s="2" t="s">
        <v>11540</v>
      </c>
      <c r="H2598" s="3">
        <v>0</v>
      </c>
      <c r="I2598" s="2" t="s">
        <v>409</v>
      </c>
      <c r="J2598" s="2" t="s">
        <v>11541</v>
      </c>
      <c r="K2598" s="2" t="s">
        <v>16</v>
      </c>
      <c r="L2598" s="2" t="s">
        <v>11542</v>
      </c>
      <c r="M2598" s="4">
        <v>20272.43</v>
      </c>
      <c r="N2598" t="b">
        <f>OR(LEFT(B2598,3)="frg",(_xlfn.XMATCH(B2598,ZZZ_Part_Id_[[#All],[FGCODE]])))</f>
        <v>1</v>
      </c>
    </row>
    <row r="2599" spans="1:14" x14ac:dyDescent="0.3">
      <c r="A2599" s="2" t="s">
        <v>11538</v>
      </c>
      <c r="B2599" s="2" t="s">
        <v>65</v>
      </c>
      <c r="C2599" s="2" t="s">
        <v>11543</v>
      </c>
      <c r="D2599" s="5">
        <v>-10.462</v>
      </c>
      <c r="E2599" s="3">
        <v>0</v>
      </c>
      <c r="F2599" s="2" t="s">
        <v>23</v>
      </c>
      <c r="G2599" s="2" t="s">
        <v>11544</v>
      </c>
      <c r="H2599" s="3">
        <v>0</v>
      </c>
      <c r="I2599" s="2" t="s">
        <v>409</v>
      </c>
      <c r="J2599" s="2" t="s">
        <v>11545</v>
      </c>
      <c r="K2599" s="2" t="s">
        <v>23</v>
      </c>
      <c r="L2599" s="2" t="s">
        <v>11546</v>
      </c>
      <c r="M2599" s="4">
        <v>0</v>
      </c>
      <c r="N2599" t="b">
        <f>OR(LEFT(B2599,3)="frg",(_xlfn.XMATCH(B2599,ZZZ_Part_Id_[[#All],[FGCODE]])))</f>
        <v>1</v>
      </c>
    </row>
    <row r="2600" spans="1:14" x14ac:dyDescent="0.3">
      <c r="A2600" s="2" t="s">
        <v>11538</v>
      </c>
      <c r="B2600" s="2" t="s">
        <v>14</v>
      </c>
      <c r="C2600" s="2" t="s">
        <v>11547</v>
      </c>
      <c r="D2600" s="3">
        <v>11.077</v>
      </c>
      <c r="E2600" s="3">
        <v>11.077</v>
      </c>
      <c r="F2600" s="2" t="s">
        <v>16</v>
      </c>
      <c r="G2600" s="2" t="s">
        <v>11548</v>
      </c>
      <c r="H2600" s="3">
        <v>0</v>
      </c>
      <c r="I2600" s="2" t="s">
        <v>409</v>
      </c>
      <c r="J2600" s="2" t="s">
        <v>11549</v>
      </c>
      <c r="K2600" s="2" t="s">
        <v>16</v>
      </c>
      <c r="L2600" s="2" t="s">
        <v>11550</v>
      </c>
      <c r="M2600" s="4">
        <v>0.85</v>
      </c>
      <c r="N2600" t="e">
        <f>OR(LEFT(B2600,3)="frg",(_xlfn.XMATCH(B2600,ZZZ_Part_Id_[[#All],[FGCODE]])))</f>
        <v>#N/A</v>
      </c>
    </row>
    <row r="2601" spans="1:14" x14ac:dyDescent="0.3">
      <c r="A2601" s="2" t="s">
        <v>11538</v>
      </c>
      <c r="B2601" s="2" t="s">
        <v>140</v>
      </c>
      <c r="C2601" s="2" t="s">
        <v>11551</v>
      </c>
      <c r="D2601" s="3">
        <v>0.44400000000000001</v>
      </c>
      <c r="E2601" s="3">
        <v>0.44400000000000001</v>
      </c>
      <c r="F2601" s="2" t="s">
        <v>16</v>
      </c>
      <c r="G2601" s="2" t="s">
        <v>11552</v>
      </c>
      <c r="H2601" s="3">
        <v>0</v>
      </c>
      <c r="I2601" s="2" t="s">
        <v>409</v>
      </c>
      <c r="J2601" s="2" t="s">
        <v>11553</v>
      </c>
      <c r="K2601" s="2" t="s">
        <v>16</v>
      </c>
      <c r="L2601" s="2" t="s">
        <v>11554</v>
      </c>
      <c r="M2601" s="4">
        <v>0.98</v>
      </c>
      <c r="N2601" t="e">
        <f>OR(LEFT(B2601,3)="frg",(_xlfn.XMATCH(B2601,ZZZ_Part_Id_[[#All],[FGCODE]])))</f>
        <v>#N/A</v>
      </c>
    </row>
    <row r="2602" spans="1:14" x14ac:dyDescent="0.3">
      <c r="A2602" s="2" t="s">
        <v>11538</v>
      </c>
      <c r="B2602" s="2" t="s">
        <v>192</v>
      </c>
      <c r="C2602" s="2" t="s">
        <v>11555</v>
      </c>
      <c r="D2602" s="3">
        <v>0.111</v>
      </c>
      <c r="E2602" s="3">
        <v>0.111</v>
      </c>
      <c r="F2602" s="2" t="s">
        <v>194</v>
      </c>
      <c r="G2602" s="2" t="s">
        <v>11556</v>
      </c>
      <c r="H2602" s="3">
        <v>0</v>
      </c>
      <c r="I2602" s="2" t="s">
        <v>409</v>
      </c>
      <c r="J2602" s="2" t="s">
        <v>11557</v>
      </c>
      <c r="K2602" s="2" t="s">
        <v>194</v>
      </c>
      <c r="L2602" s="2" t="s">
        <v>11558</v>
      </c>
      <c r="M2602" s="4">
        <v>0.56999999999999995</v>
      </c>
      <c r="N2602" t="e">
        <f>OR(LEFT(B2602,3)="frg",(_xlfn.XMATCH(B2602,ZZZ_Part_Id_[[#All],[FGCODE]])))</f>
        <v>#N/A</v>
      </c>
    </row>
    <row r="2603" spans="1:14" x14ac:dyDescent="0.3">
      <c r="A2603" s="2" t="s">
        <v>11538</v>
      </c>
      <c r="B2603" s="2" t="s">
        <v>145</v>
      </c>
      <c r="C2603" s="2" t="s">
        <v>11559</v>
      </c>
      <c r="D2603" s="3">
        <v>4.4999999999999998E-2</v>
      </c>
      <c r="E2603" s="3">
        <v>4.4999999999999998E-2</v>
      </c>
      <c r="F2603" s="2" t="s">
        <v>147</v>
      </c>
      <c r="G2603" s="2" t="s">
        <v>11560</v>
      </c>
      <c r="H2603" s="3">
        <v>0</v>
      </c>
      <c r="I2603" s="2" t="s">
        <v>409</v>
      </c>
      <c r="J2603" s="2" t="s">
        <v>11561</v>
      </c>
      <c r="K2603" s="2" t="s">
        <v>147</v>
      </c>
      <c r="L2603" s="2" t="s">
        <v>11562</v>
      </c>
      <c r="M2603" s="4">
        <v>7.04</v>
      </c>
      <c r="N2603" t="e">
        <f>OR(LEFT(B2603,3)="frg",(_xlfn.XMATCH(B2603,ZZZ_Part_Id_[[#All],[FGCODE]])))</f>
        <v>#N/A</v>
      </c>
    </row>
    <row r="2604" spans="1:14" x14ac:dyDescent="0.3">
      <c r="A2604" s="2" t="s">
        <v>11563</v>
      </c>
      <c r="B2604" s="2" t="s">
        <v>4791</v>
      </c>
      <c r="C2604" s="2" t="s">
        <v>11564</v>
      </c>
      <c r="D2604" s="3">
        <v>317952</v>
      </c>
      <c r="E2604" s="3">
        <v>317952</v>
      </c>
      <c r="F2604" s="2" t="s">
        <v>16</v>
      </c>
      <c r="G2604" s="2" t="s">
        <v>11565</v>
      </c>
      <c r="H2604" s="3">
        <v>0</v>
      </c>
      <c r="I2604" s="2" t="s">
        <v>409</v>
      </c>
      <c r="J2604" s="2" t="s">
        <v>11566</v>
      </c>
      <c r="K2604" s="2" t="s">
        <v>16</v>
      </c>
      <c r="L2604" s="2" t="s">
        <v>11567</v>
      </c>
      <c r="M2604" s="4">
        <v>93369.600000000006</v>
      </c>
      <c r="N2604" t="b">
        <f>OR(LEFT(B2604,3)="frg",(_xlfn.XMATCH(B2604,ZZZ_Part_Id_[[#All],[FGCODE]])))</f>
        <v>1</v>
      </c>
    </row>
    <row r="2605" spans="1:14" x14ac:dyDescent="0.3">
      <c r="A2605" s="2" t="s">
        <v>11568</v>
      </c>
      <c r="B2605" s="2" t="s">
        <v>9405</v>
      </c>
      <c r="C2605" s="2" t="s">
        <v>11569</v>
      </c>
      <c r="D2605" s="3">
        <v>1218240</v>
      </c>
      <c r="E2605" s="3">
        <v>1218240</v>
      </c>
      <c r="F2605" s="2" t="s">
        <v>16</v>
      </c>
      <c r="G2605" s="2" t="s">
        <v>11570</v>
      </c>
      <c r="H2605" s="3">
        <v>0</v>
      </c>
      <c r="I2605" s="2" t="s">
        <v>409</v>
      </c>
      <c r="J2605" s="2" t="s">
        <v>11571</v>
      </c>
      <c r="K2605" s="2" t="s">
        <v>16</v>
      </c>
      <c r="L2605" s="2" t="s">
        <v>11572</v>
      </c>
      <c r="M2605" s="4">
        <v>78588.479999999996</v>
      </c>
      <c r="N2605" t="b">
        <f>OR(LEFT(B2605,3)="frg",(_xlfn.XMATCH(B2605,ZZZ_Part_Id_[[#All],[FGCODE]])))</f>
        <v>1</v>
      </c>
    </row>
    <row r="2606" spans="1:14" x14ac:dyDescent="0.3">
      <c r="A2606" s="2" t="s">
        <v>11573</v>
      </c>
      <c r="B2606" s="2" t="s">
        <v>2127</v>
      </c>
      <c r="C2606" s="2" t="s">
        <v>11574</v>
      </c>
      <c r="D2606" s="3">
        <v>54648</v>
      </c>
      <c r="E2606" s="3">
        <v>54648</v>
      </c>
      <c r="F2606" s="2" t="s">
        <v>16</v>
      </c>
      <c r="G2606" s="2" t="s">
        <v>11575</v>
      </c>
      <c r="H2606" s="3">
        <v>0</v>
      </c>
      <c r="I2606" s="2" t="s">
        <v>409</v>
      </c>
      <c r="J2606" s="2" t="s">
        <v>11576</v>
      </c>
      <c r="K2606" s="2" t="s">
        <v>16</v>
      </c>
      <c r="L2606" s="2" t="s">
        <v>11577</v>
      </c>
      <c r="M2606" s="4">
        <v>12046.09</v>
      </c>
      <c r="N2606" t="b">
        <f>OR(LEFT(B2606,3)="frg",(_xlfn.XMATCH(B2606,ZZZ_Part_Id_[[#All],[FGCODE]])))</f>
        <v>1</v>
      </c>
    </row>
    <row r="2607" spans="1:14" x14ac:dyDescent="0.3">
      <c r="A2607" s="2" t="s">
        <v>11573</v>
      </c>
      <c r="B2607" s="2" t="s">
        <v>65</v>
      </c>
      <c r="C2607" s="2" t="s">
        <v>11578</v>
      </c>
      <c r="D2607" s="5">
        <v>-507</v>
      </c>
      <c r="E2607" s="5">
        <v>-507</v>
      </c>
      <c r="F2607" s="2" t="s">
        <v>23</v>
      </c>
      <c r="G2607" s="2" t="s">
        <v>11579</v>
      </c>
      <c r="H2607" s="3">
        <v>0</v>
      </c>
      <c r="I2607" s="2" t="s">
        <v>409</v>
      </c>
      <c r="J2607" s="2" t="s">
        <v>11580</v>
      </c>
      <c r="K2607" s="2" t="s">
        <v>23</v>
      </c>
      <c r="L2607" s="2" t="s">
        <v>11581</v>
      </c>
      <c r="M2607" s="6">
        <v>-1303.8</v>
      </c>
      <c r="N2607" t="b">
        <f>OR(LEFT(B2607,3)="frg",(_xlfn.XMATCH(B2607,ZZZ_Part_Id_[[#All],[FGCODE]])))</f>
        <v>1</v>
      </c>
    </row>
    <row r="2608" spans="1:14" x14ac:dyDescent="0.3">
      <c r="A2608" s="2" t="s">
        <v>11573</v>
      </c>
      <c r="B2608" s="2" t="s">
        <v>14</v>
      </c>
      <c r="C2608" s="2" t="s">
        <v>11582</v>
      </c>
      <c r="D2608" s="3">
        <v>8</v>
      </c>
      <c r="E2608" s="3">
        <v>8</v>
      </c>
      <c r="F2608" s="2" t="s">
        <v>16</v>
      </c>
      <c r="G2608" s="2" t="s">
        <v>11583</v>
      </c>
      <c r="H2608" s="3">
        <v>0</v>
      </c>
      <c r="I2608" s="2" t="s">
        <v>409</v>
      </c>
      <c r="J2608" s="2" t="s">
        <v>11584</v>
      </c>
      <c r="K2608" s="2" t="s">
        <v>16</v>
      </c>
      <c r="L2608" s="2" t="s">
        <v>11585</v>
      </c>
      <c r="M2608" s="4">
        <v>0.62</v>
      </c>
      <c r="N2608" t="e">
        <f>OR(LEFT(B2608,3)="frg",(_xlfn.XMATCH(B2608,ZZZ_Part_Id_[[#All],[FGCODE]])))</f>
        <v>#N/A</v>
      </c>
    </row>
    <row r="2609" spans="1:14" x14ac:dyDescent="0.3">
      <c r="A2609" s="2" t="s">
        <v>11573</v>
      </c>
      <c r="B2609" s="2" t="s">
        <v>140</v>
      </c>
      <c r="C2609" s="2" t="s">
        <v>11586</v>
      </c>
      <c r="D2609" s="3">
        <v>0.32</v>
      </c>
      <c r="E2609" s="3">
        <v>0.32</v>
      </c>
      <c r="F2609" s="2" t="s">
        <v>16</v>
      </c>
      <c r="G2609" s="2" t="s">
        <v>11587</v>
      </c>
      <c r="H2609" s="3">
        <v>0</v>
      </c>
      <c r="I2609" s="2" t="s">
        <v>409</v>
      </c>
      <c r="J2609" s="2" t="s">
        <v>11588</v>
      </c>
      <c r="K2609" s="2" t="s">
        <v>16</v>
      </c>
      <c r="L2609" s="2" t="s">
        <v>11589</v>
      </c>
      <c r="M2609" s="4">
        <v>0.7</v>
      </c>
      <c r="N2609" t="e">
        <f>OR(LEFT(B2609,3)="frg",(_xlfn.XMATCH(B2609,ZZZ_Part_Id_[[#All],[FGCODE]])))</f>
        <v>#N/A</v>
      </c>
    </row>
    <row r="2610" spans="1:14" x14ac:dyDescent="0.3">
      <c r="A2610" s="2" t="s">
        <v>11573</v>
      </c>
      <c r="B2610" s="2" t="s">
        <v>192</v>
      </c>
      <c r="C2610" s="2" t="s">
        <v>11590</v>
      </c>
      <c r="D2610" s="3">
        <v>0.08</v>
      </c>
      <c r="E2610" s="3">
        <v>0.08</v>
      </c>
      <c r="F2610" s="2" t="s">
        <v>194</v>
      </c>
      <c r="G2610" s="2" t="s">
        <v>11591</v>
      </c>
      <c r="H2610" s="3">
        <v>0</v>
      </c>
      <c r="I2610" s="2" t="s">
        <v>409</v>
      </c>
      <c r="J2610" s="2" t="s">
        <v>11592</v>
      </c>
      <c r="K2610" s="2" t="s">
        <v>194</v>
      </c>
      <c r="L2610" s="2" t="s">
        <v>11593</v>
      </c>
      <c r="M2610" s="4">
        <v>0.41</v>
      </c>
      <c r="N2610" t="e">
        <f>OR(LEFT(B2610,3)="frg",(_xlfn.XMATCH(B2610,ZZZ_Part_Id_[[#All],[FGCODE]])))</f>
        <v>#N/A</v>
      </c>
    </row>
    <row r="2611" spans="1:14" x14ac:dyDescent="0.3">
      <c r="A2611" s="2" t="s">
        <v>11573</v>
      </c>
      <c r="B2611" s="2" t="s">
        <v>145</v>
      </c>
      <c r="C2611" s="2" t="s">
        <v>11594</v>
      </c>
      <c r="D2611" s="3">
        <v>3.2000000000000001E-2</v>
      </c>
      <c r="E2611" s="3">
        <v>3.2000000000000001E-2</v>
      </c>
      <c r="F2611" s="2" t="s">
        <v>147</v>
      </c>
      <c r="G2611" s="2" t="s">
        <v>11595</v>
      </c>
      <c r="H2611" s="3">
        <v>0</v>
      </c>
      <c r="I2611" s="2" t="s">
        <v>409</v>
      </c>
      <c r="J2611" s="2" t="s">
        <v>11596</v>
      </c>
      <c r="K2611" s="2" t="s">
        <v>147</v>
      </c>
      <c r="L2611" s="2" t="s">
        <v>11597</v>
      </c>
      <c r="M2611" s="4">
        <v>5.01</v>
      </c>
      <c r="N2611" t="e">
        <f>OR(LEFT(B2611,3)="frg",(_xlfn.XMATCH(B2611,ZZZ_Part_Id_[[#All],[FGCODE]])))</f>
        <v>#N/A</v>
      </c>
    </row>
    <row r="2612" spans="1:14" x14ac:dyDescent="0.3">
      <c r="A2612" s="2" t="s">
        <v>11598</v>
      </c>
      <c r="B2612" s="2" t="s">
        <v>11241</v>
      </c>
      <c r="C2612" s="2" t="s">
        <v>11599</v>
      </c>
      <c r="D2612" s="3">
        <v>50760</v>
      </c>
      <c r="E2612" s="3">
        <v>50760</v>
      </c>
      <c r="F2612" s="2" t="s">
        <v>16</v>
      </c>
      <c r="G2612" s="2" t="s">
        <v>11600</v>
      </c>
      <c r="H2612" s="3">
        <v>0</v>
      </c>
      <c r="I2612" s="2" t="s">
        <v>409</v>
      </c>
      <c r="J2612" s="2" t="s">
        <v>11601</v>
      </c>
      <c r="K2612" s="2" t="s">
        <v>16</v>
      </c>
      <c r="L2612" s="2" t="s">
        <v>11602</v>
      </c>
      <c r="M2612" s="4">
        <v>3136.96</v>
      </c>
      <c r="N2612" t="b">
        <f>OR(LEFT(B2612,3)="frg",(_xlfn.XMATCH(B2612,ZZZ_Part_Id_[[#All],[FGCODE]])))</f>
        <v>1</v>
      </c>
    </row>
    <row r="2613" spans="1:14" x14ac:dyDescent="0.3">
      <c r="A2613" s="2" t="s">
        <v>11598</v>
      </c>
      <c r="B2613" s="2" t="s">
        <v>14</v>
      </c>
      <c r="C2613" s="2" t="s">
        <v>11603</v>
      </c>
      <c r="D2613" s="3">
        <v>2</v>
      </c>
      <c r="E2613" s="3">
        <v>2</v>
      </c>
      <c r="F2613" s="2" t="s">
        <v>16</v>
      </c>
      <c r="G2613" s="2" t="s">
        <v>11604</v>
      </c>
      <c r="H2613" s="3">
        <v>0</v>
      </c>
      <c r="I2613" s="2" t="s">
        <v>409</v>
      </c>
      <c r="J2613" s="2" t="s">
        <v>11605</v>
      </c>
      <c r="K2613" s="2" t="s">
        <v>16</v>
      </c>
      <c r="L2613" s="2" t="s">
        <v>11606</v>
      </c>
      <c r="M2613" s="4">
        <v>0.15</v>
      </c>
      <c r="N2613" t="e">
        <f>OR(LEFT(B2613,3)="frg",(_xlfn.XMATCH(B2613,ZZZ_Part_Id_[[#All],[FGCODE]])))</f>
        <v>#N/A</v>
      </c>
    </row>
    <row r="2614" spans="1:14" x14ac:dyDescent="0.3">
      <c r="A2614" s="2" t="s">
        <v>11598</v>
      </c>
      <c r="B2614" s="2" t="s">
        <v>140</v>
      </c>
      <c r="C2614" s="2" t="s">
        <v>11607</v>
      </c>
      <c r="D2614" s="3">
        <v>0.08</v>
      </c>
      <c r="E2614" s="3">
        <v>0.08</v>
      </c>
      <c r="F2614" s="2" t="s">
        <v>16</v>
      </c>
      <c r="G2614" s="2" t="s">
        <v>11608</v>
      </c>
      <c r="H2614" s="3">
        <v>0</v>
      </c>
      <c r="I2614" s="2" t="s">
        <v>409</v>
      </c>
      <c r="J2614" s="2" t="s">
        <v>11609</v>
      </c>
      <c r="K2614" s="2" t="s">
        <v>16</v>
      </c>
      <c r="L2614" s="2" t="s">
        <v>11610</v>
      </c>
      <c r="M2614" s="4">
        <v>0.18</v>
      </c>
      <c r="N2614" t="e">
        <f>OR(LEFT(B2614,3)="frg",(_xlfn.XMATCH(B2614,ZZZ_Part_Id_[[#All],[FGCODE]])))</f>
        <v>#N/A</v>
      </c>
    </row>
    <row r="2615" spans="1:14" x14ac:dyDescent="0.3">
      <c r="A2615" s="2" t="s">
        <v>11598</v>
      </c>
      <c r="B2615" s="2" t="s">
        <v>192</v>
      </c>
      <c r="C2615" s="2" t="s">
        <v>11611</v>
      </c>
      <c r="D2615" s="3">
        <v>0.02</v>
      </c>
      <c r="E2615" s="3">
        <v>0.02</v>
      </c>
      <c r="F2615" s="2" t="s">
        <v>194</v>
      </c>
      <c r="G2615" s="2" t="s">
        <v>11612</v>
      </c>
      <c r="H2615" s="3">
        <v>0</v>
      </c>
      <c r="I2615" s="2" t="s">
        <v>409</v>
      </c>
      <c r="J2615" s="2" t="s">
        <v>11613</v>
      </c>
      <c r="K2615" s="2" t="s">
        <v>194</v>
      </c>
      <c r="L2615" s="2" t="s">
        <v>11614</v>
      </c>
      <c r="M2615" s="4">
        <v>0.1</v>
      </c>
      <c r="N2615" t="e">
        <f>OR(LEFT(B2615,3)="frg",(_xlfn.XMATCH(B2615,ZZZ_Part_Id_[[#All],[FGCODE]])))</f>
        <v>#N/A</v>
      </c>
    </row>
    <row r="2616" spans="1:14" x14ac:dyDescent="0.3">
      <c r="A2616" s="2" t="s">
        <v>11598</v>
      </c>
      <c r="B2616" s="2" t="s">
        <v>145</v>
      </c>
      <c r="C2616" s="2" t="s">
        <v>11615</v>
      </c>
      <c r="D2616" s="3">
        <v>8.0000000000000002E-3</v>
      </c>
      <c r="E2616" s="3">
        <v>8.0000000000000002E-3</v>
      </c>
      <c r="F2616" s="2" t="s">
        <v>147</v>
      </c>
      <c r="G2616" s="2" t="s">
        <v>11616</v>
      </c>
      <c r="H2616" s="3">
        <v>0</v>
      </c>
      <c r="I2616" s="2" t="s">
        <v>409</v>
      </c>
      <c r="J2616" s="2" t="s">
        <v>11617</v>
      </c>
      <c r="K2616" s="2" t="s">
        <v>147</v>
      </c>
      <c r="L2616" s="2" t="s">
        <v>11618</v>
      </c>
      <c r="M2616" s="4">
        <v>1.25</v>
      </c>
      <c r="N2616" t="e">
        <f>OR(LEFT(B2616,3)="frg",(_xlfn.XMATCH(B2616,ZZZ_Part_Id_[[#All],[FGCODE]])))</f>
        <v>#N/A</v>
      </c>
    </row>
    <row r="2617" spans="1:14" x14ac:dyDescent="0.3">
      <c r="A2617" s="2" t="s">
        <v>11598</v>
      </c>
      <c r="B2617" s="2" t="s">
        <v>37</v>
      </c>
      <c r="C2617" s="2" t="s">
        <v>11619</v>
      </c>
      <c r="D2617" s="3">
        <v>2</v>
      </c>
      <c r="E2617" s="3">
        <v>2</v>
      </c>
      <c r="F2617" s="2" t="s">
        <v>16</v>
      </c>
      <c r="G2617" s="2" t="s">
        <v>11620</v>
      </c>
      <c r="H2617" s="3">
        <v>0</v>
      </c>
      <c r="I2617" s="2" t="s">
        <v>409</v>
      </c>
      <c r="J2617" s="2" t="s">
        <v>11621</v>
      </c>
      <c r="K2617" s="2" t="s">
        <v>16</v>
      </c>
      <c r="L2617" s="2" t="s">
        <v>11622</v>
      </c>
      <c r="M2617" s="4">
        <v>32</v>
      </c>
      <c r="N2617" t="e">
        <f>OR(LEFT(B2617,3)="frg",(_xlfn.XMATCH(B2617,ZZZ_Part_Id_[[#All],[FGCODE]])))</f>
        <v>#N/A</v>
      </c>
    </row>
    <row r="2618" spans="1:14" x14ac:dyDescent="0.3">
      <c r="A2618" s="2" t="s">
        <v>11623</v>
      </c>
      <c r="B2618" s="2" t="s">
        <v>11210</v>
      </c>
      <c r="C2618" s="2" t="s">
        <v>11624</v>
      </c>
      <c r="D2618" s="3">
        <v>30240</v>
      </c>
      <c r="E2618" s="3">
        <v>30240</v>
      </c>
      <c r="F2618" s="2" t="s">
        <v>16</v>
      </c>
      <c r="G2618" s="2" t="s">
        <v>11625</v>
      </c>
      <c r="H2618" s="3">
        <v>0</v>
      </c>
      <c r="I2618" s="2" t="s">
        <v>409</v>
      </c>
      <c r="J2618" s="2" t="s">
        <v>11626</v>
      </c>
      <c r="K2618" s="2" t="s">
        <v>16</v>
      </c>
      <c r="L2618" s="2" t="s">
        <v>11627</v>
      </c>
      <c r="M2618" s="4">
        <v>5262.96</v>
      </c>
      <c r="N2618" t="b">
        <f>OR(LEFT(B2618,3)="frg",(_xlfn.XMATCH(B2618,ZZZ_Part_Id_[[#All],[FGCODE]])))</f>
        <v>1</v>
      </c>
    </row>
    <row r="2619" spans="1:14" x14ac:dyDescent="0.3">
      <c r="A2619" s="2" t="s">
        <v>11623</v>
      </c>
      <c r="B2619" s="2" t="s">
        <v>14</v>
      </c>
      <c r="C2619" s="2" t="s">
        <v>11628</v>
      </c>
      <c r="D2619" s="3">
        <v>3</v>
      </c>
      <c r="E2619" s="3">
        <v>3</v>
      </c>
      <c r="F2619" s="2" t="s">
        <v>16</v>
      </c>
      <c r="G2619" s="2" t="s">
        <v>11629</v>
      </c>
      <c r="H2619" s="3">
        <v>0</v>
      </c>
      <c r="I2619" s="2" t="s">
        <v>409</v>
      </c>
      <c r="J2619" s="2" t="s">
        <v>11630</v>
      </c>
      <c r="K2619" s="2" t="s">
        <v>16</v>
      </c>
      <c r="L2619" s="2" t="s">
        <v>11631</v>
      </c>
      <c r="M2619" s="4">
        <v>0.23</v>
      </c>
      <c r="N2619" t="e">
        <f>OR(LEFT(B2619,3)="frg",(_xlfn.XMATCH(B2619,ZZZ_Part_Id_[[#All],[FGCODE]])))</f>
        <v>#N/A</v>
      </c>
    </row>
    <row r="2620" spans="1:14" x14ac:dyDescent="0.3">
      <c r="A2620" s="2" t="s">
        <v>11623</v>
      </c>
      <c r="B2620" s="2" t="s">
        <v>140</v>
      </c>
      <c r="C2620" s="2" t="s">
        <v>11632</v>
      </c>
      <c r="D2620" s="3">
        <v>0.12</v>
      </c>
      <c r="E2620" s="3">
        <v>0.12</v>
      </c>
      <c r="F2620" s="2" t="s">
        <v>16</v>
      </c>
      <c r="G2620" s="2" t="s">
        <v>11633</v>
      </c>
      <c r="H2620" s="3">
        <v>0</v>
      </c>
      <c r="I2620" s="2" t="s">
        <v>409</v>
      </c>
      <c r="J2620" s="2" t="s">
        <v>11634</v>
      </c>
      <c r="K2620" s="2" t="s">
        <v>16</v>
      </c>
      <c r="L2620" s="2" t="s">
        <v>11635</v>
      </c>
      <c r="M2620" s="4">
        <v>0.26</v>
      </c>
      <c r="N2620" t="e">
        <f>OR(LEFT(B2620,3)="frg",(_xlfn.XMATCH(B2620,ZZZ_Part_Id_[[#All],[FGCODE]])))</f>
        <v>#N/A</v>
      </c>
    </row>
    <row r="2621" spans="1:14" x14ac:dyDescent="0.3">
      <c r="A2621" s="2" t="s">
        <v>11623</v>
      </c>
      <c r="B2621" s="2" t="s">
        <v>192</v>
      </c>
      <c r="C2621" s="2" t="s">
        <v>11636</v>
      </c>
      <c r="D2621" s="3">
        <v>0.03</v>
      </c>
      <c r="E2621" s="3">
        <v>0.03</v>
      </c>
      <c r="F2621" s="2" t="s">
        <v>194</v>
      </c>
      <c r="G2621" s="2" t="s">
        <v>11637</v>
      </c>
      <c r="H2621" s="3">
        <v>0</v>
      </c>
      <c r="I2621" s="2" t="s">
        <v>409</v>
      </c>
      <c r="J2621" s="2" t="s">
        <v>11638</v>
      </c>
      <c r="K2621" s="2" t="s">
        <v>194</v>
      </c>
      <c r="L2621" s="2" t="s">
        <v>11639</v>
      </c>
      <c r="M2621" s="4">
        <v>0.15</v>
      </c>
      <c r="N2621" t="e">
        <f>OR(LEFT(B2621,3)="frg",(_xlfn.XMATCH(B2621,ZZZ_Part_Id_[[#All],[FGCODE]])))</f>
        <v>#N/A</v>
      </c>
    </row>
    <row r="2622" spans="1:14" x14ac:dyDescent="0.3">
      <c r="A2622" s="2" t="s">
        <v>11623</v>
      </c>
      <c r="B2622" s="2" t="s">
        <v>145</v>
      </c>
      <c r="C2622" s="2" t="s">
        <v>11640</v>
      </c>
      <c r="D2622" s="3">
        <v>1.2E-2</v>
      </c>
      <c r="E2622" s="3">
        <v>1.2E-2</v>
      </c>
      <c r="F2622" s="2" t="s">
        <v>147</v>
      </c>
      <c r="G2622" s="2" t="s">
        <v>11641</v>
      </c>
      <c r="H2622" s="3">
        <v>0</v>
      </c>
      <c r="I2622" s="2" t="s">
        <v>409</v>
      </c>
      <c r="J2622" s="2" t="s">
        <v>11642</v>
      </c>
      <c r="K2622" s="2" t="s">
        <v>147</v>
      </c>
      <c r="L2622" s="2" t="s">
        <v>11643</v>
      </c>
      <c r="M2622" s="4">
        <v>1.88</v>
      </c>
      <c r="N2622" t="e">
        <f>OR(LEFT(B2622,3)="frg",(_xlfn.XMATCH(B2622,ZZZ_Part_Id_[[#All],[FGCODE]])))</f>
        <v>#N/A</v>
      </c>
    </row>
    <row r="2623" spans="1:14" x14ac:dyDescent="0.3">
      <c r="A2623" s="2" t="s">
        <v>11644</v>
      </c>
      <c r="B2623" s="2" t="s">
        <v>2934</v>
      </c>
      <c r="C2623" s="2" t="s">
        <v>11645</v>
      </c>
      <c r="D2623" s="3">
        <v>90288</v>
      </c>
      <c r="E2623" s="3">
        <v>90288</v>
      </c>
      <c r="F2623" s="2" t="s">
        <v>16</v>
      </c>
      <c r="G2623" s="2" t="s">
        <v>11646</v>
      </c>
      <c r="H2623" s="3">
        <v>0</v>
      </c>
      <c r="I2623" s="2" t="s">
        <v>409</v>
      </c>
      <c r="J2623" s="2" t="s">
        <v>11647</v>
      </c>
      <c r="K2623" s="2" t="s">
        <v>16</v>
      </c>
      <c r="L2623" s="2" t="s">
        <v>11648</v>
      </c>
      <c r="M2623" s="4">
        <v>11226.38</v>
      </c>
      <c r="N2623" t="b">
        <f>OR(LEFT(B2623,3)="frg",(_xlfn.XMATCH(B2623,ZZZ_Part_Id_[[#All],[FGCODE]])))</f>
        <v>1</v>
      </c>
    </row>
    <row r="2624" spans="1:14" x14ac:dyDescent="0.3">
      <c r="A2624" s="2" t="s">
        <v>11644</v>
      </c>
      <c r="B2624" s="2" t="s">
        <v>65</v>
      </c>
      <c r="C2624" s="2" t="s">
        <v>11649</v>
      </c>
      <c r="D2624" s="5">
        <v>-441</v>
      </c>
      <c r="E2624" s="5">
        <v>-441</v>
      </c>
      <c r="F2624" s="2" t="s">
        <v>23</v>
      </c>
      <c r="G2624" s="2" t="s">
        <v>11650</v>
      </c>
      <c r="H2624" s="3">
        <v>0</v>
      </c>
      <c r="I2624" s="2" t="s">
        <v>409</v>
      </c>
      <c r="J2624" s="2" t="s">
        <v>11651</v>
      </c>
      <c r="K2624" s="2" t="s">
        <v>23</v>
      </c>
      <c r="L2624" s="2" t="s">
        <v>11652</v>
      </c>
      <c r="M2624" s="6">
        <v>-1134.08</v>
      </c>
      <c r="N2624" t="b">
        <f>OR(LEFT(B2624,3)="frg",(_xlfn.XMATCH(B2624,ZZZ_Part_Id_[[#All],[FGCODE]])))</f>
        <v>1</v>
      </c>
    </row>
    <row r="2625" spans="1:14" x14ac:dyDescent="0.3">
      <c r="A2625" s="2" t="s">
        <v>11644</v>
      </c>
      <c r="B2625" s="2" t="s">
        <v>14</v>
      </c>
      <c r="C2625" s="2" t="s">
        <v>11653</v>
      </c>
      <c r="D2625" s="3">
        <v>8</v>
      </c>
      <c r="E2625" s="3">
        <v>8</v>
      </c>
      <c r="F2625" s="2" t="s">
        <v>16</v>
      </c>
      <c r="G2625" s="2" t="s">
        <v>11654</v>
      </c>
      <c r="H2625" s="3">
        <v>0</v>
      </c>
      <c r="I2625" s="2" t="s">
        <v>409</v>
      </c>
      <c r="J2625" s="2" t="s">
        <v>11655</v>
      </c>
      <c r="K2625" s="2" t="s">
        <v>16</v>
      </c>
      <c r="L2625" s="2" t="s">
        <v>11656</v>
      </c>
      <c r="M2625" s="4">
        <v>0.62</v>
      </c>
      <c r="N2625" t="e">
        <f>OR(LEFT(B2625,3)="frg",(_xlfn.XMATCH(B2625,ZZZ_Part_Id_[[#All],[FGCODE]])))</f>
        <v>#N/A</v>
      </c>
    </row>
    <row r="2626" spans="1:14" x14ac:dyDescent="0.3">
      <c r="A2626" s="2" t="s">
        <v>11644</v>
      </c>
      <c r="B2626" s="2" t="s">
        <v>140</v>
      </c>
      <c r="C2626" s="2" t="s">
        <v>11657</v>
      </c>
      <c r="D2626" s="3">
        <v>0.32</v>
      </c>
      <c r="E2626" s="3">
        <v>0.32</v>
      </c>
      <c r="F2626" s="2" t="s">
        <v>16</v>
      </c>
      <c r="G2626" s="2" t="s">
        <v>11658</v>
      </c>
      <c r="H2626" s="3">
        <v>0</v>
      </c>
      <c r="I2626" s="2" t="s">
        <v>409</v>
      </c>
      <c r="J2626" s="2" t="s">
        <v>11659</v>
      </c>
      <c r="K2626" s="2" t="s">
        <v>16</v>
      </c>
      <c r="L2626" s="2" t="s">
        <v>11660</v>
      </c>
      <c r="M2626" s="4">
        <v>0.7</v>
      </c>
      <c r="N2626" t="e">
        <f>OR(LEFT(B2626,3)="frg",(_xlfn.XMATCH(B2626,ZZZ_Part_Id_[[#All],[FGCODE]])))</f>
        <v>#N/A</v>
      </c>
    </row>
    <row r="2627" spans="1:14" x14ac:dyDescent="0.3">
      <c r="A2627" s="2" t="s">
        <v>11644</v>
      </c>
      <c r="B2627" s="2" t="s">
        <v>192</v>
      </c>
      <c r="C2627" s="2" t="s">
        <v>11661</v>
      </c>
      <c r="D2627" s="3">
        <v>0.08</v>
      </c>
      <c r="E2627" s="3">
        <v>0.08</v>
      </c>
      <c r="F2627" s="2" t="s">
        <v>194</v>
      </c>
      <c r="G2627" s="2" t="s">
        <v>11662</v>
      </c>
      <c r="H2627" s="3">
        <v>0</v>
      </c>
      <c r="I2627" s="2" t="s">
        <v>409</v>
      </c>
      <c r="J2627" s="2" t="s">
        <v>11663</v>
      </c>
      <c r="K2627" s="2" t="s">
        <v>194</v>
      </c>
      <c r="L2627" s="2" t="s">
        <v>11664</v>
      </c>
      <c r="M2627" s="4">
        <v>0.41</v>
      </c>
      <c r="N2627" t="e">
        <f>OR(LEFT(B2627,3)="frg",(_xlfn.XMATCH(B2627,ZZZ_Part_Id_[[#All],[FGCODE]])))</f>
        <v>#N/A</v>
      </c>
    </row>
    <row r="2628" spans="1:14" x14ac:dyDescent="0.3">
      <c r="A2628" s="2" t="s">
        <v>11644</v>
      </c>
      <c r="B2628" s="2" t="s">
        <v>145</v>
      </c>
      <c r="C2628" s="2" t="s">
        <v>11665</v>
      </c>
      <c r="D2628" s="3">
        <v>3.2000000000000001E-2</v>
      </c>
      <c r="E2628" s="3">
        <v>3.2000000000000001E-2</v>
      </c>
      <c r="F2628" s="2" t="s">
        <v>147</v>
      </c>
      <c r="G2628" s="2" t="s">
        <v>11666</v>
      </c>
      <c r="H2628" s="3">
        <v>0</v>
      </c>
      <c r="I2628" s="2" t="s">
        <v>409</v>
      </c>
      <c r="J2628" s="2" t="s">
        <v>11667</v>
      </c>
      <c r="K2628" s="2" t="s">
        <v>147</v>
      </c>
      <c r="L2628" s="2" t="s">
        <v>11668</v>
      </c>
      <c r="M2628" s="4">
        <v>5.01</v>
      </c>
      <c r="N2628" t="e">
        <f>OR(LEFT(B2628,3)="frg",(_xlfn.XMATCH(B2628,ZZZ_Part_Id_[[#All],[FGCODE]])))</f>
        <v>#N/A</v>
      </c>
    </row>
    <row r="2629" spans="1:14" x14ac:dyDescent="0.3">
      <c r="A2629" s="2" t="s">
        <v>11669</v>
      </c>
      <c r="B2629" s="2" t="s">
        <v>1027</v>
      </c>
      <c r="C2629" s="2" t="s">
        <v>11670</v>
      </c>
      <c r="D2629" s="3">
        <v>509760</v>
      </c>
      <c r="E2629" s="3">
        <v>509760</v>
      </c>
      <c r="F2629" s="2" t="s">
        <v>16</v>
      </c>
      <c r="G2629" s="2" t="s">
        <v>11671</v>
      </c>
      <c r="H2629" s="3">
        <v>0</v>
      </c>
      <c r="I2629" s="2" t="s">
        <v>409</v>
      </c>
      <c r="J2629" s="2" t="s">
        <v>11672</v>
      </c>
      <c r="K2629" s="2" t="s">
        <v>16</v>
      </c>
      <c r="L2629" s="2" t="s">
        <v>11673</v>
      </c>
      <c r="M2629" s="4">
        <v>102629.78</v>
      </c>
      <c r="N2629" t="b">
        <f>OR(LEFT(B2629,3)="frg",(_xlfn.XMATCH(B2629,ZZZ_Part_Id_[[#All],[FGCODE]])))</f>
        <v>1</v>
      </c>
    </row>
    <row r="2630" spans="1:14" x14ac:dyDescent="0.3">
      <c r="A2630" s="2" t="s">
        <v>11674</v>
      </c>
      <c r="B2630" s="2" t="s">
        <v>9405</v>
      </c>
      <c r="C2630" s="2" t="s">
        <v>11675</v>
      </c>
      <c r="D2630" s="3">
        <v>1218240</v>
      </c>
      <c r="E2630" s="3">
        <v>1218240</v>
      </c>
      <c r="F2630" s="2" t="s">
        <v>16</v>
      </c>
      <c r="G2630" s="2" t="s">
        <v>11676</v>
      </c>
      <c r="H2630" s="3">
        <v>0</v>
      </c>
      <c r="I2630" s="2" t="s">
        <v>409</v>
      </c>
      <c r="J2630" s="2" t="s">
        <v>11677</v>
      </c>
      <c r="K2630" s="2" t="s">
        <v>16</v>
      </c>
      <c r="L2630" s="2" t="s">
        <v>11678</v>
      </c>
      <c r="M2630" s="4">
        <v>78588.479999999996</v>
      </c>
      <c r="N2630" t="b">
        <f>OR(LEFT(B2630,3)="frg",(_xlfn.XMATCH(B2630,ZZZ_Part_Id_[[#All],[FGCODE]])))</f>
        <v>1</v>
      </c>
    </row>
    <row r="2631" spans="1:14" x14ac:dyDescent="0.3">
      <c r="A2631" s="2" t="s">
        <v>11679</v>
      </c>
      <c r="B2631" s="2" t="s">
        <v>4791</v>
      </c>
      <c r="C2631" s="2" t="s">
        <v>11680</v>
      </c>
      <c r="D2631" s="3">
        <v>635904</v>
      </c>
      <c r="E2631" s="3">
        <v>635904</v>
      </c>
      <c r="F2631" s="2" t="s">
        <v>16</v>
      </c>
      <c r="G2631" s="2" t="s">
        <v>11681</v>
      </c>
      <c r="H2631" s="3">
        <v>0</v>
      </c>
      <c r="I2631" s="2" t="s">
        <v>409</v>
      </c>
      <c r="J2631" s="2" t="s">
        <v>11682</v>
      </c>
      <c r="K2631" s="2" t="s">
        <v>16</v>
      </c>
      <c r="L2631" s="2" t="s">
        <v>11683</v>
      </c>
      <c r="M2631" s="4">
        <v>186739.20000000001</v>
      </c>
      <c r="N2631" t="b">
        <f>OR(LEFT(B2631,3)="frg",(_xlfn.XMATCH(B2631,ZZZ_Part_Id_[[#All],[FGCODE]])))</f>
        <v>1</v>
      </c>
    </row>
    <row r="2632" spans="1:14" x14ac:dyDescent="0.3">
      <c r="A2632" s="2" t="s">
        <v>11684</v>
      </c>
      <c r="B2632" s="2" t="s">
        <v>14</v>
      </c>
      <c r="C2632" s="2" t="s">
        <v>11685</v>
      </c>
      <c r="D2632" s="3">
        <v>40</v>
      </c>
      <c r="E2632" s="3">
        <v>40</v>
      </c>
      <c r="F2632" s="2" t="s">
        <v>16</v>
      </c>
      <c r="G2632" s="2" t="s">
        <v>11686</v>
      </c>
      <c r="H2632" s="3">
        <v>0</v>
      </c>
      <c r="I2632" s="2" t="s">
        <v>409</v>
      </c>
      <c r="J2632" s="2" t="s">
        <v>11687</v>
      </c>
      <c r="K2632" s="2" t="s">
        <v>16</v>
      </c>
      <c r="L2632" s="2" t="s">
        <v>11688</v>
      </c>
      <c r="M2632" s="4">
        <v>3.08</v>
      </c>
      <c r="N2632" t="e">
        <f>OR(LEFT(B2632,3)="frg",(_xlfn.XMATCH(B2632,ZZZ_Part_Id_[[#All],[FGCODE]])))</f>
        <v>#N/A</v>
      </c>
    </row>
    <row r="2633" spans="1:14" x14ac:dyDescent="0.3">
      <c r="A2633" s="2" t="s">
        <v>11684</v>
      </c>
      <c r="B2633" s="2" t="s">
        <v>140</v>
      </c>
      <c r="C2633" s="2" t="s">
        <v>11689</v>
      </c>
      <c r="D2633" s="3">
        <v>2</v>
      </c>
      <c r="E2633" s="3">
        <v>2</v>
      </c>
      <c r="F2633" s="2" t="s">
        <v>16</v>
      </c>
      <c r="G2633" s="2" t="s">
        <v>11690</v>
      </c>
      <c r="H2633" s="3">
        <v>0</v>
      </c>
      <c r="I2633" s="2" t="s">
        <v>409</v>
      </c>
      <c r="J2633" s="2" t="s">
        <v>11691</v>
      </c>
      <c r="K2633" s="2" t="s">
        <v>16</v>
      </c>
      <c r="L2633" s="2" t="s">
        <v>11692</v>
      </c>
      <c r="M2633" s="4">
        <v>4.3899999999999997</v>
      </c>
      <c r="N2633" t="e">
        <f>OR(LEFT(B2633,3)="frg",(_xlfn.XMATCH(B2633,ZZZ_Part_Id_[[#All],[FGCODE]])))</f>
        <v>#N/A</v>
      </c>
    </row>
    <row r="2634" spans="1:14" x14ac:dyDescent="0.3">
      <c r="A2634" s="2" t="s">
        <v>11684</v>
      </c>
      <c r="B2634" s="2" t="s">
        <v>187</v>
      </c>
      <c r="C2634" s="2" t="s">
        <v>11693</v>
      </c>
      <c r="D2634" s="3">
        <v>40</v>
      </c>
      <c r="E2634" s="3">
        <v>40</v>
      </c>
      <c r="F2634" s="2" t="s">
        <v>16</v>
      </c>
      <c r="G2634" s="2" t="s">
        <v>11694</v>
      </c>
      <c r="H2634" s="3">
        <v>0</v>
      </c>
      <c r="I2634" s="2" t="s">
        <v>409</v>
      </c>
      <c r="J2634" s="2" t="s">
        <v>11695</v>
      </c>
      <c r="K2634" s="2" t="s">
        <v>16</v>
      </c>
      <c r="L2634" s="2" t="s">
        <v>11696</v>
      </c>
      <c r="M2634" s="4">
        <v>177.01</v>
      </c>
      <c r="N2634" t="e">
        <f>OR(LEFT(B2634,3)="frg",(_xlfn.XMATCH(B2634,ZZZ_Part_Id_[[#All],[FGCODE]])))</f>
        <v>#N/A</v>
      </c>
    </row>
    <row r="2635" spans="1:14" x14ac:dyDescent="0.3">
      <c r="A2635" s="2" t="s">
        <v>11684</v>
      </c>
      <c r="B2635" s="2" t="s">
        <v>5357</v>
      </c>
      <c r="C2635" s="2" t="s">
        <v>11697</v>
      </c>
      <c r="D2635" s="3">
        <v>304704</v>
      </c>
      <c r="E2635" s="3">
        <v>304704</v>
      </c>
      <c r="F2635" s="2" t="s">
        <v>16</v>
      </c>
      <c r="G2635" s="2" t="s">
        <v>11698</v>
      </c>
      <c r="H2635" s="3">
        <v>0</v>
      </c>
      <c r="I2635" s="2" t="s">
        <v>409</v>
      </c>
      <c r="J2635" s="2" t="s">
        <v>11699</v>
      </c>
      <c r="K2635" s="2" t="s">
        <v>16</v>
      </c>
      <c r="L2635" s="2" t="s">
        <v>11700</v>
      </c>
      <c r="M2635" s="4">
        <v>90966.38</v>
      </c>
      <c r="N2635" t="b">
        <f>OR(LEFT(B2635,3)="frg",(_xlfn.XMATCH(B2635,ZZZ_Part_Id_[[#All],[FGCODE]])))</f>
        <v>1</v>
      </c>
    </row>
    <row r="2636" spans="1:14" x14ac:dyDescent="0.3">
      <c r="A2636" s="2" t="s">
        <v>11701</v>
      </c>
      <c r="B2636" s="2" t="s">
        <v>187</v>
      </c>
      <c r="C2636" s="2" t="s">
        <v>11702</v>
      </c>
      <c r="D2636" s="3">
        <v>95</v>
      </c>
      <c r="E2636" s="3">
        <v>95</v>
      </c>
      <c r="F2636" s="2" t="s">
        <v>16</v>
      </c>
      <c r="G2636" s="2" t="s">
        <v>11703</v>
      </c>
      <c r="H2636" s="3">
        <v>0</v>
      </c>
      <c r="I2636" s="2" t="s">
        <v>18</v>
      </c>
      <c r="J2636" s="2" t="s">
        <v>11704</v>
      </c>
      <c r="K2636" s="2" t="s">
        <v>16</v>
      </c>
      <c r="L2636" s="2" t="s">
        <v>11705</v>
      </c>
      <c r="M2636" s="4">
        <v>420.4</v>
      </c>
      <c r="N2636" t="e">
        <f>OR(LEFT(B2636,3)="frg",(_xlfn.XMATCH(B2636,ZZZ_Part_Id_[[#All],[FGCODE]])))</f>
        <v>#N/A</v>
      </c>
    </row>
    <row r="2637" spans="1:14" x14ac:dyDescent="0.3">
      <c r="A2637" s="2" t="s">
        <v>11701</v>
      </c>
      <c r="B2637" s="2" t="s">
        <v>740</v>
      </c>
      <c r="C2637" s="2" t="s">
        <v>11706</v>
      </c>
      <c r="D2637" s="3">
        <v>817740</v>
      </c>
      <c r="E2637" s="3">
        <v>817740</v>
      </c>
      <c r="F2637" s="2" t="s">
        <v>16</v>
      </c>
      <c r="G2637" s="2" t="s">
        <v>11707</v>
      </c>
      <c r="H2637" s="3">
        <v>0</v>
      </c>
      <c r="I2637" s="2" t="s">
        <v>18</v>
      </c>
      <c r="J2637" s="2" t="s">
        <v>11708</v>
      </c>
      <c r="K2637" s="2" t="s">
        <v>16</v>
      </c>
      <c r="L2637" s="2" t="s">
        <v>11709</v>
      </c>
      <c r="M2637" s="4">
        <v>162574.72</v>
      </c>
      <c r="N2637" t="b">
        <f>OR(LEFT(B2637,3)="frg",(_xlfn.XMATCH(B2637,ZZZ_Part_Id_[[#All],[FGCODE]])))</f>
        <v>1</v>
      </c>
    </row>
    <row r="2638" spans="1:14" x14ac:dyDescent="0.3">
      <c r="A2638" s="2" t="s">
        <v>11710</v>
      </c>
      <c r="B2638" s="2" t="s">
        <v>308</v>
      </c>
      <c r="C2638" s="2" t="s">
        <v>11711</v>
      </c>
      <c r="D2638" s="3">
        <v>81000</v>
      </c>
      <c r="E2638" s="3">
        <v>81000</v>
      </c>
      <c r="F2638" s="2" t="s">
        <v>16</v>
      </c>
      <c r="G2638" s="2" t="s">
        <v>11712</v>
      </c>
      <c r="H2638" s="3">
        <v>0</v>
      </c>
      <c r="I2638" s="2" t="s">
        <v>18</v>
      </c>
      <c r="J2638" s="2" t="s">
        <v>11713</v>
      </c>
      <c r="K2638" s="2" t="s">
        <v>16</v>
      </c>
      <c r="L2638" s="2" t="s">
        <v>11714</v>
      </c>
      <c r="M2638" s="4">
        <v>4792.7700000000004</v>
      </c>
      <c r="N2638" t="b">
        <f>OR(LEFT(B2638,3)="frg",(_xlfn.XMATCH(B2638,ZZZ_Part_Id_[[#All],[FGCODE]])))</f>
        <v>1</v>
      </c>
    </row>
    <row r="2639" spans="1:14" x14ac:dyDescent="0.3">
      <c r="A2639" s="2" t="s">
        <v>11715</v>
      </c>
      <c r="B2639" s="2" t="s">
        <v>1027</v>
      </c>
      <c r="C2639" s="2" t="s">
        <v>11716</v>
      </c>
      <c r="D2639" s="3">
        <v>21240</v>
      </c>
      <c r="E2639" s="3">
        <v>21240</v>
      </c>
      <c r="F2639" s="2" t="s">
        <v>16</v>
      </c>
      <c r="G2639" s="2" t="s">
        <v>11717</v>
      </c>
      <c r="H2639" s="3">
        <v>0</v>
      </c>
      <c r="I2639" s="2" t="s">
        <v>18</v>
      </c>
      <c r="J2639" s="2" t="s">
        <v>11718</v>
      </c>
      <c r="K2639" s="2" t="s">
        <v>16</v>
      </c>
      <c r="L2639" s="2" t="s">
        <v>11719</v>
      </c>
      <c r="M2639" s="4">
        <v>4276.24</v>
      </c>
      <c r="N2639" t="b">
        <f>OR(LEFT(B2639,3)="frg",(_xlfn.XMATCH(B2639,ZZZ_Part_Id_[[#All],[FGCODE]])))</f>
        <v>1</v>
      </c>
    </row>
    <row r="2640" spans="1:14" x14ac:dyDescent="0.3">
      <c r="A2640" s="2" t="s">
        <v>11720</v>
      </c>
      <c r="B2640" s="2" t="s">
        <v>21</v>
      </c>
      <c r="C2640" s="2" t="s">
        <v>11721</v>
      </c>
      <c r="D2640" s="5">
        <v>-31</v>
      </c>
      <c r="E2640" s="5">
        <v>-31</v>
      </c>
      <c r="F2640" s="2" t="s">
        <v>23</v>
      </c>
      <c r="G2640" s="2" t="s">
        <v>11722</v>
      </c>
      <c r="H2640" s="3">
        <v>0</v>
      </c>
      <c r="I2640" s="2" t="s">
        <v>18</v>
      </c>
      <c r="J2640" s="2" t="s">
        <v>11723</v>
      </c>
      <c r="K2640" s="2" t="s">
        <v>23</v>
      </c>
      <c r="L2640" s="2" t="s">
        <v>11724</v>
      </c>
      <c r="M2640" s="6">
        <v>-73.17</v>
      </c>
      <c r="N2640" t="b">
        <f>OR(LEFT(B2640,3)="frg",(_xlfn.XMATCH(B2640,ZZZ_Part_Id_[[#All],[FGCODE]])))</f>
        <v>1</v>
      </c>
    </row>
    <row r="2641" spans="1:14" x14ac:dyDescent="0.3">
      <c r="A2641" s="2" t="s">
        <v>11720</v>
      </c>
      <c r="B2641" s="2" t="s">
        <v>2168</v>
      </c>
      <c r="C2641" s="2" t="s">
        <v>11725</v>
      </c>
      <c r="D2641" s="3">
        <v>22260</v>
      </c>
      <c r="E2641" s="3">
        <v>22260</v>
      </c>
      <c r="F2641" s="2" t="s">
        <v>16</v>
      </c>
      <c r="G2641" s="2" t="s">
        <v>11726</v>
      </c>
      <c r="H2641" s="3">
        <v>0</v>
      </c>
      <c r="I2641" s="2" t="s">
        <v>18</v>
      </c>
      <c r="J2641" s="2" t="s">
        <v>11727</v>
      </c>
      <c r="K2641" s="2" t="s">
        <v>16</v>
      </c>
      <c r="L2641" s="2" t="s">
        <v>11728</v>
      </c>
      <c r="M2641" s="4">
        <v>4514.99</v>
      </c>
      <c r="N2641" t="b">
        <f>OR(LEFT(B2641,3)="frg",(_xlfn.XMATCH(B2641,ZZZ_Part_Id_[[#All],[FGCODE]])))</f>
        <v>1</v>
      </c>
    </row>
    <row r="2642" spans="1:14" x14ac:dyDescent="0.3">
      <c r="A2642" s="2" t="s">
        <v>11729</v>
      </c>
      <c r="B2642" s="2" t="s">
        <v>103</v>
      </c>
      <c r="C2642" s="2" t="s">
        <v>11730</v>
      </c>
      <c r="D2642" s="3">
        <v>21240</v>
      </c>
      <c r="E2642" s="3">
        <v>21240</v>
      </c>
      <c r="F2642" s="2" t="s">
        <v>16</v>
      </c>
      <c r="G2642" s="2" t="s">
        <v>11731</v>
      </c>
      <c r="H2642" s="3">
        <v>0</v>
      </c>
      <c r="I2642" s="2" t="s">
        <v>18</v>
      </c>
      <c r="J2642" s="2" t="s">
        <v>11732</v>
      </c>
      <c r="K2642" s="2" t="s">
        <v>16</v>
      </c>
      <c r="L2642" s="2" t="s">
        <v>11733</v>
      </c>
      <c r="M2642" s="4">
        <v>4252.88</v>
      </c>
      <c r="N2642" t="b">
        <f>OR(LEFT(B2642,3)="frg",(_xlfn.XMATCH(B2642,ZZZ_Part_Id_[[#All],[FGCODE]])))</f>
        <v>1</v>
      </c>
    </row>
    <row r="2643" spans="1:14" x14ac:dyDescent="0.3">
      <c r="A2643" s="2" t="s">
        <v>11734</v>
      </c>
      <c r="B2643" s="2" t="s">
        <v>37</v>
      </c>
      <c r="C2643" s="2" t="s">
        <v>11735</v>
      </c>
      <c r="D2643" s="3">
        <v>5</v>
      </c>
      <c r="E2643" s="3">
        <v>5</v>
      </c>
      <c r="F2643" s="2" t="s">
        <v>16</v>
      </c>
      <c r="G2643" s="2" t="s">
        <v>11736</v>
      </c>
      <c r="H2643" s="3">
        <v>0</v>
      </c>
      <c r="I2643" s="2" t="s">
        <v>409</v>
      </c>
      <c r="J2643" s="2" t="s">
        <v>11737</v>
      </c>
      <c r="K2643" s="2" t="s">
        <v>16</v>
      </c>
      <c r="L2643" s="2" t="s">
        <v>11738</v>
      </c>
      <c r="M2643" s="4">
        <v>80</v>
      </c>
      <c r="N2643" t="e">
        <f>OR(LEFT(B2643,3)="frg",(_xlfn.XMATCH(B2643,ZZZ_Part_Id_[[#All],[FGCODE]])))</f>
        <v>#N/A</v>
      </c>
    </row>
    <row r="2644" spans="1:14" x14ac:dyDescent="0.3">
      <c r="A2644" s="2" t="s">
        <v>11734</v>
      </c>
      <c r="B2644" s="2" t="s">
        <v>11241</v>
      </c>
      <c r="C2644" s="2" t="s">
        <v>11739</v>
      </c>
      <c r="D2644" s="3">
        <v>126900</v>
      </c>
      <c r="E2644" s="3">
        <v>126900</v>
      </c>
      <c r="F2644" s="2" t="s">
        <v>16</v>
      </c>
      <c r="G2644" s="2" t="s">
        <v>11740</v>
      </c>
      <c r="H2644" s="3">
        <v>0</v>
      </c>
      <c r="I2644" s="2" t="s">
        <v>409</v>
      </c>
      <c r="J2644" s="2" t="s">
        <v>11741</v>
      </c>
      <c r="K2644" s="2" t="s">
        <v>16</v>
      </c>
      <c r="L2644" s="2" t="s">
        <v>11742</v>
      </c>
      <c r="M2644" s="4">
        <v>7842.4</v>
      </c>
      <c r="N2644" t="b">
        <f>OR(LEFT(B2644,3)="frg",(_xlfn.XMATCH(B2644,ZZZ_Part_Id_[[#All],[FGCODE]])))</f>
        <v>1</v>
      </c>
    </row>
    <row r="2645" spans="1:14" x14ac:dyDescent="0.3">
      <c r="A2645" s="2" t="s">
        <v>11743</v>
      </c>
      <c r="B2645" s="2" t="s">
        <v>4791</v>
      </c>
      <c r="C2645" s="2" t="s">
        <v>11744</v>
      </c>
      <c r="D2645" s="3">
        <v>33120</v>
      </c>
      <c r="E2645" s="3">
        <v>33120</v>
      </c>
      <c r="F2645" s="2" t="s">
        <v>16</v>
      </c>
      <c r="G2645" s="2" t="s">
        <v>11745</v>
      </c>
      <c r="H2645" s="3">
        <v>0</v>
      </c>
      <c r="I2645" s="2" t="s">
        <v>18</v>
      </c>
      <c r="J2645" s="2" t="s">
        <v>11746</v>
      </c>
      <c r="K2645" s="2" t="s">
        <v>16</v>
      </c>
      <c r="L2645" s="2" t="s">
        <v>11747</v>
      </c>
      <c r="M2645" s="4">
        <v>9726</v>
      </c>
      <c r="N2645" t="b">
        <f>OR(LEFT(B2645,3)="frg",(_xlfn.XMATCH(B2645,ZZZ_Part_Id_[[#All],[FGCODE]])))</f>
        <v>1</v>
      </c>
    </row>
    <row r="2646" spans="1:14" x14ac:dyDescent="0.3">
      <c r="A2646" s="2" t="s">
        <v>11748</v>
      </c>
      <c r="B2646" s="2" t="s">
        <v>5347</v>
      </c>
      <c r="C2646" s="2" t="s">
        <v>11749</v>
      </c>
      <c r="D2646" s="3">
        <v>6624</v>
      </c>
      <c r="E2646" s="3">
        <v>6624</v>
      </c>
      <c r="F2646" s="2" t="s">
        <v>16</v>
      </c>
      <c r="G2646" s="2" t="s">
        <v>11750</v>
      </c>
      <c r="H2646" s="3">
        <v>0</v>
      </c>
      <c r="I2646" s="2" t="s">
        <v>18</v>
      </c>
      <c r="J2646" s="2" t="s">
        <v>11751</v>
      </c>
      <c r="K2646" s="2" t="s">
        <v>16</v>
      </c>
      <c r="L2646" s="2" t="s">
        <v>11752</v>
      </c>
      <c r="M2646" s="4">
        <v>1945.2</v>
      </c>
      <c r="N2646" t="b">
        <f>OR(LEFT(B2646,3)="frg",(_xlfn.XMATCH(B2646,ZZZ_Part_Id_[[#All],[FGCODE]])))</f>
        <v>1</v>
      </c>
    </row>
    <row r="2647" spans="1:14" x14ac:dyDescent="0.3">
      <c r="A2647" s="2" t="s">
        <v>11753</v>
      </c>
      <c r="B2647" s="2" t="s">
        <v>3759</v>
      </c>
      <c r="C2647" s="2" t="s">
        <v>11754</v>
      </c>
      <c r="D2647" s="3">
        <v>119520</v>
      </c>
      <c r="E2647" s="3">
        <v>119520</v>
      </c>
      <c r="F2647" s="2" t="s">
        <v>16</v>
      </c>
      <c r="G2647" s="2" t="s">
        <v>11755</v>
      </c>
      <c r="H2647" s="3">
        <v>0</v>
      </c>
      <c r="I2647" s="2" t="s">
        <v>409</v>
      </c>
      <c r="J2647" s="2" t="s">
        <v>11756</v>
      </c>
      <c r="K2647" s="2" t="s">
        <v>16</v>
      </c>
      <c r="L2647" s="2" t="s">
        <v>11757</v>
      </c>
      <c r="M2647" s="4">
        <v>6561.64</v>
      </c>
      <c r="N2647" t="b">
        <f>OR(LEFT(B2647,3)="frg",(_xlfn.XMATCH(B2647,ZZZ_Part_Id_[[#All],[FGCODE]])))</f>
        <v>1</v>
      </c>
    </row>
    <row r="2648" spans="1:14" x14ac:dyDescent="0.3">
      <c r="A2648" s="2" t="s">
        <v>11758</v>
      </c>
      <c r="B2648" s="2" t="s">
        <v>797</v>
      </c>
      <c r="C2648" s="2" t="s">
        <v>11759</v>
      </c>
      <c r="D2648" s="3">
        <v>59760</v>
      </c>
      <c r="E2648" s="3">
        <v>59760</v>
      </c>
      <c r="F2648" s="2" t="s">
        <v>16</v>
      </c>
      <c r="G2648" s="2" t="s">
        <v>11760</v>
      </c>
      <c r="H2648" s="3">
        <v>0</v>
      </c>
      <c r="I2648" s="2" t="s">
        <v>409</v>
      </c>
      <c r="J2648" s="2" t="s">
        <v>11761</v>
      </c>
      <c r="K2648" s="2" t="s">
        <v>16</v>
      </c>
      <c r="L2648" s="2" t="s">
        <v>11762</v>
      </c>
      <c r="M2648" s="4">
        <v>3229.44</v>
      </c>
      <c r="N2648" t="b">
        <f>OR(LEFT(B2648,3)="frg",(_xlfn.XMATCH(B2648,ZZZ_Part_Id_[[#All],[FGCODE]])))</f>
        <v>1</v>
      </c>
    </row>
    <row r="2649" spans="1:14" x14ac:dyDescent="0.3">
      <c r="A2649" s="2" t="s">
        <v>11763</v>
      </c>
      <c r="B2649" s="2" t="s">
        <v>14</v>
      </c>
      <c r="C2649" s="2" t="s">
        <v>11764</v>
      </c>
      <c r="D2649" s="3">
        <v>40</v>
      </c>
      <c r="E2649" s="3">
        <v>40</v>
      </c>
      <c r="F2649" s="2" t="s">
        <v>16</v>
      </c>
      <c r="G2649" s="2" t="s">
        <v>11765</v>
      </c>
      <c r="H2649" s="3">
        <v>0</v>
      </c>
      <c r="I2649" s="2" t="s">
        <v>409</v>
      </c>
      <c r="J2649" s="2" t="s">
        <v>11766</v>
      </c>
      <c r="K2649" s="2" t="s">
        <v>16</v>
      </c>
      <c r="L2649" s="2" t="s">
        <v>11767</v>
      </c>
      <c r="M2649" s="4">
        <v>3.08</v>
      </c>
      <c r="N2649" t="e">
        <f>OR(LEFT(B2649,3)="frg",(_xlfn.XMATCH(B2649,ZZZ_Part_Id_[[#All],[FGCODE]])))</f>
        <v>#N/A</v>
      </c>
    </row>
    <row r="2650" spans="1:14" x14ac:dyDescent="0.3">
      <c r="A2650" s="2" t="s">
        <v>11763</v>
      </c>
      <c r="B2650" s="2" t="s">
        <v>5357</v>
      </c>
      <c r="C2650" s="2" t="s">
        <v>11768</v>
      </c>
      <c r="D2650" s="3">
        <v>238464</v>
      </c>
      <c r="E2650" s="3">
        <v>238464</v>
      </c>
      <c r="F2650" s="2" t="s">
        <v>16</v>
      </c>
      <c r="G2650" s="2" t="s">
        <v>11769</v>
      </c>
      <c r="H2650" s="3">
        <v>0</v>
      </c>
      <c r="I2650" s="2" t="s">
        <v>409</v>
      </c>
      <c r="J2650" s="2" t="s">
        <v>11770</v>
      </c>
      <c r="K2650" s="2" t="s">
        <v>16</v>
      </c>
      <c r="L2650" s="2" t="s">
        <v>11771</v>
      </c>
      <c r="M2650" s="4">
        <v>71191.08</v>
      </c>
      <c r="N2650" t="b">
        <f>OR(LEFT(B2650,3)="frg",(_xlfn.XMATCH(B2650,ZZZ_Part_Id_[[#All],[FGCODE]])))</f>
        <v>1</v>
      </c>
    </row>
    <row r="2651" spans="1:14" x14ac:dyDescent="0.3">
      <c r="A2651" s="2" t="s">
        <v>11772</v>
      </c>
      <c r="B2651" s="2" t="s">
        <v>740</v>
      </c>
      <c r="C2651" s="2" t="s">
        <v>11773</v>
      </c>
      <c r="D2651" s="3">
        <v>382320</v>
      </c>
      <c r="E2651" s="3">
        <v>382320</v>
      </c>
      <c r="F2651" s="2" t="s">
        <v>16</v>
      </c>
      <c r="G2651" s="2" t="s">
        <v>11774</v>
      </c>
      <c r="H2651" s="3">
        <v>0</v>
      </c>
      <c r="I2651" s="2" t="s">
        <v>18</v>
      </c>
      <c r="J2651" s="2" t="s">
        <v>11775</v>
      </c>
      <c r="K2651" s="2" t="s">
        <v>16</v>
      </c>
      <c r="L2651" s="2" t="s">
        <v>11776</v>
      </c>
      <c r="M2651" s="4">
        <v>76008.960000000006</v>
      </c>
      <c r="N2651" t="b">
        <f>OR(LEFT(B2651,3)="frg",(_xlfn.XMATCH(B2651,ZZZ_Part_Id_[[#All],[FGCODE]])))</f>
        <v>1</v>
      </c>
    </row>
    <row r="2652" spans="1:14" x14ac:dyDescent="0.3">
      <c r="A2652" s="2" t="s">
        <v>11777</v>
      </c>
      <c r="B2652" s="2" t="s">
        <v>797</v>
      </c>
      <c r="C2652" s="2" t="s">
        <v>11778</v>
      </c>
      <c r="D2652" s="3">
        <v>59760</v>
      </c>
      <c r="E2652" s="3">
        <v>59760</v>
      </c>
      <c r="F2652" s="2" t="s">
        <v>16</v>
      </c>
      <c r="G2652" s="2" t="s">
        <v>11779</v>
      </c>
      <c r="H2652" s="3">
        <v>0</v>
      </c>
      <c r="I2652" s="2" t="s">
        <v>18</v>
      </c>
      <c r="J2652" s="2" t="s">
        <v>11780</v>
      </c>
      <c r="K2652" s="2" t="s">
        <v>16</v>
      </c>
      <c r="L2652" s="2" t="s">
        <v>11781</v>
      </c>
      <c r="M2652" s="4">
        <v>3229.43</v>
      </c>
      <c r="N2652" t="b">
        <f>OR(LEFT(B2652,3)="frg",(_xlfn.XMATCH(B2652,ZZZ_Part_Id_[[#All],[FGCODE]])))</f>
        <v>1</v>
      </c>
    </row>
    <row r="2653" spans="1:14" x14ac:dyDescent="0.3">
      <c r="A2653" s="2" t="s">
        <v>11782</v>
      </c>
      <c r="B2653" s="2" t="s">
        <v>3759</v>
      </c>
      <c r="C2653" s="2" t="s">
        <v>11783</v>
      </c>
      <c r="D2653" s="3">
        <v>59760</v>
      </c>
      <c r="E2653" s="3">
        <v>59760</v>
      </c>
      <c r="F2653" s="2" t="s">
        <v>16</v>
      </c>
      <c r="G2653" s="2" t="s">
        <v>11784</v>
      </c>
      <c r="H2653" s="3">
        <v>0</v>
      </c>
      <c r="I2653" s="2" t="s">
        <v>18</v>
      </c>
      <c r="J2653" s="2" t="s">
        <v>11785</v>
      </c>
      <c r="K2653" s="2" t="s">
        <v>16</v>
      </c>
      <c r="L2653" s="2" t="s">
        <v>11786</v>
      </c>
      <c r="M2653" s="4">
        <v>3280.82</v>
      </c>
      <c r="N2653" t="b">
        <f>OR(LEFT(B2653,3)="frg",(_xlfn.XMATCH(B2653,ZZZ_Part_Id_[[#All],[FGCODE]])))</f>
        <v>1</v>
      </c>
    </row>
    <row r="2654" spans="1:14" x14ac:dyDescent="0.3">
      <c r="A2654" s="2" t="s">
        <v>11787</v>
      </c>
      <c r="B2654" s="2" t="s">
        <v>14</v>
      </c>
      <c r="C2654" s="2" t="s">
        <v>11788</v>
      </c>
      <c r="D2654" s="3">
        <v>4</v>
      </c>
      <c r="E2654" s="3">
        <v>4</v>
      </c>
      <c r="F2654" s="2" t="s">
        <v>16</v>
      </c>
      <c r="G2654" s="2" t="s">
        <v>11789</v>
      </c>
      <c r="H2654" s="3">
        <v>0</v>
      </c>
      <c r="I2654" s="2" t="s">
        <v>18</v>
      </c>
      <c r="J2654" s="2" t="s">
        <v>11790</v>
      </c>
      <c r="K2654" s="2" t="s">
        <v>16</v>
      </c>
      <c r="L2654" s="2" t="s">
        <v>11791</v>
      </c>
      <c r="M2654" s="4">
        <v>0.31</v>
      </c>
      <c r="N2654" t="e">
        <f>OR(LEFT(B2654,3)="frg",(_xlfn.XMATCH(B2654,ZZZ_Part_Id_[[#All],[FGCODE]])))</f>
        <v>#N/A</v>
      </c>
    </row>
    <row r="2655" spans="1:14" x14ac:dyDescent="0.3">
      <c r="A2655" s="2" t="s">
        <v>11787</v>
      </c>
      <c r="B2655" s="2" t="s">
        <v>11210</v>
      </c>
      <c r="C2655" s="2" t="s">
        <v>11792</v>
      </c>
      <c r="D2655" s="3">
        <v>40320</v>
      </c>
      <c r="E2655" s="3">
        <v>40320</v>
      </c>
      <c r="F2655" s="2" t="s">
        <v>16</v>
      </c>
      <c r="G2655" s="2" t="s">
        <v>11793</v>
      </c>
      <c r="H2655" s="3">
        <v>0</v>
      </c>
      <c r="I2655" s="2" t="s">
        <v>18</v>
      </c>
      <c r="J2655" s="2" t="s">
        <v>11794</v>
      </c>
      <c r="K2655" s="2" t="s">
        <v>16</v>
      </c>
      <c r="L2655" s="2" t="s">
        <v>11795</v>
      </c>
      <c r="M2655" s="4">
        <v>7017.28</v>
      </c>
      <c r="N2655" t="b">
        <f>OR(LEFT(B2655,3)="frg",(_xlfn.XMATCH(B2655,ZZZ_Part_Id_[[#All],[FGCODE]])))</f>
        <v>1</v>
      </c>
    </row>
    <row r="2656" spans="1:14" x14ac:dyDescent="0.3">
      <c r="A2656" s="2" t="s">
        <v>11796</v>
      </c>
      <c r="B2656" s="2" t="s">
        <v>14</v>
      </c>
      <c r="C2656" s="2" t="s">
        <v>11797</v>
      </c>
      <c r="D2656" s="3">
        <v>3</v>
      </c>
      <c r="E2656" s="3">
        <v>3</v>
      </c>
      <c r="F2656" s="2" t="s">
        <v>16</v>
      </c>
      <c r="G2656" s="2" t="s">
        <v>11798</v>
      </c>
      <c r="H2656" s="3">
        <v>0</v>
      </c>
      <c r="I2656" s="2" t="s">
        <v>409</v>
      </c>
      <c r="J2656" s="2" t="s">
        <v>11799</v>
      </c>
      <c r="K2656" s="2" t="s">
        <v>16</v>
      </c>
      <c r="L2656" s="2" t="s">
        <v>11800</v>
      </c>
      <c r="M2656" s="4">
        <v>0.23</v>
      </c>
      <c r="N2656" t="e">
        <f>OR(LEFT(B2656,3)="frg",(_xlfn.XMATCH(B2656,ZZZ_Part_Id_[[#All],[FGCODE]])))</f>
        <v>#N/A</v>
      </c>
    </row>
    <row r="2657" spans="1:14" x14ac:dyDescent="0.3">
      <c r="A2657" s="2" t="s">
        <v>11796</v>
      </c>
      <c r="B2657" s="2" t="s">
        <v>37</v>
      </c>
      <c r="C2657" s="2" t="s">
        <v>11801</v>
      </c>
      <c r="D2657" s="3">
        <v>3</v>
      </c>
      <c r="E2657" s="3">
        <v>3</v>
      </c>
      <c r="F2657" s="2" t="s">
        <v>16</v>
      </c>
      <c r="G2657" s="2" t="s">
        <v>11802</v>
      </c>
      <c r="H2657" s="3">
        <v>0</v>
      </c>
      <c r="I2657" s="2" t="s">
        <v>409</v>
      </c>
      <c r="J2657" s="2" t="s">
        <v>11803</v>
      </c>
      <c r="K2657" s="2" t="s">
        <v>16</v>
      </c>
      <c r="L2657" s="2" t="s">
        <v>11804</v>
      </c>
      <c r="M2657" s="4">
        <v>48</v>
      </c>
      <c r="N2657" t="e">
        <f>OR(LEFT(B2657,3)="frg",(_xlfn.XMATCH(B2657,ZZZ_Part_Id_[[#All],[FGCODE]])))</f>
        <v>#N/A</v>
      </c>
    </row>
    <row r="2658" spans="1:14" x14ac:dyDescent="0.3">
      <c r="A2658" s="2" t="s">
        <v>11796</v>
      </c>
      <c r="B2658" s="2" t="s">
        <v>11241</v>
      </c>
      <c r="C2658" s="2" t="s">
        <v>11805</v>
      </c>
      <c r="D2658" s="3">
        <v>76140</v>
      </c>
      <c r="E2658" s="3">
        <v>76140</v>
      </c>
      <c r="F2658" s="2" t="s">
        <v>16</v>
      </c>
      <c r="G2658" s="2" t="s">
        <v>11806</v>
      </c>
      <c r="H2658" s="3">
        <v>0</v>
      </c>
      <c r="I2658" s="2" t="s">
        <v>409</v>
      </c>
      <c r="J2658" s="2" t="s">
        <v>11807</v>
      </c>
      <c r="K2658" s="2" t="s">
        <v>16</v>
      </c>
      <c r="L2658" s="2" t="s">
        <v>11808</v>
      </c>
      <c r="M2658" s="4">
        <v>4705.4399999999996</v>
      </c>
      <c r="N2658" t="b">
        <f>OR(LEFT(B2658,3)="frg",(_xlfn.XMATCH(B2658,ZZZ_Part_Id_[[#All],[FGCODE]])))</f>
        <v>1</v>
      </c>
    </row>
    <row r="2659" spans="1:14" x14ac:dyDescent="0.3">
      <c r="A2659" s="2" t="s">
        <v>11809</v>
      </c>
      <c r="B2659" s="2" t="s">
        <v>14</v>
      </c>
      <c r="C2659" s="2" t="s">
        <v>11810</v>
      </c>
      <c r="D2659" s="3">
        <v>10</v>
      </c>
      <c r="E2659" s="3">
        <v>10</v>
      </c>
      <c r="F2659" s="2" t="s">
        <v>16</v>
      </c>
      <c r="G2659" s="2" t="s">
        <v>11811</v>
      </c>
      <c r="H2659" s="3">
        <v>0</v>
      </c>
      <c r="I2659" s="2" t="s">
        <v>18</v>
      </c>
      <c r="J2659" s="2" t="s">
        <v>11812</v>
      </c>
      <c r="K2659" s="2" t="s">
        <v>16</v>
      </c>
      <c r="L2659" s="2" t="s">
        <v>11813</v>
      </c>
      <c r="M2659" s="4">
        <v>0.77</v>
      </c>
      <c r="N2659" t="e">
        <f>OR(LEFT(B2659,3)="frg",(_xlfn.XMATCH(B2659,ZZZ_Part_Id_[[#All],[FGCODE]])))</f>
        <v>#N/A</v>
      </c>
    </row>
    <row r="2660" spans="1:14" x14ac:dyDescent="0.3">
      <c r="A2660" s="2" t="s">
        <v>11809</v>
      </c>
      <c r="B2660" s="2" t="s">
        <v>2086</v>
      </c>
      <c r="C2660" s="2" t="s">
        <v>11814</v>
      </c>
      <c r="D2660" s="3">
        <v>33792</v>
      </c>
      <c r="E2660" s="3">
        <v>33792</v>
      </c>
      <c r="F2660" s="2" t="s">
        <v>16</v>
      </c>
      <c r="G2660" s="2" t="s">
        <v>11815</v>
      </c>
      <c r="H2660" s="3">
        <v>0</v>
      </c>
      <c r="I2660" s="2" t="s">
        <v>18</v>
      </c>
      <c r="J2660" s="2" t="s">
        <v>11816</v>
      </c>
      <c r="K2660" s="2" t="s">
        <v>16</v>
      </c>
      <c r="L2660" s="2" t="s">
        <v>11817</v>
      </c>
      <c r="M2660" s="4">
        <v>7935.68</v>
      </c>
      <c r="N2660" t="b">
        <f>OR(LEFT(B2660,3)="frg",(_xlfn.XMATCH(B2660,ZZZ_Part_Id_[[#All],[FGCODE]])))</f>
        <v>1</v>
      </c>
    </row>
    <row r="2661" spans="1:14" x14ac:dyDescent="0.3">
      <c r="A2661" s="2" t="s">
        <v>11818</v>
      </c>
      <c r="B2661" s="2" t="s">
        <v>14</v>
      </c>
      <c r="C2661" s="2" t="s">
        <v>11819</v>
      </c>
      <c r="D2661" s="3">
        <v>4</v>
      </c>
      <c r="E2661" s="3">
        <v>4</v>
      </c>
      <c r="F2661" s="2" t="s">
        <v>16</v>
      </c>
      <c r="G2661" s="2" t="s">
        <v>11820</v>
      </c>
      <c r="H2661" s="3">
        <v>0</v>
      </c>
      <c r="I2661" s="2" t="s">
        <v>18</v>
      </c>
      <c r="J2661" s="2" t="s">
        <v>11821</v>
      </c>
      <c r="K2661" s="2" t="s">
        <v>16</v>
      </c>
      <c r="L2661" s="2" t="s">
        <v>11822</v>
      </c>
      <c r="M2661" s="4">
        <v>0.31</v>
      </c>
      <c r="N2661" t="e">
        <f>OR(LEFT(B2661,3)="frg",(_xlfn.XMATCH(B2661,ZZZ_Part_Id_[[#All],[FGCODE]])))</f>
        <v>#N/A</v>
      </c>
    </row>
    <row r="2662" spans="1:14" x14ac:dyDescent="0.3">
      <c r="A2662" s="2" t="s">
        <v>11818</v>
      </c>
      <c r="B2662" s="2" t="s">
        <v>2611</v>
      </c>
      <c r="C2662" s="2" t="s">
        <v>11823</v>
      </c>
      <c r="D2662" s="3">
        <v>42624</v>
      </c>
      <c r="E2662" s="3">
        <v>42624</v>
      </c>
      <c r="F2662" s="2" t="s">
        <v>16</v>
      </c>
      <c r="G2662" s="2" t="s">
        <v>11824</v>
      </c>
      <c r="H2662" s="3">
        <v>0</v>
      </c>
      <c r="I2662" s="2" t="s">
        <v>18</v>
      </c>
      <c r="J2662" s="2" t="s">
        <v>11825</v>
      </c>
      <c r="K2662" s="2" t="s">
        <v>16</v>
      </c>
      <c r="L2662" s="2" t="s">
        <v>11826</v>
      </c>
      <c r="M2662" s="4">
        <v>3836.16</v>
      </c>
      <c r="N2662" t="b">
        <f>OR(LEFT(B2662,3)="frg",(_xlfn.XMATCH(B2662,ZZZ_Part_Id_[[#All],[FGCODE]])))</f>
        <v>1</v>
      </c>
    </row>
    <row r="2663" spans="1:14" x14ac:dyDescent="0.3">
      <c r="A2663" s="2" t="s">
        <v>11827</v>
      </c>
      <c r="B2663" s="2" t="s">
        <v>5347</v>
      </c>
      <c r="C2663" s="2" t="s">
        <v>11828</v>
      </c>
      <c r="D2663" s="3">
        <v>6624</v>
      </c>
      <c r="E2663" s="3">
        <v>6624</v>
      </c>
      <c r="F2663" s="2" t="s">
        <v>16</v>
      </c>
      <c r="G2663" s="2" t="s">
        <v>11829</v>
      </c>
      <c r="H2663" s="3">
        <v>0</v>
      </c>
      <c r="I2663" s="2" t="s">
        <v>409</v>
      </c>
      <c r="J2663" s="2" t="s">
        <v>11830</v>
      </c>
      <c r="K2663" s="2" t="s">
        <v>16</v>
      </c>
      <c r="L2663" s="2" t="s">
        <v>11831</v>
      </c>
      <c r="M2663" s="4">
        <v>1945.2</v>
      </c>
      <c r="N2663" t="b">
        <f>OR(LEFT(B2663,3)="frg",(_xlfn.XMATCH(B2663,ZZZ_Part_Id_[[#All],[FGCODE]])))</f>
        <v>1</v>
      </c>
    </row>
    <row r="2664" spans="1:14" x14ac:dyDescent="0.3">
      <c r="A2664" s="2" t="s">
        <v>11832</v>
      </c>
      <c r="B2664" s="2" t="s">
        <v>740</v>
      </c>
      <c r="C2664" s="2" t="s">
        <v>11833</v>
      </c>
      <c r="D2664" s="3">
        <v>127440</v>
      </c>
      <c r="E2664" s="3">
        <v>0</v>
      </c>
      <c r="F2664" s="2" t="s">
        <v>16</v>
      </c>
      <c r="G2664" s="2" t="s">
        <v>11834</v>
      </c>
      <c r="H2664" s="3">
        <v>0</v>
      </c>
      <c r="I2664" s="2" t="s">
        <v>409</v>
      </c>
      <c r="J2664" s="2" t="s">
        <v>11835</v>
      </c>
      <c r="K2664" s="2" t="s">
        <v>16</v>
      </c>
      <c r="L2664" s="2" t="s">
        <v>11836</v>
      </c>
      <c r="M2664" s="4">
        <v>0</v>
      </c>
      <c r="N2664" t="b">
        <f>OR(LEFT(B2664,3)="frg",(_xlfn.XMATCH(B2664,ZZZ_Part_Id_[[#All],[FGCODE]])))</f>
        <v>1</v>
      </c>
    </row>
    <row r="2665" spans="1:14" x14ac:dyDescent="0.3">
      <c r="A2665" s="2" t="s">
        <v>11837</v>
      </c>
      <c r="B2665" s="2" t="s">
        <v>3759</v>
      </c>
      <c r="C2665" s="2" t="s">
        <v>11838</v>
      </c>
      <c r="D2665" s="3">
        <v>152280</v>
      </c>
      <c r="E2665" s="3">
        <v>0</v>
      </c>
      <c r="F2665" s="2" t="s">
        <v>16</v>
      </c>
      <c r="G2665" s="2" t="s">
        <v>11839</v>
      </c>
      <c r="H2665" s="3">
        <v>0</v>
      </c>
      <c r="I2665" s="2" t="s">
        <v>11840</v>
      </c>
      <c r="J2665" s="2" t="s">
        <v>11841</v>
      </c>
      <c r="K2665" s="2" t="s">
        <v>16</v>
      </c>
      <c r="L2665" s="2" t="s">
        <v>11842</v>
      </c>
      <c r="M2665" s="4">
        <v>0</v>
      </c>
      <c r="N2665" t="b">
        <f>OR(LEFT(B2665,3)="frg",(_xlfn.XMATCH(B2665,ZZZ_Part_Id_[[#All],[FGCODE]])))</f>
        <v>1</v>
      </c>
    </row>
    <row r="2666" spans="1:14" x14ac:dyDescent="0.3">
      <c r="A2666" s="2" t="s">
        <v>11837</v>
      </c>
      <c r="B2666" s="2" t="s">
        <v>86</v>
      </c>
      <c r="C2666" s="2" t="s">
        <v>11843</v>
      </c>
      <c r="D2666" s="5">
        <v>-21.5</v>
      </c>
      <c r="E2666" s="3">
        <v>0</v>
      </c>
      <c r="F2666" s="2" t="s">
        <v>23</v>
      </c>
      <c r="G2666" s="2" t="s">
        <v>11844</v>
      </c>
      <c r="H2666" s="3">
        <v>0</v>
      </c>
      <c r="I2666" s="2" t="s">
        <v>11840</v>
      </c>
      <c r="J2666" s="2" t="s">
        <v>11845</v>
      </c>
      <c r="K2666" s="2" t="s">
        <v>23</v>
      </c>
      <c r="L2666" s="2" t="s">
        <v>11846</v>
      </c>
      <c r="M2666" s="4">
        <v>0</v>
      </c>
      <c r="N2666" t="b">
        <f>OR(LEFT(B2666,3)="frg",(_xlfn.XMATCH(B2666,ZZZ_Part_Id_[[#All],[FGCODE]])))</f>
        <v>1</v>
      </c>
    </row>
    <row r="2667" spans="1:14" x14ac:dyDescent="0.3">
      <c r="A2667" s="2" t="s">
        <v>11837</v>
      </c>
      <c r="B2667" s="2" t="s">
        <v>14</v>
      </c>
      <c r="C2667" s="2" t="s">
        <v>11847</v>
      </c>
      <c r="D2667" s="3">
        <v>5</v>
      </c>
      <c r="E2667" s="3">
        <v>0</v>
      </c>
      <c r="F2667" s="2" t="s">
        <v>16</v>
      </c>
      <c r="G2667" s="2" t="s">
        <v>11848</v>
      </c>
      <c r="H2667" s="3">
        <v>0</v>
      </c>
      <c r="I2667" s="2" t="s">
        <v>11840</v>
      </c>
      <c r="J2667" s="2" t="s">
        <v>11849</v>
      </c>
      <c r="K2667" s="2" t="s">
        <v>16</v>
      </c>
      <c r="L2667" s="2" t="s">
        <v>11850</v>
      </c>
      <c r="M2667" s="4">
        <v>0</v>
      </c>
      <c r="N2667" t="e">
        <f>OR(LEFT(B2667,3)="frg",(_xlfn.XMATCH(B2667,ZZZ_Part_Id_[[#All],[FGCODE]])))</f>
        <v>#N/A</v>
      </c>
    </row>
    <row r="2668" spans="1:14" x14ac:dyDescent="0.3">
      <c r="A2668" s="2" t="s">
        <v>11837</v>
      </c>
      <c r="B2668" s="2" t="s">
        <v>140</v>
      </c>
      <c r="C2668" s="2" t="s">
        <v>11851</v>
      </c>
      <c r="D2668" s="3">
        <v>0.2</v>
      </c>
      <c r="E2668" s="3">
        <v>0</v>
      </c>
      <c r="F2668" s="2" t="s">
        <v>16</v>
      </c>
      <c r="G2668" s="2" t="s">
        <v>11852</v>
      </c>
      <c r="H2668" s="3">
        <v>0</v>
      </c>
      <c r="I2668" s="2" t="s">
        <v>11840</v>
      </c>
      <c r="J2668" s="2" t="s">
        <v>11853</v>
      </c>
      <c r="K2668" s="2" t="s">
        <v>16</v>
      </c>
      <c r="L2668" s="2" t="s">
        <v>11854</v>
      </c>
      <c r="M2668" s="4">
        <v>0</v>
      </c>
      <c r="N2668" t="e">
        <f>OR(LEFT(B2668,3)="frg",(_xlfn.XMATCH(B2668,ZZZ_Part_Id_[[#All],[FGCODE]])))</f>
        <v>#N/A</v>
      </c>
    </row>
    <row r="2669" spans="1:14" x14ac:dyDescent="0.3">
      <c r="A2669" s="2" t="s">
        <v>11837</v>
      </c>
      <c r="B2669" s="2" t="s">
        <v>192</v>
      </c>
      <c r="C2669" s="2" t="s">
        <v>11855</v>
      </c>
      <c r="D2669" s="3">
        <v>0.05</v>
      </c>
      <c r="E2669" s="3">
        <v>0</v>
      </c>
      <c r="F2669" s="2" t="s">
        <v>194</v>
      </c>
      <c r="G2669" s="2" t="s">
        <v>11856</v>
      </c>
      <c r="H2669" s="3">
        <v>0</v>
      </c>
      <c r="I2669" s="2" t="s">
        <v>11840</v>
      </c>
      <c r="J2669" s="2" t="s">
        <v>11857</v>
      </c>
      <c r="K2669" s="2" t="s">
        <v>194</v>
      </c>
      <c r="L2669" s="2" t="s">
        <v>11858</v>
      </c>
      <c r="M2669" s="4">
        <v>0</v>
      </c>
      <c r="N2669" t="e">
        <f>OR(LEFT(B2669,3)="frg",(_xlfn.XMATCH(B2669,ZZZ_Part_Id_[[#All],[FGCODE]])))</f>
        <v>#N/A</v>
      </c>
    </row>
    <row r="2670" spans="1:14" x14ac:dyDescent="0.3">
      <c r="A2670" s="2" t="s">
        <v>11837</v>
      </c>
      <c r="B2670" s="2" t="s">
        <v>145</v>
      </c>
      <c r="C2670" s="2" t="s">
        <v>11859</v>
      </c>
      <c r="D2670" s="3">
        <v>0.02</v>
      </c>
      <c r="E2670" s="3">
        <v>0</v>
      </c>
      <c r="F2670" s="2" t="s">
        <v>147</v>
      </c>
      <c r="G2670" s="2" t="s">
        <v>11860</v>
      </c>
      <c r="H2670" s="3">
        <v>0</v>
      </c>
      <c r="I2670" s="2" t="s">
        <v>11840</v>
      </c>
      <c r="J2670" s="2" t="s">
        <v>11861</v>
      </c>
      <c r="K2670" s="2" t="s">
        <v>147</v>
      </c>
      <c r="L2670" s="2" t="s">
        <v>11862</v>
      </c>
      <c r="M2670" s="4">
        <v>0</v>
      </c>
      <c r="N2670" t="e">
        <f>OR(LEFT(B2670,3)="frg",(_xlfn.XMATCH(B2670,ZZZ_Part_Id_[[#All],[FGCODE]])))</f>
        <v>#N/A</v>
      </c>
    </row>
    <row r="2671" spans="1:14" x14ac:dyDescent="0.3">
      <c r="A2671" s="2" t="s">
        <v>11863</v>
      </c>
      <c r="B2671" s="2" t="s">
        <v>97</v>
      </c>
      <c r="C2671" s="2" t="s">
        <v>11864</v>
      </c>
      <c r="D2671" s="3">
        <v>1</v>
      </c>
      <c r="E2671" s="3">
        <v>0</v>
      </c>
      <c r="F2671" s="2" t="s">
        <v>16</v>
      </c>
      <c r="G2671" s="2" t="s">
        <v>11865</v>
      </c>
      <c r="H2671" s="3">
        <v>0</v>
      </c>
      <c r="I2671" s="2" t="s">
        <v>409</v>
      </c>
      <c r="J2671" s="2" t="s">
        <v>11866</v>
      </c>
      <c r="K2671" s="2" t="s">
        <v>16</v>
      </c>
      <c r="L2671" s="2" t="s">
        <v>11867</v>
      </c>
      <c r="M2671" s="4">
        <v>0</v>
      </c>
      <c r="N2671" t="b">
        <f>OR(LEFT(B2671,3)="frg",(_xlfn.XMATCH(B2671,ZZZ_Part_Id_[[#All],[FGCODE]])))</f>
        <v>1</v>
      </c>
    </row>
    <row r="2672" spans="1:14" x14ac:dyDescent="0.3">
      <c r="A2672" s="2" t="s">
        <v>11863</v>
      </c>
      <c r="B2672" s="2" t="s">
        <v>14</v>
      </c>
      <c r="C2672" s="2" t="s">
        <v>11868</v>
      </c>
      <c r="D2672" s="3">
        <v>1E-3</v>
      </c>
      <c r="E2672" s="3">
        <v>0</v>
      </c>
      <c r="F2672" s="2" t="s">
        <v>16</v>
      </c>
      <c r="G2672" s="2" t="s">
        <v>11869</v>
      </c>
      <c r="H2672" s="3">
        <v>0</v>
      </c>
      <c r="I2672" s="2" t="s">
        <v>409</v>
      </c>
      <c r="J2672" s="2" t="s">
        <v>11870</v>
      </c>
      <c r="K2672" s="2" t="s">
        <v>16</v>
      </c>
      <c r="L2672" s="2" t="s">
        <v>11871</v>
      </c>
      <c r="M2672" s="4">
        <v>0</v>
      </c>
      <c r="N2672" t="e">
        <f>OR(LEFT(B2672,3)="frg",(_xlfn.XMATCH(B2672,ZZZ_Part_Id_[[#All],[FGCODE]])))</f>
        <v>#N/A</v>
      </c>
    </row>
    <row r="2673" spans="1:14" x14ac:dyDescent="0.3">
      <c r="A2673" s="2" t="s">
        <v>11863</v>
      </c>
      <c r="B2673" s="2" t="s">
        <v>140</v>
      </c>
      <c r="C2673" s="2" t="s">
        <v>11872</v>
      </c>
      <c r="D2673" s="3">
        <v>1E-3</v>
      </c>
      <c r="E2673" s="3">
        <v>0</v>
      </c>
      <c r="F2673" s="2" t="s">
        <v>16</v>
      </c>
      <c r="G2673" s="2" t="s">
        <v>11873</v>
      </c>
      <c r="H2673" s="3">
        <v>0</v>
      </c>
      <c r="I2673" s="2" t="s">
        <v>409</v>
      </c>
      <c r="J2673" s="2" t="s">
        <v>11874</v>
      </c>
      <c r="K2673" s="2" t="s">
        <v>16</v>
      </c>
      <c r="L2673" s="2" t="s">
        <v>11875</v>
      </c>
      <c r="M2673" s="4">
        <v>0</v>
      </c>
      <c r="N2673" t="e">
        <f>OR(LEFT(B2673,3)="frg",(_xlfn.XMATCH(B2673,ZZZ_Part_Id_[[#All],[FGCODE]])))</f>
        <v>#N/A</v>
      </c>
    </row>
    <row r="2674" spans="1:14" x14ac:dyDescent="0.3">
      <c r="A2674" s="2" t="s">
        <v>11863</v>
      </c>
      <c r="B2674" s="2" t="s">
        <v>192</v>
      </c>
      <c r="C2674" s="2" t="s">
        <v>11876</v>
      </c>
      <c r="D2674" s="3">
        <v>1E-3</v>
      </c>
      <c r="E2674" s="3">
        <v>0</v>
      </c>
      <c r="F2674" s="2" t="s">
        <v>194</v>
      </c>
      <c r="G2674" s="2" t="s">
        <v>11877</v>
      </c>
      <c r="H2674" s="3">
        <v>0</v>
      </c>
      <c r="I2674" s="2" t="s">
        <v>409</v>
      </c>
      <c r="J2674" s="2" t="s">
        <v>11878</v>
      </c>
      <c r="K2674" s="2" t="s">
        <v>194</v>
      </c>
      <c r="L2674" s="2" t="s">
        <v>11879</v>
      </c>
      <c r="M2674" s="4">
        <v>0</v>
      </c>
      <c r="N2674" t="e">
        <f>OR(LEFT(B2674,3)="frg",(_xlfn.XMATCH(B2674,ZZZ_Part_Id_[[#All],[FGCODE]])))</f>
        <v>#N/A</v>
      </c>
    </row>
    <row r="2675" spans="1:14" x14ac:dyDescent="0.3">
      <c r="A2675" s="2" t="s">
        <v>11880</v>
      </c>
      <c r="B2675" s="2" t="s">
        <v>14</v>
      </c>
      <c r="C2675" s="2" t="s">
        <v>11881</v>
      </c>
      <c r="D2675" s="3">
        <v>95</v>
      </c>
      <c r="E2675" s="3">
        <v>95</v>
      </c>
      <c r="F2675" s="2" t="s">
        <v>16</v>
      </c>
      <c r="G2675" s="2" t="s">
        <v>11882</v>
      </c>
      <c r="H2675" s="3">
        <v>0</v>
      </c>
      <c r="I2675" s="2" t="s">
        <v>18</v>
      </c>
      <c r="J2675" s="2" t="s">
        <v>11883</v>
      </c>
      <c r="K2675" s="2" t="s">
        <v>16</v>
      </c>
      <c r="L2675" s="2" t="s">
        <v>11884</v>
      </c>
      <c r="M2675" s="4">
        <v>7.31</v>
      </c>
      <c r="N2675" t="e">
        <f>OR(LEFT(B2675,3)="frg",(_xlfn.XMATCH(B2675,ZZZ_Part_Id_[[#All],[FGCODE]])))</f>
        <v>#N/A</v>
      </c>
    </row>
    <row r="2676" spans="1:14" x14ac:dyDescent="0.3">
      <c r="A2676" s="2" t="s">
        <v>11880</v>
      </c>
      <c r="B2676" s="2" t="s">
        <v>97</v>
      </c>
      <c r="C2676" s="2" t="s">
        <v>11885</v>
      </c>
      <c r="D2676" s="3">
        <v>355200</v>
      </c>
      <c r="E2676" s="3">
        <v>355200</v>
      </c>
      <c r="F2676" s="2" t="s">
        <v>16</v>
      </c>
      <c r="G2676" s="2" t="s">
        <v>11886</v>
      </c>
      <c r="H2676" s="3">
        <v>0</v>
      </c>
      <c r="I2676" s="2" t="s">
        <v>18</v>
      </c>
      <c r="J2676" s="2" t="s">
        <v>11887</v>
      </c>
      <c r="K2676" s="2" t="s">
        <v>16</v>
      </c>
      <c r="L2676" s="2" t="s">
        <v>11888</v>
      </c>
      <c r="M2676" s="4">
        <v>121833.60000000001</v>
      </c>
      <c r="N2676" t="b">
        <f>OR(LEFT(B2676,3)="frg",(_xlfn.XMATCH(B2676,ZZZ_Part_Id_[[#All],[FGCODE]])))</f>
        <v>1</v>
      </c>
    </row>
    <row r="2677" spans="1:14" x14ac:dyDescent="0.3">
      <c r="A2677" s="2" t="s">
        <v>11889</v>
      </c>
      <c r="B2677" s="2" t="s">
        <v>14</v>
      </c>
      <c r="C2677" s="2" t="s">
        <v>11890</v>
      </c>
      <c r="D2677" s="3">
        <v>10</v>
      </c>
      <c r="E2677" s="3">
        <v>10</v>
      </c>
      <c r="F2677" s="2" t="s">
        <v>16</v>
      </c>
      <c r="G2677" s="2" t="s">
        <v>11891</v>
      </c>
      <c r="H2677" s="3">
        <v>0</v>
      </c>
      <c r="I2677" s="2" t="s">
        <v>409</v>
      </c>
      <c r="J2677" s="2" t="s">
        <v>11892</v>
      </c>
      <c r="K2677" s="2" t="s">
        <v>16</v>
      </c>
      <c r="L2677" s="2" t="s">
        <v>11893</v>
      </c>
      <c r="M2677" s="4">
        <v>0.77</v>
      </c>
      <c r="N2677" t="e">
        <f>OR(LEFT(B2677,3)="frg",(_xlfn.XMATCH(B2677,ZZZ_Part_Id_[[#All],[FGCODE]])))</f>
        <v>#N/A</v>
      </c>
    </row>
    <row r="2678" spans="1:14" x14ac:dyDescent="0.3">
      <c r="A2678" s="2" t="s">
        <v>11889</v>
      </c>
      <c r="B2678" s="2" t="s">
        <v>86</v>
      </c>
      <c r="C2678" s="2" t="s">
        <v>11894</v>
      </c>
      <c r="D2678" s="5">
        <v>-22</v>
      </c>
      <c r="E2678" s="5">
        <v>-22</v>
      </c>
      <c r="F2678" s="2" t="s">
        <v>23</v>
      </c>
      <c r="G2678" s="2" t="s">
        <v>11895</v>
      </c>
      <c r="H2678" s="3">
        <v>0</v>
      </c>
      <c r="I2678" s="2" t="s">
        <v>409</v>
      </c>
      <c r="J2678" s="2" t="s">
        <v>11896</v>
      </c>
      <c r="K2678" s="2" t="s">
        <v>23</v>
      </c>
      <c r="L2678" s="2" t="s">
        <v>11897</v>
      </c>
      <c r="M2678" s="6">
        <v>-57.59</v>
      </c>
      <c r="N2678" t="b">
        <f>OR(LEFT(B2678,3)="frg",(_xlfn.XMATCH(B2678,ZZZ_Part_Id_[[#All],[FGCODE]])))</f>
        <v>1</v>
      </c>
    </row>
    <row r="2679" spans="1:14" x14ac:dyDescent="0.3">
      <c r="A2679" s="2" t="s">
        <v>11889</v>
      </c>
      <c r="B2679" s="2" t="s">
        <v>3759</v>
      </c>
      <c r="C2679" s="2" t="s">
        <v>11898</v>
      </c>
      <c r="D2679" s="3">
        <v>152280</v>
      </c>
      <c r="E2679" s="3">
        <v>152280</v>
      </c>
      <c r="F2679" s="2" t="s">
        <v>16</v>
      </c>
      <c r="G2679" s="2" t="s">
        <v>11899</v>
      </c>
      <c r="H2679" s="3">
        <v>0</v>
      </c>
      <c r="I2679" s="2" t="s">
        <v>409</v>
      </c>
      <c r="J2679" s="2" t="s">
        <v>11900</v>
      </c>
      <c r="K2679" s="2" t="s">
        <v>16</v>
      </c>
      <c r="L2679" s="2" t="s">
        <v>11901</v>
      </c>
      <c r="M2679" s="4">
        <v>8360.16</v>
      </c>
      <c r="N2679" t="b">
        <f>OR(LEFT(B2679,3)="frg",(_xlfn.XMATCH(B2679,ZZZ_Part_Id_[[#All],[FGCODE]])))</f>
        <v>1</v>
      </c>
    </row>
    <row r="2680" spans="1:14" x14ac:dyDescent="0.3">
      <c r="A2680" s="2" t="s">
        <v>11902</v>
      </c>
      <c r="B2680" s="2" t="s">
        <v>740</v>
      </c>
      <c r="C2680" s="2" t="s">
        <v>11903</v>
      </c>
      <c r="D2680" s="3">
        <v>127440</v>
      </c>
      <c r="E2680" s="3">
        <v>127440</v>
      </c>
      <c r="F2680" s="2" t="s">
        <v>16</v>
      </c>
      <c r="G2680" s="2" t="s">
        <v>11904</v>
      </c>
      <c r="H2680" s="3">
        <v>0</v>
      </c>
      <c r="I2680" s="2" t="s">
        <v>18</v>
      </c>
      <c r="J2680" s="2" t="s">
        <v>11905</v>
      </c>
      <c r="K2680" s="2" t="s">
        <v>16</v>
      </c>
      <c r="L2680" s="2" t="s">
        <v>11906</v>
      </c>
      <c r="M2680" s="4">
        <v>25336.32</v>
      </c>
      <c r="N2680" t="b">
        <f>OR(LEFT(B2680,3)="frg",(_xlfn.XMATCH(B2680,ZZZ_Part_Id_[[#All],[FGCODE]])))</f>
        <v>1</v>
      </c>
    </row>
    <row r="2681" spans="1:14" x14ac:dyDescent="0.3">
      <c r="A2681" s="2" t="s">
        <v>11907</v>
      </c>
      <c r="B2681" s="2" t="s">
        <v>14</v>
      </c>
      <c r="C2681" s="2" t="s">
        <v>11908</v>
      </c>
      <c r="D2681" s="3">
        <v>10</v>
      </c>
      <c r="E2681" s="3">
        <v>10</v>
      </c>
      <c r="F2681" s="2" t="s">
        <v>16</v>
      </c>
      <c r="G2681" s="2" t="s">
        <v>11909</v>
      </c>
      <c r="H2681" s="3">
        <v>0</v>
      </c>
      <c r="I2681" s="2" t="s">
        <v>18</v>
      </c>
      <c r="J2681" s="2" t="s">
        <v>11910</v>
      </c>
      <c r="K2681" s="2" t="s">
        <v>16</v>
      </c>
      <c r="L2681" s="2" t="s">
        <v>11911</v>
      </c>
      <c r="M2681" s="4">
        <v>0.77</v>
      </c>
      <c r="N2681" t="e">
        <f>OR(LEFT(B2681,3)="frg",(_xlfn.XMATCH(B2681,ZZZ_Part_Id_[[#All],[FGCODE]])))</f>
        <v>#N/A</v>
      </c>
    </row>
    <row r="2682" spans="1:14" x14ac:dyDescent="0.3">
      <c r="A2682" s="2" t="s">
        <v>11907</v>
      </c>
      <c r="B2682" s="2" t="s">
        <v>86</v>
      </c>
      <c r="C2682" s="2" t="s">
        <v>11912</v>
      </c>
      <c r="D2682" s="5">
        <v>-536</v>
      </c>
      <c r="E2682" s="5">
        <v>-536</v>
      </c>
      <c r="F2682" s="2" t="s">
        <v>23</v>
      </c>
      <c r="G2682" s="2" t="s">
        <v>11913</v>
      </c>
      <c r="H2682" s="3">
        <v>0</v>
      </c>
      <c r="I2682" s="2" t="s">
        <v>18</v>
      </c>
      <c r="J2682" s="2" t="s">
        <v>11914</v>
      </c>
      <c r="K2682" s="2" t="s">
        <v>23</v>
      </c>
      <c r="L2682" s="2" t="s">
        <v>11915</v>
      </c>
      <c r="M2682" s="6">
        <v>-1403.14</v>
      </c>
      <c r="N2682" t="b">
        <f>OR(LEFT(B2682,3)="frg",(_xlfn.XMATCH(B2682,ZZZ_Part_Id_[[#All],[FGCODE]])))</f>
        <v>1</v>
      </c>
    </row>
    <row r="2683" spans="1:14" x14ac:dyDescent="0.3">
      <c r="A2683" s="2" t="s">
        <v>11907</v>
      </c>
      <c r="B2683" s="2" t="s">
        <v>11210</v>
      </c>
      <c r="C2683" s="2" t="s">
        <v>11916</v>
      </c>
      <c r="D2683" s="3">
        <v>80640</v>
      </c>
      <c r="E2683" s="3">
        <v>80640</v>
      </c>
      <c r="F2683" s="2" t="s">
        <v>16</v>
      </c>
      <c r="G2683" s="2" t="s">
        <v>11917</v>
      </c>
      <c r="H2683" s="3">
        <v>0</v>
      </c>
      <c r="I2683" s="2" t="s">
        <v>18</v>
      </c>
      <c r="J2683" s="2" t="s">
        <v>11918</v>
      </c>
      <c r="K2683" s="2" t="s">
        <v>16</v>
      </c>
      <c r="L2683" s="2" t="s">
        <v>11919</v>
      </c>
      <c r="M2683" s="4">
        <v>14034.56</v>
      </c>
      <c r="N2683" t="b">
        <f>OR(LEFT(B2683,3)="frg",(_xlfn.XMATCH(B2683,ZZZ_Part_Id_[[#All],[FGCODE]])))</f>
        <v>1</v>
      </c>
    </row>
    <row r="2684" spans="1:14" x14ac:dyDescent="0.3">
      <c r="A2684" s="2" t="s">
        <v>11920</v>
      </c>
      <c r="B2684" s="2" t="s">
        <v>14</v>
      </c>
      <c r="C2684" s="2" t="s">
        <v>11921</v>
      </c>
      <c r="D2684" s="3">
        <v>64</v>
      </c>
      <c r="E2684" s="3">
        <v>64</v>
      </c>
      <c r="F2684" s="2" t="s">
        <v>16</v>
      </c>
      <c r="G2684" s="2" t="s">
        <v>11922</v>
      </c>
      <c r="H2684" s="3">
        <v>0</v>
      </c>
      <c r="I2684" s="2" t="s">
        <v>18</v>
      </c>
      <c r="J2684" s="2" t="s">
        <v>11923</v>
      </c>
      <c r="K2684" s="2" t="s">
        <v>16</v>
      </c>
      <c r="L2684" s="2" t="s">
        <v>11924</v>
      </c>
      <c r="M2684" s="4">
        <v>4.92</v>
      </c>
      <c r="N2684" t="e">
        <f>OR(LEFT(B2684,3)="frg",(_xlfn.XMATCH(B2684,ZZZ_Part_Id_[[#All],[FGCODE]])))</f>
        <v>#N/A</v>
      </c>
    </row>
    <row r="2685" spans="1:14" x14ac:dyDescent="0.3">
      <c r="A2685" s="2" t="s">
        <v>11920</v>
      </c>
      <c r="B2685" s="2" t="s">
        <v>97</v>
      </c>
      <c r="C2685" s="2" t="s">
        <v>11925</v>
      </c>
      <c r="D2685" s="3">
        <v>268800</v>
      </c>
      <c r="E2685" s="3">
        <v>268800</v>
      </c>
      <c r="F2685" s="2" t="s">
        <v>16</v>
      </c>
      <c r="G2685" s="2" t="s">
        <v>11926</v>
      </c>
      <c r="H2685" s="3">
        <v>0</v>
      </c>
      <c r="I2685" s="2" t="s">
        <v>18</v>
      </c>
      <c r="J2685" s="2" t="s">
        <v>11927</v>
      </c>
      <c r="K2685" s="2" t="s">
        <v>16</v>
      </c>
      <c r="L2685" s="2" t="s">
        <v>11928</v>
      </c>
      <c r="M2685" s="4">
        <v>92198.399999999994</v>
      </c>
      <c r="N2685" t="b">
        <f>OR(LEFT(B2685,3)="frg",(_xlfn.XMATCH(B2685,ZZZ_Part_Id_[[#All],[FGCODE]])))</f>
        <v>1</v>
      </c>
    </row>
    <row r="2686" spans="1:14" x14ac:dyDescent="0.3">
      <c r="A2686" s="2" t="s">
        <v>11929</v>
      </c>
      <c r="B2686" s="2" t="s">
        <v>14</v>
      </c>
      <c r="C2686" s="2" t="s">
        <v>11930</v>
      </c>
      <c r="D2686" s="3">
        <v>75</v>
      </c>
      <c r="E2686" s="3">
        <v>75</v>
      </c>
      <c r="F2686" s="2" t="s">
        <v>16</v>
      </c>
      <c r="G2686" s="2" t="s">
        <v>11931</v>
      </c>
      <c r="H2686" s="3">
        <v>0</v>
      </c>
      <c r="I2686" s="2" t="s">
        <v>18</v>
      </c>
      <c r="J2686" s="2" t="s">
        <v>11932</v>
      </c>
      <c r="K2686" s="2" t="s">
        <v>16</v>
      </c>
      <c r="L2686" s="2" t="s">
        <v>11933</v>
      </c>
      <c r="M2686" s="4">
        <v>5.77</v>
      </c>
      <c r="N2686" t="e">
        <f>OR(LEFT(B2686,3)="frg",(_xlfn.XMATCH(B2686,ZZZ_Part_Id_[[#All],[FGCODE]])))</f>
        <v>#N/A</v>
      </c>
    </row>
    <row r="2687" spans="1:14" x14ac:dyDescent="0.3">
      <c r="A2687" s="2" t="s">
        <v>11929</v>
      </c>
      <c r="B2687" s="2" t="s">
        <v>1027</v>
      </c>
      <c r="C2687" s="2" t="s">
        <v>11934</v>
      </c>
      <c r="D2687" s="3">
        <v>382320</v>
      </c>
      <c r="E2687" s="3">
        <v>382320</v>
      </c>
      <c r="F2687" s="2" t="s">
        <v>16</v>
      </c>
      <c r="G2687" s="2" t="s">
        <v>11935</v>
      </c>
      <c r="H2687" s="3">
        <v>0</v>
      </c>
      <c r="I2687" s="2" t="s">
        <v>18</v>
      </c>
      <c r="J2687" s="2" t="s">
        <v>11936</v>
      </c>
      <c r="K2687" s="2" t="s">
        <v>16</v>
      </c>
      <c r="L2687" s="2" t="s">
        <v>11937</v>
      </c>
      <c r="M2687" s="4">
        <v>76972.33</v>
      </c>
      <c r="N2687" t="b">
        <f>OR(LEFT(B2687,3)="frg",(_xlfn.XMATCH(B2687,ZZZ_Part_Id_[[#All],[FGCODE]])))</f>
        <v>1</v>
      </c>
    </row>
    <row r="2688" spans="1:14" x14ac:dyDescent="0.3">
      <c r="A2688" s="2" t="s">
        <v>11938</v>
      </c>
      <c r="B2688" s="2" t="s">
        <v>2086</v>
      </c>
      <c r="C2688" s="2" t="s">
        <v>11939</v>
      </c>
      <c r="D2688" s="3">
        <v>8448</v>
      </c>
      <c r="E2688" s="3">
        <v>8448</v>
      </c>
      <c r="F2688" s="2" t="s">
        <v>16</v>
      </c>
      <c r="G2688" s="2" t="s">
        <v>11940</v>
      </c>
      <c r="H2688" s="3">
        <v>0</v>
      </c>
      <c r="I2688" s="2" t="s">
        <v>18</v>
      </c>
      <c r="J2688" s="2" t="s">
        <v>11941</v>
      </c>
      <c r="K2688" s="2" t="s">
        <v>16</v>
      </c>
      <c r="L2688" s="2" t="s">
        <v>11942</v>
      </c>
      <c r="M2688" s="4">
        <v>1983.92</v>
      </c>
      <c r="N2688" t="b">
        <f>OR(LEFT(B2688,3)="frg",(_xlfn.XMATCH(B2688,ZZZ_Part_Id_[[#All],[FGCODE]])))</f>
        <v>1</v>
      </c>
    </row>
    <row r="2689" spans="1:14" x14ac:dyDescent="0.3">
      <c r="A2689" s="2" t="s">
        <v>11943</v>
      </c>
      <c r="B2689" s="2" t="s">
        <v>517</v>
      </c>
      <c r="C2689" s="2" t="s">
        <v>11944</v>
      </c>
      <c r="D2689" s="3">
        <v>463680</v>
      </c>
      <c r="E2689" s="3">
        <v>463680</v>
      </c>
      <c r="F2689" s="2" t="s">
        <v>16</v>
      </c>
      <c r="G2689" s="2" t="s">
        <v>11945</v>
      </c>
      <c r="H2689" s="3">
        <v>0</v>
      </c>
      <c r="I2689" s="2" t="s">
        <v>18</v>
      </c>
      <c r="J2689" s="2" t="s">
        <v>11946</v>
      </c>
      <c r="K2689" s="2" t="s">
        <v>16</v>
      </c>
      <c r="L2689" s="2" t="s">
        <v>11947</v>
      </c>
      <c r="M2689" s="4">
        <v>84362.15</v>
      </c>
      <c r="N2689" t="b">
        <f>OR(LEFT(B2689,3)="frg",(_xlfn.XMATCH(B2689,ZZZ_Part_Id_[[#All],[FGCODE]])))</f>
        <v>1</v>
      </c>
    </row>
    <row r="2690" spans="1:14" x14ac:dyDescent="0.3">
      <c r="A2690" s="2" t="s">
        <v>11948</v>
      </c>
      <c r="B2690" s="2" t="s">
        <v>14</v>
      </c>
      <c r="C2690" s="2" t="s">
        <v>11949</v>
      </c>
      <c r="D2690" s="3">
        <v>95</v>
      </c>
      <c r="E2690" s="3">
        <v>95</v>
      </c>
      <c r="F2690" s="2" t="s">
        <v>16</v>
      </c>
      <c r="G2690" s="2" t="s">
        <v>11950</v>
      </c>
      <c r="H2690" s="3">
        <v>0</v>
      </c>
      <c r="I2690" s="2" t="s">
        <v>18</v>
      </c>
      <c r="J2690" s="2" t="s">
        <v>11951</v>
      </c>
      <c r="K2690" s="2" t="s">
        <v>16</v>
      </c>
      <c r="L2690" s="2" t="s">
        <v>11952</v>
      </c>
      <c r="M2690" s="4">
        <v>7.31</v>
      </c>
      <c r="N2690" t="e">
        <f>OR(LEFT(B2690,3)="frg",(_xlfn.XMATCH(B2690,ZZZ_Part_Id_[[#All],[FGCODE]])))</f>
        <v>#N/A</v>
      </c>
    </row>
    <row r="2691" spans="1:14" x14ac:dyDescent="0.3">
      <c r="A2691" s="2" t="s">
        <v>11948</v>
      </c>
      <c r="B2691" s="2" t="s">
        <v>97</v>
      </c>
      <c r="C2691" s="2" t="s">
        <v>11953</v>
      </c>
      <c r="D2691" s="3">
        <v>379200</v>
      </c>
      <c r="E2691" s="3">
        <v>379200</v>
      </c>
      <c r="F2691" s="2" t="s">
        <v>16</v>
      </c>
      <c r="G2691" s="2" t="s">
        <v>11954</v>
      </c>
      <c r="H2691" s="3">
        <v>0</v>
      </c>
      <c r="I2691" s="2" t="s">
        <v>18</v>
      </c>
      <c r="J2691" s="2" t="s">
        <v>11955</v>
      </c>
      <c r="K2691" s="2" t="s">
        <v>16</v>
      </c>
      <c r="L2691" s="2" t="s">
        <v>11956</v>
      </c>
      <c r="M2691" s="4">
        <v>130065.60000000001</v>
      </c>
      <c r="N2691" t="b">
        <f>OR(LEFT(B2691,3)="frg",(_xlfn.XMATCH(B2691,ZZZ_Part_Id_[[#All],[FGCODE]])))</f>
        <v>1</v>
      </c>
    </row>
    <row r="2692" spans="1:14" x14ac:dyDescent="0.3">
      <c r="A2692" s="2" t="s">
        <v>11957</v>
      </c>
      <c r="B2692" s="2" t="s">
        <v>14</v>
      </c>
      <c r="C2692" s="2" t="s">
        <v>11958</v>
      </c>
      <c r="D2692" s="3">
        <v>140</v>
      </c>
      <c r="E2692" s="3">
        <v>140</v>
      </c>
      <c r="F2692" s="2" t="s">
        <v>16</v>
      </c>
      <c r="G2692" s="2" t="s">
        <v>11959</v>
      </c>
      <c r="H2692" s="3">
        <v>0</v>
      </c>
      <c r="I2692" s="2" t="s">
        <v>18</v>
      </c>
      <c r="J2692" s="2" t="s">
        <v>11960</v>
      </c>
      <c r="K2692" s="2" t="s">
        <v>16</v>
      </c>
      <c r="L2692" s="2" t="s">
        <v>11961</v>
      </c>
      <c r="M2692" s="4">
        <v>10.77</v>
      </c>
      <c r="N2692" t="e">
        <f>OR(LEFT(B2692,3)="frg",(_xlfn.XMATCH(B2692,ZZZ_Part_Id_[[#All],[FGCODE]])))</f>
        <v>#N/A</v>
      </c>
    </row>
    <row r="2693" spans="1:14" x14ac:dyDescent="0.3">
      <c r="A2693" s="2" t="s">
        <v>11957</v>
      </c>
      <c r="B2693" s="2" t="s">
        <v>1027</v>
      </c>
      <c r="C2693" s="2" t="s">
        <v>11962</v>
      </c>
      <c r="D2693" s="3">
        <v>637200</v>
      </c>
      <c r="E2693" s="3">
        <v>637200</v>
      </c>
      <c r="F2693" s="2" t="s">
        <v>16</v>
      </c>
      <c r="G2693" s="2" t="s">
        <v>11963</v>
      </c>
      <c r="H2693" s="3">
        <v>0</v>
      </c>
      <c r="I2693" s="2" t="s">
        <v>18</v>
      </c>
      <c r="J2693" s="2" t="s">
        <v>11964</v>
      </c>
      <c r="K2693" s="2" t="s">
        <v>16</v>
      </c>
      <c r="L2693" s="2" t="s">
        <v>11965</v>
      </c>
      <c r="M2693" s="4">
        <v>128287.2</v>
      </c>
      <c r="N2693" t="b">
        <f>OR(LEFT(B2693,3)="frg",(_xlfn.XMATCH(B2693,ZZZ_Part_Id_[[#All],[FGCODE]])))</f>
        <v>1</v>
      </c>
    </row>
    <row r="2694" spans="1:14" x14ac:dyDescent="0.3">
      <c r="A2694" s="2" t="s">
        <v>11966</v>
      </c>
      <c r="B2694" s="2" t="s">
        <v>517</v>
      </c>
      <c r="C2694" s="2" t="s">
        <v>11967</v>
      </c>
      <c r="D2694" s="3">
        <v>282240</v>
      </c>
      <c r="E2694" s="3">
        <v>282240</v>
      </c>
      <c r="F2694" s="2" t="s">
        <v>16</v>
      </c>
      <c r="G2694" s="2" t="s">
        <v>11968</v>
      </c>
      <c r="H2694" s="3">
        <v>0</v>
      </c>
      <c r="I2694" s="2" t="s">
        <v>18</v>
      </c>
      <c r="J2694" s="2" t="s">
        <v>11969</v>
      </c>
      <c r="K2694" s="2" t="s">
        <v>16</v>
      </c>
      <c r="L2694" s="2" t="s">
        <v>11970</v>
      </c>
      <c r="M2694" s="4">
        <v>51350.879999999997</v>
      </c>
      <c r="N2694" t="b">
        <f>OR(LEFT(B2694,3)="frg",(_xlfn.XMATCH(B2694,ZZZ_Part_Id_[[#All],[FGCODE]])))</f>
        <v>1</v>
      </c>
    </row>
    <row r="2695" spans="1:14" x14ac:dyDescent="0.3">
      <c r="A2695" s="2" t="s">
        <v>11971</v>
      </c>
      <c r="B2695" s="2" t="s">
        <v>14</v>
      </c>
      <c r="C2695" s="2" t="s">
        <v>11972</v>
      </c>
      <c r="D2695" s="3">
        <v>40</v>
      </c>
      <c r="E2695" s="3">
        <v>40</v>
      </c>
      <c r="F2695" s="2" t="s">
        <v>16</v>
      </c>
      <c r="G2695" s="2" t="s">
        <v>11973</v>
      </c>
      <c r="H2695" s="3">
        <v>0</v>
      </c>
      <c r="I2695" s="2" t="s">
        <v>18</v>
      </c>
      <c r="J2695" s="2" t="s">
        <v>11974</v>
      </c>
      <c r="K2695" s="2" t="s">
        <v>16</v>
      </c>
      <c r="L2695" s="2" t="s">
        <v>11975</v>
      </c>
      <c r="M2695" s="4">
        <v>3.08</v>
      </c>
      <c r="N2695" t="e">
        <f>OR(LEFT(B2695,3)="frg",(_xlfn.XMATCH(B2695,ZZZ_Part_Id_[[#All],[FGCODE]])))</f>
        <v>#N/A</v>
      </c>
    </row>
    <row r="2696" spans="1:14" x14ac:dyDescent="0.3">
      <c r="A2696" s="2" t="s">
        <v>11971</v>
      </c>
      <c r="B2696" s="2" t="s">
        <v>11332</v>
      </c>
      <c r="C2696" s="2" t="s">
        <v>11976</v>
      </c>
      <c r="D2696" s="3">
        <v>516000</v>
      </c>
      <c r="E2696" s="3">
        <v>516000</v>
      </c>
      <c r="F2696" s="2" t="s">
        <v>16</v>
      </c>
      <c r="G2696" s="2" t="s">
        <v>11977</v>
      </c>
      <c r="H2696" s="3">
        <v>0</v>
      </c>
      <c r="I2696" s="2" t="s">
        <v>18</v>
      </c>
      <c r="J2696" s="2" t="s">
        <v>11978</v>
      </c>
      <c r="K2696" s="2" t="s">
        <v>16</v>
      </c>
      <c r="L2696" s="2" t="s">
        <v>11979</v>
      </c>
      <c r="M2696" s="4">
        <v>41718.65</v>
      </c>
      <c r="N2696" t="b">
        <f>OR(LEFT(B2696,3)="frg",(_xlfn.XMATCH(B2696,ZZZ_Part_Id_[[#All],[FGCODE]])))</f>
        <v>1</v>
      </c>
    </row>
    <row r="2697" spans="1:14" x14ac:dyDescent="0.3">
      <c r="A2697" s="2" t="s">
        <v>11971</v>
      </c>
      <c r="B2697" s="2" t="s">
        <v>11332</v>
      </c>
      <c r="C2697" s="2" t="s">
        <v>11980</v>
      </c>
      <c r="D2697" s="3">
        <v>6000</v>
      </c>
      <c r="E2697" s="3">
        <v>6000</v>
      </c>
      <c r="F2697" s="2" t="s">
        <v>16</v>
      </c>
      <c r="G2697" s="2" t="s">
        <v>131</v>
      </c>
      <c r="H2697" s="3">
        <v>0</v>
      </c>
      <c r="I2697" s="2" t="s">
        <v>18</v>
      </c>
      <c r="J2697" s="2" t="s">
        <v>11981</v>
      </c>
      <c r="K2697" s="2" t="s">
        <v>16</v>
      </c>
      <c r="L2697" s="2" t="s">
        <v>11982</v>
      </c>
      <c r="M2697" s="4">
        <v>485.1</v>
      </c>
      <c r="N2697" t="b">
        <f>OR(LEFT(B2697,3)="frg",(_xlfn.XMATCH(B2697,ZZZ_Part_Id_[[#All],[FGCODE]])))</f>
        <v>1</v>
      </c>
    </row>
    <row r="2698" spans="1:14" x14ac:dyDescent="0.3">
      <c r="A2698" s="2" t="s">
        <v>11971</v>
      </c>
      <c r="B2698" s="2" t="s">
        <v>86</v>
      </c>
      <c r="C2698" s="2" t="s">
        <v>11983</v>
      </c>
      <c r="D2698" s="5">
        <v>-230</v>
      </c>
      <c r="E2698" s="5">
        <v>-230</v>
      </c>
      <c r="F2698" s="2" t="s">
        <v>23</v>
      </c>
      <c r="G2698" s="2" t="s">
        <v>131</v>
      </c>
      <c r="H2698" s="3">
        <v>0</v>
      </c>
      <c r="I2698" s="2" t="s">
        <v>18</v>
      </c>
      <c r="J2698" s="2" t="s">
        <v>11984</v>
      </c>
      <c r="K2698" s="2" t="s">
        <v>23</v>
      </c>
      <c r="L2698" s="2" t="s">
        <v>11985</v>
      </c>
      <c r="M2698" s="6">
        <v>-602.09</v>
      </c>
      <c r="N2698" t="b">
        <f>OR(LEFT(B2698,3)="frg",(_xlfn.XMATCH(B2698,ZZZ_Part_Id_[[#All],[FGCODE]])))</f>
        <v>1</v>
      </c>
    </row>
    <row r="2699" spans="1:14" x14ac:dyDescent="0.3">
      <c r="A2699" s="2" t="s">
        <v>11971</v>
      </c>
      <c r="B2699" s="2" t="s">
        <v>86</v>
      </c>
      <c r="C2699" s="2" t="s">
        <v>11986</v>
      </c>
      <c r="D2699" s="5">
        <v>-230</v>
      </c>
      <c r="E2699" s="5">
        <v>-230</v>
      </c>
      <c r="F2699" s="2" t="s">
        <v>23</v>
      </c>
      <c r="G2699" s="2" t="s">
        <v>131</v>
      </c>
      <c r="H2699" s="3">
        <v>0</v>
      </c>
      <c r="I2699" s="2" t="s">
        <v>18</v>
      </c>
      <c r="J2699" s="2" t="s">
        <v>11987</v>
      </c>
      <c r="K2699" s="2" t="s">
        <v>23</v>
      </c>
      <c r="L2699" s="2" t="s">
        <v>11988</v>
      </c>
      <c r="M2699" s="6">
        <v>-602.09</v>
      </c>
      <c r="N2699" t="b">
        <f>OR(LEFT(B2699,3)="frg",(_xlfn.XMATCH(B2699,ZZZ_Part_Id_[[#All],[FGCODE]])))</f>
        <v>1</v>
      </c>
    </row>
    <row r="2700" spans="1:14" x14ac:dyDescent="0.3">
      <c r="A2700" s="2" t="s">
        <v>11989</v>
      </c>
      <c r="B2700" s="2" t="s">
        <v>14</v>
      </c>
      <c r="C2700" s="2" t="s">
        <v>11990</v>
      </c>
      <c r="D2700" s="3">
        <v>64</v>
      </c>
      <c r="E2700" s="3">
        <v>64</v>
      </c>
      <c r="F2700" s="2" t="s">
        <v>16</v>
      </c>
      <c r="G2700" s="2" t="s">
        <v>11991</v>
      </c>
      <c r="H2700" s="3">
        <v>0</v>
      </c>
      <c r="I2700" s="2" t="s">
        <v>18</v>
      </c>
      <c r="J2700" s="2" t="s">
        <v>11992</v>
      </c>
      <c r="K2700" s="2" t="s">
        <v>16</v>
      </c>
      <c r="L2700" s="2" t="s">
        <v>11993</v>
      </c>
      <c r="M2700" s="4">
        <v>4.92</v>
      </c>
      <c r="N2700" t="e">
        <f>OR(LEFT(B2700,3)="frg",(_xlfn.XMATCH(B2700,ZZZ_Part_Id_[[#All],[FGCODE]])))</f>
        <v>#N/A</v>
      </c>
    </row>
    <row r="2701" spans="1:14" x14ac:dyDescent="0.3">
      <c r="A2701" s="2" t="s">
        <v>11989</v>
      </c>
      <c r="B2701" s="2" t="s">
        <v>5357</v>
      </c>
      <c r="C2701" s="2" t="s">
        <v>11994</v>
      </c>
      <c r="D2701" s="3">
        <v>404064</v>
      </c>
      <c r="E2701" s="3">
        <v>404064</v>
      </c>
      <c r="F2701" s="2" t="s">
        <v>16</v>
      </c>
      <c r="G2701" s="2" t="s">
        <v>11995</v>
      </c>
      <c r="H2701" s="3">
        <v>0</v>
      </c>
      <c r="I2701" s="2" t="s">
        <v>18</v>
      </c>
      <c r="J2701" s="2" t="s">
        <v>11996</v>
      </c>
      <c r="K2701" s="2" t="s">
        <v>16</v>
      </c>
      <c r="L2701" s="2" t="s">
        <v>11997</v>
      </c>
      <c r="M2701" s="4">
        <v>120629.33</v>
      </c>
      <c r="N2701" t="b">
        <f>OR(LEFT(B2701,3)="frg",(_xlfn.XMATCH(B2701,ZZZ_Part_Id_[[#All],[FGCODE]])))</f>
        <v>1</v>
      </c>
    </row>
    <row r="2702" spans="1:14" x14ac:dyDescent="0.3">
      <c r="A2702" s="2" t="s">
        <v>11998</v>
      </c>
      <c r="B2702" s="2" t="s">
        <v>517</v>
      </c>
      <c r="C2702" s="2" t="s">
        <v>11999</v>
      </c>
      <c r="D2702" s="3">
        <v>201600</v>
      </c>
      <c r="E2702" s="3">
        <v>201600</v>
      </c>
      <c r="F2702" s="2" t="s">
        <v>16</v>
      </c>
      <c r="G2702" s="2" t="s">
        <v>12000</v>
      </c>
      <c r="H2702" s="3">
        <v>0</v>
      </c>
      <c r="I2702" s="2" t="s">
        <v>18</v>
      </c>
      <c r="J2702" s="2" t="s">
        <v>12001</v>
      </c>
      <c r="K2702" s="2" t="s">
        <v>16</v>
      </c>
      <c r="L2702" s="2" t="s">
        <v>12002</v>
      </c>
      <c r="M2702" s="4">
        <v>36679.199999999997</v>
      </c>
      <c r="N2702" t="b">
        <f>OR(LEFT(B2702,3)="frg",(_xlfn.XMATCH(B2702,ZZZ_Part_Id_[[#All],[FGCODE]])))</f>
        <v>1</v>
      </c>
    </row>
    <row r="2703" spans="1:14" x14ac:dyDescent="0.3">
      <c r="A2703" s="2" t="s">
        <v>12003</v>
      </c>
      <c r="B2703" s="2" t="s">
        <v>14</v>
      </c>
      <c r="C2703" s="2" t="s">
        <v>12004</v>
      </c>
      <c r="D2703" s="3">
        <v>40</v>
      </c>
      <c r="E2703" s="3">
        <v>40</v>
      </c>
      <c r="F2703" s="2" t="s">
        <v>16</v>
      </c>
      <c r="G2703" s="2" t="s">
        <v>12005</v>
      </c>
      <c r="H2703" s="3">
        <v>0</v>
      </c>
      <c r="I2703" s="2" t="s">
        <v>18</v>
      </c>
      <c r="J2703" s="2" t="s">
        <v>12006</v>
      </c>
      <c r="K2703" s="2" t="s">
        <v>16</v>
      </c>
      <c r="L2703" s="2" t="s">
        <v>12007</v>
      </c>
      <c r="M2703" s="4">
        <v>3.08</v>
      </c>
      <c r="N2703" t="e">
        <f>OR(LEFT(B2703,3)="frg",(_xlfn.XMATCH(B2703,ZZZ_Part_Id_[[#All],[FGCODE]])))</f>
        <v>#N/A</v>
      </c>
    </row>
    <row r="2704" spans="1:14" x14ac:dyDescent="0.3">
      <c r="A2704" s="2" t="s">
        <v>12003</v>
      </c>
      <c r="B2704" s="2" t="s">
        <v>97</v>
      </c>
      <c r="C2704" s="2" t="s">
        <v>12008</v>
      </c>
      <c r="D2704" s="3">
        <v>153600</v>
      </c>
      <c r="E2704" s="3">
        <v>153600</v>
      </c>
      <c r="F2704" s="2" t="s">
        <v>16</v>
      </c>
      <c r="G2704" s="2" t="s">
        <v>12009</v>
      </c>
      <c r="H2704" s="3">
        <v>0</v>
      </c>
      <c r="I2704" s="2" t="s">
        <v>18</v>
      </c>
      <c r="J2704" s="2" t="s">
        <v>12010</v>
      </c>
      <c r="K2704" s="2" t="s">
        <v>16</v>
      </c>
      <c r="L2704" s="2" t="s">
        <v>12011</v>
      </c>
      <c r="M2704" s="4">
        <v>52684.800000000003</v>
      </c>
      <c r="N2704" t="b">
        <f>OR(LEFT(B2704,3)="frg",(_xlfn.XMATCH(B2704,ZZZ_Part_Id_[[#All],[FGCODE]])))</f>
        <v>1</v>
      </c>
    </row>
    <row r="2705" spans="1:14" x14ac:dyDescent="0.3">
      <c r="A2705" s="2" t="s">
        <v>12012</v>
      </c>
      <c r="B2705" s="2" t="s">
        <v>517</v>
      </c>
      <c r="C2705" s="2" t="s">
        <v>12013</v>
      </c>
      <c r="D2705" s="3">
        <v>20160</v>
      </c>
      <c r="E2705" s="3">
        <v>20160</v>
      </c>
      <c r="F2705" s="2" t="s">
        <v>16</v>
      </c>
      <c r="G2705" s="2" t="s">
        <v>12014</v>
      </c>
      <c r="H2705" s="3">
        <v>0</v>
      </c>
      <c r="I2705" s="2" t="s">
        <v>18</v>
      </c>
      <c r="J2705" s="2" t="s">
        <v>12015</v>
      </c>
      <c r="K2705" s="2" t="s">
        <v>16</v>
      </c>
      <c r="L2705" s="2" t="s">
        <v>12016</v>
      </c>
      <c r="M2705" s="4">
        <v>3667.92</v>
      </c>
      <c r="N2705" t="b">
        <f>OR(LEFT(B2705,3)="frg",(_xlfn.XMATCH(B2705,ZZZ_Part_Id_[[#All],[FGCODE]])))</f>
        <v>1</v>
      </c>
    </row>
    <row r="2706" spans="1:14" x14ac:dyDescent="0.3">
      <c r="A2706" s="2" t="s">
        <v>12017</v>
      </c>
      <c r="B2706" s="2" t="s">
        <v>14</v>
      </c>
      <c r="C2706" s="2" t="s">
        <v>12018</v>
      </c>
      <c r="D2706" s="3">
        <v>16</v>
      </c>
      <c r="E2706" s="3">
        <v>16</v>
      </c>
      <c r="F2706" s="2" t="s">
        <v>16</v>
      </c>
      <c r="G2706" s="2" t="s">
        <v>12019</v>
      </c>
      <c r="H2706" s="3">
        <v>0</v>
      </c>
      <c r="I2706" s="2" t="s">
        <v>18</v>
      </c>
      <c r="J2706" s="2" t="s">
        <v>12020</v>
      </c>
      <c r="K2706" s="2" t="s">
        <v>16</v>
      </c>
      <c r="L2706" s="2" t="s">
        <v>12021</v>
      </c>
      <c r="M2706" s="4">
        <v>1.23</v>
      </c>
      <c r="N2706" t="e">
        <f>OR(LEFT(B2706,3)="frg",(_xlfn.XMATCH(B2706,ZZZ_Part_Id_[[#All],[FGCODE]])))</f>
        <v>#N/A</v>
      </c>
    </row>
    <row r="2707" spans="1:14" x14ac:dyDescent="0.3">
      <c r="A2707" s="2" t="s">
        <v>12017</v>
      </c>
      <c r="B2707" s="2" t="s">
        <v>37</v>
      </c>
      <c r="C2707" s="2" t="s">
        <v>12022</v>
      </c>
      <c r="D2707" s="3">
        <v>16</v>
      </c>
      <c r="E2707" s="3">
        <v>16</v>
      </c>
      <c r="F2707" s="2" t="s">
        <v>16</v>
      </c>
      <c r="G2707" s="2" t="s">
        <v>12023</v>
      </c>
      <c r="H2707" s="3">
        <v>0</v>
      </c>
      <c r="I2707" s="2" t="s">
        <v>18</v>
      </c>
      <c r="J2707" s="2" t="s">
        <v>12024</v>
      </c>
      <c r="K2707" s="2" t="s">
        <v>16</v>
      </c>
      <c r="L2707" s="2" t="s">
        <v>12025</v>
      </c>
      <c r="M2707" s="4">
        <v>256</v>
      </c>
      <c r="N2707" t="e">
        <f>OR(LEFT(B2707,3)="frg",(_xlfn.XMATCH(B2707,ZZZ_Part_Id_[[#All],[FGCODE]])))</f>
        <v>#N/A</v>
      </c>
    </row>
    <row r="2708" spans="1:14" x14ac:dyDescent="0.3">
      <c r="A2708" s="2" t="s">
        <v>12017</v>
      </c>
      <c r="B2708" s="2" t="s">
        <v>11241</v>
      </c>
      <c r="C2708" s="2" t="s">
        <v>12026</v>
      </c>
      <c r="D2708" s="3">
        <v>406080</v>
      </c>
      <c r="E2708" s="3">
        <v>406080</v>
      </c>
      <c r="F2708" s="2" t="s">
        <v>16</v>
      </c>
      <c r="G2708" s="2" t="s">
        <v>12027</v>
      </c>
      <c r="H2708" s="3">
        <v>0</v>
      </c>
      <c r="I2708" s="2" t="s">
        <v>18</v>
      </c>
      <c r="J2708" s="2" t="s">
        <v>12028</v>
      </c>
      <c r="K2708" s="2" t="s">
        <v>16</v>
      </c>
      <c r="L2708" s="2" t="s">
        <v>12029</v>
      </c>
      <c r="M2708" s="4">
        <v>25095.68</v>
      </c>
      <c r="N2708" t="b">
        <f>OR(LEFT(B2708,3)="frg",(_xlfn.XMATCH(B2708,ZZZ_Part_Id_[[#All],[FGCODE]])))</f>
        <v>1</v>
      </c>
    </row>
    <row r="2709" spans="1:14" x14ac:dyDescent="0.3">
      <c r="A2709" s="2" t="s">
        <v>12030</v>
      </c>
      <c r="B2709" s="2" t="s">
        <v>14</v>
      </c>
      <c r="C2709" s="2" t="s">
        <v>12031</v>
      </c>
      <c r="D2709" s="3">
        <v>10</v>
      </c>
      <c r="E2709" s="3">
        <v>10</v>
      </c>
      <c r="F2709" s="2" t="s">
        <v>16</v>
      </c>
      <c r="G2709" s="2" t="s">
        <v>12032</v>
      </c>
      <c r="H2709" s="3">
        <v>0</v>
      </c>
      <c r="I2709" s="2" t="s">
        <v>409</v>
      </c>
      <c r="J2709" s="2" t="s">
        <v>12033</v>
      </c>
      <c r="K2709" s="2" t="s">
        <v>16</v>
      </c>
      <c r="L2709" s="2" t="s">
        <v>12034</v>
      </c>
      <c r="M2709" s="4">
        <v>0.77</v>
      </c>
      <c r="N2709" t="e">
        <f>OR(LEFT(B2709,3)="frg",(_xlfn.XMATCH(B2709,ZZZ_Part_Id_[[#All],[FGCODE]])))</f>
        <v>#N/A</v>
      </c>
    </row>
    <row r="2710" spans="1:14" x14ac:dyDescent="0.3">
      <c r="A2710" s="2" t="s">
        <v>12030</v>
      </c>
      <c r="B2710" s="2" t="s">
        <v>65</v>
      </c>
      <c r="C2710" s="2" t="s">
        <v>12035</v>
      </c>
      <c r="D2710" s="5">
        <v>-285</v>
      </c>
      <c r="E2710" s="5">
        <v>-285</v>
      </c>
      <c r="F2710" s="2" t="s">
        <v>23</v>
      </c>
      <c r="G2710" s="2" t="s">
        <v>12036</v>
      </c>
      <c r="H2710" s="3">
        <v>0</v>
      </c>
      <c r="I2710" s="2" t="s">
        <v>409</v>
      </c>
      <c r="J2710" s="2" t="s">
        <v>12037</v>
      </c>
      <c r="K2710" s="2" t="s">
        <v>23</v>
      </c>
      <c r="L2710" s="2" t="s">
        <v>12038</v>
      </c>
      <c r="M2710" s="6">
        <v>-732.91</v>
      </c>
      <c r="N2710" t="b">
        <f>OR(LEFT(B2710,3)="frg",(_xlfn.XMATCH(B2710,ZZZ_Part_Id_[[#All],[FGCODE]])))</f>
        <v>1</v>
      </c>
    </row>
    <row r="2711" spans="1:14" x14ac:dyDescent="0.3">
      <c r="A2711" s="2" t="s">
        <v>12030</v>
      </c>
      <c r="B2711" s="2" t="s">
        <v>6250</v>
      </c>
      <c r="C2711" s="2" t="s">
        <v>12039</v>
      </c>
      <c r="D2711" s="3">
        <v>148992</v>
      </c>
      <c r="E2711" s="3">
        <v>148992</v>
      </c>
      <c r="F2711" s="2" t="s">
        <v>16</v>
      </c>
      <c r="G2711" s="2" t="s">
        <v>12040</v>
      </c>
      <c r="H2711" s="3">
        <v>0</v>
      </c>
      <c r="I2711" s="2" t="s">
        <v>409</v>
      </c>
      <c r="J2711" s="2" t="s">
        <v>12041</v>
      </c>
      <c r="K2711" s="2" t="s">
        <v>16</v>
      </c>
      <c r="L2711" s="2" t="s">
        <v>12042</v>
      </c>
      <c r="M2711" s="4">
        <v>17204.080000000002</v>
      </c>
      <c r="N2711" t="b">
        <f>OR(LEFT(B2711,3)="frg",(_xlfn.XMATCH(B2711,ZZZ_Part_Id_[[#All],[FGCODE]])))</f>
        <v>1</v>
      </c>
    </row>
    <row r="2712" spans="1:14" x14ac:dyDescent="0.3">
      <c r="A2712" s="2" t="s">
        <v>12043</v>
      </c>
      <c r="B2712" s="2" t="s">
        <v>37</v>
      </c>
      <c r="C2712" s="2" t="s">
        <v>12044</v>
      </c>
      <c r="D2712" s="3">
        <v>4</v>
      </c>
      <c r="E2712" s="3">
        <v>4</v>
      </c>
      <c r="F2712" s="2" t="s">
        <v>16</v>
      </c>
      <c r="G2712" s="2" t="s">
        <v>12045</v>
      </c>
      <c r="H2712" s="3">
        <v>0</v>
      </c>
      <c r="I2712" s="2" t="s">
        <v>18</v>
      </c>
      <c r="J2712" s="2" t="s">
        <v>12046</v>
      </c>
      <c r="K2712" s="2" t="s">
        <v>16</v>
      </c>
      <c r="L2712" s="2" t="s">
        <v>12047</v>
      </c>
      <c r="M2712" s="4">
        <v>64</v>
      </c>
      <c r="N2712" t="e">
        <f>OR(LEFT(B2712,3)="frg",(_xlfn.XMATCH(B2712,ZZZ_Part_Id_[[#All],[FGCODE]])))</f>
        <v>#N/A</v>
      </c>
    </row>
    <row r="2713" spans="1:14" x14ac:dyDescent="0.3">
      <c r="A2713" s="2" t="s">
        <v>12043</v>
      </c>
      <c r="B2713" s="2" t="s">
        <v>97</v>
      </c>
      <c r="C2713" s="2" t="s">
        <v>12048</v>
      </c>
      <c r="D2713" s="3">
        <v>19200</v>
      </c>
      <c r="E2713" s="3">
        <v>19200</v>
      </c>
      <c r="F2713" s="2" t="s">
        <v>16</v>
      </c>
      <c r="G2713" s="2" t="s">
        <v>12049</v>
      </c>
      <c r="H2713" s="3">
        <v>0</v>
      </c>
      <c r="I2713" s="2" t="s">
        <v>18</v>
      </c>
      <c r="J2713" s="2" t="s">
        <v>12050</v>
      </c>
      <c r="K2713" s="2" t="s">
        <v>16</v>
      </c>
      <c r="L2713" s="2" t="s">
        <v>12051</v>
      </c>
      <c r="M2713" s="4">
        <v>6585.6</v>
      </c>
      <c r="N2713" t="b">
        <f>OR(LEFT(B2713,3)="frg",(_xlfn.XMATCH(B2713,ZZZ_Part_Id_[[#All],[FGCODE]])))</f>
        <v>1</v>
      </c>
    </row>
    <row r="2714" spans="1:14" x14ac:dyDescent="0.3">
      <c r="A2714" s="2" t="s">
        <v>12052</v>
      </c>
      <c r="B2714" s="2" t="s">
        <v>5357</v>
      </c>
      <c r="C2714" s="2" t="s">
        <v>12053</v>
      </c>
      <c r="D2714" s="3">
        <v>231840</v>
      </c>
      <c r="E2714" s="3">
        <v>231840</v>
      </c>
      <c r="F2714" s="2" t="s">
        <v>16</v>
      </c>
      <c r="G2714" s="2" t="s">
        <v>12054</v>
      </c>
      <c r="H2714" s="3">
        <v>0</v>
      </c>
      <c r="I2714" s="2" t="s">
        <v>409</v>
      </c>
      <c r="J2714" s="2" t="s">
        <v>12055</v>
      </c>
      <c r="K2714" s="2" t="s">
        <v>16</v>
      </c>
      <c r="L2714" s="2" t="s">
        <v>12056</v>
      </c>
      <c r="M2714" s="4">
        <v>69213.55</v>
      </c>
      <c r="N2714" t="b">
        <f>OR(LEFT(B2714,3)="frg",(_xlfn.XMATCH(B2714,ZZZ_Part_Id_[[#All],[FGCODE]])))</f>
        <v>1</v>
      </c>
    </row>
    <row r="2715" spans="1:14" x14ac:dyDescent="0.3">
      <c r="A2715" s="2" t="s">
        <v>12057</v>
      </c>
      <c r="B2715" s="2" t="s">
        <v>37</v>
      </c>
      <c r="C2715" s="2" t="s">
        <v>12058</v>
      </c>
      <c r="D2715" s="3">
        <v>14</v>
      </c>
      <c r="E2715" s="3">
        <v>14</v>
      </c>
      <c r="F2715" s="2" t="s">
        <v>16</v>
      </c>
      <c r="G2715" s="2" t="s">
        <v>12059</v>
      </c>
      <c r="H2715" s="3">
        <v>0</v>
      </c>
      <c r="I2715" s="2" t="s">
        <v>18</v>
      </c>
      <c r="J2715" s="2" t="s">
        <v>12060</v>
      </c>
      <c r="K2715" s="2" t="s">
        <v>16</v>
      </c>
      <c r="L2715" s="2" t="s">
        <v>12061</v>
      </c>
      <c r="M2715" s="4">
        <v>224</v>
      </c>
      <c r="N2715" t="e">
        <f>OR(LEFT(B2715,3)="frg",(_xlfn.XMATCH(B2715,ZZZ_Part_Id_[[#All],[FGCODE]])))</f>
        <v>#N/A</v>
      </c>
    </row>
    <row r="2716" spans="1:14" x14ac:dyDescent="0.3">
      <c r="A2716" s="2" t="s">
        <v>12057</v>
      </c>
      <c r="B2716" s="2" t="s">
        <v>65</v>
      </c>
      <c r="C2716" s="2" t="s">
        <v>12062</v>
      </c>
      <c r="D2716" s="5">
        <v>-249</v>
      </c>
      <c r="E2716" s="5">
        <v>-249</v>
      </c>
      <c r="F2716" s="2" t="s">
        <v>23</v>
      </c>
      <c r="G2716" s="2" t="s">
        <v>12063</v>
      </c>
      <c r="H2716" s="3">
        <v>0</v>
      </c>
      <c r="I2716" s="2" t="s">
        <v>18</v>
      </c>
      <c r="J2716" s="2" t="s">
        <v>12064</v>
      </c>
      <c r="K2716" s="2" t="s">
        <v>23</v>
      </c>
      <c r="L2716" s="2" t="s">
        <v>12065</v>
      </c>
      <c r="M2716" s="6">
        <v>-640.33000000000004</v>
      </c>
      <c r="N2716" t="b">
        <f>OR(LEFT(B2716,3)="frg",(_xlfn.XMATCH(B2716,ZZZ_Part_Id_[[#All],[FGCODE]])))</f>
        <v>1</v>
      </c>
    </row>
    <row r="2717" spans="1:14" x14ac:dyDescent="0.3">
      <c r="A2717" s="2" t="s">
        <v>12057</v>
      </c>
      <c r="B2717" s="2" t="s">
        <v>97</v>
      </c>
      <c r="C2717" s="2" t="s">
        <v>12066</v>
      </c>
      <c r="D2717" s="3">
        <v>72000</v>
      </c>
      <c r="E2717" s="3">
        <v>72000</v>
      </c>
      <c r="F2717" s="2" t="s">
        <v>16</v>
      </c>
      <c r="G2717" s="2" t="s">
        <v>12067</v>
      </c>
      <c r="H2717" s="3">
        <v>0</v>
      </c>
      <c r="I2717" s="2" t="s">
        <v>18</v>
      </c>
      <c r="J2717" s="2" t="s">
        <v>12068</v>
      </c>
      <c r="K2717" s="2" t="s">
        <v>16</v>
      </c>
      <c r="L2717" s="2" t="s">
        <v>12069</v>
      </c>
      <c r="M2717" s="4">
        <v>24696</v>
      </c>
      <c r="N2717" t="b">
        <f>OR(LEFT(B2717,3)="frg",(_xlfn.XMATCH(B2717,ZZZ_Part_Id_[[#All],[FGCODE]])))</f>
        <v>1</v>
      </c>
    </row>
    <row r="2718" spans="1:14" x14ac:dyDescent="0.3">
      <c r="A2718" s="2" t="s">
        <v>12070</v>
      </c>
      <c r="B2718" s="2" t="s">
        <v>14</v>
      </c>
      <c r="C2718" s="2" t="s">
        <v>12071</v>
      </c>
      <c r="D2718" s="3">
        <v>7</v>
      </c>
      <c r="E2718" s="3">
        <v>7</v>
      </c>
      <c r="F2718" s="2" t="s">
        <v>16</v>
      </c>
      <c r="G2718" s="2" t="s">
        <v>12072</v>
      </c>
      <c r="H2718" s="3">
        <v>0</v>
      </c>
      <c r="I2718" s="2" t="s">
        <v>18</v>
      </c>
      <c r="J2718" s="2" t="s">
        <v>12073</v>
      </c>
      <c r="K2718" s="2" t="s">
        <v>16</v>
      </c>
      <c r="L2718" s="2" t="s">
        <v>12074</v>
      </c>
      <c r="M2718" s="4">
        <v>0.54</v>
      </c>
      <c r="N2718" t="e">
        <f>OR(LEFT(B2718,3)="frg",(_xlfn.XMATCH(B2718,ZZZ_Part_Id_[[#All],[FGCODE]])))</f>
        <v>#N/A</v>
      </c>
    </row>
    <row r="2719" spans="1:14" x14ac:dyDescent="0.3">
      <c r="A2719" s="2" t="s">
        <v>12070</v>
      </c>
      <c r="B2719" s="2" t="s">
        <v>86</v>
      </c>
      <c r="C2719" s="2" t="s">
        <v>12075</v>
      </c>
      <c r="D2719" s="5">
        <v>-40</v>
      </c>
      <c r="E2719" s="5">
        <v>-40</v>
      </c>
      <c r="F2719" s="2" t="s">
        <v>23</v>
      </c>
      <c r="G2719" s="2" t="s">
        <v>12076</v>
      </c>
      <c r="H2719" s="3">
        <v>0</v>
      </c>
      <c r="I2719" s="2" t="s">
        <v>18</v>
      </c>
      <c r="J2719" s="2" t="s">
        <v>12077</v>
      </c>
      <c r="K2719" s="2" t="s">
        <v>23</v>
      </c>
      <c r="L2719" s="2" t="s">
        <v>12078</v>
      </c>
      <c r="M2719" s="6">
        <v>-104.71</v>
      </c>
      <c r="N2719" t="b">
        <f>OR(LEFT(B2719,3)="frg",(_xlfn.XMATCH(B2719,ZZZ_Part_Id_[[#All],[FGCODE]])))</f>
        <v>1</v>
      </c>
    </row>
    <row r="2720" spans="1:14" x14ac:dyDescent="0.3">
      <c r="A2720" s="2" t="s">
        <v>12070</v>
      </c>
      <c r="B2720" s="2" t="s">
        <v>91</v>
      </c>
      <c r="C2720" s="2" t="s">
        <v>12079</v>
      </c>
      <c r="D2720" s="3">
        <v>194100</v>
      </c>
      <c r="E2720" s="3">
        <v>194100</v>
      </c>
      <c r="F2720" s="2" t="s">
        <v>16</v>
      </c>
      <c r="G2720" s="2" t="s">
        <v>12080</v>
      </c>
      <c r="H2720" s="3">
        <v>0</v>
      </c>
      <c r="I2720" s="2" t="s">
        <v>18</v>
      </c>
      <c r="J2720" s="2" t="s">
        <v>12081</v>
      </c>
      <c r="K2720" s="2" t="s">
        <v>16</v>
      </c>
      <c r="L2720" s="2" t="s">
        <v>12082</v>
      </c>
      <c r="M2720" s="4">
        <v>11172.4</v>
      </c>
      <c r="N2720" t="b">
        <f>OR(LEFT(B2720,3)="frg",(_xlfn.XMATCH(B2720,ZZZ_Part_Id_[[#All],[FGCODE]])))</f>
        <v>1</v>
      </c>
    </row>
    <row r="2721" spans="1:14" x14ac:dyDescent="0.3">
      <c r="A2721" s="2" t="s">
        <v>12083</v>
      </c>
      <c r="B2721" s="2" t="s">
        <v>5357</v>
      </c>
      <c r="C2721" s="2" t="s">
        <v>12084</v>
      </c>
      <c r="D2721" s="3">
        <v>708768</v>
      </c>
      <c r="E2721" s="3">
        <v>708768</v>
      </c>
      <c r="F2721" s="2" t="s">
        <v>16</v>
      </c>
      <c r="G2721" s="2" t="s">
        <v>12085</v>
      </c>
      <c r="H2721" s="3">
        <v>0</v>
      </c>
      <c r="I2721" s="2" t="s">
        <v>409</v>
      </c>
      <c r="J2721" s="2" t="s">
        <v>12086</v>
      </c>
      <c r="K2721" s="2" t="s">
        <v>16</v>
      </c>
      <c r="L2721" s="2" t="s">
        <v>12087</v>
      </c>
      <c r="M2721" s="4">
        <v>211595.71</v>
      </c>
      <c r="N2721" t="b">
        <f>OR(LEFT(B2721,3)="frg",(_xlfn.XMATCH(B2721,ZZZ_Part_Id_[[#All],[FGCODE]])))</f>
        <v>1</v>
      </c>
    </row>
    <row r="2722" spans="1:14" x14ac:dyDescent="0.3">
      <c r="A2722" s="2" t="s">
        <v>12088</v>
      </c>
      <c r="B2722" s="2" t="s">
        <v>14</v>
      </c>
      <c r="C2722" s="2" t="s">
        <v>12089</v>
      </c>
      <c r="D2722" s="3">
        <v>4</v>
      </c>
      <c r="E2722" s="3">
        <v>4</v>
      </c>
      <c r="F2722" s="2" t="s">
        <v>16</v>
      </c>
      <c r="G2722" s="2" t="s">
        <v>12090</v>
      </c>
      <c r="H2722" s="3">
        <v>0</v>
      </c>
      <c r="I2722" s="2" t="s">
        <v>18</v>
      </c>
      <c r="J2722" s="2" t="s">
        <v>12091</v>
      </c>
      <c r="K2722" s="2" t="s">
        <v>16</v>
      </c>
      <c r="L2722" s="2" t="s">
        <v>12092</v>
      </c>
      <c r="M2722" s="4">
        <v>0.31</v>
      </c>
      <c r="N2722" t="e">
        <f>OR(LEFT(B2722,3)="frg",(_xlfn.XMATCH(B2722,ZZZ_Part_Id_[[#All],[FGCODE]])))</f>
        <v>#N/A</v>
      </c>
    </row>
    <row r="2723" spans="1:14" x14ac:dyDescent="0.3">
      <c r="A2723" s="2" t="s">
        <v>12088</v>
      </c>
      <c r="B2723" s="2" t="s">
        <v>1170</v>
      </c>
      <c r="C2723" s="2" t="s">
        <v>12093</v>
      </c>
      <c r="D2723" s="3">
        <v>19200</v>
      </c>
      <c r="E2723" s="3">
        <v>19200</v>
      </c>
      <c r="F2723" s="2" t="s">
        <v>16</v>
      </c>
      <c r="G2723" s="2" t="s">
        <v>12094</v>
      </c>
      <c r="H2723" s="3">
        <v>0</v>
      </c>
      <c r="I2723" s="2" t="s">
        <v>18</v>
      </c>
      <c r="J2723" s="2" t="s">
        <v>12095</v>
      </c>
      <c r="K2723" s="2" t="s">
        <v>16</v>
      </c>
      <c r="L2723" s="2" t="s">
        <v>12096</v>
      </c>
      <c r="M2723" s="4">
        <v>6642.8</v>
      </c>
      <c r="N2723" t="b">
        <f>OR(LEFT(B2723,3)="frg",(_xlfn.XMATCH(B2723,ZZZ_Part_Id_[[#All],[FGCODE]])))</f>
        <v>1</v>
      </c>
    </row>
    <row r="2724" spans="1:14" x14ac:dyDescent="0.3">
      <c r="A2724" s="2" t="s">
        <v>12097</v>
      </c>
      <c r="B2724" s="2" t="s">
        <v>14</v>
      </c>
      <c r="C2724" s="2" t="s">
        <v>12098</v>
      </c>
      <c r="D2724" s="3">
        <v>4</v>
      </c>
      <c r="E2724" s="3">
        <v>4</v>
      </c>
      <c r="F2724" s="2" t="s">
        <v>16</v>
      </c>
      <c r="G2724" s="2" t="s">
        <v>12099</v>
      </c>
      <c r="H2724" s="3">
        <v>0</v>
      </c>
      <c r="I2724" s="2" t="s">
        <v>409</v>
      </c>
      <c r="J2724" s="2" t="s">
        <v>12100</v>
      </c>
      <c r="K2724" s="2" t="s">
        <v>16</v>
      </c>
      <c r="L2724" s="2" t="s">
        <v>12101</v>
      </c>
      <c r="M2724" s="4">
        <v>0.31</v>
      </c>
      <c r="N2724" t="e">
        <f>OR(LEFT(B2724,3)="frg",(_xlfn.XMATCH(B2724,ZZZ_Part_Id_[[#All],[FGCODE]])))</f>
        <v>#N/A</v>
      </c>
    </row>
    <row r="2725" spans="1:14" x14ac:dyDescent="0.3">
      <c r="A2725" s="2" t="s">
        <v>12097</v>
      </c>
      <c r="B2725" s="2" t="s">
        <v>2127</v>
      </c>
      <c r="C2725" s="2" t="s">
        <v>12102</v>
      </c>
      <c r="D2725" s="3">
        <v>14904</v>
      </c>
      <c r="E2725" s="3">
        <v>14904</v>
      </c>
      <c r="F2725" s="2" t="s">
        <v>16</v>
      </c>
      <c r="G2725" s="2" t="s">
        <v>12103</v>
      </c>
      <c r="H2725" s="3">
        <v>0</v>
      </c>
      <c r="I2725" s="2" t="s">
        <v>409</v>
      </c>
      <c r="J2725" s="2" t="s">
        <v>12104</v>
      </c>
      <c r="K2725" s="2" t="s">
        <v>16</v>
      </c>
      <c r="L2725" s="2" t="s">
        <v>12105</v>
      </c>
      <c r="M2725" s="4">
        <v>3285.3</v>
      </c>
      <c r="N2725" t="b">
        <f>OR(LEFT(B2725,3)="frg",(_xlfn.XMATCH(B2725,ZZZ_Part_Id_[[#All],[FGCODE]])))</f>
        <v>1</v>
      </c>
    </row>
    <row r="2726" spans="1:14" x14ac:dyDescent="0.3">
      <c r="A2726" s="2" t="s">
        <v>12106</v>
      </c>
      <c r="B2726" s="2" t="s">
        <v>14</v>
      </c>
      <c r="C2726" s="2" t="s">
        <v>12107</v>
      </c>
      <c r="D2726" s="3">
        <v>10</v>
      </c>
      <c r="E2726" s="3">
        <v>10</v>
      </c>
      <c r="F2726" s="2" t="s">
        <v>16</v>
      </c>
      <c r="G2726" s="2" t="s">
        <v>12108</v>
      </c>
      <c r="H2726" s="3">
        <v>0</v>
      </c>
      <c r="I2726" s="2" t="s">
        <v>409</v>
      </c>
      <c r="J2726" s="2" t="s">
        <v>12109</v>
      </c>
      <c r="K2726" s="2" t="s">
        <v>16</v>
      </c>
      <c r="L2726" s="2" t="s">
        <v>12110</v>
      </c>
      <c r="M2726" s="4">
        <v>0.77</v>
      </c>
      <c r="N2726" t="e">
        <f>OR(LEFT(B2726,3)="frg",(_xlfn.XMATCH(B2726,ZZZ_Part_Id_[[#All],[FGCODE]])))</f>
        <v>#N/A</v>
      </c>
    </row>
    <row r="2727" spans="1:14" x14ac:dyDescent="0.3">
      <c r="A2727" s="2" t="s">
        <v>12106</v>
      </c>
      <c r="B2727" s="2" t="s">
        <v>2121</v>
      </c>
      <c r="C2727" s="2" t="s">
        <v>12111</v>
      </c>
      <c r="D2727" s="3">
        <v>34776</v>
      </c>
      <c r="E2727" s="3">
        <v>34776</v>
      </c>
      <c r="F2727" s="2" t="s">
        <v>16</v>
      </c>
      <c r="G2727" s="2" t="s">
        <v>12112</v>
      </c>
      <c r="H2727" s="3">
        <v>0</v>
      </c>
      <c r="I2727" s="2" t="s">
        <v>409</v>
      </c>
      <c r="J2727" s="2" t="s">
        <v>12113</v>
      </c>
      <c r="K2727" s="2" t="s">
        <v>16</v>
      </c>
      <c r="L2727" s="2" t="s">
        <v>12114</v>
      </c>
      <c r="M2727" s="4">
        <v>8067.01</v>
      </c>
      <c r="N2727" t="b">
        <f>OR(LEFT(B2727,3)="frg",(_xlfn.XMATCH(B2727,ZZZ_Part_Id_[[#All],[FGCODE]])))</f>
        <v>1</v>
      </c>
    </row>
    <row r="2728" spans="1:14" x14ac:dyDescent="0.3">
      <c r="A2728" s="2" t="s">
        <v>12115</v>
      </c>
      <c r="B2728" s="2" t="s">
        <v>797</v>
      </c>
      <c r="C2728" s="2" t="s">
        <v>12116</v>
      </c>
      <c r="D2728" s="3">
        <v>89640</v>
      </c>
      <c r="E2728" s="3">
        <v>89640</v>
      </c>
      <c r="F2728" s="2" t="s">
        <v>16</v>
      </c>
      <c r="G2728" s="2" t="s">
        <v>12117</v>
      </c>
      <c r="H2728" s="3">
        <v>0</v>
      </c>
      <c r="I2728" s="2" t="s">
        <v>11840</v>
      </c>
      <c r="J2728" s="2" t="s">
        <v>12118</v>
      </c>
      <c r="K2728" s="2" t="s">
        <v>16</v>
      </c>
      <c r="L2728" s="2" t="s">
        <v>12119</v>
      </c>
      <c r="M2728" s="4">
        <v>4844.1499999999996</v>
      </c>
      <c r="N2728" t="b">
        <f>OR(LEFT(B2728,3)="frg",(_xlfn.XMATCH(B2728,ZZZ_Part_Id_[[#All],[FGCODE]])))</f>
        <v>1</v>
      </c>
    </row>
    <row r="2729" spans="1:14" x14ac:dyDescent="0.3">
      <c r="A2729" s="2" t="s">
        <v>12120</v>
      </c>
      <c r="B2729" s="2" t="s">
        <v>14</v>
      </c>
      <c r="C2729" s="2" t="s">
        <v>12121</v>
      </c>
      <c r="D2729" s="3">
        <v>4</v>
      </c>
      <c r="E2729" s="3">
        <v>4</v>
      </c>
      <c r="F2729" s="2" t="s">
        <v>16</v>
      </c>
      <c r="G2729" s="2" t="s">
        <v>12122</v>
      </c>
      <c r="H2729" s="3">
        <v>0</v>
      </c>
      <c r="I2729" s="2" t="s">
        <v>409</v>
      </c>
      <c r="J2729" s="2" t="s">
        <v>12123</v>
      </c>
      <c r="K2729" s="2" t="s">
        <v>16</v>
      </c>
      <c r="L2729" s="2" t="s">
        <v>12124</v>
      </c>
      <c r="M2729" s="4">
        <v>0.31</v>
      </c>
      <c r="N2729" t="e">
        <f>OR(LEFT(B2729,3)="frg",(_xlfn.XMATCH(B2729,ZZZ_Part_Id_[[#All],[FGCODE]])))</f>
        <v>#N/A</v>
      </c>
    </row>
    <row r="2730" spans="1:14" x14ac:dyDescent="0.3">
      <c r="A2730" s="2" t="s">
        <v>12120</v>
      </c>
      <c r="B2730" s="2" t="s">
        <v>65</v>
      </c>
      <c r="C2730" s="2" t="s">
        <v>12125</v>
      </c>
      <c r="D2730" s="5">
        <v>-285</v>
      </c>
      <c r="E2730" s="5">
        <v>-285</v>
      </c>
      <c r="F2730" s="2" t="s">
        <v>23</v>
      </c>
      <c r="G2730" s="2" t="s">
        <v>12126</v>
      </c>
      <c r="H2730" s="3">
        <v>0</v>
      </c>
      <c r="I2730" s="2" t="s">
        <v>409</v>
      </c>
      <c r="J2730" s="2" t="s">
        <v>12127</v>
      </c>
      <c r="K2730" s="2" t="s">
        <v>23</v>
      </c>
      <c r="L2730" s="2" t="s">
        <v>12128</v>
      </c>
      <c r="M2730" s="6">
        <v>-732.91</v>
      </c>
      <c r="N2730" t="b">
        <f>OR(LEFT(B2730,3)="frg",(_xlfn.XMATCH(B2730,ZZZ_Part_Id_[[#All],[FGCODE]])))</f>
        <v>1</v>
      </c>
    </row>
    <row r="2731" spans="1:14" x14ac:dyDescent="0.3">
      <c r="A2731" s="2" t="s">
        <v>12120</v>
      </c>
      <c r="B2731" s="2" t="s">
        <v>6250</v>
      </c>
      <c r="C2731" s="2" t="s">
        <v>12129</v>
      </c>
      <c r="D2731" s="3">
        <v>91620</v>
      </c>
      <c r="E2731" s="3">
        <v>91620</v>
      </c>
      <c r="F2731" s="2" t="s">
        <v>16</v>
      </c>
      <c r="G2731" s="2" t="s">
        <v>12130</v>
      </c>
      <c r="H2731" s="3">
        <v>0</v>
      </c>
      <c r="I2731" s="2" t="s">
        <v>409</v>
      </c>
      <c r="J2731" s="2" t="s">
        <v>12131</v>
      </c>
      <c r="K2731" s="2" t="s">
        <v>16</v>
      </c>
      <c r="L2731" s="2" t="s">
        <v>12132</v>
      </c>
      <c r="M2731" s="4">
        <v>10579.35</v>
      </c>
      <c r="N2731" t="b">
        <f>OR(LEFT(B2731,3)="frg",(_xlfn.XMATCH(B2731,ZZZ_Part_Id_[[#All],[FGCODE]])))</f>
        <v>1</v>
      </c>
    </row>
    <row r="2732" spans="1:14" x14ac:dyDescent="0.3">
      <c r="A2732" s="2" t="s">
        <v>12133</v>
      </c>
      <c r="B2732" s="2" t="s">
        <v>14</v>
      </c>
      <c r="C2732" s="2" t="s">
        <v>12134</v>
      </c>
      <c r="D2732" s="3">
        <v>40</v>
      </c>
      <c r="E2732" s="3">
        <v>40</v>
      </c>
      <c r="F2732" s="2" t="s">
        <v>16</v>
      </c>
      <c r="G2732" s="2" t="s">
        <v>12135</v>
      </c>
      <c r="H2732" s="3">
        <v>0</v>
      </c>
      <c r="I2732" s="2" t="s">
        <v>409</v>
      </c>
      <c r="J2732" s="2" t="s">
        <v>12136</v>
      </c>
      <c r="K2732" s="2" t="s">
        <v>16</v>
      </c>
      <c r="L2732" s="2" t="s">
        <v>12137</v>
      </c>
      <c r="M2732" s="4">
        <v>3.08</v>
      </c>
      <c r="N2732" t="e">
        <f>OR(LEFT(B2732,3)="frg",(_xlfn.XMATCH(B2732,ZZZ_Part_Id_[[#All],[FGCODE]])))</f>
        <v>#N/A</v>
      </c>
    </row>
    <row r="2733" spans="1:14" x14ac:dyDescent="0.3">
      <c r="A2733" s="2" t="s">
        <v>12133</v>
      </c>
      <c r="B2733" s="2" t="s">
        <v>5357</v>
      </c>
      <c r="C2733" s="2" t="s">
        <v>12138</v>
      </c>
      <c r="D2733" s="3">
        <v>205344</v>
      </c>
      <c r="E2733" s="3">
        <v>205344</v>
      </c>
      <c r="F2733" s="2" t="s">
        <v>16</v>
      </c>
      <c r="G2733" s="2" t="s">
        <v>12139</v>
      </c>
      <c r="H2733" s="3">
        <v>0</v>
      </c>
      <c r="I2733" s="2" t="s">
        <v>409</v>
      </c>
      <c r="J2733" s="2" t="s">
        <v>12140</v>
      </c>
      <c r="K2733" s="2" t="s">
        <v>16</v>
      </c>
      <c r="L2733" s="2" t="s">
        <v>12141</v>
      </c>
      <c r="M2733" s="4">
        <v>61303.43</v>
      </c>
      <c r="N2733" t="b">
        <f>OR(LEFT(B2733,3)="frg",(_xlfn.XMATCH(B2733,ZZZ_Part_Id_[[#All],[FGCODE]])))</f>
        <v>1</v>
      </c>
    </row>
    <row r="2734" spans="1:14" x14ac:dyDescent="0.3">
      <c r="A2734" s="2" t="s">
        <v>12142</v>
      </c>
      <c r="B2734" s="2" t="s">
        <v>14</v>
      </c>
      <c r="C2734" s="2" t="s">
        <v>12143</v>
      </c>
      <c r="D2734" s="3">
        <v>4</v>
      </c>
      <c r="E2734" s="3">
        <v>4</v>
      </c>
      <c r="F2734" s="2" t="s">
        <v>16</v>
      </c>
      <c r="G2734" s="2" t="s">
        <v>12144</v>
      </c>
      <c r="H2734" s="3">
        <v>0</v>
      </c>
      <c r="I2734" s="2" t="s">
        <v>18</v>
      </c>
      <c r="J2734" s="2" t="s">
        <v>12145</v>
      </c>
      <c r="K2734" s="2" t="s">
        <v>16</v>
      </c>
      <c r="L2734" s="2" t="s">
        <v>12146</v>
      </c>
      <c r="M2734" s="4">
        <v>0.31</v>
      </c>
      <c r="N2734" t="e">
        <f>OR(LEFT(B2734,3)="frg",(_xlfn.XMATCH(B2734,ZZZ_Part_Id_[[#All],[FGCODE]])))</f>
        <v>#N/A</v>
      </c>
    </row>
    <row r="2735" spans="1:14" x14ac:dyDescent="0.3">
      <c r="A2735" s="2" t="s">
        <v>12142</v>
      </c>
      <c r="B2735" s="2" t="s">
        <v>2121</v>
      </c>
      <c r="C2735" s="2" t="s">
        <v>12147</v>
      </c>
      <c r="D2735" s="3">
        <v>19872</v>
      </c>
      <c r="E2735" s="3">
        <v>19872</v>
      </c>
      <c r="F2735" s="2" t="s">
        <v>16</v>
      </c>
      <c r="G2735" s="2" t="s">
        <v>12148</v>
      </c>
      <c r="H2735" s="3">
        <v>0</v>
      </c>
      <c r="I2735" s="2" t="s">
        <v>18</v>
      </c>
      <c r="J2735" s="2" t="s">
        <v>12149</v>
      </c>
      <c r="K2735" s="2" t="s">
        <v>16</v>
      </c>
      <c r="L2735" s="2" t="s">
        <v>12150</v>
      </c>
      <c r="M2735" s="4">
        <v>4609.72</v>
      </c>
      <c r="N2735" t="b">
        <f>OR(LEFT(B2735,3)="frg",(_xlfn.XMATCH(B2735,ZZZ_Part_Id_[[#All],[FGCODE]])))</f>
        <v>1</v>
      </c>
    </row>
    <row r="2736" spans="1:14" x14ac:dyDescent="0.3">
      <c r="A2736" s="2" t="s">
        <v>12151</v>
      </c>
      <c r="B2736" s="2" t="s">
        <v>65</v>
      </c>
      <c r="C2736" s="2" t="s">
        <v>12152</v>
      </c>
      <c r="D2736" s="5">
        <v>-366</v>
      </c>
      <c r="E2736" s="5">
        <v>-366</v>
      </c>
      <c r="F2736" s="2" t="s">
        <v>23</v>
      </c>
      <c r="G2736" s="2" t="s">
        <v>12153</v>
      </c>
      <c r="H2736" s="3">
        <v>0</v>
      </c>
      <c r="I2736" s="2" t="s">
        <v>409</v>
      </c>
      <c r="J2736" s="2" t="s">
        <v>12154</v>
      </c>
      <c r="K2736" s="2" t="s">
        <v>23</v>
      </c>
      <c r="L2736" s="2" t="s">
        <v>12155</v>
      </c>
      <c r="M2736" s="6">
        <v>-941.21</v>
      </c>
      <c r="N2736" t="b">
        <f>OR(LEFT(B2736,3)="frg",(_xlfn.XMATCH(B2736,ZZZ_Part_Id_[[#All],[FGCODE]])))</f>
        <v>1</v>
      </c>
    </row>
    <row r="2737" spans="1:14" x14ac:dyDescent="0.3">
      <c r="A2737" s="2" t="s">
        <v>12151</v>
      </c>
      <c r="B2737" s="2" t="s">
        <v>2115</v>
      </c>
      <c r="C2737" s="2" t="s">
        <v>12156</v>
      </c>
      <c r="D2737" s="3">
        <v>25200</v>
      </c>
      <c r="E2737" s="3">
        <v>25200</v>
      </c>
      <c r="F2737" s="2" t="s">
        <v>16</v>
      </c>
      <c r="G2737" s="2" t="s">
        <v>12157</v>
      </c>
      <c r="H2737" s="3">
        <v>0</v>
      </c>
      <c r="I2737" s="2" t="s">
        <v>409</v>
      </c>
      <c r="J2737" s="2" t="s">
        <v>12158</v>
      </c>
      <c r="K2737" s="2" t="s">
        <v>16</v>
      </c>
      <c r="L2737" s="2" t="s">
        <v>12159</v>
      </c>
      <c r="M2737" s="4">
        <v>8379.49</v>
      </c>
      <c r="N2737" t="b">
        <f>OR(LEFT(B2737,3)="frg",(_xlfn.XMATCH(B2737,ZZZ_Part_Id_[[#All],[FGCODE]])))</f>
        <v>1</v>
      </c>
    </row>
    <row r="2738" spans="1:14" x14ac:dyDescent="0.3">
      <c r="A2738" s="2" t="s">
        <v>12160</v>
      </c>
      <c r="B2738" s="2" t="s">
        <v>14</v>
      </c>
      <c r="C2738" s="2" t="s">
        <v>12161</v>
      </c>
      <c r="D2738" s="3">
        <v>2</v>
      </c>
      <c r="E2738" s="3">
        <v>2</v>
      </c>
      <c r="F2738" s="2" t="s">
        <v>16</v>
      </c>
      <c r="G2738" s="2" t="s">
        <v>12162</v>
      </c>
      <c r="H2738" s="3">
        <v>0</v>
      </c>
      <c r="I2738" s="2" t="s">
        <v>409</v>
      </c>
      <c r="J2738" s="2" t="s">
        <v>12163</v>
      </c>
      <c r="K2738" s="2" t="s">
        <v>16</v>
      </c>
      <c r="L2738" s="2" t="s">
        <v>12164</v>
      </c>
      <c r="M2738" s="4">
        <v>0.15</v>
      </c>
      <c r="N2738" t="e">
        <f>OR(LEFT(B2738,3)="frg",(_xlfn.XMATCH(B2738,ZZZ_Part_Id_[[#All],[FGCODE]])))</f>
        <v>#N/A</v>
      </c>
    </row>
    <row r="2739" spans="1:14" x14ac:dyDescent="0.3">
      <c r="A2739" s="2" t="s">
        <v>12160</v>
      </c>
      <c r="B2739" s="2" t="s">
        <v>37</v>
      </c>
      <c r="C2739" s="2" t="s">
        <v>12165</v>
      </c>
      <c r="D2739" s="3">
        <v>2</v>
      </c>
      <c r="E2739" s="3">
        <v>2</v>
      </c>
      <c r="F2739" s="2" t="s">
        <v>16</v>
      </c>
      <c r="G2739" s="2" t="s">
        <v>12166</v>
      </c>
      <c r="H2739" s="3">
        <v>0</v>
      </c>
      <c r="I2739" s="2" t="s">
        <v>409</v>
      </c>
      <c r="J2739" s="2" t="s">
        <v>12167</v>
      </c>
      <c r="K2739" s="2" t="s">
        <v>16</v>
      </c>
      <c r="L2739" s="2" t="s">
        <v>12168</v>
      </c>
      <c r="M2739" s="4">
        <v>32</v>
      </c>
      <c r="N2739" t="e">
        <f>OR(LEFT(B2739,3)="frg",(_xlfn.XMATCH(B2739,ZZZ_Part_Id_[[#All],[FGCODE]])))</f>
        <v>#N/A</v>
      </c>
    </row>
    <row r="2740" spans="1:14" x14ac:dyDescent="0.3">
      <c r="A2740" s="2" t="s">
        <v>12160</v>
      </c>
      <c r="B2740" s="2" t="s">
        <v>4511</v>
      </c>
      <c r="C2740" s="2" t="s">
        <v>12169</v>
      </c>
      <c r="D2740" s="3">
        <v>59760</v>
      </c>
      <c r="E2740" s="3">
        <v>59760</v>
      </c>
      <c r="F2740" s="2" t="s">
        <v>16</v>
      </c>
      <c r="G2740" s="2" t="s">
        <v>12170</v>
      </c>
      <c r="H2740" s="3">
        <v>0</v>
      </c>
      <c r="I2740" s="2" t="s">
        <v>409</v>
      </c>
      <c r="J2740" s="2" t="s">
        <v>12171</v>
      </c>
      <c r="K2740" s="2" t="s">
        <v>16</v>
      </c>
      <c r="L2740" s="2" t="s">
        <v>12172</v>
      </c>
      <c r="M2740" s="4">
        <v>3315.49</v>
      </c>
      <c r="N2740" t="b">
        <f>OR(LEFT(B2740,3)="frg",(_xlfn.XMATCH(B2740,ZZZ_Part_Id_[[#All],[FGCODE]])))</f>
        <v>1</v>
      </c>
    </row>
    <row r="2741" spans="1:14" x14ac:dyDescent="0.3">
      <c r="A2741" s="2" t="s">
        <v>12173</v>
      </c>
      <c r="B2741" s="2" t="s">
        <v>6182</v>
      </c>
      <c r="C2741" s="2" t="s">
        <v>12174</v>
      </c>
      <c r="D2741" s="3">
        <v>89640</v>
      </c>
      <c r="E2741" s="3">
        <v>89640</v>
      </c>
      <c r="F2741" s="2" t="s">
        <v>16</v>
      </c>
      <c r="G2741" s="2" t="s">
        <v>12175</v>
      </c>
      <c r="H2741" s="3">
        <v>0</v>
      </c>
      <c r="I2741" s="2" t="s">
        <v>409</v>
      </c>
      <c r="J2741" s="2" t="s">
        <v>12176</v>
      </c>
      <c r="K2741" s="2" t="s">
        <v>16</v>
      </c>
      <c r="L2741" s="2" t="s">
        <v>12177</v>
      </c>
      <c r="M2741" s="4">
        <v>5087.07</v>
      </c>
      <c r="N2741" t="b">
        <f>OR(LEFT(B2741,3)="frg",(_xlfn.XMATCH(B2741,ZZZ_Part_Id_[[#All],[FGCODE]])))</f>
        <v>1</v>
      </c>
    </row>
    <row r="2742" spans="1:14" x14ac:dyDescent="0.3">
      <c r="A2742" s="2" t="s">
        <v>12178</v>
      </c>
      <c r="B2742" s="2" t="s">
        <v>6182</v>
      </c>
      <c r="C2742" s="2" t="s">
        <v>12179</v>
      </c>
      <c r="D2742" s="3">
        <v>27000</v>
      </c>
      <c r="E2742" s="3">
        <v>0</v>
      </c>
      <c r="F2742" s="2" t="s">
        <v>16</v>
      </c>
      <c r="G2742" s="2" t="s">
        <v>12180</v>
      </c>
      <c r="H2742" s="3">
        <v>0</v>
      </c>
      <c r="I2742" s="2" t="s">
        <v>18</v>
      </c>
      <c r="J2742" s="2" t="s">
        <v>12181</v>
      </c>
      <c r="K2742" s="2" t="s">
        <v>16</v>
      </c>
      <c r="L2742" s="2" t="s">
        <v>12182</v>
      </c>
      <c r="M2742" s="4">
        <v>0</v>
      </c>
      <c r="N2742" t="b">
        <f>OR(LEFT(B2742,3)="frg",(_xlfn.XMATCH(B2742,ZZZ_Part_Id_[[#All],[FGCODE]])))</f>
        <v>1</v>
      </c>
    </row>
    <row r="2743" spans="1:14" x14ac:dyDescent="0.3">
      <c r="A2743" s="2" t="s">
        <v>12178</v>
      </c>
      <c r="B2743" s="2" t="s">
        <v>3759</v>
      </c>
      <c r="C2743" s="2" t="s">
        <v>12183</v>
      </c>
      <c r="D2743" s="3">
        <v>27000</v>
      </c>
      <c r="E2743" s="3">
        <v>27000</v>
      </c>
      <c r="F2743" s="2" t="s">
        <v>16</v>
      </c>
      <c r="G2743" s="2" t="s">
        <v>131</v>
      </c>
      <c r="H2743" s="3">
        <v>0</v>
      </c>
      <c r="I2743" s="2" t="s">
        <v>18</v>
      </c>
      <c r="J2743" s="2" t="s">
        <v>12184</v>
      </c>
      <c r="K2743" s="2" t="s">
        <v>16</v>
      </c>
      <c r="L2743" s="2" t="s">
        <v>12185</v>
      </c>
      <c r="M2743" s="4">
        <v>1482.3</v>
      </c>
      <c r="N2743" t="b">
        <f>OR(LEFT(B2743,3)="frg",(_xlfn.XMATCH(B2743,ZZZ_Part_Id_[[#All],[FGCODE]])))</f>
        <v>1</v>
      </c>
    </row>
    <row r="2744" spans="1:14" x14ac:dyDescent="0.3">
      <c r="A2744" s="2" t="s">
        <v>12186</v>
      </c>
      <c r="B2744" s="2" t="s">
        <v>86</v>
      </c>
      <c r="C2744" s="2" t="s">
        <v>12187</v>
      </c>
      <c r="D2744" s="5">
        <v>-63</v>
      </c>
      <c r="E2744" s="5">
        <v>-63</v>
      </c>
      <c r="F2744" s="2" t="s">
        <v>23</v>
      </c>
      <c r="G2744" s="2" t="s">
        <v>12188</v>
      </c>
      <c r="H2744" s="3">
        <v>0</v>
      </c>
      <c r="I2744" s="2" t="s">
        <v>409</v>
      </c>
      <c r="J2744" s="2" t="s">
        <v>12189</v>
      </c>
      <c r="K2744" s="2" t="s">
        <v>23</v>
      </c>
      <c r="L2744" s="2" t="s">
        <v>12190</v>
      </c>
      <c r="M2744" s="6">
        <v>-164.92</v>
      </c>
      <c r="N2744" t="b">
        <f>OR(LEFT(B2744,3)="frg",(_xlfn.XMATCH(B2744,ZZZ_Part_Id_[[#All],[FGCODE]])))</f>
        <v>1</v>
      </c>
    </row>
    <row r="2745" spans="1:14" x14ac:dyDescent="0.3">
      <c r="A2745" s="2" t="s">
        <v>12186</v>
      </c>
      <c r="B2745" s="2" t="s">
        <v>5357</v>
      </c>
      <c r="C2745" s="2" t="s">
        <v>12191</v>
      </c>
      <c r="D2745" s="3">
        <v>14662</v>
      </c>
      <c r="E2745" s="3">
        <v>14662</v>
      </c>
      <c r="F2745" s="2" t="s">
        <v>16</v>
      </c>
      <c r="G2745" s="2" t="s">
        <v>12192</v>
      </c>
      <c r="H2745" s="3">
        <v>0</v>
      </c>
      <c r="I2745" s="2" t="s">
        <v>409</v>
      </c>
      <c r="J2745" s="2" t="s">
        <v>12193</v>
      </c>
      <c r="K2745" s="2" t="s">
        <v>16</v>
      </c>
      <c r="L2745" s="2" t="s">
        <v>12194</v>
      </c>
      <c r="M2745" s="4">
        <v>4377.2</v>
      </c>
      <c r="N2745" t="b">
        <f>OR(LEFT(B2745,3)="frg",(_xlfn.XMATCH(B2745,ZZZ_Part_Id_[[#All],[FGCODE]])))</f>
        <v>1</v>
      </c>
    </row>
    <row r="2746" spans="1:14" x14ac:dyDescent="0.3">
      <c r="A2746" s="2" t="s">
        <v>12195</v>
      </c>
      <c r="B2746" s="2" t="s">
        <v>5477</v>
      </c>
      <c r="C2746" s="2" t="s">
        <v>12196</v>
      </c>
      <c r="D2746" s="3">
        <v>6624</v>
      </c>
      <c r="E2746" s="3">
        <v>6624</v>
      </c>
      <c r="F2746" s="2" t="s">
        <v>16</v>
      </c>
      <c r="G2746" s="2" t="s">
        <v>12197</v>
      </c>
      <c r="H2746" s="3">
        <v>0</v>
      </c>
      <c r="I2746" s="2" t="s">
        <v>409</v>
      </c>
      <c r="J2746" s="2" t="s">
        <v>12198</v>
      </c>
      <c r="K2746" s="2" t="s">
        <v>16</v>
      </c>
      <c r="L2746" s="2" t="s">
        <v>12199</v>
      </c>
      <c r="M2746" s="4">
        <v>1977.53</v>
      </c>
      <c r="N2746" t="b">
        <f>OR(LEFT(B2746,3)="frg",(_xlfn.XMATCH(B2746,ZZZ_Part_Id_[[#All],[FGCODE]])))</f>
        <v>1</v>
      </c>
    </row>
    <row r="2747" spans="1:14" x14ac:dyDescent="0.3">
      <c r="A2747" s="2" t="s">
        <v>12200</v>
      </c>
      <c r="B2747" s="2" t="s">
        <v>14</v>
      </c>
      <c r="C2747" s="2" t="s">
        <v>12201</v>
      </c>
      <c r="D2747" s="3">
        <v>4</v>
      </c>
      <c r="E2747" s="3">
        <v>4</v>
      </c>
      <c r="F2747" s="2" t="s">
        <v>16</v>
      </c>
      <c r="G2747" s="2" t="s">
        <v>12202</v>
      </c>
      <c r="H2747" s="3">
        <v>0</v>
      </c>
      <c r="I2747" s="2" t="s">
        <v>18</v>
      </c>
      <c r="J2747" s="2" t="s">
        <v>12203</v>
      </c>
      <c r="K2747" s="2" t="s">
        <v>16</v>
      </c>
      <c r="L2747" s="2" t="s">
        <v>12204</v>
      </c>
      <c r="M2747" s="4">
        <v>0.31</v>
      </c>
      <c r="N2747" t="e">
        <f>OR(LEFT(B2747,3)="frg",(_xlfn.XMATCH(B2747,ZZZ_Part_Id_[[#All],[FGCODE]])))</f>
        <v>#N/A</v>
      </c>
    </row>
    <row r="2748" spans="1:14" x14ac:dyDescent="0.3">
      <c r="A2748" s="2" t="s">
        <v>12200</v>
      </c>
      <c r="B2748" s="2" t="s">
        <v>86</v>
      </c>
      <c r="C2748" s="2" t="s">
        <v>12205</v>
      </c>
      <c r="D2748" s="5">
        <v>-268</v>
      </c>
      <c r="E2748" s="5">
        <v>-268</v>
      </c>
      <c r="F2748" s="2" t="s">
        <v>23</v>
      </c>
      <c r="G2748" s="2" t="s">
        <v>12206</v>
      </c>
      <c r="H2748" s="3">
        <v>0</v>
      </c>
      <c r="I2748" s="2" t="s">
        <v>18</v>
      </c>
      <c r="J2748" s="2" t="s">
        <v>12207</v>
      </c>
      <c r="K2748" s="2" t="s">
        <v>23</v>
      </c>
      <c r="L2748" s="2" t="s">
        <v>12208</v>
      </c>
      <c r="M2748" s="6">
        <v>-701.57</v>
      </c>
      <c r="N2748" t="b">
        <f>OR(LEFT(B2748,3)="frg",(_xlfn.XMATCH(B2748,ZZZ_Part_Id_[[#All],[FGCODE]])))</f>
        <v>1</v>
      </c>
    </row>
    <row r="2749" spans="1:14" x14ac:dyDescent="0.3">
      <c r="A2749" s="2" t="s">
        <v>12200</v>
      </c>
      <c r="B2749" s="2" t="s">
        <v>2803</v>
      </c>
      <c r="C2749" s="2" t="s">
        <v>12209</v>
      </c>
      <c r="D2749" s="3">
        <v>50400</v>
      </c>
      <c r="E2749" s="3">
        <v>50400</v>
      </c>
      <c r="F2749" s="2" t="s">
        <v>16</v>
      </c>
      <c r="G2749" s="2" t="s">
        <v>12210</v>
      </c>
      <c r="H2749" s="3">
        <v>0</v>
      </c>
      <c r="I2749" s="2" t="s">
        <v>18</v>
      </c>
      <c r="J2749" s="2" t="s">
        <v>12211</v>
      </c>
      <c r="K2749" s="2" t="s">
        <v>16</v>
      </c>
      <c r="L2749" s="2" t="s">
        <v>12212</v>
      </c>
      <c r="M2749" s="4">
        <v>9400.6</v>
      </c>
      <c r="N2749" t="b">
        <f>OR(LEFT(B2749,3)="frg",(_xlfn.XMATCH(B2749,ZZZ_Part_Id_[[#All],[FGCODE]])))</f>
        <v>1</v>
      </c>
    </row>
    <row r="2750" spans="1:14" x14ac:dyDescent="0.3">
      <c r="A2750" s="2" t="s">
        <v>12213</v>
      </c>
      <c r="B2750" s="2" t="s">
        <v>14</v>
      </c>
      <c r="C2750" s="2" t="s">
        <v>12214</v>
      </c>
      <c r="D2750" s="3">
        <v>10</v>
      </c>
      <c r="E2750" s="3">
        <v>10</v>
      </c>
      <c r="F2750" s="2" t="s">
        <v>16</v>
      </c>
      <c r="G2750" s="2" t="s">
        <v>12215</v>
      </c>
      <c r="H2750" s="3">
        <v>0</v>
      </c>
      <c r="I2750" s="2" t="s">
        <v>18</v>
      </c>
      <c r="J2750" s="2" t="s">
        <v>12216</v>
      </c>
      <c r="K2750" s="2" t="s">
        <v>16</v>
      </c>
      <c r="L2750" s="2" t="s">
        <v>12217</v>
      </c>
      <c r="M2750" s="4">
        <v>0.77</v>
      </c>
      <c r="N2750" t="e">
        <f>OR(LEFT(B2750,3)="frg",(_xlfn.XMATCH(B2750,ZZZ_Part_Id_[[#All],[FGCODE]])))</f>
        <v>#N/A</v>
      </c>
    </row>
    <row r="2751" spans="1:14" x14ac:dyDescent="0.3">
      <c r="A2751" s="2" t="s">
        <v>12213</v>
      </c>
      <c r="B2751" s="2" t="s">
        <v>1512</v>
      </c>
      <c r="C2751" s="2" t="s">
        <v>12218</v>
      </c>
      <c r="D2751" s="3">
        <v>31860</v>
      </c>
      <c r="E2751" s="3">
        <v>31860</v>
      </c>
      <c r="F2751" s="2" t="s">
        <v>16</v>
      </c>
      <c r="G2751" s="2" t="s">
        <v>12219</v>
      </c>
      <c r="H2751" s="3">
        <v>0</v>
      </c>
      <c r="I2751" s="2" t="s">
        <v>18</v>
      </c>
      <c r="J2751" s="2" t="s">
        <v>12220</v>
      </c>
      <c r="K2751" s="2" t="s">
        <v>16</v>
      </c>
      <c r="L2751" s="2" t="s">
        <v>12221</v>
      </c>
      <c r="M2751" s="4">
        <v>6414.36</v>
      </c>
      <c r="N2751" t="b">
        <f>OR(LEFT(B2751,3)="frg",(_xlfn.XMATCH(B2751,ZZZ_Part_Id_[[#All],[FGCODE]])))</f>
        <v>1</v>
      </c>
    </row>
    <row r="2752" spans="1:14" x14ac:dyDescent="0.3">
      <c r="A2752" s="2" t="s">
        <v>12222</v>
      </c>
      <c r="B2752" s="2" t="s">
        <v>14</v>
      </c>
      <c r="C2752" s="2" t="s">
        <v>12223</v>
      </c>
      <c r="D2752" s="3">
        <v>10</v>
      </c>
      <c r="E2752" s="3">
        <v>10</v>
      </c>
      <c r="F2752" s="2" t="s">
        <v>16</v>
      </c>
      <c r="G2752" s="2" t="s">
        <v>12224</v>
      </c>
      <c r="H2752" s="3">
        <v>0</v>
      </c>
      <c r="I2752" s="2" t="s">
        <v>18</v>
      </c>
      <c r="J2752" s="2" t="s">
        <v>12225</v>
      </c>
      <c r="K2752" s="2" t="s">
        <v>16</v>
      </c>
      <c r="L2752" s="2" t="s">
        <v>12226</v>
      </c>
      <c r="M2752" s="4">
        <v>0.77</v>
      </c>
      <c r="N2752" t="e">
        <f>OR(LEFT(B2752,3)="frg",(_xlfn.XMATCH(B2752,ZZZ_Part_Id_[[#All],[FGCODE]])))</f>
        <v>#N/A</v>
      </c>
    </row>
    <row r="2753" spans="1:14" x14ac:dyDescent="0.3">
      <c r="A2753" s="2" t="s">
        <v>12222</v>
      </c>
      <c r="B2753" s="2" t="s">
        <v>1027</v>
      </c>
      <c r="C2753" s="2" t="s">
        <v>12227</v>
      </c>
      <c r="D2753" s="3">
        <v>42480</v>
      </c>
      <c r="E2753" s="3">
        <v>42480</v>
      </c>
      <c r="F2753" s="2" t="s">
        <v>16</v>
      </c>
      <c r="G2753" s="2" t="s">
        <v>12228</v>
      </c>
      <c r="H2753" s="3">
        <v>0</v>
      </c>
      <c r="I2753" s="2" t="s">
        <v>18</v>
      </c>
      <c r="J2753" s="2" t="s">
        <v>12229</v>
      </c>
      <c r="K2753" s="2" t="s">
        <v>16</v>
      </c>
      <c r="L2753" s="2" t="s">
        <v>12230</v>
      </c>
      <c r="M2753" s="4">
        <v>8552.48</v>
      </c>
      <c r="N2753" t="b">
        <f>OR(LEFT(B2753,3)="frg",(_xlfn.XMATCH(B2753,ZZZ_Part_Id_[[#All],[FGCODE]])))</f>
        <v>1</v>
      </c>
    </row>
    <row r="2754" spans="1:14" x14ac:dyDescent="0.3">
      <c r="A2754" s="2" t="s">
        <v>12231</v>
      </c>
      <c r="B2754" s="2" t="s">
        <v>764</v>
      </c>
      <c r="C2754" s="2" t="s">
        <v>12232</v>
      </c>
      <c r="D2754" s="3">
        <v>2</v>
      </c>
      <c r="E2754" s="3">
        <v>2</v>
      </c>
      <c r="F2754" s="2" t="s">
        <v>23</v>
      </c>
      <c r="G2754" s="2" t="s">
        <v>12233</v>
      </c>
      <c r="H2754" s="3">
        <v>0</v>
      </c>
      <c r="I2754" s="2" t="s">
        <v>18</v>
      </c>
      <c r="J2754" s="2" t="s">
        <v>12234</v>
      </c>
      <c r="K2754" s="2" t="s">
        <v>23</v>
      </c>
      <c r="L2754" s="2" t="s">
        <v>12235</v>
      </c>
      <c r="M2754" s="4">
        <v>14.56</v>
      </c>
      <c r="N2754" t="e">
        <f>OR(LEFT(B2754,3)="frg",(_xlfn.XMATCH(B2754,ZZZ_Part_Id_[[#All],[FGCODE]])))</f>
        <v>#N/A</v>
      </c>
    </row>
    <row r="2755" spans="1:14" x14ac:dyDescent="0.3">
      <c r="A2755" s="2" t="s">
        <v>12231</v>
      </c>
      <c r="B2755" s="2" t="s">
        <v>759</v>
      </c>
      <c r="C2755" s="2" t="s">
        <v>12236</v>
      </c>
      <c r="D2755" s="3">
        <v>2</v>
      </c>
      <c r="E2755" s="3">
        <v>2</v>
      </c>
      <c r="F2755" s="2" t="s">
        <v>16</v>
      </c>
      <c r="G2755" s="2" t="s">
        <v>12237</v>
      </c>
      <c r="H2755" s="3">
        <v>0</v>
      </c>
      <c r="I2755" s="2" t="s">
        <v>18</v>
      </c>
      <c r="J2755" s="2" t="s">
        <v>12238</v>
      </c>
      <c r="K2755" s="2" t="s">
        <v>16</v>
      </c>
      <c r="L2755" s="2" t="s">
        <v>12239</v>
      </c>
      <c r="M2755" s="4">
        <v>9.06</v>
      </c>
      <c r="N2755" t="e">
        <f>OR(LEFT(B2755,3)="frg",(_xlfn.XMATCH(B2755,ZZZ_Part_Id_[[#All],[FGCODE]])))</f>
        <v>#N/A</v>
      </c>
    </row>
    <row r="2756" spans="1:14" x14ac:dyDescent="0.3">
      <c r="A2756" s="2" t="s">
        <v>12231</v>
      </c>
      <c r="B2756" s="2" t="s">
        <v>797</v>
      </c>
      <c r="C2756" s="2" t="s">
        <v>12240</v>
      </c>
      <c r="D2756" s="3">
        <v>1000</v>
      </c>
      <c r="E2756" s="3">
        <v>500</v>
      </c>
      <c r="F2756" s="2" t="s">
        <v>16</v>
      </c>
      <c r="G2756" s="2" t="s">
        <v>12241</v>
      </c>
      <c r="H2756" s="3">
        <v>0</v>
      </c>
      <c r="I2756" s="2" t="s">
        <v>18</v>
      </c>
      <c r="J2756" s="2" t="s">
        <v>12242</v>
      </c>
      <c r="K2756" s="2" t="s">
        <v>16</v>
      </c>
      <c r="L2756" s="2" t="s">
        <v>12243</v>
      </c>
      <c r="M2756" s="4">
        <v>27.02</v>
      </c>
      <c r="N2756" t="b">
        <f>OR(LEFT(B2756,3)="frg",(_xlfn.XMATCH(B2756,ZZZ_Part_Id_[[#All],[FGCODE]])))</f>
        <v>1</v>
      </c>
    </row>
    <row r="2757" spans="1:14" x14ac:dyDescent="0.3">
      <c r="A2757" s="2" t="s">
        <v>12244</v>
      </c>
      <c r="B2757" s="2" t="s">
        <v>764</v>
      </c>
      <c r="C2757" s="2" t="s">
        <v>12245</v>
      </c>
      <c r="D2757" s="3">
        <v>2</v>
      </c>
      <c r="E2757" s="3">
        <v>2</v>
      </c>
      <c r="F2757" s="2" t="s">
        <v>23</v>
      </c>
      <c r="G2757" s="2" t="s">
        <v>12246</v>
      </c>
      <c r="H2757" s="3">
        <v>0</v>
      </c>
      <c r="I2757" s="2" t="s">
        <v>18</v>
      </c>
      <c r="J2757" s="2" t="s">
        <v>12247</v>
      </c>
      <c r="K2757" s="2" t="s">
        <v>23</v>
      </c>
      <c r="L2757" s="2" t="s">
        <v>12248</v>
      </c>
      <c r="M2757" s="4">
        <v>14.56</v>
      </c>
      <c r="N2757" t="e">
        <f>OR(LEFT(B2757,3)="frg",(_xlfn.XMATCH(B2757,ZZZ_Part_Id_[[#All],[FGCODE]])))</f>
        <v>#N/A</v>
      </c>
    </row>
    <row r="2758" spans="1:14" x14ac:dyDescent="0.3">
      <c r="A2758" s="2" t="s">
        <v>12244</v>
      </c>
      <c r="B2758" s="2" t="s">
        <v>759</v>
      </c>
      <c r="C2758" s="2" t="s">
        <v>12249</v>
      </c>
      <c r="D2758" s="3">
        <v>2</v>
      </c>
      <c r="E2758" s="3">
        <v>2</v>
      </c>
      <c r="F2758" s="2" t="s">
        <v>16</v>
      </c>
      <c r="G2758" s="2" t="s">
        <v>12250</v>
      </c>
      <c r="H2758" s="3">
        <v>0</v>
      </c>
      <c r="I2758" s="2" t="s">
        <v>18</v>
      </c>
      <c r="J2758" s="2" t="s">
        <v>12251</v>
      </c>
      <c r="K2758" s="2" t="s">
        <v>16</v>
      </c>
      <c r="L2758" s="2" t="s">
        <v>12252</v>
      </c>
      <c r="M2758" s="4">
        <v>9.06</v>
      </c>
      <c r="N2758" t="e">
        <f>OR(LEFT(B2758,3)="frg",(_xlfn.XMATCH(B2758,ZZZ_Part_Id_[[#All],[FGCODE]])))</f>
        <v>#N/A</v>
      </c>
    </row>
    <row r="2759" spans="1:14" x14ac:dyDescent="0.3">
      <c r="A2759" s="2" t="s">
        <v>12244</v>
      </c>
      <c r="B2759" s="2" t="s">
        <v>797</v>
      </c>
      <c r="C2759" s="2" t="s">
        <v>12253</v>
      </c>
      <c r="D2759" s="3">
        <v>1000</v>
      </c>
      <c r="E2759" s="3">
        <v>1000</v>
      </c>
      <c r="F2759" s="2" t="s">
        <v>16</v>
      </c>
      <c r="G2759" s="2" t="s">
        <v>12254</v>
      </c>
      <c r="H2759" s="3">
        <v>0</v>
      </c>
      <c r="I2759" s="2" t="s">
        <v>18</v>
      </c>
      <c r="J2759" s="2" t="s">
        <v>12255</v>
      </c>
      <c r="K2759" s="2" t="s">
        <v>16</v>
      </c>
      <c r="L2759" s="2" t="s">
        <v>12256</v>
      </c>
      <c r="M2759" s="4">
        <v>54.04</v>
      </c>
      <c r="N2759" t="b">
        <f>OR(LEFT(B2759,3)="frg",(_xlfn.XMATCH(B2759,ZZZ_Part_Id_[[#All],[FGCODE]])))</f>
        <v>1</v>
      </c>
    </row>
    <row r="2760" spans="1:14" x14ac:dyDescent="0.3">
      <c r="A2760" s="2" t="s">
        <v>12257</v>
      </c>
      <c r="B2760" s="2" t="s">
        <v>14</v>
      </c>
      <c r="C2760" s="2" t="s">
        <v>12258</v>
      </c>
      <c r="D2760" s="3">
        <v>4</v>
      </c>
      <c r="E2760" s="3">
        <v>4</v>
      </c>
      <c r="F2760" s="2" t="s">
        <v>16</v>
      </c>
      <c r="G2760" s="2" t="s">
        <v>12259</v>
      </c>
      <c r="H2760" s="3">
        <v>0</v>
      </c>
      <c r="I2760" s="2" t="s">
        <v>18</v>
      </c>
      <c r="J2760" s="2" t="s">
        <v>12260</v>
      </c>
      <c r="K2760" s="2" t="s">
        <v>16</v>
      </c>
      <c r="L2760" s="2" t="s">
        <v>12261</v>
      </c>
      <c r="M2760" s="4">
        <v>0.31</v>
      </c>
      <c r="N2760" t="e">
        <f>OR(LEFT(B2760,3)="frg",(_xlfn.XMATCH(B2760,ZZZ_Part_Id_[[#All],[FGCODE]])))</f>
        <v>#N/A</v>
      </c>
    </row>
    <row r="2761" spans="1:14" x14ac:dyDescent="0.3">
      <c r="A2761" s="2" t="s">
        <v>12257</v>
      </c>
      <c r="B2761" s="2" t="s">
        <v>740</v>
      </c>
      <c r="C2761" s="2" t="s">
        <v>12262</v>
      </c>
      <c r="D2761" s="3">
        <v>21240</v>
      </c>
      <c r="E2761" s="3">
        <v>21240</v>
      </c>
      <c r="F2761" s="2" t="s">
        <v>16</v>
      </c>
      <c r="G2761" s="2" t="s">
        <v>12263</v>
      </c>
      <c r="H2761" s="3">
        <v>0</v>
      </c>
      <c r="I2761" s="2" t="s">
        <v>18</v>
      </c>
      <c r="J2761" s="2" t="s">
        <v>12264</v>
      </c>
      <c r="K2761" s="2" t="s">
        <v>16</v>
      </c>
      <c r="L2761" s="2" t="s">
        <v>12265</v>
      </c>
      <c r="M2761" s="4">
        <v>4222.72</v>
      </c>
      <c r="N2761" t="b">
        <f>OR(LEFT(B2761,3)="frg",(_xlfn.XMATCH(B2761,ZZZ_Part_Id_[[#All],[FGCODE]])))</f>
        <v>1</v>
      </c>
    </row>
    <row r="2762" spans="1:14" x14ac:dyDescent="0.3">
      <c r="A2762" s="2" t="s">
        <v>12266</v>
      </c>
      <c r="B2762" s="2" t="s">
        <v>517</v>
      </c>
      <c r="C2762" s="2" t="s">
        <v>12267</v>
      </c>
      <c r="D2762" s="3">
        <v>10080</v>
      </c>
      <c r="E2762" s="3">
        <v>10080</v>
      </c>
      <c r="F2762" s="2" t="s">
        <v>16</v>
      </c>
      <c r="G2762" s="2" t="s">
        <v>12268</v>
      </c>
      <c r="H2762" s="3">
        <v>0</v>
      </c>
      <c r="I2762" s="2" t="s">
        <v>18</v>
      </c>
      <c r="J2762" s="2" t="s">
        <v>12269</v>
      </c>
      <c r="K2762" s="2" t="s">
        <v>16</v>
      </c>
      <c r="L2762" s="2" t="s">
        <v>12270</v>
      </c>
      <c r="M2762" s="4">
        <v>1833.96</v>
      </c>
      <c r="N2762" t="b">
        <f>OR(LEFT(B2762,3)="frg",(_xlfn.XMATCH(B2762,ZZZ_Part_Id_[[#All],[FGCODE]])))</f>
        <v>1</v>
      </c>
    </row>
    <row r="2763" spans="1:14" x14ac:dyDescent="0.3">
      <c r="A2763" s="2" t="s">
        <v>12271</v>
      </c>
      <c r="B2763" s="2" t="s">
        <v>70</v>
      </c>
      <c r="C2763" s="2" t="s">
        <v>12272</v>
      </c>
      <c r="D2763" s="3">
        <v>6336</v>
      </c>
      <c r="E2763" s="3">
        <v>6336</v>
      </c>
      <c r="F2763" s="2" t="s">
        <v>16</v>
      </c>
      <c r="G2763" s="2" t="s">
        <v>12273</v>
      </c>
      <c r="H2763" s="3">
        <v>0</v>
      </c>
      <c r="I2763" s="2" t="s">
        <v>18</v>
      </c>
      <c r="J2763" s="2" t="s">
        <v>12274</v>
      </c>
      <c r="K2763" s="2" t="s">
        <v>16</v>
      </c>
      <c r="L2763" s="2" t="s">
        <v>12275</v>
      </c>
      <c r="M2763" s="4">
        <v>1559.42</v>
      </c>
      <c r="N2763" t="b">
        <f>OR(LEFT(B2763,3)="frg",(_xlfn.XMATCH(B2763,ZZZ_Part_Id_[[#All],[FGCODE]])))</f>
        <v>1</v>
      </c>
    </row>
    <row r="2764" spans="1:14" x14ac:dyDescent="0.3">
      <c r="A2764" s="2" t="s">
        <v>12276</v>
      </c>
      <c r="B2764" s="2" t="s">
        <v>14</v>
      </c>
      <c r="C2764" s="2" t="s">
        <v>12277</v>
      </c>
      <c r="D2764" s="3">
        <v>4</v>
      </c>
      <c r="E2764" s="3">
        <v>4</v>
      </c>
      <c r="F2764" s="2" t="s">
        <v>16</v>
      </c>
      <c r="G2764" s="2" t="s">
        <v>12278</v>
      </c>
      <c r="H2764" s="3">
        <v>0</v>
      </c>
      <c r="I2764" s="2" t="s">
        <v>18</v>
      </c>
      <c r="J2764" s="2" t="s">
        <v>12279</v>
      </c>
      <c r="K2764" s="2" t="s">
        <v>16</v>
      </c>
      <c r="L2764" s="2" t="s">
        <v>12280</v>
      </c>
      <c r="M2764" s="4">
        <v>0.31</v>
      </c>
      <c r="N2764" t="e">
        <f>OR(LEFT(B2764,3)="frg",(_xlfn.XMATCH(B2764,ZZZ_Part_Id_[[#All],[FGCODE]])))</f>
        <v>#N/A</v>
      </c>
    </row>
    <row r="2765" spans="1:14" x14ac:dyDescent="0.3">
      <c r="A2765" s="2" t="s">
        <v>12276</v>
      </c>
      <c r="B2765" s="2" t="s">
        <v>11210</v>
      </c>
      <c r="C2765" s="2" t="s">
        <v>12281</v>
      </c>
      <c r="D2765" s="3">
        <v>20160</v>
      </c>
      <c r="E2765" s="3">
        <v>20160</v>
      </c>
      <c r="F2765" s="2" t="s">
        <v>16</v>
      </c>
      <c r="G2765" s="2" t="s">
        <v>12282</v>
      </c>
      <c r="H2765" s="3">
        <v>0</v>
      </c>
      <c r="I2765" s="2" t="s">
        <v>18</v>
      </c>
      <c r="J2765" s="2" t="s">
        <v>12283</v>
      </c>
      <c r="K2765" s="2" t="s">
        <v>16</v>
      </c>
      <c r="L2765" s="2" t="s">
        <v>12284</v>
      </c>
      <c r="M2765" s="4">
        <v>3508.64</v>
      </c>
      <c r="N2765" t="b">
        <f>OR(LEFT(B2765,3)="frg",(_xlfn.XMATCH(B2765,ZZZ_Part_Id_[[#All],[FGCODE]])))</f>
        <v>1</v>
      </c>
    </row>
    <row r="2766" spans="1:14" x14ac:dyDescent="0.3">
      <c r="A2766" s="2" t="s">
        <v>12285</v>
      </c>
      <c r="B2766" s="2" t="s">
        <v>1093</v>
      </c>
      <c r="C2766" s="2" t="s">
        <v>12286</v>
      </c>
      <c r="D2766" s="3">
        <v>20880</v>
      </c>
      <c r="E2766" s="3">
        <v>20880</v>
      </c>
      <c r="F2766" s="2" t="s">
        <v>16</v>
      </c>
      <c r="G2766" s="2" t="s">
        <v>12287</v>
      </c>
      <c r="H2766" s="3">
        <v>0</v>
      </c>
      <c r="I2766" s="2" t="s">
        <v>18</v>
      </c>
      <c r="J2766" s="2" t="s">
        <v>12288</v>
      </c>
      <c r="K2766" s="2" t="s">
        <v>16</v>
      </c>
      <c r="L2766" s="2" t="s">
        <v>12289</v>
      </c>
      <c r="M2766" s="4">
        <v>1783.15</v>
      </c>
      <c r="N2766" t="b">
        <f>OR(LEFT(B2766,3)="frg",(_xlfn.XMATCH(B2766,ZZZ_Part_Id_[[#All],[FGCODE]])))</f>
        <v>1</v>
      </c>
    </row>
    <row r="2767" spans="1:14" x14ac:dyDescent="0.3">
      <c r="A2767" s="2" t="s">
        <v>12290</v>
      </c>
      <c r="B2767" s="2" t="s">
        <v>14</v>
      </c>
      <c r="C2767" s="2" t="s">
        <v>12291</v>
      </c>
      <c r="D2767" s="3">
        <v>10</v>
      </c>
      <c r="E2767" s="3">
        <v>10</v>
      </c>
      <c r="F2767" s="2" t="s">
        <v>16</v>
      </c>
      <c r="G2767" s="2" t="s">
        <v>12292</v>
      </c>
      <c r="H2767" s="3">
        <v>0</v>
      </c>
      <c r="I2767" s="2" t="s">
        <v>18</v>
      </c>
      <c r="J2767" s="2" t="s">
        <v>12293</v>
      </c>
      <c r="K2767" s="2" t="s">
        <v>16</v>
      </c>
      <c r="L2767" s="2" t="s">
        <v>12294</v>
      </c>
      <c r="M2767" s="4">
        <v>0.77</v>
      </c>
      <c r="N2767" t="e">
        <f>OR(LEFT(B2767,3)="frg",(_xlfn.XMATCH(B2767,ZZZ_Part_Id_[[#All],[FGCODE]])))</f>
        <v>#N/A</v>
      </c>
    </row>
    <row r="2768" spans="1:14" x14ac:dyDescent="0.3">
      <c r="A2768" s="2" t="s">
        <v>12290</v>
      </c>
      <c r="B2768" s="2" t="s">
        <v>86</v>
      </c>
      <c r="C2768" s="2" t="s">
        <v>12295</v>
      </c>
      <c r="D2768" s="5">
        <v>-41</v>
      </c>
      <c r="E2768" s="5">
        <v>-41</v>
      </c>
      <c r="F2768" s="2" t="s">
        <v>23</v>
      </c>
      <c r="G2768" s="2" t="s">
        <v>12296</v>
      </c>
      <c r="H2768" s="3">
        <v>0</v>
      </c>
      <c r="I2768" s="2" t="s">
        <v>18</v>
      </c>
      <c r="J2768" s="2" t="s">
        <v>12297</v>
      </c>
      <c r="K2768" s="2" t="s">
        <v>23</v>
      </c>
      <c r="L2768" s="2" t="s">
        <v>12298</v>
      </c>
      <c r="M2768" s="6">
        <v>-107.33</v>
      </c>
      <c r="N2768" t="b">
        <f>OR(LEFT(B2768,3)="frg",(_xlfn.XMATCH(B2768,ZZZ_Part_Id_[[#All],[FGCODE]])))</f>
        <v>1</v>
      </c>
    </row>
    <row r="2769" spans="1:14" x14ac:dyDescent="0.3">
      <c r="A2769" s="2" t="s">
        <v>12290</v>
      </c>
      <c r="B2769" s="2" t="s">
        <v>11332</v>
      </c>
      <c r="C2769" s="2" t="s">
        <v>12299</v>
      </c>
      <c r="D2769" s="3">
        <v>107714</v>
      </c>
      <c r="E2769" s="3">
        <v>107714</v>
      </c>
      <c r="F2769" s="2" t="s">
        <v>16</v>
      </c>
      <c r="G2769" s="2" t="s">
        <v>12300</v>
      </c>
      <c r="H2769" s="3">
        <v>0</v>
      </c>
      <c r="I2769" s="2" t="s">
        <v>18</v>
      </c>
      <c r="J2769" s="2" t="s">
        <v>12301</v>
      </c>
      <c r="K2769" s="2" t="s">
        <v>16</v>
      </c>
      <c r="L2769" s="2" t="s">
        <v>12302</v>
      </c>
      <c r="M2769" s="4">
        <v>8708.69</v>
      </c>
      <c r="N2769" t="b">
        <f>OR(LEFT(B2769,3)="frg",(_xlfn.XMATCH(B2769,ZZZ_Part_Id_[[#All],[FGCODE]])))</f>
        <v>1</v>
      </c>
    </row>
    <row r="2770" spans="1:14" x14ac:dyDescent="0.3">
      <c r="A2770" s="2" t="s">
        <v>12303</v>
      </c>
      <c r="B2770" s="2" t="s">
        <v>12304</v>
      </c>
      <c r="C2770" s="2" t="s">
        <v>12305</v>
      </c>
      <c r="D2770" s="3">
        <v>160704</v>
      </c>
      <c r="E2770" s="3">
        <v>160704</v>
      </c>
      <c r="F2770" s="2" t="s">
        <v>16</v>
      </c>
      <c r="G2770" s="2" t="s">
        <v>12306</v>
      </c>
      <c r="H2770" s="3">
        <v>0</v>
      </c>
      <c r="I2770" s="2" t="s">
        <v>18</v>
      </c>
      <c r="J2770" s="2" t="s">
        <v>12307</v>
      </c>
      <c r="K2770" s="2" t="s">
        <v>16</v>
      </c>
      <c r="L2770" s="2" t="s">
        <v>12308</v>
      </c>
      <c r="M2770" s="4">
        <v>26037.27</v>
      </c>
      <c r="N2770" t="b">
        <f>OR(LEFT(B2770,3)="frg",(_xlfn.XMATCH(B2770,ZZZ_Part_Id_[[#All],[FGCODE]])))</f>
        <v>1</v>
      </c>
    </row>
    <row r="2771" spans="1:14" x14ac:dyDescent="0.3">
      <c r="A2771" s="2" t="s">
        <v>12309</v>
      </c>
      <c r="B2771" s="2" t="s">
        <v>9276</v>
      </c>
      <c r="C2771" s="2" t="s">
        <v>12310</v>
      </c>
      <c r="D2771" s="3">
        <v>480</v>
      </c>
      <c r="E2771" s="3">
        <v>20</v>
      </c>
      <c r="F2771" s="2" t="s">
        <v>16</v>
      </c>
      <c r="G2771" s="2" t="s">
        <v>12311</v>
      </c>
      <c r="H2771" s="3">
        <v>0</v>
      </c>
      <c r="I2771" s="2" t="s">
        <v>18</v>
      </c>
      <c r="J2771" s="2" t="s">
        <v>12312</v>
      </c>
      <c r="K2771" s="2" t="s">
        <v>16</v>
      </c>
      <c r="L2771" s="2" t="s">
        <v>12313</v>
      </c>
      <c r="M2771" s="4">
        <v>96.45</v>
      </c>
      <c r="N2771" t="e">
        <f>OR(LEFT(B2771,3)="frg",(_xlfn.XMATCH(B2771,ZZZ_Part_Id_[[#All],[FGCODE]])))</f>
        <v>#N/A</v>
      </c>
    </row>
    <row r="2772" spans="1:14" x14ac:dyDescent="0.3">
      <c r="A2772" s="2" t="s">
        <v>12309</v>
      </c>
      <c r="B2772" s="2" t="s">
        <v>140</v>
      </c>
      <c r="C2772" s="2" t="s">
        <v>12314</v>
      </c>
      <c r="D2772" s="3">
        <v>36.96</v>
      </c>
      <c r="E2772" s="3">
        <v>36.96</v>
      </c>
      <c r="F2772" s="2" t="s">
        <v>16</v>
      </c>
      <c r="G2772" s="2" t="s">
        <v>12315</v>
      </c>
      <c r="H2772" s="3">
        <v>0</v>
      </c>
      <c r="I2772" s="2" t="s">
        <v>18</v>
      </c>
      <c r="J2772" s="2" t="s">
        <v>12316</v>
      </c>
      <c r="K2772" s="2" t="s">
        <v>16</v>
      </c>
      <c r="L2772" s="2" t="s">
        <v>12317</v>
      </c>
      <c r="M2772" s="4">
        <v>81.19</v>
      </c>
      <c r="N2772" t="e">
        <f>OR(LEFT(B2772,3)="frg",(_xlfn.XMATCH(B2772,ZZZ_Part_Id_[[#All],[FGCODE]])))</f>
        <v>#N/A</v>
      </c>
    </row>
    <row r="2773" spans="1:14" x14ac:dyDescent="0.3">
      <c r="A2773" s="2" t="s">
        <v>12309</v>
      </c>
      <c r="B2773" s="2" t="s">
        <v>14</v>
      </c>
      <c r="C2773" s="2" t="s">
        <v>12318</v>
      </c>
      <c r="D2773" s="3">
        <v>24</v>
      </c>
      <c r="E2773" s="3">
        <v>24</v>
      </c>
      <c r="F2773" s="2" t="s">
        <v>16</v>
      </c>
      <c r="G2773" s="2" t="s">
        <v>12319</v>
      </c>
      <c r="H2773" s="3">
        <v>0</v>
      </c>
      <c r="I2773" s="2" t="s">
        <v>18</v>
      </c>
      <c r="J2773" s="2" t="s">
        <v>12320</v>
      </c>
      <c r="K2773" s="2" t="s">
        <v>16</v>
      </c>
      <c r="L2773" s="2" t="s">
        <v>12321</v>
      </c>
      <c r="M2773" s="4">
        <v>1.85</v>
      </c>
      <c r="N2773" t="e">
        <f>OR(LEFT(B2773,3)="frg",(_xlfn.XMATCH(B2773,ZZZ_Part_Id_[[#All],[FGCODE]])))</f>
        <v>#N/A</v>
      </c>
    </row>
    <row r="2774" spans="1:14" x14ac:dyDescent="0.3">
      <c r="A2774" s="2" t="s">
        <v>12309</v>
      </c>
      <c r="B2774" s="2" t="s">
        <v>6066</v>
      </c>
      <c r="C2774" s="2" t="s">
        <v>12322</v>
      </c>
      <c r="D2774" s="3">
        <v>0.40799999999999997</v>
      </c>
      <c r="E2774" s="3">
        <v>0.40799999999999997</v>
      </c>
      <c r="F2774" s="2" t="s">
        <v>194</v>
      </c>
      <c r="G2774" s="2" t="s">
        <v>12323</v>
      </c>
      <c r="H2774" s="3">
        <v>0</v>
      </c>
      <c r="I2774" s="2" t="s">
        <v>18</v>
      </c>
      <c r="J2774" s="2" t="s">
        <v>12324</v>
      </c>
      <c r="K2774" s="2" t="s">
        <v>194</v>
      </c>
      <c r="L2774" s="2" t="s">
        <v>12325</v>
      </c>
      <c r="M2774" s="4">
        <v>11.93</v>
      </c>
      <c r="N2774" t="e">
        <f>OR(LEFT(B2774,3)="frg",(_xlfn.XMATCH(B2774,ZZZ_Part_Id_[[#All],[FGCODE]])))</f>
        <v>#N/A</v>
      </c>
    </row>
    <row r="2775" spans="1:14" x14ac:dyDescent="0.3">
      <c r="A2775" s="2" t="s">
        <v>12309</v>
      </c>
      <c r="B2775" s="2" t="s">
        <v>764</v>
      </c>
      <c r="C2775" s="2" t="s">
        <v>12326</v>
      </c>
      <c r="D2775" s="3">
        <v>64.319999999999993</v>
      </c>
      <c r="E2775" s="3">
        <v>64.319999999999993</v>
      </c>
      <c r="F2775" s="2" t="s">
        <v>23</v>
      </c>
      <c r="G2775" s="2" t="s">
        <v>12327</v>
      </c>
      <c r="H2775" s="3">
        <v>0</v>
      </c>
      <c r="I2775" s="2" t="s">
        <v>18</v>
      </c>
      <c r="J2775" s="2" t="s">
        <v>12328</v>
      </c>
      <c r="K2775" s="2" t="s">
        <v>23</v>
      </c>
      <c r="L2775" s="2" t="s">
        <v>12329</v>
      </c>
      <c r="M2775" s="4">
        <v>468.35</v>
      </c>
      <c r="N2775" t="e">
        <f>OR(LEFT(B2775,3)="frg",(_xlfn.XMATCH(B2775,ZZZ_Part_Id_[[#All],[FGCODE]])))</f>
        <v>#N/A</v>
      </c>
    </row>
    <row r="2776" spans="1:14" x14ac:dyDescent="0.3">
      <c r="A2776" s="2" t="s">
        <v>12309</v>
      </c>
      <c r="B2776" s="2" t="s">
        <v>172</v>
      </c>
      <c r="C2776" s="2" t="s">
        <v>12330</v>
      </c>
      <c r="D2776" s="7">
        <v>6816</v>
      </c>
      <c r="E2776" s="7">
        <v>6816</v>
      </c>
      <c r="F2776" s="2" t="s">
        <v>3987</v>
      </c>
      <c r="G2776" s="2" t="s">
        <v>12331</v>
      </c>
      <c r="H2776" s="7">
        <v>0</v>
      </c>
      <c r="I2776" s="2" t="s">
        <v>18</v>
      </c>
      <c r="J2776" s="2" t="s">
        <v>12332</v>
      </c>
      <c r="K2776" s="2" t="s">
        <v>3987</v>
      </c>
      <c r="L2776" s="2" t="s">
        <v>12333</v>
      </c>
      <c r="M2776" s="4">
        <v>50.37</v>
      </c>
      <c r="N2776" t="e">
        <f>OR(LEFT(B2776,3)="frg",(_xlfn.XMATCH(B2776,ZZZ_Part_Id_[[#All],[FGCODE]])))</f>
        <v>#N/A</v>
      </c>
    </row>
    <row r="2777" spans="1:14" x14ac:dyDescent="0.3">
      <c r="A2777" s="2" t="s">
        <v>12309</v>
      </c>
      <c r="B2777" s="2" t="s">
        <v>45</v>
      </c>
      <c r="C2777" s="2" t="s">
        <v>12334</v>
      </c>
      <c r="D2777" s="3">
        <v>1.2</v>
      </c>
      <c r="E2777" s="3">
        <v>1.2</v>
      </c>
      <c r="F2777" s="2" t="s">
        <v>47</v>
      </c>
      <c r="G2777" s="2" t="s">
        <v>12335</v>
      </c>
      <c r="H2777" s="3">
        <v>0</v>
      </c>
      <c r="I2777" s="2" t="s">
        <v>18</v>
      </c>
      <c r="J2777" s="2" t="s">
        <v>12336</v>
      </c>
      <c r="K2777" s="2" t="s">
        <v>47</v>
      </c>
      <c r="L2777" s="2" t="s">
        <v>12337</v>
      </c>
      <c r="M2777" s="4">
        <v>97.11</v>
      </c>
      <c r="N2777" t="e">
        <f>OR(LEFT(B2777,3)="frg",(_xlfn.XMATCH(B2777,ZZZ_Part_Id_[[#All],[FGCODE]])))</f>
        <v>#N/A</v>
      </c>
    </row>
    <row r="2778" spans="1:14" x14ac:dyDescent="0.3">
      <c r="A2778" s="2" t="s">
        <v>12309</v>
      </c>
      <c r="B2778" s="2" t="s">
        <v>41</v>
      </c>
      <c r="C2778" s="2" t="s">
        <v>12338</v>
      </c>
      <c r="D2778" s="5">
        <v>-203.2</v>
      </c>
      <c r="E2778" s="5">
        <v>-203.2</v>
      </c>
      <c r="F2778" s="2" t="s">
        <v>23</v>
      </c>
      <c r="G2778" s="2" t="s">
        <v>12339</v>
      </c>
      <c r="H2778" s="3">
        <v>0</v>
      </c>
      <c r="I2778" s="2" t="s">
        <v>18</v>
      </c>
      <c r="J2778" s="2" t="s">
        <v>12340</v>
      </c>
      <c r="K2778" s="2" t="s">
        <v>23</v>
      </c>
      <c r="L2778" s="2" t="s">
        <v>12341</v>
      </c>
      <c r="M2778" s="6">
        <v>-2.0299999999999998</v>
      </c>
      <c r="N2778" t="e">
        <f>OR(LEFT(B2778,3)="frg",(_xlfn.XMATCH(B2778,ZZZ_Part_Id_[[#All],[FGCODE]])))</f>
        <v>#N/A</v>
      </c>
    </row>
    <row r="2779" spans="1:14" x14ac:dyDescent="0.3">
      <c r="A2779" s="2" t="s">
        <v>12309</v>
      </c>
      <c r="B2779" s="2" t="s">
        <v>264</v>
      </c>
      <c r="C2779" s="2" t="s">
        <v>12342</v>
      </c>
      <c r="D2779" s="3">
        <v>2.4E-2</v>
      </c>
      <c r="E2779" s="3">
        <v>2.4E-2</v>
      </c>
      <c r="F2779" s="2" t="s">
        <v>16</v>
      </c>
      <c r="G2779" s="2" t="s">
        <v>12343</v>
      </c>
      <c r="H2779" s="3">
        <v>0</v>
      </c>
      <c r="I2779" s="2" t="s">
        <v>18</v>
      </c>
      <c r="J2779" s="2" t="s">
        <v>12344</v>
      </c>
      <c r="K2779" s="2" t="s">
        <v>16</v>
      </c>
      <c r="L2779" s="2" t="s">
        <v>12345</v>
      </c>
      <c r="M2779" s="4">
        <v>0.9</v>
      </c>
      <c r="N2779" t="e">
        <f>OR(LEFT(B2779,3)="frg",(_xlfn.XMATCH(B2779,ZZZ_Part_Id_[[#All],[FGCODE]])))</f>
        <v>#N/A</v>
      </c>
    </row>
    <row r="2780" spans="1:14" x14ac:dyDescent="0.3">
      <c r="A2780" s="2" t="s">
        <v>12309</v>
      </c>
      <c r="B2780" s="2" t="s">
        <v>9267</v>
      </c>
      <c r="C2780" s="2" t="s">
        <v>12346</v>
      </c>
      <c r="D2780" s="3">
        <v>4000000</v>
      </c>
      <c r="E2780" s="3">
        <v>4000000</v>
      </c>
      <c r="F2780" s="2" t="s">
        <v>16</v>
      </c>
      <c r="G2780" s="2" t="s">
        <v>12347</v>
      </c>
      <c r="H2780" s="3">
        <v>0</v>
      </c>
      <c r="I2780" s="2" t="s">
        <v>18</v>
      </c>
      <c r="J2780" s="2" t="s">
        <v>12348</v>
      </c>
      <c r="K2780" s="2" t="s">
        <v>16</v>
      </c>
      <c r="L2780" s="2" t="s">
        <v>12349</v>
      </c>
      <c r="M2780" s="4">
        <v>40280</v>
      </c>
      <c r="N2780" t="b">
        <f>OR(LEFT(B2780,3)="frg",(_xlfn.XMATCH(B2780,ZZZ_Part_Id_[[#All],[FGCODE]])))</f>
        <v>1</v>
      </c>
    </row>
    <row r="2781" spans="1:14" x14ac:dyDescent="0.3">
      <c r="A2781" s="2" t="s">
        <v>12350</v>
      </c>
      <c r="B2781" s="2" t="s">
        <v>14</v>
      </c>
      <c r="C2781" s="2" t="s">
        <v>12351</v>
      </c>
      <c r="D2781" s="3">
        <v>4</v>
      </c>
      <c r="E2781" s="3">
        <v>4</v>
      </c>
      <c r="F2781" s="2" t="s">
        <v>16</v>
      </c>
      <c r="G2781" s="2" t="s">
        <v>12352</v>
      </c>
      <c r="H2781" s="3">
        <v>0</v>
      </c>
      <c r="I2781" s="2" t="s">
        <v>18</v>
      </c>
      <c r="J2781" s="2" t="s">
        <v>12353</v>
      </c>
      <c r="K2781" s="2" t="s">
        <v>16</v>
      </c>
      <c r="L2781" s="2" t="s">
        <v>12354</v>
      </c>
      <c r="M2781" s="4">
        <v>0.31</v>
      </c>
      <c r="N2781" t="e">
        <f>OR(LEFT(B2781,3)="frg",(_xlfn.XMATCH(B2781,ZZZ_Part_Id_[[#All],[FGCODE]])))</f>
        <v>#N/A</v>
      </c>
    </row>
    <row r="2782" spans="1:14" x14ac:dyDescent="0.3">
      <c r="A2782" s="2" t="s">
        <v>12350</v>
      </c>
      <c r="B2782" s="2" t="s">
        <v>11210</v>
      </c>
      <c r="C2782" s="2" t="s">
        <v>12355</v>
      </c>
      <c r="D2782" s="3">
        <v>30240</v>
      </c>
      <c r="E2782" s="3">
        <v>30240</v>
      </c>
      <c r="F2782" s="2" t="s">
        <v>16</v>
      </c>
      <c r="G2782" s="2" t="s">
        <v>12356</v>
      </c>
      <c r="H2782" s="3">
        <v>0</v>
      </c>
      <c r="I2782" s="2" t="s">
        <v>18</v>
      </c>
      <c r="J2782" s="2" t="s">
        <v>12357</v>
      </c>
      <c r="K2782" s="2" t="s">
        <v>16</v>
      </c>
      <c r="L2782" s="2" t="s">
        <v>12358</v>
      </c>
      <c r="M2782" s="4">
        <v>5262.96</v>
      </c>
      <c r="N2782" t="b">
        <f>OR(LEFT(B2782,3)="frg",(_xlfn.XMATCH(B2782,ZZZ_Part_Id_[[#All],[FGCODE]])))</f>
        <v>1</v>
      </c>
    </row>
    <row r="2783" spans="1:14" x14ac:dyDescent="0.3">
      <c r="A2783" s="2" t="s">
        <v>12359</v>
      </c>
      <c r="B2783" s="2" t="s">
        <v>14</v>
      </c>
      <c r="C2783" s="2" t="s">
        <v>12360</v>
      </c>
      <c r="D2783" s="3">
        <v>10</v>
      </c>
      <c r="E2783" s="3">
        <v>10</v>
      </c>
      <c r="F2783" s="2" t="s">
        <v>16</v>
      </c>
      <c r="G2783" s="2" t="s">
        <v>12361</v>
      </c>
      <c r="H2783" s="3">
        <v>0</v>
      </c>
      <c r="I2783" s="2" t="s">
        <v>18</v>
      </c>
      <c r="J2783" s="2" t="s">
        <v>12362</v>
      </c>
      <c r="K2783" s="2" t="s">
        <v>16</v>
      </c>
      <c r="L2783" s="2" t="s">
        <v>12363</v>
      </c>
      <c r="M2783" s="4">
        <v>0.77</v>
      </c>
      <c r="N2783" t="e">
        <f>OR(LEFT(B2783,3)="frg",(_xlfn.XMATCH(B2783,ZZZ_Part_Id_[[#All],[FGCODE]])))</f>
        <v>#N/A</v>
      </c>
    </row>
    <row r="2784" spans="1:14" x14ac:dyDescent="0.3">
      <c r="A2784" s="2" t="s">
        <v>12359</v>
      </c>
      <c r="B2784" s="2" t="s">
        <v>156</v>
      </c>
      <c r="C2784" s="2" t="s">
        <v>12364</v>
      </c>
      <c r="D2784" s="5">
        <v>-241</v>
      </c>
      <c r="E2784" s="5">
        <v>-241</v>
      </c>
      <c r="F2784" s="2" t="s">
        <v>23</v>
      </c>
      <c r="G2784" s="2" t="s">
        <v>12365</v>
      </c>
      <c r="H2784" s="3">
        <v>0</v>
      </c>
      <c r="I2784" s="2" t="s">
        <v>18</v>
      </c>
      <c r="J2784" s="2" t="s">
        <v>12366</v>
      </c>
      <c r="K2784" s="2" t="s">
        <v>23</v>
      </c>
      <c r="L2784" s="2" t="s">
        <v>12367</v>
      </c>
      <c r="M2784" s="4">
        <v>0</v>
      </c>
      <c r="N2784" t="e">
        <f>OR(LEFT(B2784,3)="frg",(_xlfn.XMATCH(B2784,ZZZ_Part_Id_[[#All],[FGCODE]])))</f>
        <v>#N/A</v>
      </c>
    </row>
    <row r="2785" spans="1:14" x14ac:dyDescent="0.3">
      <c r="A2785" s="2" t="s">
        <v>12359</v>
      </c>
      <c r="B2785" s="2" t="s">
        <v>12368</v>
      </c>
      <c r="C2785" s="2" t="s">
        <v>12369</v>
      </c>
      <c r="D2785" s="3">
        <v>142848</v>
      </c>
      <c r="E2785" s="3">
        <v>160704</v>
      </c>
      <c r="F2785" s="2" t="s">
        <v>16</v>
      </c>
      <c r="G2785" s="2" t="s">
        <v>12370</v>
      </c>
      <c r="H2785" s="3">
        <v>0</v>
      </c>
      <c r="I2785" s="2" t="s">
        <v>18</v>
      </c>
      <c r="J2785" s="2" t="s">
        <v>12371</v>
      </c>
      <c r="K2785" s="2" t="s">
        <v>16</v>
      </c>
      <c r="L2785" s="2" t="s">
        <v>12372</v>
      </c>
      <c r="M2785" s="4">
        <v>29007.09</v>
      </c>
      <c r="N2785" t="b">
        <f>OR(LEFT(B2785,3)="frg",(_xlfn.XMATCH(B2785,ZZZ_Part_Id_[[#All],[FGCODE]])))</f>
        <v>1</v>
      </c>
    </row>
    <row r="2786" spans="1:14" x14ac:dyDescent="0.3">
      <c r="A2786" s="2" t="s">
        <v>12373</v>
      </c>
      <c r="B2786" s="2" t="s">
        <v>156</v>
      </c>
      <c r="C2786" s="2" t="s">
        <v>12374</v>
      </c>
      <c r="D2786" s="5">
        <v>-241</v>
      </c>
      <c r="E2786" s="5">
        <v>-241</v>
      </c>
      <c r="F2786" s="2" t="s">
        <v>23</v>
      </c>
      <c r="G2786" s="2" t="s">
        <v>12375</v>
      </c>
      <c r="H2786" s="3">
        <v>0</v>
      </c>
      <c r="I2786" s="2" t="s">
        <v>18</v>
      </c>
      <c r="J2786" s="2" t="s">
        <v>12376</v>
      </c>
      <c r="K2786" s="2" t="s">
        <v>23</v>
      </c>
      <c r="L2786" s="2" t="s">
        <v>12377</v>
      </c>
      <c r="M2786" s="4">
        <v>0</v>
      </c>
      <c r="N2786" t="e">
        <f>OR(LEFT(B2786,3)="frg",(_xlfn.XMATCH(B2786,ZZZ_Part_Id_[[#All],[FGCODE]])))</f>
        <v>#N/A</v>
      </c>
    </row>
    <row r="2787" spans="1:14" x14ac:dyDescent="0.3">
      <c r="A2787" s="2" t="s">
        <v>12373</v>
      </c>
      <c r="B2787" s="2" t="s">
        <v>12378</v>
      </c>
      <c r="C2787" s="2" t="s">
        <v>12379</v>
      </c>
      <c r="D2787" s="3">
        <v>71424</v>
      </c>
      <c r="E2787" s="3">
        <v>71424</v>
      </c>
      <c r="F2787" s="2" t="s">
        <v>16</v>
      </c>
      <c r="G2787" s="2" t="s">
        <v>12380</v>
      </c>
      <c r="H2787" s="3">
        <v>0</v>
      </c>
      <c r="I2787" s="2" t="s">
        <v>18</v>
      </c>
      <c r="J2787" s="2" t="s">
        <v>12381</v>
      </c>
      <c r="K2787" s="2" t="s">
        <v>16</v>
      </c>
      <c r="L2787" s="2" t="s">
        <v>12382</v>
      </c>
      <c r="M2787" s="4">
        <v>11522.84</v>
      </c>
      <c r="N2787" t="b">
        <f>OR(LEFT(B2787,3)="frg",(_xlfn.XMATCH(B2787,ZZZ_Part_Id_[[#All],[FGCODE]])))</f>
        <v>1</v>
      </c>
    </row>
    <row r="2788" spans="1:14" x14ac:dyDescent="0.3">
      <c r="A2788" s="2" t="s">
        <v>12383</v>
      </c>
      <c r="B2788" s="2" t="s">
        <v>11332</v>
      </c>
      <c r="C2788" s="2" t="s">
        <v>12384</v>
      </c>
      <c r="D2788" s="3">
        <v>17566</v>
      </c>
      <c r="E2788" s="3">
        <v>17566</v>
      </c>
      <c r="F2788" s="2" t="s">
        <v>16</v>
      </c>
      <c r="G2788" s="2" t="s">
        <v>12385</v>
      </c>
      <c r="H2788" s="3">
        <v>0</v>
      </c>
      <c r="I2788" s="2" t="s">
        <v>18</v>
      </c>
      <c r="J2788" s="2" t="s">
        <v>12386</v>
      </c>
      <c r="K2788" s="2" t="s">
        <v>16</v>
      </c>
      <c r="L2788" s="2" t="s">
        <v>12387</v>
      </c>
      <c r="M2788" s="4">
        <v>1420.21</v>
      </c>
      <c r="N2788" t="b">
        <f>OR(LEFT(B2788,3)="frg",(_xlfn.XMATCH(B2788,ZZZ_Part_Id_[[#All],[FGCODE]])))</f>
        <v>1</v>
      </c>
    </row>
    <row r="2789" spans="1:14" x14ac:dyDescent="0.3">
      <c r="A2789" s="2" t="s">
        <v>12388</v>
      </c>
      <c r="B2789" s="2" t="s">
        <v>14</v>
      </c>
      <c r="C2789" s="2" t="s">
        <v>12389</v>
      </c>
      <c r="D2789" s="3">
        <v>4</v>
      </c>
      <c r="E2789" s="3">
        <v>4</v>
      </c>
      <c r="F2789" s="2" t="s">
        <v>16</v>
      </c>
      <c r="G2789" s="2" t="s">
        <v>12390</v>
      </c>
      <c r="H2789" s="3">
        <v>0</v>
      </c>
      <c r="I2789" s="2" t="s">
        <v>409</v>
      </c>
      <c r="J2789" s="2" t="s">
        <v>12391</v>
      </c>
      <c r="K2789" s="2" t="s">
        <v>16</v>
      </c>
      <c r="L2789" s="2" t="s">
        <v>12392</v>
      </c>
      <c r="M2789" s="4">
        <v>0.31</v>
      </c>
      <c r="N2789" t="e">
        <f>OR(LEFT(B2789,3)="frg",(_xlfn.XMATCH(B2789,ZZZ_Part_Id_[[#All],[FGCODE]])))</f>
        <v>#N/A</v>
      </c>
    </row>
    <row r="2790" spans="1:14" x14ac:dyDescent="0.3">
      <c r="A2790" s="2" t="s">
        <v>12388</v>
      </c>
      <c r="B2790" s="2" t="s">
        <v>37</v>
      </c>
      <c r="C2790" s="2" t="s">
        <v>12393</v>
      </c>
      <c r="D2790" s="3">
        <v>4</v>
      </c>
      <c r="E2790" s="3">
        <v>4</v>
      </c>
      <c r="F2790" s="2" t="s">
        <v>16</v>
      </c>
      <c r="G2790" s="2" t="s">
        <v>12394</v>
      </c>
      <c r="H2790" s="3">
        <v>0</v>
      </c>
      <c r="I2790" s="2" t="s">
        <v>409</v>
      </c>
      <c r="J2790" s="2" t="s">
        <v>12395</v>
      </c>
      <c r="K2790" s="2" t="s">
        <v>16</v>
      </c>
      <c r="L2790" s="2" t="s">
        <v>12396</v>
      </c>
      <c r="M2790" s="4">
        <v>64</v>
      </c>
      <c r="N2790" t="e">
        <f>OR(LEFT(B2790,3)="frg",(_xlfn.XMATCH(B2790,ZZZ_Part_Id_[[#All],[FGCODE]])))</f>
        <v>#N/A</v>
      </c>
    </row>
    <row r="2791" spans="1:14" x14ac:dyDescent="0.3">
      <c r="A2791" s="2" t="s">
        <v>12388</v>
      </c>
      <c r="B2791" s="2" t="s">
        <v>11241</v>
      </c>
      <c r="C2791" s="2" t="s">
        <v>12397</v>
      </c>
      <c r="D2791" s="3">
        <v>101520</v>
      </c>
      <c r="E2791" s="3">
        <v>101520</v>
      </c>
      <c r="F2791" s="2" t="s">
        <v>16</v>
      </c>
      <c r="G2791" s="2" t="s">
        <v>12398</v>
      </c>
      <c r="H2791" s="3">
        <v>0</v>
      </c>
      <c r="I2791" s="2" t="s">
        <v>409</v>
      </c>
      <c r="J2791" s="2" t="s">
        <v>12399</v>
      </c>
      <c r="K2791" s="2" t="s">
        <v>16</v>
      </c>
      <c r="L2791" s="2" t="s">
        <v>12400</v>
      </c>
      <c r="M2791" s="4">
        <v>6273.92</v>
      </c>
      <c r="N2791" t="b">
        <f>OR(LEFT(B2791,3)="frg",(_xlfn.XMATCH(B2791,ZZZ_Part_Id_[[#All],[FGCODE]])))</f>
        <v>1</v>
      </c>
    </row>
    <row r="2792" spans="1:14" x14ac:dyDescent="0.3">
      <c r="A2792" s="2" t="s">
        <v>12401</v>
      </c>
      <c r="B2792" s="2" t="s">
        <v>14</v>
      </c>
      <c r="C2792" s="2" t="s">
        <v>12402</v>
      </c>
      <c r="D2792" s="3">
        <v>7</v>
      </c>
      <c r="E2792" s="3">
        <v>7</v>
      </c>
      <c r="F2792" s="2" t="s">
        <v>16</v>
      </c>
      <c r="G2792" s="2" t="s">
        <v>12403</v>
      </c>
      <c r="H2792" s="3">
        <v>0</v>
      </c>
      <c r="I2792" s="2" t="s">
        <v>409</v>
      </c>
      <c r="J2792" s="2" t="s">
        <v>12404</v>
      </c>
      <c r="K2792" s="2" t="s">
        <v>16</v>
      </c>
      <c r="L2792" s="2" t="s">
        <v>12405</v>
      </c>
      <c r="M2792" s="4">
        <v>0.54</v>
      </c>
      <c r="N2792" t="e">
        <f>OR(LEFT(B2792,3)="frg",(_xlfn.XMATCH(B2792,ZZZ_Part_Id_[[#All],[FGCODE]])))</f>
        <v>#N/A</v>
      </c>
    </row>
    <row r="2793" spans="1:14" x14ac:dyDescent="0.3">
      <c r="A2793" s="2" t="s">
        <v>12401</v>
      </c>
      <c r="B2793" s="2" t="s">
        <v>65</v>
      </c>
      <c r="C2793" s="2" t="s">
        <v>12406</v>
      </c>
      <c r="D2793" s="5">
        <v>-288</v>
      </c>
      <c r="E2793" s="5">
        <v>-288</v>
      </c>
      <c r="F2793" s="2" t="s">
        <v>23</v>
      </c>
      <c r="G2793" s="2" t="s">
        <v>12407</v>
      </c>
      <c r="H2793" s="3">
        <v>0</v>
      </c>
      <c r="I2793" s="2" t="s">
        <v>409</v>
      </c>
      <c r="J2793" s="2" t="s">
        <v>12408</v>
      </c>
      <c r="K2793" s="2" t="s">
        <v>23</v>
      </c>
      <c r="L2793" s="2" t="s">
        <v>12409</v>
      </c>
      <c r="M2793" s="6">
        <v>-740.62</v>
      </c>
      <c r="N2793" t="b">
        <f>OR(LEFT(B2793,3)="frg",(_xlfn.XMATCH(B2793,ZZZ_Part_Id_[[#All],[FGCODE]])))</f>
        <v>1</v>
      </c>
    </row>
    <row r="2794" spans="1:14" x14ac:dyDescent="0.3">
      <c r="A2794" s="2" t="s">
        <v>12401</v>
      </c>
      <c r="B2794" s="2" t="s">
        <v>12410</v>
      </c>
      <c r="C2794" s="2" t="s">
        <v>12411</v>
      </c>
      <c r="D2794" s="3">
        <v>130368</v>
      </c>
      <c r="E2794" s="3">
        <v>130368</v>
      </c>
      <c r="F2794" s="2" t="s">
        <v>16</v>
      </c>
      <c r="G2794" s="2" t="s">
        <v>12412</v>
      </c>
      <c r="H2794" s="3">
        <v>0</v>
      </c>
      <c r="I2794" s="2" t="s">
        <v>409</v>
      </c>
      <c r="J2794" s="2" t="s">
        <v>12413</v>
      </c>
      <c r="K2794" s="2" t="s">
        <v>16</v>
      </c>
      <c r="L2794" s="2" t="s">
        <v>12414</v>
      </c>
      <c r="M2794" s="4">
        <v>14000.21</v>
      </c>
      <c r="N2794" t="b">
        <f>OR(LEFT(B2794,3)="frg",(_xlfn.XMATCH(B2794,ZZZ_Part_Id_[[#All],[FGCODE]])))</f>
        <v>1</v>
      </c>
    </row>
    <row r="2795" spans="1:14" x14ac:dyDescent="0.3">
      <c r="A2795" s="2" t="s">
        <v>12415</v>
      </c>
      <c r="B2795" s="2" t="s">
        <v>12410</v>
      </c>
      <c r="C2795" s="2" t="s">
        <v>12416</v>
      </c>
      <c r="D2795" s="3">
        <v>18624</v>
      </c>
      <c r="E2795" s="3">
        <v>18624</v>
      </c>
      <c r="F2795" s="2" t="s">
        <v>16</v>
      </c>
      <c r="G2795" s="2" t="s">
        <v>12417</v>
      </c>
      <c r="H2795" s="3">
        <v>0</v>
      </c>
      <c r="I2795" s="2" t="s">
        <v>409</v>
      </c>
      <c r="J2795" s="2" t="s">
        <v>12418</v>
      </c>
      <c r="K2795" s="2" t="s">
        <v>16</v>
      </c>
      <c r="L2795" s="2" t="s">
        <v>12419</v>
      </c>
      <c r="M2795" s="4">
        <v>2000.03</v>
      </c>
      <c r="N2795" t="b">
        <f>OR(LEFT(B2795,3)="frg",(_xlfn.XMATCH(B2795,ZZZ_Part_Id_[[#All],[FGCODE]])))</f>
        <v>1</v>
      </c>
    </row>
    <row r="2796" spans="1:14" x14ac:dyDescent="0.3">
      <c r="A2796" s="2" t="s">
        <v>12420</v>
      </c>
      <c r="B2796" s="2" t="s">
        <v>14</v>
      </c>
      <c r="C2796" s="2" t="s">
        <v>12421</v>
      </c>
      <c r="D2796" s="3">
        <v>14</v>
      </c>
      <c r="E2796" s="3">
        <v>14</v>
      </c>
      <c r="F2796" s="2" t="s">
        <v>16</v>
      </c>
      <c r="G2796" s="2" t="s">
        <v>12422</v>
      </c>
      <c r="H2796" s="3">
        <v>0</v>
      </c>
      <c r="I2796" s="2" t="s">
        <v>18</v>
      </c>
      <c r="J2796" s="2" t="s">
        <v>12423</v>
      </c>
      <c r="K2796" s="2" t="s">
        <v>16</v>
      </c>
      <c r="L2796" s="2" t="s">
        <v>12424</v>
      </c>
      <c r="M2796" s="4">
        <v>1.08</v>
      </c>
      <c r="N2796" t="e">
        <f>OR(LEFT(B2796,3)="frg",(_xlfn.XMATCH(B2796,ZZZ_Part_Id_[[#All],[FGCODE]])))</f>
        <v>#N/A</v>
      </c>
    </row>
    <row r="2797" spans="1:14" x14ac:dyDescent="0.3">
      <c r="A2797" s="2" t="s">
        <v>12420</v>
      </c>
      <c r="B2797" s="2" t="s">
        <v>65</v>
      </c>
      <c r="C2797" s="2" t="s">
        <v>12425</v>
      </c>
      <c r="D2797" s="5">
        <v>-241</v>
      </c>
      <c r="E2797" s="5">
        <v>-241</v>
      </c>
      <c r="F2797" s="2" t="s">
        <v>23</v>
      </c>
      <c r="G2797" s="2" t="s">
        <v>12426</v>
      </c>
      <c r="H2797" s="3">
        <v>0</v>
      </c>
      <c r="I2797" s="2" t="s">
        <v>18</v>
      </c>
      <c r="J2797" s="2" t="s">
        <v>12427</v>
      </c>
      <c r="K2797" s="2" t="s">
        <v>23</v>
      </c>
      <c r="L2797" s="2" t="s">
        <v>12428</v>
      </c>
      <c r="M2797" s="6">
        <v>-619.76</v>
      </c>
      <c r="N2797" t="b">
        <f>OR(LEFT(B2797,3)="frg",(_xlfn.XMATCH(B2797,ZZZ_Part_Id_[[#All],[FGCODE]])))</f>
        <v>1</v>
      </c>
    </row>
    <row r="2798" spans="1:14" x14ac:dyDescent="0.3">
      <c r="A2798" s="2" t="s">
        <v>12420</v>
      </c>
      <c r="B2798" s="2" t="s">
        <v>1989</v>
      </c>
      <c r="C2798" s="2" t="s">
        <v>12429</v>
      </c>
      <c r="D2798" s="3">
        <v>214272</v>
      </c>
      <c r="E2798" s="3">
        <v>214272</v>
      </c>
      <c r="F2798" s="2" t="s">
        <v>16</v>
      </c>
      <c r="G2798" s="2" t="s">
        <v>12430</v>
      </c>
      <c r="H2798" s="3">
        <v>0</v>
      </c>
      <c r="I2798" s="2" t="s">
        <v>18</v>
      </c>
      <c r="J2798" s="2" t="s">
        <v>12431</v>
      </c>
      <c r="K2798" s="2" t="s">
        <v>16</v>
      </c>
      <c r="L2798" s="2" t="s">
        <v>12432</v>
      </c>
      <c r="M2798" s="4">
        <v>20598</v>
      </c>
      <c r="N2798" t="b">
        <f>OR(LEFT(B2798,3)="frg",(_xlfn.XMATCH(B2798,ZZZ_Part_Id_[[#All],[FGCODE]])))</f>
        <v>1</v>
      </c>
    </row>
    <row r="2799" spans="1:14" x14ac:dyDescent="0.3">
      <c r="A2799" s="2" t="s">
        <v>12433</v>
      </c>
      <c r="B2799" s="2" t="s">
        <v>14</v>
      </c>
      <c r="C2799" s="2" t="s">
        <v>12434</v>
      </c>
      <c r="D2799" s="3">
        <v>4</v>
      </c>
      <c r="E2799" s="3">
        <v>4</v>
      </c>
      <c r="F2799" s="2" t="s">
        <v>16</v>
      </c>
      <c r="G2799" s="2" t="s">
        <v>12435</v>
      </c>
      <c r="H2799" s="3">
        <v>0</v>
      </c>
      <c r="I2799" s="2" t="s">
        <v>18</v>
      </c>
      <c r="J2799" s="2" t="s">
        <v>12436</v>
      </c>
      <c r="K2799" s="2" t="s">
        <v>16</v>
      </c>
      <c r="L2799" s="2" t="s">
        <v>12437</v>
      </c>
      <c r="M2799" s="4">
        <v>0.31</v>
      </c>
      <c r="N2799" t="e">
        <f>OR(LEFT(B2799,3)="frg",(_xlfn.XMATCH(B2799,ZZZ_Part_Id_[[#All],[FGCODE]])))</f>
        <v>#N/A</v>
      </c>
    </row>
    <row r="2800" spans="1:14" x14ac:dyDescent="0.3">
      <c r="A2800" s="2" t="s">
        <v>12433</v>
      </c>
      <c r="B2800" s="2" t="s">
        <v>293</v>
      </c>
      <c r="C2800" s="2" t="s">
        <v>12438</v>
      </c>
      <c r="D2800" s="3">
        <v>21312</v>
      </c>
      <c r="E2800" s="3">
        <v>21312</v>
      </c>
      <c r="F2800" s="2" t="s">
        <v>16</v>
      </c>
      <c r="G2800" s="2" t="s">
        <v>12439</v>
      </c>
      <c r="H2800" s="3">
        <v>0</v>
      </c>
      <c r="I2800" s="2" t="s">
        <v>18</v>
      </c>
      <c r="J2800" s="2" t="s">
        <v>12440</v>
      </c>
      <c r="K2800" s="2" t="s">
        <v>16</v>
      </c>
      <c r="L2800" s="2" t="s">
        <v>12441</v>
      </c>
      <c r="M2800" s="4">
        <v>1316.22</v>
      </c>
      <c r="N2800" t="b">
        <f>OR(LEFT(B2800,3)="frg",(_xlfn.XMATCH(B2800,ZZZ_Part_Id_[[#All],[FGCODE]])))</f>
        <v>1</v>
      </c>
    </row>
    <row r="2801" spans="1:14" x14ac:dyDescent="0.3">
      <c r="A2801" s="2" t="s">
        <v>12442</v>
      </c>
      <c r="B2801" s="2" t="s">
        <v>9276</v>
      </c>
      <c r="C2801" s="2" t="s">
        <v>12443</v>
      </c>
      <c r="D2801" s="3">
        <v>40</v>
      </c>
      <c r="E2801" s="3">
        <v>40</v>
      </c>
      <c r="F2801" s="2" t="s">
        <v>16</v>
      </c>
      <c r="G2801" s="2" t="s">
        <v>12444</v>
      </c>
      <c r="H2801" s="3">
        <v>0</v>
      </c>
      <c r="I2801" s="2" t="s">
        <v>18</v>
      </c>
      <c r="J2801" s="2" t="s">
        <v>12445</v>
      </c>
      <c r="K2801" s="2" t="s">
        <v>16</v>
      </c>
      <c r="L2801" s="2" t="s">
        <v>12446</v>
      </c>
      <c r="M2801" s="4">
        <v>192.9</v>
      </c>
      <c r="N2801" t="e">
        <f>OR(LEFT(B2801,3)="frg",(_xlfn.XMATCH(B2801,ZZZ_Part_Id_[[#All],[FGCODE]])))</f>
        <v>#N/A</v>
      </c>
    </row>
    <row r="2802" spans="1:14" x14ac:dyDescent="0.3">
      <c r="A2802" s="2" t="s">
        <v>12442</v>
      </c>
      <c r="B2802" s="2" t="s">
        <v>140</v>
      </c>
      <c r="C2802" s="2" t="s">
        <v>12447</v>
      </c>
      <c r="D2802" s="3">
        <v>30.8</v>
      </c>
      <c r="E2802" s="3">
        <v>30.8</v>
      </c>
      <c r="F2802" s="2" t="s">
        <v>16</v>
      </c>
      <c r="G2802" s="2" t="s">
        <v>12448</v>
      </c>
      <c r="H2802" s="3">
        <v>0</v>
      </c>
      <c r="I2802" s="2" t="s">
        <v>18</v>
      </c>
      <c r="J2802" s="2" t="s">
        <v>12449</v>
      </c>
      <c r="K2802" s="2" t="s">
        <v>16</v>
      </c>
      <c r="L2802" s="2" t="s">
        <v>12450</v>
      </c>
      <c r="M2802" s="4">
        <v>67.66</v>
      </c>
      <c r="N2802" t="e">
        <f>OR(LEFT(B2802,3)="frg",(_xlfn.XMATCH(B2802,ZZZ_Part_Id_[[#All],[FGCODE]])))</f>
        <v>#N/A</v>
      </c>
    </row>
    <row r="2803" spans="1:14" x14ac:dyDescent="0.3">
      <c r="A2803" s="2" t="s">
        <v>12442</v>
      </c>
      <c r="B2803" s="2" t="s">
        <v>14</v>
      </c>
      <c r="C2803" s="2" t="s">
        <v>12451</v>
      </c>
      <c r="D2803" s="3">
        <v>20</v>
      </c>
      <c r="E2803" s="3">
        <v>20</v>
      </c>
      <c r="F2803" s="2" t="s">
        <v>16</v>
      </c>
      <c r="G2803" s="2" t="s">
        <v>12452</v>
      </c>
      <c r="H2803" s="3">
        <v>0</v>
      </c>
      <c r="I2803" s="2" t="s">
        <v>18</v>
      </c>
      <c r="J2803" s="2" t="s">
        <v>12453</v>
      </c>
      <c r="K2803" s="2" t="s">
        <v>16</v>
      </c>
      <c r="L2803" s="2" t="s">
        <v>12454</v>
      </c>
      <c r="M2803" s="4">
        <v>1.54</v>
      </c>
      <c r="N2803" t="e">
        <f>OR(LEFT(B2803,3)="frg",(_xlfn.XMATCH(B2803,ZZZ_Part_Id_[[#All],[FGCODE]])))</f>
        <v>#N/A</v>
      </c>
    </row>
    <row r="2804" spans="1:14" x14ac:dyDescent="0.3">
      <c r="A2804" s="2" t="s">
        <v>12442</v>
      </c>
      <c r="B2804" s="2" t="s">
        <v>6066</v>
      </c>
      <c r="C2804" s="2" t="s">
        <v>12455</v>
      </c>
      <c r="D2804" s="3">
        <v>0.34</v>
      </c>
      <c r="E2804" s="3">
        <v>0.34</v>
      </c>
      <c r="F2804" s="2" t="s">
        <v>194</v>
      </c>
      <c r="G2804" s="2" t="s">
        <v>12456</v>
      </c>
      <c r="H2804" s="3">
        <v>0</v>
      </c>
      <c r="I2804" s="2" t="s">
        <v>18</v>
      </c>
      <c r="J2804" s="2" t="s">
        <v>12457</v>
      </c>
      <c r="K2804" s="2" t="s">
        <v>194</v>
      </c>
      <c r="L2804" s="2" t="s">
        <v>12458</v>
      </c>
      <c r="M2804" s="4">
        <v>9.94</v>
      </c>
      <c r="N2804" t="e">
        <f>OR(LEFT(B2804,3)="frg",(_xlfn.XMATCH(B2804,ZZZ_Part_Id_[[#All],[FGCODE]])))</f>
        <v>#N/A</v>
      </c>
    </row>
    <row r="2805" spans="1:14" x14ac:dyDescent="0.3">
      <c r="A2805" s="2" t="s">
        <v>12442</v>
      </c>
      <c r="B2805" s="2" t="s">
        <v>764</v>
      </c>
      <c r="C2805" s="2" t="s">
        <v>12459</v>
      </c>
      <c r="D2805" s="3">
        <v>53.6</v>
      </c>
      <c r="E2805" s="3">
        <v>53.6</v>
      </c>
      <c r="F2805" s="2" t="s">
        <v>23</v>
      </c>
      <c r="G2805" s="2" t="s">
        <v>12460</v>
      </c>
      <c r="H2805" s="3">
        <v>0</v>
      </c>
      <c r="I2805" s="2" t="s">
        <v>18</v>
      </c>
      <c r="J2805" s="2" t="s">
        <v>12461</v>
      </c>
      <c r="K2805" s="2" t="s">
        <v>23</v>
      </c>
      <c r="L2805" s="2" t="s">
        <v>12462</v>
      </c>
      <c r="M2805" s="4">
        <v>390.3</v>
      </c>
      <c r="N2805" t="e">
        <f>OR(LEFT(B2805,3)="frg",(_xlfn.XMATCH(B2805,ZZZ_Part_Id_[[#All],[FGCODE]])))</f>
        <v>#N/A</v>
      </c>
    </row>
    <row r="2806" spans="1:14" x14ac:dyDescent="0.3">
      <c r="A2806" s="2" t="s">
        <v>12442</v>
      </c>
      <c r="B2806" s="2" t="s">
        <v>172</v>
      </c>
      <c r="C2806" s="2" t="s">
        <v>12463</v>
      </c>
      <c r="D2806" s="7">
        <v>5680</v>
      </c>
      <c r="E2806" s="7">
        <v>5680</v>
      </c>
      <c r="F2806" s="2" t="s">
        <v>3987</v>
      </c>
      <c r="G2806" s="2" t="s">
        <v>12464</v>
      </c>
      <c r="H2806" s="7">
        <v>0</v>
      </c>
      <c r="I2806" s="2" t="s">
        <v>18</v>
      </c>
      <c r="J2806" s="2" t="s">
        <v>12465</v>
      </c>
      <c r="K2806" s="2" t="s">
        <v>3987</v>
      </c>
      <c r="L2806" s="2" t="s">
        <v>12466</v>
      </c>
      <c r="M2806" s="4">
        <v>42.17</v>
      </c>
      <c r="N2806" t="e">
        <f>OR(LEFT(B2806,3)="frg",(_xlfn.XMATCH(B2806,ZZZ_Part_Id_[[#All],[FGCODE]])))</f>
        <v>#N/A</v>
      </c>
    </row>
    <row r="2807" spans="1:14" x14ac:dyDescent="0.3">
      <c r="A2807" s="2" t="s">
        <v>12442</v>
      </c>
      <c r="B2807" s="2" t="s">
        <v>45</v>
      </c>
      <c r="C2807" s="2" t="s">
        <v>12467</v>
      </c>
      <c r="D2807" s="3">
        <v>1</v>
      </c>
      <c r="E2807" s="3">
        <v>1</v>
      </c>
      <c r="F2807" s="2" t="s">
        <v>47</v>
      </c>
      <c r="G2807" s="2" t="s">
        <v>12468</v>
      </c>
      <c r="H2807" s="3">
        <v>0</v>
      </c>
      <c r="I2807" s="2" t="s">
        <v>18</v>
      </c>
      <c r="J2807" s="2" t="s">
        <v>12469</v>
      </c>
      <c r="K2807" s="2" t="s">
        <v>47</v>
      </c>
      <c r="L2807" s="2" t="s">
        <v>12470</v>
      </c>
      <c r="M2807" s="4">
        <v>80.92</v>
      </c>
      <c r="N2807" t="e">
        <f>OR(LEFT(B2807,3)="frg",(_xlfn.XMATCH(B2807,ZZZ_Part_Id_[[#All],[FGCODE]])))</f>
        <v>#N/A</v>
      </c>
    </row>
    <row r="2808" spans="1:14" x14ac:dyDescent="0.3">
      <c r="A2808" s="2" t="s">
        <v>12442</v>
      </c>
      <c r="B2808" s="2" t="s">
        <v>41</v>
      </c>
      <c r="C2808" s="2" t="s">
        <v>12471</v>
      </c>
      <c r="D2808" s="5">
        <v>-386.1</v>
      </c>
      <c r="E2808" s="5">
        <v>-386.1</v>
      </c>
      <c r="F2808" s="2" t="s">
        <v>23</v>
      </c>
      <c r="G2808" s="2" t="s">
        <v>12472</v>
      </c>
      <c r="H2808" s="3">
        <v>0</v>
      </c>
      <c r="I2808" s="2" t="s">
        <v>18</v>
      </c>
      <c r="J2808" s="2" t="s">
        <v>12473</v>
      </c>
      <c r="K2808" s="2" t="s">
        <v>23</v>
      </c>
      <c r="L2808" s="2" t="s">
        <v>12474</v>
      </c>
      <c r="M2808" s="6">
        <v>-3.86</v>
      </c>
      <c r="N2808" t="e">
        <f>OR(LEFT(B2808,3)="frg",(_xlfn.XMATCH(B2808,ZZZ_Part_Id_[[#All],[FGCODE]])))</f>
        <v>#N/A</v>
      </c>
    </row>
    <row r="2809" spans="1:14" x14ac:dyDescent="0.3">
      <c r="A2809" s="2" t="s">
        <v>12442</v>
      </c>
      <c r="B2809" s="2" t="s">
        <v>264</v>
      </c>
      <c r="C2809" s="2" t="s">
        <v>12475</v>
      </c>
      <c r="D2809" s="3">
        <v>0.02</v>
      </c>
      <c r="E2809" s="3">
        <v>0.02</v>
      </c>
      <c r="F2809" s="2" t="s">
        <v>16</v>
      </c>
      <c r="G2809" s="2" t="s">
        <v>12476</v>
      </c>
      <c r="H2809" s="3">
        <v>0</v>
      </c>
      <c r="I2809" s="2" t="s">
        <v>18</v>
      </c>
      <c r="J2809" s="2" t="s">
        <v>12477</v>
      </c>
      <c r="K2809" s="2" t="s">
        <v>16</v>
      </c>
      <c r="L2809" s="2" t="s">
        <v>12478</v>
      </c>
      <c r="M2809" s="4">
        <v>0.75</v>
      </c>
      <c r="N2809" t="e">
        <f>OR(LEFT(B2809,3)="frg",(_xlfn.XMATCH(B2809,ZZZ_Part_Id_[[#All],[FGCODE]])))</f>
        <v>#N/A</v>
      </c>
    </row>
    <row r="2810" spans="1:14" x14ac:dyDescent="0.3">
      <c r="A2810" s="2" t="s">
        <v>12442</v>
      </c>
      <c r="B2810" s="2" t="s">
        <v>9267</v>
      </c>
      <c r="C2810" s="2" t="s">
        <v>12479</v>
      </c>
      <c r="D2810" s="3">
        <v>3504000</v>
      </c>
      <c r="E2810" s="3">
        <v>3504000</v>
      </c>
      <c r="F2810" s="2" t="s">
        <v>16</v>
      </c>
      <c r="G2810" s="2" t="s">
        <v>12480</v>
      </c>
      <c r="H2810" s="3">
        <v>0</v>
      </c>
      <c r="I2810" s="2" t="s">
        <v>18</v>
      </c>
      <c r="J2810" s="2" t="s">
        <v>12481</v>
      </c>
      <c r="K2810" s="2" t="s">
        <v>16</v>
      </c>
      <c r="L2810" s="2" t="s">
        <v>12482</v>
      </c>
      <c r="M2810" s="4">
        <v>35285.279999999999</v>
      </c>
      <c r="N2810" t="b">
        <f>OR(LEFT(B2810,3)="frg",(_xlfn.XMATCH(B2810,ZZZ_Part_Id_[[#All],[FGCODE]])))</f>
        <v>1</v>
      </c>
    </row>
    <row r="2811" spans="1:14" x14ac:dyDescent="0.3">
      <c r="A2811" s="2" t="s">
        <v>12483</v>
      </c>
      <c r="B2811" s="2" t="s">
        <v>14</v>
      </c>
      <c r="C2811" s="2" t="s">
        <v>12484</v>
      </c>
      <c r="D2811" s="3">
        <v>2</v>
      </c>
      <c r="E2811" s="3">
        <v>2</v>
      </c>
      <c r="F2811" s="2" t="s">
        <v>16</v>
      </c>
      <c r="G2811" s="2" t="s">
        <v>12485</v>
      </c>
      <c r="H2811" s="3">
        <v>0</v>
      </c>
      <c r="I2811" s="2" t="s">
        <v>409</v>
      </c>
      <c r="J2811" s="2" t="s">
        <v>12486</v>
      </c>
      <c r="K2811" s="2" t="s">
        <v>16</v>
      </c>
      <c r="L2811" s="2" t="s">
        <v>12487</v>
      </c>
      <c r="M2811" s="4">
        <v>0.15</v>
      </c>
      <c r="N2811" t="e">
        <f>OR(LEFT(B2811,3)="frg",(_xlfn.XMATCH(B2811,ZZZ_Part_Id_[[#All],[FGCODE]])))</f>
        <v>#N/A</v>
      </c>
    </row>
    <row r="2812" spans="1:14" x14ac:dyDescent="0.3">
      <c r="A2812" s="2" t="s">
        <v>12483</v>
      </c>
      <c r="B2812" s="2" t="s">
        <v>37</v>
      </c>
      <c r="C2812" s="2" t="s">
        <v>12488</v>
      </c>
      <c r="D2812" s="3">
        <v>2</v>
      </c>
      <c r="E2812" s="3">
        <v>2</v>
      </c>
      <c r="F2812" s="2" t="s">
        <v>16</v>
      </c>
      <c r="G2812" s="2" t="s">
        <v>12489</v>
      </c>
      <c r="H2812" s="3">
        <v>0</v>
      </c>
      <c r="I2812" s="2" t="s">
        <v>409</v>
      </c>
      <c r="J2812" s="2" t="s">
        <v>12490</v>
      </c>
      <c r="K2812" s="2" t="s">
        <v>16</v>
      </c>
      <c r="L2812" s="2" t="s">
        <v>12491</v>
      </c>
      <c r="M2812" s="4">
        <v>32</v>
      </c>
      <c r="N2812" t="e">
        <f>OR(LEFT(B2812,3)="frg",(_xlfn.XMATCH(B2812,ZZZ_Part_Id_[[#All],[FGCODE]])))</f>
        <v>#N/A</v>
      </c>
    </row>
    <row r="2813" spans="1:14" x14ac:dyDescent="0.3">
      <c r="A2813" s="2" t="s">
        <v>12483</v>
      </c>
      <c r="B2813" s="2" t="s">
        <v>11241</v>
      </c>
      <c r="C2813" s="2" t="s">
        <v>12492</v>
      </c>
      <c r="D2813" s="3">
        <v>50760</v>
      </c>
      <c r="E2813" s="3">
        <v>50760</v>
      </c>
      <c r="F2813" s="2" t="s">
        <v>16</v>
      </c>
      <c r="G2813" s="2" t="s">
        <v>12493</v>
      </c>
      <c r="H2813" s="3">
        <v>0</v>
      </c>
      <c r="I2813" s="2" t="s">
        <v>409</v>
      </c>
      <c r="J2813" s="2" t="s">
        <v>12494</v>
      </c>
      <c r="K2813" s="2" t="s">
        <v>16</v>
      </c>
      <c r="L2813" s="2" t="s">
        <v>12495</v>
      </c>
      <c r="M2813" s="4">
        <v>3136.96</v>
      </c>
      <c r="N2813" t="b">
        <f>OR(LEFT(B2813,3)="frg",(_xlfn.XMATCH(B2813,ZZZ_Part_Id_[[#All],[FGCODE]])))</f>
        <v>1</v>
      </c>
    </row>
    <row r="2814" spans="1:14" x14ac:dyDescent="0.3">
      <c r="A2814" s="2" t="s">
        <v>12496</v>
      </c>
      <c r="B2814" s="2" t="s">
        <v>293</v>
      </c>
      <c r="C2814" s="2" t="s">
        <v>12497</v>
      </c>
      <c r="D2814" s="3">
        <v>10656</v>
      </c>
      <c r="E2814" s="3">
        <v>10656</v>
      </c>
      <c r="F2814" s="2" t="s">
        <v>16</v>
      </c>
      <c r="G2814" s="2" t="s">
        <v>12498</v>
      </c>
      <c r="H2814" s="3">
        <v>0</v>
      </c>
      <c r="I2814" s="2" t="s">
        <v>18</v>
      </c>
      <c r="J2814" s="2" t="s">
        <v>12499</v>
      </c>
      <c r="K2814" s="2" t="s">
        <v>16</v>
      </c>
      <c r="L2814" s="2" t="s">
        <v>12500</v>
      </c>
      <c r="M2814" s="4">
        <v>658.11</v>
      </c>
      <c r="N2814" t="b">
        <f>OR(LEFT(B2814,3)="frg",(_xlfn.XMATCH(B2814,ZZZ_Part_Id_[[#All],[FGCODE]])))</f>
        <v>1</v>
      </c>
    </row>
    <row r="2815" spans="1:14" x14ac:dyDescent="0.3">
      <c r="A2815" s="2" t="s">
        <v>12501</v>
      </c>
      <c r="B2815" s="2" t="s">
        <v>14</v>
      </c>
      <c r="C2815" s="2" t="s">
        <v>12502</v>
      </c>
      <c r="D2815" s="3">
        <v>14</v>
      </c>
      <c r="E2815" s="3">
        <v>14</v>
      </c>
      <c r="F2815" s="2" t="s">
        <v>16</v>
      </c>
      <c r="G2815" s="2" t="s">
        <v>12503</v>
      </c>
      <c r="H2815" s="3">
        <v>0</v>
      </c>
      <c r="I2815" s="2" t="s">
        <v>18</v>
      </c>
      <c r="J2815" s="2" t="s">
        <v>12504</v>
      </c>
      <c r="K2815" s="2" t="s">
        <v>16</v>
      </c>
      <c r="L2815" s="2" t="s">
        <v>12505</v>
      </c>
      <c r="M2815" s="4">
        <v>1.08</v>
      </c>
      <c r="N2815" t="e">
        <f>OR(LEFT(B2815,3)="frg",(_xlfn.XMATCH(B2815,ZZZ_Part_Id_[[#All],[FGCODE]])))</f>
        <v>#N/A</v>
      </c>
    </row>
    <row r="2816" spans="1:14" x14ac:dyDescent="0.3">
      <c r="A2816" s="2" t="s">
        <v>12501</v>
      </c>
      <c r="B2816" s="2" t="s">
        <v>2611</v>
      </c>
      <c r="C2816" s="2" t="s">
        <v>12506</v>
      </c>
      <c r="D2816" s="3">
        <v>127872</v>
      </c>
      <c r="E2816" s="3">
        <v>127872</v>
      </c>
      <c r="F2816" s="2" t="s">
        <v>16</v>
      </c>
      <c r="G2816" s="2" t="s">
        <v>12507</v>
      </c>
      <c r="H2816" s="3">
        <v>0</v>
      </c>
      <c r="I2816" s="2" t="s">
        <v>18</v>
      </c>
      <c r="J2816" s="2" t="s">
        <v>12508</v>
      </c>
      <c r="K2816" s="2" t="s">
        <v>16</v>
      </c>
      <c r="L2816" s="2" t="s">
        <v>12509</v>
      </c>
      <c r="M2816" s="4">
        <v>11508.48</v>
      </c>
      <c r="N2816" t="b">
        <f>OR(LEFT(B2816,3)="frg",(_xlfn.XMATCH(B2816,ZZZ_Part_Id_[[#All],[FGCODE]])))</f>
        <v>1</v>
      </c>
    </row>
    <row r="2817" spans="1:14" x14ac:dyDescent="0.3">
      <c r="A2817" s="2" t="s">
        <v>12510</v>
      </c>
      <c r="B2817" s="2" t="s">
        <v>11082</v>
      </c>
      <c r="C2817" s="2" t="s">
        <v>12511</v>
      </c>
      <c r="D2817" s="3">
        <v>26496</v>
      </c>
      <c r="E2817" s="3">
        <v>26496</v>
      </c>
      <c r="F2817" s="2" t="s">
        <v>16</v>
      </c>
      <c r="G2817" s="2" t="s">
        <v>12512</v>
      </c>
      <c r="H2817" s="3">
        <v>0</v>
      </c>
      <c r="I2817" s="2" t="s">
        <v>18</v>
      </c>
      <c r="J2817" s="2" t="s">
        <v>35</v>
      </c>
      <c r="K2817" s="2" t="s">
        <v>16</v>
      </c>
      <c r="L2817" s="2" t="s">
        <v>12513</v>
      </c>
      <c r="M2817" s="4">
        <v>7321.38</v>
      </c>
      <c r="N2817" t="b">
        <f>OR(LEFT(B2817,3)="frg",(_xlfn.XMATCH(B2817,ZZZ_Part_Id_[[#All],[FGCODE]])))</f>
        <v>1</v>
      </c>
    </row>
    <row r="2818" spans="1:14" x14ac:dyDescent="0.3">
      <c r="A2818" s="2" t="s">
        <v>12514</v>
      </c>
      <c r="B2818" s="2" t="s">
        <v>11082</v>
      </c>
      <c r="C2818" s="2" t="s">
        <v>12515</v>
      </c>
      <c r="D2818" s="3">
        <v>26496</v>
      </c>
      <c r="E2818" s="3">
        <v>26496</v>
      </c>
      <c r="F2818" s="2" t="s">
        <v>16</v>
      </c>
      <c r="G2818" s="2" t="s">
        <v>12516</v>
      </c>
      <c r="H2818" s="3">
        <v>0</v>
      </c>
      <c r="I2818" s="2" t="s">
        <v>18</v>
      </c>
      <c r="J2818" s="2" t="s">
        <v>35</v>
      </c>
      <c r="K2818" s="2" t="s">
        <v>16</v>
      </c>
      <c r="L2818" s="2" t="s">
        <v>12517</v>
      </c>
      <c r="M2818" s="4">
        <v>7321.37</v>
      </c>
      <c r="N2818" t="b">
        <f>OR(LEFT(B2818,3)="frg",(_xlfn.XMATCH(B2818,ZZZ_Part_Id_[[#All],[FGCODE]])))</f>
        <v>1</v>
      </c>
    </row>
    <row r="2819" spans="1:14" x14ac:dyDescent="0.3">
      <c r="A2819" s="2" t="s">
        <v>12518</v>
      </c>
      <c r="B2819" s="2" t="s">
        <v>14</v>
      </c>
      <c r="C2819" s="2" t="s">
        <v>12519</v>
      </c>
      <c r="D2819" s="3">
        <v>4</v>
      </c>
      <c r="E2819" s="3">
        <v>4</v>
      </c>
      <c r="F2819" s="2" t="s">
        <v>16</v>
      </c>
      <c r="G2819" s="2" t="s">
        <v>12520</v>
      </c>
      <c r="H2819" s="3">
        <v>0</v>
      </c>
      <c r="I2819" s="2" t="s">
        <v>409</v>
      </c>
      <c r="J2819" s="2" t="s">
        <v>12521</v>
      </c>
      <c r="K2819" s="2" t="s">
        <v>16</v>
      </c>
      <c r="L2819" s="2" t="s">
        <v>12522</v>
      </c>
      <c r="M2819" s="4">
        <v>0.31</v>
      </c>
      <c r="N2819" t="e">
        <f>OR(LEFT(B2819,3)="frg",(_xlfn.XMATCH(B2819,ZZZ_Part_Id_[[#All],[FGCODE]])))</f>
        <v>#N/A</v>
      </c>
    </row>
    <row r="2820" spans="1:14" x14ac:dyDescent="0.3">
      <c r="A2820" s="2" t="s">
        <v>12518</v>
      </c>
      <c r="B2820" s="2" t="s">
        <v>2934</v>
      </c>
      <c r="C2820" s="2" t="s">
        <v>12523</v>
      </c>
      <c r="D2820" s="3">
        <v>32832</v>
      </c>
      <c r="E2820" s="3">
        <v>32832</v>
      </c>
      <c r="F2820" s="2" t="s">
        <v>16</v>
      </c>
      <c r="G2820" s="2" t="s">
        <v>12524</v>
      </c>
      <c r="H2820" s="3">
        <v>0</v>
      </c>
      <c r="I2820" s="2" t="s">
        <v>409</v>
      </c>
      <c r="J2820" s="2" t="s">
        <v>12525</v>
      </c>
      <c r="K2820" s="2" t="s">
        <v>16</v>
      </c>
      <c r="L2820" s="2" t="s">
        <v>12526</v>
      </c>
      <c r="M2820" s="4">
        <v>4082.32</v>
      </c>
      <c r="N2820" t="b">
        <f>OR(LEFT(B2820,3)="frg",(_xlfn.XMATCH(B2820,ZZZ_Part_Id_[[#All],[FGCODE]])))</f>
        <v>1</v>
      </c>
    </row>
    <row r="2821" spans="1:14" x14ac:dyDescent="0.3">
      <c r="A2821" s="2" t="s">
        <v>12527</v>
      </c>
      <c r="B2821" s="2" t="s">
        <v>14</v>
      </c>
      <c r="C2821" s="2" t="s">
        <v>12528</v>
      </c>
      <c r="D2821" s="3">
        <v>7</v>
      </c>
      <c r="E2821" s="3">
        <v>7</v>
      </c>
      <c r="F2821" s="2" t="s">
        <v>16</v>
      </c>
      <c r="G2821" s="2" t="s">
        <v>12529</v>
      </c>
      <c r="H2821" s="3">
        <v>0</v>
      </c>
      <c r="I2821" s="2" t="s">
        <v>409</v>
      </c>
      <c r="J2821" s="2" t="s">
        <v>12530</v>
      </c>
      <c r="K2821" s="2" t="s">
        <v>16</v>
      </c>
      <c r="L2821" s="2" t="s">
        <v>12531</v>
      </c>
      <c r="M2821" s="4">
        <v>0.54</v>
      </c>
      <c r="N2821" t="e">
        <f>OR(LEFT(B2821,3)="frg",(_xlfn.XMATCH(B2821,ZZZ_Part_Id_[[#All],[FGCODE]])))</f>
        <v>#N/A</v>
      </c>
    </row>
    <row r="2822" spans="1:14" x14ac:dyDescent="0.3">
      <c r="A2822" s="2" t="s">
        <v>12527</v>
      </c>
      <c r="B2822" s="2" t="s">
        <v>37</v>
      </c>
      <c r="C2822" s="2" t="s">
        <v>12532</v>
      </c>
      <c r="D2822" s="3">
        <v>7</v>
      </c>
      <c r="E2822" s="3">
        <v>7</v>
      </c>
      <c r="F2822" s="2" t="s">
        <v>16</v>
      </c>
      <c r="G2822" s="2" t="s">
        <v>12533</v>
      </c>
      <c r="H2822" s="3">
        <v>0</v>
      </c>
      <c r="I2822" s="2" t="s">
        <v>409</v>
      </c>
      <c r="J2822" s="2" t="s">
        <v>12534</v>
      </c>
      <c r="K2822" s="2" t="s">
        <v>16</v>
      </c>
      <c r="L2822" s="2" t="s">
        <v>12535</v>
      </c>
      <c r="M2822" s="4">
        <v>112</v>
      </c>
      <c r="N2822" t="e">
        <f>OR(LEFT(B2822,3)="frg",(_xlfn.XMATCH(B2822,ZZZ_Part_Id_[[#All],[FGCODE]])))</f>
        <v>#N/A</v>
      </c>
    </row>
    <row r="2823" spans="1:14" x14ac:dyDescent="0.3">
      <c r="A2823" s="2" t="s">
        <v>12527</v>
      </c>
      <c r="B2823" s="2" t="s">
        <v>11241</v>
      </c>
      <c r="C2823" s="2" t="s">
        <v>12536</v>
      </c>
      <c r="D2823" s="3">
        <v>177660</v>
      </c>
      <c r="E2823" s="3">
        <v>177660</v>
      </c>
      <c r="F2823" s="2" t="s">
        <v>16</v>
      </c>
      <c r="G2823" s="2" t="s">
        <v>12537</v>
      </c>
      <c r="H2823" s="3">
        <v>0</v>
      </c>
      <c r="I2823" s="2" t="s">
        <v>409</v>
      </c>
      <c r="J2823" s="2" t="s">
        <v>12538</v>
      </c>
      <c r="K2823" s="2" t="s">
        <v>16</v>
      </c>
      <c r="L2823" s="2" t="s">
        <v>12539</v>
      </c>
      <c r="M2823" s="4">
        <v>10979.36</v>
      </c>
      <c r="N2823" t="b">
        <f>OR(LEFT(B2823,3)="frg",(_xlfn.XMATCH(B2823,ZZZ_Part_Id_[[#All],[FGCODE]])))</f>
        <v>1</v>
      </c>
    </row>
    <row r="2824" spans="1:14" x14ac:dyDescent="0.3">
      <c r="A2824" s="2" t="s">
        <v>12540</v>
      </c>
      <c r="B2824" s="2" t="s">
        <v>14</v>
      </c>
      <c r="C2824" s="2" t="s">
        <v>12541</v>
      </c>
      <c r="D2824" s="3">
        <v>4</v>
      </c>
      <c r="E2824" s="3">
        <v>4</v>
      </c>
      <c r="F2824" s="2" t="s">
        <v>16</v>
      </c>
      <c r="G2824" s="2" t="s">
        <v>12542</v>
      </c>
      <c r="H2824" s="3">
        <v>0</v>
      </c>
      <c r="I2824" s="2" t="s">
        <v>18</v>
      </c>
      <c r="J2824" s="2" t="s">
        <v>12543</v>
      </c>
      <c r="K2824" s="2" t="s">
        <v>16</v>
      </c>
      <c r="L2824" s="2" t="s">
        <v>12544</v>
      </c>
      <c r="M2824" s="4">
        <v>0.31</v>
      </c>
      <c r="N2824" t="e">
        <f>OR(LEFT(B2824,3)="frg",(_xlfn.XMATCH(B2824,ZZZ_Part_Id_[[#All],[FGCODE]])))</f>
        <v>#N/A</v>
      </c>
    </row>
    <row r="2825" spans="1:14" x14ac:dyDescent="0.3">
      <c r="A2825" s="2" t="s">
        <v>12540</v>
      </c>
      <c r="B2825" s="2" t="s">
        <v>2611</v>
      </c>
      <c r="C2825" s="2" t="s">
        <v>12545</v>
      </c>
      <c r="D2825" s="3">
        <v>31968</v>
      </c>
      <c r="E2825" s="3">
        <v>31968</v>
      </c>
      <c r="F2825" s="2" t="s">
        <v>16</v>
      </c>
      <c r="G2825" s="2" t="s">
        <v>12546</v>
      </c>
      <c r="H2825" s="3">
        <v>0</v>
      </c>
      <c r="I2825" s="2" t="s">
        <v>18</v>
      </c>
      <c r="J2825" s="2" t="s">
        <v>12547</v>
      </c>
      <c r="K2825" s="2" t="s">
        <v>16</v>
      </c>
      <c r="L2825" s="2" t="s">
        <v>12548</v>
      </c>
      <c r="M2825" s="4">
        <v>2877.12</v>
      </c>
      <c r="N2825" t="b">
        <f>OR(LEFT(B2825,3)="frg",(_xlfn.XMATCH(B2825,ZZZ_Part_Id_[[#All],[FGCODE]])))</f>
        <v>1</v>
      </c>
    </row>
    <row r="2826" spans="1:14" x14ac:dyDescent="0.3">
      <c r="A2826" s="2" t="s">
        <v>12549</v>
      </c>
      <c r="B2826" s="2" t="s">
        <v>6250</v>
      </c>
      <c r="C2826" s="2" t="s">
        <v>12550</v>
      </c>
      <c r="D2826" s="3">
        <v>18624</v>
      </c>
      <c r="E2826" s="3">
        <v>18624</v>
      </c>
      <c r="F2826" s="2" t="s">
        <v>16</v>
      </c>
      <c r="G2826" s="2" t="s">
        <v>12551</v>
      </c>
      <c r="H2826" s="3">
        <v>0</v>
      </c>
      <c r="I2826" s="2" t="s">
        <v>18</v>
      </c>
      <c r="J2826" s="2" t="s">
        <v>12552</v>
      </c>
      <c r="K2826" s="2" t="s">
        <v>16</v>
      </c>
      <c r="L2826" s="2" t="s">
        <v>12553</v>
      </c>
      <c r="M2826" s="4">
        <v>2150.5100000000002</v>
      </c>
      <c r="N2826" t="b">
        <f>OR(LEFT(B2826,3)="frg",(_xlfn.XMATCH(B2826,ZZZ_Part_Id_[[#All],[FGCODE]])))</f>
        <v>1</v>
      </c>
    </row>
    <row r="2827" spans="1:14" x14ac:dyDescent="0.3">
      <c r="A2827" s="2" t="s">
        <v>12554</v>
      </c>
      <c r="B2827" s="2" t="s">
        <v>14</v>
      </c>
      <c r="C2827" s="2" t="s">
        <v>12555</v>
      </c>
      <c r="D2827" s="3">
        <v>4</v>
      </c>
      <c r="E2827" s="3">
        <v>4</v>
      </c>
      <c r="F2827" s="2" t="s">
        <v>16</v>
      </c>
      <c r="G2827" s="2" t="s">
        <v>12556</v>
      </c>
      <c r="H2827" s="3">
        <v>0</v>
      </c>
      <c r="I2827" s="2" t="s">
        <v>18</v>
      </c>
      <c r="J2827" s="2" t="s">
        <v>12557</v>
      </c>
      <c r="K2827" s="2" t="s">
        <v>16</v>
      </c>
      <c r="L2827" s="2" t="s">
        <v>12558</v>
      </c>
      <c r="M2827" s="4">
        <v>0.31</v>
      </c>
      <c r="N2827" t="e">
        <f>OR(LEFT(B2827,3)="frg",(_xlfn.XMATCH(B2827,ZZZ_Part_Id_[[#All],[FGCODE]])))</f>
        <v>#N/A</v>
      </c>
    </row>
    <row r="2828" spans="1:14" x14ac:dyDescent="0.3">
      <c r="A2828" s="2" t="s">
        <v>12554</v>
      </c>
      <c r="B2828" s="2" t="s">
        <v>11210</v>
      </c>
      <c r="C2828" s="2" t="s">
        <v>12559</v>
      </c>
      <c r="D2828" s="3">
        <v>40320</v>
      </c>
      <c r="E2828" s="3">
        <v>40320</v>
      </c>
      <c r="F2828" s="2" t="s">
        <v>16</v>
      </c>
      <c r="G2828" s="2" t="s">
        <v>12560</v>
      </c>
      <c r="H2828" s="3">
        <v>0</v>
      </c>
      <c r="I2828" s="2" t="s">
        <v>18</v>
      </c>
      <c r="J2828" s="2" t="s">
        <v>12561</v>
      </c>
      <c r="K2828" s="2" t="s">
        <v>16</v>
      </c>
      <c r="L2828" s="2" t="s">
        <v>12562</v>
      </c>
      <c r="M2828" s="4">
        <v>7017.28</v>
      </c>
      <c r="N2828" t="b">
        <f>OR(LEFT(B2828,3)="frg",(_xlfn.XMATCH(B2828,ZZZ_Part_Id_[[#All],[FGCODE]])))</f>
        <v>1</v>
      </c>
    </row>
    <row r="2829" spans="1:14" x14ac:dyDescent="0.3">
      <c r="A2829" s="2" t="s">
        <v>12563</v>
      </c>
      <c r="B2829" s="2" t="s">
        <v>14</v>
      </c>
      <c r="C2829" s="2" t="s">
        <v>12564</v>
      </c>
      <c r="D2829" s="3">
        <v>4</v>
      </c>
      <c r="E2829" s="3">
        <v>4</v>
      </c>
      <c r="F2829" s="2" t="s">
        <v>16</v>
      </c>
      <c r="G2829" s="2" t="s">
        <v>12565</v>
      </c>
      <c r="H2829" s="3">
        <v>0</v>
      </c>
      <c r="I2829" s="2" t="s">
        <v>409</v>
      </c>
      <c r="J2829" s="2" t="s">
        <v>12566</v>
      </c>
      <c r="K2829" s="2" t="s">
        <v>16</v>
      </c>
      <c r="L2829" s="2" t="s">
        <v>12567</v>
      </c>
      <c r="M2829" s="4">
        <v>0.31</v>
      </c>
      <c r="N2829" t="e">
        <f>OR(LEFT(B2829,3)="frg",(_xlfn.XMATCH(B2829,ZZZ_Part_Id_[[#All],[FGCODE]])))</f>
        <v>#N/A</v>
      </c>
    </row>
    <row r="2830" spans="1:14" x14ac:dyDescent="0.3">
      <c r="A2830" s="2" t="s">
        <v>12563</v>
      </c>
      <c r="B2830" s="2" t="s">
        <v>37</v>
      </c>
      <c r="C2830" s="2" t="s">
        <v>12568</v>
      </c>
      <c r="D2830" s="3">
        <v>4</v>
      </c>
      <c r="E2830" s="3">
        <v>4</v>
      </c>
      <c r="F2830" s="2" t="s">
        <v>16</v>
      </c>
      <c r="G2830" s="2" t="s">
        <v>12569</v>
      </c>
      <c r="H2830" s="3">
        <v>0</v>
      </c>
      <c r="I2830" s="2" t="s">
        <v>409</v>
      </c>
      <c r="J2830" s="2" t="s">
        <v>12570</v>
      </c>
      <c r="K2830" s="2" t="s">
        <v>16</v>
      </c>
      <c r="L2830" s="2" t="s">
        <v>12571</v>
      </c>
      <c r="M2830" s="4">
        <v>64</v>
      </c>
      <c r="N2830" t="e">
        <f>OR(LEFT(B2830,3)="frg",(_xlfn.XMATCH(B2830,ZZZ_Part_Id_[[#All],[FGCODE]])))</f>
        <v>#N/A</v>
      </c>
    </row>
    <row r="2831" spans="1:14" x14ac:dyDescent="0.3">
      <c r="A2831" s="2" t="s">
        <v>12563</v>
      </c>
      <c r="B2831" s="2" t="s">
        <v>11241</v>
      </c>
      <c r="C2831" s="2" t="s">
        <v>12572</v>
      </c>
      <c r="D2831" s="3">
        <v>76140</v>
      </c>
      <c r="E2831" s="3">
        <v>76140</v>
      </c>
      <c r="F2831" s="2" t="s">
        <v>16</v>
      </c>
      <c r="G2831" s="2" t="s">
        <v>12573</v>
      </c>
      <c r="H2831" s="3">
        <v>0</v>
      </c>
      <c r="I2831" s="2" t="s">
        <v>409</v>
      </c>
      <c r="J2831" s="2" t="s">
        <v>12574</v>
      </c>
      <c r="K2831" s="2" t="s">
        <v>16</v>
      </c>
      <c r="L2831" s="2" t="s">
        <v>12575</v>
      </c>
      <c r="M2831" s="4">
        <v>4705.4399999999996</v>
      </c>
      <c r="N2831" t="b">
        <f>OR(LEFT(B2831,3)="frg",(_xlfn.XMATCH(B2831,ZZZ_Part_Id_[[#All],[FGCODE]])))</f>
        <v>1</v>
      </c>
    </row>
    <row r="2832" spans="1:14" x14ac:dyDescent="0.3">
      <c r="A2832" s="2" t="s">
        <v>12576</v>
      </c>
      <c r="B2832" s="2" t="s">
        <v>14</v>
      </c>
      <c r="C2832" s="2" t="s">
        <v>12577</v>
      </c>
      <c r="D2832" s="3">
        <v>10</v>
      </c>
      <c r="E2832" s="3">
        <v>10</v>
      </c>
      <c r="F2832" s="2" t="s">
        <v>16</v>
      </c>
      <c r="G2832" s="2" t="s">
        <v>12578</v>
      </c>
      <c r="H2832" s="3">
        <v>0</v>
      </c>
      <c r="I2832" s="2" t="s">
        <v>18</v>
      </c>
      <c r="J2832" s="2" t="s">
        <v>12579</v>
      </c>
      <c r="K2832" s="2" t="s">
        <v>16</v>
      </c>
      <c r="L2832" s="2" t="s">
        <v>12580</v>
      </c>
      <c r="M2832" s="4">
        <v>0.77</v>
      </c>
      <c r="N2832" t="e">
        <f>OR(LEFT(B2832,3)="frg",(_xlfn.XMATCH(B2832,ZZZ_Part_Id_[[#All],[FGCODE]])))</f>
        <v>#N/A</v>
      </c>
    </row>
    <row r="2833" spans="1:14" x14ac:dyDescent="0.3">
      <c r="A2833" s="2" t="s">
        <v>12576</v>
      </c>
      <c r="B2833" s="2" t="s">
        <v>65</v>
      </c>
      <c r="C2833" s="2" t="s">
        <v>12581</v>
      </c>
      <c r="D2833" s="5">
        <v>-323</v>
      </c>
      <c r="E2833" s="5">
        <v>-323</v>
      </c>
      <c r="F2833" s="2" t="s">
        <v>23</v>
      </c>
      <c r="G2833" s="2" t="s">
        <v>12582</v>
      </c>
      <c r="H2833" s="3">
        <v>0</v>
      </c>
      <c r="I2833" s="2" t="s">
        <v>18</v>
      </c>
      <c r="J2833" s="2" t="s">
        <v>12583</v>
      </c>
      <c r="K2833" s="2" t="s">
        <v>23</v>
      </c>
      <c r="L2833" s="2" t="s">
        <v>12584</v>
      </c>
      <c r="M2833" s="6">
        <v>-830.63</v>
      </c>
      <c r="N2833" t="b">
        <f>OR(LEFT(B2833,3)="frg",(_xlfn.XMATCH(B2833,ZZZ_Part_Id_[[#All],[FGCODE]])))</f>
        <v>1</v>
      </c>
    </row>
    <row r="2834" spans="1:14" x14ac:dyDescent="0.3">
      <c r="A2834" s="2" t="s">
        <v>12576</v>
      </c>
      <c r="B2834" s="2" t="s">
        <v>103</v>
      </c>
      <c r="C2834" s="2" t="s">
        <v>12585</v>
      </c>
      <c r="D2834" s="3">
        <v>95580</v>
      </c>
      <c r="E2834" s="3">
        <v>95580</v>
      </c>
      <c r="F2834" s="2" t="s">
        <v>16</v>
      </c>
      <c r="G2834" s="2" t="s">
        <v>12586</v>
      </c>
      <c r="H2834" s="3">
        <v>0</v>
      </c>
      <c r="I2834" s="2" t="s">
        <v>18</v>
      </c>
      <c r="J2834" s="2" t="s">
        <v>12587</v>
      </c>
      <c r="K2834" s="2" t="s">
        <v>16</v>
      </c>
      <c r="L2834" s="2" t="s">
        <v>12588</v>
      </c>
      <c r="M2834" s="4">
        <v>19137.96</v>
      </c>
      <c r="N2834" t="b">
        <f>OR(LEFT(B2834,3)="frg",(_xlfn.XMATCH(B2834,ZZZ_Part_Id_[[#All],[FGCODE]])))</f>
        <v>1</v>
      </c>
    </row>
    <row r="2835" spans="1:14" x14ac:dyDescent="0.3">
      <c r="A2835" s="2" t="s">
        <v>12589</v>
      </c>
      <c r="B2835" s="2" t="s">
        <v>11210</v>
      </c>
      <c r="C2835" s="2" t="s">
        <v>12590</v>
      </c>
      <c r="D2835" s="3">
        <v>20160</v>
      </c>
      <c r="E2835" s="3">
        <v>20160</v>
      </c>
      <c r="F2835" s="2" t="s">
        <v>16</v>
      </c>
      <c r="G2835" s="2" t="s">
        <v>12591</v>
      </c>
      <c r="H2835" s="3">
        <v>0</v>
      </c>
      <c r="I2835" s="2" t="s">
        <v>18</v>
      </c>
      <c r="J2835" s="2" t="s">
        <v>12592</v>
      </c>
      <c r="K2835" s="2" t="s">
        <v>16</v>
      </c>
      <c r="L2835" s="2" t="s">
        <v>12593</v>
      </c>
      <c r="M2835" s="4">
        <v>3508.64</v>
      </c>
      <c r="N2835" t="b">
        <f>OR(LEFT(B2835,3)="frg",(_xlfn.XMATCH(B2835,ZZZ_Part_Id_[[#All],[FGCODE]])))</f>
        <v>1</v>
      </c>
    </row>
    <row r="2836" spans="1:14" x14ac:dyDescent="0.3">
      <c r="A2836" s="2" t="s">
        <v>12594</v>
      </c>
      <c r="B2836" s="2" t="s">
        <v>5357</v>
      </c>
      <c r="C2836" s="2" t="s">
        <v>12595</v>
      </c>
      <c r="D2836" s="3">
        <v>298080</v>
      </c>
      <c r="E2836" s="3">
        <v>298080</v>
      </c>
      <c r="F2836" s="2" t="s">
        <v>16</v>
      </c>
      <c r="G2836" s="2" t="s">
        <v>12596</v>
      </c>
      <c r="H2836" s="3">
        <v>0</v>
      </c>
      <c r="I2836" s="2" t="s">
        <v>18</v>
      </c>
      <c r="J2836" s="2" t="s">
        <v>12597</v>
      </c>
      <c r="K2836" s="2" t="s">
        <v>16</v>
      </c>
      <c r="L2836" s="2" t="s">
        <v>12598</v>
      </c>
      <c r="M2836" s="4">
        <v>88988.85</v>
      </c>
      <c r="N2836" t="b">
        <f>OR(LEFT(B2836,3)="frg",(_xlfn.XMATCH(B2836,ZZZ_Part_Id_[[#All],[FGCODE]])))</f>
        <v>1</v>
      </c>
    </row>
    <row r="2837" spans="1:14" x14ac:dyDescent="0.3">
      <c r="A2837" s="2" t="s">
        <v>12599</v>
      </c>
      <c r="B2837" s="2" t="s">
        <v>740</v>
      </c>
      <c r="C2837" s="2" t="s">
        <v>12600</v>
      </c>
      <c r="D2837" s="3">
        <v>10620</v>
      </c>
      <c r="E2837" s="3">
        <v>10620</v>
      </c>
      <c r="F2837" s="2" t="s">
        <v>16</v>
      </c>
      <c r="G2837" s="2" t="s">
        <v>12601</v>
      </c>
      <c r="H2837" s="3">
        <v>0</v>
      </c>
      <c r="I2837" s="2" t="s">
        <v>18</v>
      </c>
      <c r="J2837" s="2" t="s">
        <v>12602</v>
      </c>
      <c r="K2837" s="2" t="s">
        <v>16</v>
      </c>
      <c r="L2837" s="2" t="s">
        <v>12603</v>
      </c>
      <c r="M2837" s="4">
        <v>2111.36</v>
      </c>
      <c r="N2837" t="b">
        <f>OR(LEFT(B2837,3)="frg",(_xlfn.XMATCH(B2837,ZZZ_Part_Id_[[#All],[FGCODE]])))</f>
        <v>1</v>
      </c>
    </row>
    <row r="2838" spans="1:14" x14ac:dyDescent="0.3">
      <c r="A2838" s="2" t="s">
        <v>12604</v>
      </c>
      <c r="B2838" s="2" t="s">
        <v>740</v>
      </c>
      <c r="C2838" s="2" t="s">
        <v>12605</v>
      </c>
      <c r="D2838" s="3">
        <v>10620</v>
      </c>
      <c r="E2838" s="3">
        <v>10620</v>
      </c>
      <c r="F2838" s="2" t="s">
        <v>16</v>
      </c>
      <c r="G2838" s="2" t="s">
        <v>12606</v>
      </c>
      <c r="H2838" s="3">
        <v>0</v>
      </c>
      <c r="I2838" s="2" t="s">
        <v>18</v>
      </c>
      <c r="J2838" s="2" t="s">
        <v>12607</v>
      </c>
      <c r="K2838" s="2" t="s">
        <v>16</v>
      </c>
      <c r="L2838" s="2" t="s">
        <v>12608</v>
      </c>
      <c r="M2838" s="4">
        <v>2111.36</v>
      </c>
      <c r="N2838" t="b">
        <f>OR(LEFT(B2838,3)="frg",(_xlfn.XMATCH(B2838,ZZZ_Part_Id_[[#All],[FGCODE]])))</f>
        <v>1</v>
      </c>
    </row>
    <row r="2839" spans="1:14" x14ac:dyDescent="0.3">
      <c r="A2839" s="2" t="s">
        <v>12609</v>
      </c>
      <c r="B2839" s="2" t="s">
        <v>14</v>
      </c>
      <c r="C2839" s="2" t="s">
        <v>12610</v>
      </c>
      <c r="D2839" s="3">
        <v>4</v>
      </c>
      <c r="E2839" s="3">
        <v>4</v>
      </c>
      <c r="F2839" s="2" t="s">
        <v>16</v>
      </c>
      <c r="G2839" s="2" t="s">
        <v>12611</v>
      </c>
      <c r="H2839" s="3">
        <v>0</v>
      </c>
      <c r="I2839" s="2" t="s">
        <v>18</v>
      </c>
      <c r="J2839" s="2" t="s">
        <v>12612</v>
      </c>
      <c r="K2839" s="2" t="s">
        <v>16</v>
      </c>
      <c r="L2839" s="2" t="s">
        <v>12613</v>
      </c>
      <c r="M2839" s="4">
        <v>0.31</v>
      </c>
      <c r="N2839" t="e">
        <f>OR(LEFT(B2839,3)="frg",(_xlfn.XMATCH(B2839,ZZZ_Part_Id_[[#All],[FGCODE]])))</f>
        <v>#N/A</v>
      </c>
    </row>
    <row r="2840" spans="1:14" x14ac:dyDescent="0.3">
      <c r="A2840" s="2" t="s">
        <v>12609</v>
      </c>
      <c r="B2840" s="2" t="s">
        <v>517</v>
      </c>
      <c r="C2840" s="2" t="s">
        <v>12614</v>
      </c>
      <c r="D2840" s="3">
        <v>30240</v>
      </c>
      <c r="E2840" s="3">
        <v>30240</v>
      </c>
      <c r="F2840" s="2" t="s">
        <v>16</v>
      </c>
      <c r="G2840" s="2" t="s">
        <v>12615</v>
      </c>
      <c r="H2840" s="3">
        <v>0</v>
      </c>
      <c r="I2840" s="2" t="s">
        <v>18</v>
      </c>
      <c r="J2840" s="2" t="s">
        <v>12616</v>
      </c>
      <c r="K2840" s="2" t="s">
        <v>16</v>
      </c>
      <c r="L2840" s="2" t="s">
        <v>12617</v>
      </c>
      <c r="M2840" s="4">
        <v>5501.88</v>
      </c>
      <c r="N2840" t="b">
        <f>OR(LEFT(B2840,3)="frg",(_xlfn.XMATCH(B2840,ZZZ_Part_Id_[[#All],[FGCODE]])))</f>
        <v>1</v>
      </c>
    </row>
    <row r="2841" spans="1:14" x14ac:dyDescent="0.3">
      <c r="A2841" s="2" t="s">
        <v>12618</v>
      </c>
      <c r="B2841" s="2" t="s">
        <v>14</v>
      </c>
      <c r="C2841" s="2" t="s">
        <v>12619</v>
      </c>
      <c r="D2841" s="3">
        <v>4</v>
      </c>
      <c r="E2841" s="3">
        <v>4</v>
      </c>
      <c r="F2841" s="2" t="s">
        <v>16</v>
      </c>
      <c r="G2841" s="2" t="s">
        <v>12620</v>
      </c>
      <c r="H2841" s="3">
        <v>0</v>
      </c>
      <c r="I2841" s="2" t="s">
        <v>18</v>
      </c>
      <c r="J2841" s="2" t="s">
        <v>12621</v>
      </c>
      <c r="K2841" s="2" t="s">
        <v>16</v>
      </c>
      <c r="L2841" s="2" t="s">
        <v>12622</v>
      </c>
      <c r="M2841" s="4">
        <v>0.31</v>
      </c>
      <c r="N2841" t="e">
        <f>OR(LEFT(B2841,3)="frg",(_xlfn.XMATCH(B2841,ZZZ_Part_Id_[[#All],[FGCODE]])))</f>
        <v>#N/A</v>
      </c>
    </row>
    <row r="2842" spans="1:14" x14ac:dyDescent="0.3">
      <c r="A2842" s="2" t="s">
        <v>12618</v>
      </c>
      <c r="B2842" s="2" t="s">
        <v>2008</v>
      </c>
      <c r="C2842" s="2" t="s">
        <v>12623</v>
      </c>
      <c r="D2842" s="3">
        <v>30240</v>
      </c>
      <c r="E2842" s="3">
        <v>30240</v>
      </c>
      <c r="F2842" s="2" t="s">
        <v>16</v>
      </c>
      <c r="G2842" s="2" t="s">
        <v>12624</v>
      </c>
      <c r="H2842" s="3">
        <v>0</v>
      </c>
      <c r="I2842" s="2" t="s">
        <v>18</v>
      </c>
      <c r="J2842" s="2" t="s">
        <v>12625</v>
      </c>
      <c r="K2842" s="2" t="s">
        <v>16</v>
      </c>
      <c r="L2842" s="2" t="s">
        <v>12626</v>
      </c>
      <c r="M2842" s="4">
        <v>5531.2</v>
      </c>
      <c r="N2842" t="b">
        <f>OR(LEFT(B2842,3)="frg",(_xlfn.XMATCH(B2842,ZZZ_Part_Id_[[#All],[FGCODE]])))</f>
        <v>1</v>
      </c>
    </row>
    <row r="2843" spans="1:14" x14ac:dyDescent="0.3">
      <c r="A2843" s="2" t="s">
        <v>12627</v>
      </c>
      <c r="B2843" s="2" t="s">
        <v>14</v>
      </c>
      <c r="C2843" s="2" t="s">
        <v>12628</v>
      </c>
      <c r="D2843" s="3">
        <v>64</v>
      </c>
      <c r="E2843" s="3">
        <v>64</v>
      </c>
      <c r="F2843" s="2" t="s">
        <v>16</v>
      </c>
      <c r="G2843" s="2" t="s">
        <v>12629</v>
      </c>
      <c r="H2843" s="3">
        <v>0</v>
      </c>
      <c r="I2843" s="2" t="s">
        <v>18</v>
      </c>
      <c r="J2843" s="2" t="s">
        <v>12630</v>
      </c>
      <c r="K2843" s="2" t="s">
        <v>16</v>
      </c>
      <c r="L2843" s="2" t="s">
        <v>12631</v>
      </c>
      <c r="M2843" s="4">
        <v>4.92</v>
      </c>
      <c r="N2843" t="e">
        <f>OR(LEFT(B2843,3)="frg",(_xlfn.XMATCH(B2843,ZZZ_Part_Id_[[#All],[FGCODE]])))</f>
        <v>#N/A</v>
      </c>
    </row>
    <row r="2844" spans="1:14" x14ac:dyDescent="0.3">
      <c r="A2844" s="2" t="s">
        <v>12627</v>
      </c>
      <c r="B2844" s="2" t="s">
        <v>5357</v>
      </c>
      <c r="C2844" s="2" t="s">
        <v>12632</v>
      </c>
      <c r="D2844" s="3">
        <v>337824</v>
      </c>
      <c r="E2844" s="3">
        <v>337824</v>
      </c>
      <c r="F2844" s="2" t="s">
        <v>16</v>
      </c>
      <c r="G2844" s="2" t="s">
        <v>12633</v>
      </c>
      <c r="H2844" s="3">
        <v>0</v>
      </c>
      <c r="I2844" s="2" t="s">
        <v>18</v>
      </c>
      <c r="J2844" s="2" t="s">
        <v>12634</v>
      </c>
      <c r="K2844" s="2" t="s">
        <v>16</v>
      </c>
      <c r="L2844" s="2" t="s">
        <v>12635</v>
      </c>
      <c r="M2844" s="4">
        <v>100854.02</v>
      </c>
      <c r="N2844" t="b">
        <f>OR(LEFT(B2844,3)="frg",(_xlfn.XMATCH(B2844,ZZZ_Part_Id_[[#All],[FGCODE]])))</f>
        <v>1</v>
      </c>
    </row>
    <row r="2845" spans="1:14" x14ac:dyDescent="0.3">
      <c r="A2845" s="2" t="s">
        <v>12636</v>
      </c>
      <c r="B2845" s="2" t="s">
        <v>14</v>
      </c>
      <c r="C2845" s="2" t="s">
        <v>12637</v>
      </c>
      <c r="D2845" s="3">
        <v>48</v>
      </c>
      <c r="E2845" s="3">
        <v>48</v>
      </c>
      <c r="F2845" s="2" t="s">
        <v>16</v>
      </c>
      <c r="G2845" s="2" t="s">
        <v>12638</v>
      </c>
      <c r="H2845" s="3">
        <v>0</v>
      </c>
      <c r="I2845" s="2" t="s">
        <v>18</v>
      </c>
      <c r="J2845" s="2" t="s">
        <v>12639</v>
      </c>
      <c r="K2845" s="2" t="s">
        <v>16</v>
      </c>
      <c r="L2845" s="2" t="s">
        <v>12640</v>
      </c>
      <c r="M2845" s="4">
        <v>3.69</v>
      </c>
      <c r="N2845" t="e">
        <f>OR(LEFT(B2845,3)="frg",(_xlfn.XMATCH(B2845,ZZZ_Part_Id_[[#All],[FGCODE]])))</f>
        <v>#N/A</v>
      </c>
    </row>
    <row r="2846" spans="1:14" x14ac:dyDescent="0.3">
      <c r="A2846" s="2" t="s">
        <v>12636</v>
      </c>
      <c r="B2846" s="2" t="s">
        <v>264</v>
      </c>
      <c r="C2846" s="2" t="s">
        <v>12641</v>
      </c>
      <c r="D2846" s="3">
        <v>4.8000000000000001E-2</v>
      </c>
      <c r="E2846" s="3">
        <v>4.8000000000000001E-2</v>
      </c>
      <c r="F2846" s="2" t="s">
        <v>16</v>
      </c>
      <c r="G2846" s="2" t="s">
        <v>12642</v>
      </c>
      <c r="H2846" s="3">
        <v>0</v>
      </c>
      <c r="I2846" s="2" t="s">
        <v>18</v>
      </c>
      <c r="J2846" s="2" t="s">
        <v>12643</v>
      </c>
      <c r="K2846" s="2" t="s">
        <v>16</v>
      </c>
      <c r="L2846" s="2" t="s">
        <v>12644</v>
      </c>
      <c r="M2846" s="4">
        <v>1.79</v>
      </c>
      <c r="N2846" t="e">
        <f>OR(LEFT(B2846,3)="frg",(_xlfn.XMATCH(B2846,ZZZ_Part_Id_[[#All],[FGCODE]])))</f>
        <v>#N/A</v>
      </c>
    </row>
    <row r="2847" spans="1:14" x14ac:dyDescent="0.3">
      <c r="A2847" s="2" t="s">
        <v>12636</v>
      </c>
      <c r="B2847" s="2" t="s">
        <v>5477</v>
      </c>
      <c r="C2847" s="2" t="s">
        <v>12645</v>
      </c>
      <c r="D2847" s="3">
        <v>317952</v>
      </c>
      <c r="E2847" s="3">
        <v>317952</v>
      </c>
      <c r="F2847" s="2" t="s">
        <v>16</v>
      </c>
      <c r="G2847" s="2" t="s">
        <v>12646</v>
      </c>
      <c r="H2847" s="3">
        <v>0</v>
      </c>
      <c r="I2847" s="2" t="s">
        <v>18</v>
      </c>
      <c r="J2847" s="2" t="s">
        <v>12647</v>
      </c>
      <c r="K2847" s="2" t="s">
        <v>16</v>
      </c>
      <c r="L2847" s="2" t="s">
        <v>12648</v>
      </c>
      <c r="M2847" s="4">
        <v>94921.44</v>
      </c>
      <c r="N2847" t="b">
        <f>OR(LEFT(B2847,3)="frg",(_xlfn.XMATCH(B2847,ZZZ_Part_Id_[[#All],[FGCODE]])))</f>
        <v>1</v>
      </c>
    </row>
    <row r="2848" spans="1:14" x14ac:dyDescent="0.3">
      <c r="A2848" s="2" t="s">
        <v>12649</v>
      </c>
      <c r="B2848" s="2" t="s">
        <v>14</v>
      </c>
      <c r="C2848" s="2" t="s">
        <v>12650</v>
      </c>
      <c r="D2848" s="3">
        <v>40</v>
      </c>
      <c r="E2848" s="3">
        <v>40</v>
      </c>
      <c r="F2848" s="2" t="s">
        <v>16</v>
      </c>
      <c r="G2848" s="2" t="s">
        <v>12651</v>
      </c>
      <c r="H2848" s="3">
        <v>0</v>
      </c>
      <c r="I2848" s="2" t="s">
        <v>18</v>
      </c>
      <c r="J2848" s="2" t="s">
        <v>12652</v>
      </c>
      <c r="K2848" s="2" t="s">
        <v>16</v>
      </c>
      <c r="L2848" s="2" t="s">
        <v>12653</v>
      </c>
      <c r="M2848" s="4">
        <v>3.08</v>
      </c>
      <c r="N2848" t="e">
        <f>OR(LEFT(B2848,3)="frg",(_xlfn.XMATCH(B2848,ZZZ_Part_Id_[[#All],[FGCODE]])))</f>
        <v>#N/A</v>
      </c>
    </row>
    <row r="2849" spans="1:14" x14ac:dyDescent="0.3">
      <c r="A2849" s="2" t="s">
        <v>12649</v>
      </c>
      <c r="B2849" s="2" t="s">
        <v>97</v>
      </c>
      <c r="C2849" s="2" t="s">
        <v>12654</v>
      </c>
      <c r="D2849" s="3">
        <v>211200</v>
      </c>
      <c r="E2849" s="3">
        <v>211200</v>
      </c>
      <c r="F2849" s="2" t="s">
        <v>16</v>
      </c>
      <c r="G2849" s="2" t="s">
        <v>12655</v>
      </c>
      <c r="H2849" s="3">
        <v>0</v>
      </c>
      <c r="I2849" s="2" t="s">
        <v>18</v>
      </c>
      <c r="J2849" s="2" t="s">
        <v>12656</v>
      </c>
      <c r="K2849" s="2" t="s">
        <v>16</v>
      </c>
      <c r="L2849" s="2" t="s">
        <v>12657</v>
      </c>
      <c r="M2849" s="4">
        <v>72441.600000000006</v>
      </c>
      <c r="N2849" t="b">
        <f>OR(LEFT(B2849,3)="frg",(_xlfn.XMATCH(B2849,ZZZ_Part_Id_[[#All],[FGCODE]])))</f>
        <v>1</v>
      </c>
    </row>
    <row r="2850" spans="1:14" x14ac:dyDescent="0.3">
      <c r="A2850" s="2" t="s">
        <v>12658</v>
      </c>
      <c r="B2850" s="2" t="s">
        <v>1170</v>
      </c>
      <c r="C2850" s="2" t="s">
        <v>12659</v>
      </c>
      <c r="D2850" s="3">
        <v>0</v>
      </c>
      <c r="E2850" s="3">
        <v>0</v>
      </c>
      <c r="F2850" s="2" t="s">
        <v>16</v>
      </c>
      <c r="G2850" s="2" t="s">
        <v>12660</v>
      </c>
      <c r="H2850" s="3">
        <v>0</v>
      </c>
      <c r="I2850" s="2" t="s">
        <v>18</v>
      </c>
      <c r="J2850" s="2" t="s">
        <v>12661</v>
      </c>
      <c r="K2850" s="2" t="s">
        <v>16</v>
      </c>
      <c r="L2850" s="2" t="s">
        <v>12662</v>
      </c>
      <c r="M2850" s="4">
        <v>0</v>
      </c>
      <c r="N2850" t="b">
        <f>OR(LEFT(B2850,3)="frg",(_xlfn.XMATCH(B2850,ZZZ_Part_Id_[[#All],[FGCODE]])))</f>
        <v>1</v>
      </c>
    </row>
    <row r="2851" spans="1:14" x14ac:dyDescent="0.3">
      <c r="A2851" s="2" t="s">
        <v>12658</v>
      </c>
      <c r="B2851" s="2" t="s">
        <v>65</v>
      </c>
      <c r="C2851" s="2" t="s">
        <v>12663</v>
      </c>
      <c r="D2851" s="5">
        <v>-249</v>
      </c>
      <c r="E2851" s="5">
        <v>-249</v>
      </c>
      <c r="F2851" s="2" t="s">
        <v>23</v>
      </c>
      <c r="G2851" s="2" t="s">
        <v>131</v>
      </c>
      <c r="H2851" s="3">
        <v>0</v>
      </c>
      <c r="I2851" s="2" t="s">
        <v>18</v>
      </c>
      <c r="J2851" s="2" t="s">
        <v>12664</v>
      </c>
      <c r="K2851" s="2" t="s">
        <v>23</v>
      </c>
      <c r="L2851" s="2" t="s">
        <v>12665</v>
      </c>
      <c r="M2851" s="6">
        <v>-640.33000000000004</v>
      </c>
      <c r="N2851" t="b">
        <f>OR(LEFT(B2851,3)="frg",(_xlfn.XMATCH(B2851,ZZZ_Part_Id_[[#All],[FGCODE]])))</f>
        <v>1</v>
      </c>
    </row>
    <row r="2852" spans="1:14" x14ac:dyDescent="0.3">
      <c r="A2852" s="2" t="s">
        <v>12658</v>
      </c>
      <c r="B2852" s="2" t="s">
        <v>1170</v>
      </c>
      <c r="C2852" s="2" t="s">
        <v>12666</v>
      </c>
      <c r="D2852" s="3">
        <v>19200</v>
      </c>
      <c r="E2852" s="3">
        <v>19200</v>
      </c>
      <c r="F2852" s="2" t="s">
        <v>16</v>
      </c>
      <c r="G2852" s="2" t="s">
        <v>131</v>
      </c>
      <c r="H2852" s="3">
        <v>0</v>
      </c>
      <c r="I2852" s="2" t="s">
        <v>18</v>
      </c>
      <c r="J2852" s="2" t="s">
        <v>12667</v>
      </c>
      <c r="K2852" s="2" t="s">
        <v>16</v>
      </c>
      <c r="L2852" s="2" t="s">
        <v>12668</v>
      </c>
      <c r="M2852" s="4">
        <v>6642.8</v>
      </c>
      <c r="N2852" t="b">
        <f>OR(LEFT(B2852,3)="frg",(_xlfn.XMATCH(B2852,ZZZ_Part_Id_[[#All],[FGCODE]])))</f>
        <v>1</v>
      </c>
    </row>
    <row r="2853" spans="1:14" x14ac:dyDescent="0.3">
      <c r="A2853" s="2" t="s">
        <v>12669</v>
      </c>
      <c r="B2853" s="2" t="s">
        <v>103</v>
      </c>
      <c r="C2853" s="2" t="s">
        <v>12670</v>
      </c>
      <c r="D2853" s="3">
        <v>10620</v>
      </c>
      <c r="E2853" s="3">
        <v>10620</v>
      </c>
      <c r="F2853" s="2" t="s">
        <v>16</v>
      </c>
      <c r="G2853" s="2" t="s">
        <v>12671</v>
      </c>
      <c r="H2853" s="3">
        <v>0</v>
      </c>
      <c r="I2853" s="2" t="s">
        <v>18</v>
      </c>
      <c r="J2853" s="2" t="s">
        <v>12672</v>
      </c>
      <c r="K2853" s="2" t="s">
        <v>16</v>
      </c>
      <c r="L2853" s="2" t="s">
        <v>12673</v>
      </c>
      <c r="M2853" s="4">
        <v>2126.44</v>
      </c>
      <c r="N2853" t="b">
        <f>OR(LEFT(B2853,3)="frg",(_xlfn.XMATCH(B2853,ZZZ_Part_Id_[[#All],[FGCODE]])))</f>
        <v>1</v>
      </c>
    </row>
    <row r="2854" spans="1:14" x14ac:dyDescent="0.3">
      <c r="A2854" s="2" t="s">
        <v>12674</v>
      </c>
      <c r="B2854" s="2" t="s">
        <v>103</v>
      </c>
      <c r="C2854" s="2" t="s">
        <v>12675</v>
      </c>
      <c r="D2854" s="3">
        <v>10620</v>
      </c>
      <c r="E2854" s="3">
        <v>10620</v>
      </c>
      <c r="F2854" s="2" t="s">
        <v>16</v>
      </c>
      <c r="G2854" s="2" t="s">
        <v>12676</v>
      </c>
      <c r="H2854" s="3">
        <v>0</v>
      </c>
      <c r="I2854" s="2" t="s">
        <v>18</v>
      </c>
      <c r="J2854" s="2" t="s">
        <v>12677</v>
      </c>
      <c r="K2854" s="2" t="s">
        <v>16</v>
      </c>
      <c r="L2854" s="2" t="s">
        <v>12678</v>
      </c>
      <c r="M2854" s="4">
        <v>2126.44</v>
      </c>
      <c r="N2854" t="b">
        <f>OR(LEFT(B2854,3)="frg",(_xlfn.XMATCH(B2854,ZZZ_Part_Id_[[#All],[FGCODE]])))</f>
        <v>1</v>
      </c>
    </row>
    <row r="2855" spans="1:14" x14ac:dyDescent="0.3">
      <c r="A2855" s="2" t="s">
        <v>12679</v>
      </c>
      <c r="B2855" s="2" t="s">
        <v>14</v>
      </c>
      <c r="C2855" s="2" t="s">
        <v>12680</v>
      </c>
      <c r="D2855" s="3">
        <v>64</v>
      </c>
      <c r="E2855" s="3">
        <v>64</v>
      </c>
      <c r="F2855" s="2" t="s">
        <v>16</v>
      </c>
      <c r="G2855" s="2" t="s">
        <v>12681</v>
      </c>
      <c r="H2855" s="3">
        <v>0</v>
      </c>
      <c r="I2855" s="2" t="s">
        <v>409</v>
      </c>
      <c r="J2855" s="2" t="s">
        <v>12682</v>
      </c>
      <c r="K2855" s="2" t="s">
        <v>16</v>
      </c>
      <c r="L2855" s="2" t="s">
        <v>12683</v>
      </c>
      <c r="M2855" s="4">
        <v>4.92</v>
      </c>
      <c r="N2855" t="e">
        <f>OR(LEFT(B2855,3)="frg",(_xlfn.XMATCH(B2855,ZZZ_Part_Id_[[#All],[FGCODE]])))</f>
        <v>#N/A</v>
      </c>
    </row>
    <row r="2856" spans="1:14" x14ac:dyDescent="0.3">
      <c r="A2856" s="2" t="s">
        <v>12679</v>
      </c>
      <c r="B2856" s="2" t="s">
        <v>5357</v>
      </c>
      <c r="C2856" s="2" t="s">
        <v>12684</v>
      </c>
      <c r="D2856" s="3">
        <v>390816</v>
      </c>
      <c r="E2856" s="3">
        <v>390816</v>
      </c>
      <c r="F2856" s="2" t="s">
        <v>16</v>
      </c>
      <c r="G2856" s="2" t="s">
        <v>12685</v>
      </c>
      <c r="H2856" s="3">
        <v>0</v>
      </c>
      <c r="I2856" s="2" t="s">
        <v>409</v>
      </c>
      <c r="J2856" s="2" t="s">
        <v>12686</v>
      </c>
      <c r="K2856" s="2" t="s">
        <v>16</v>
      </c>
      <c r="L2856" s="2" t="s">
        <v>12687</v>
      </c>
      <c r="M2856" s="4">
        <v>116674.27</v>
      </c>
      <c r="N2856" t="b">
        <f>OR(LEFT(B2856,3)="frg",(_xlfn.XMATCH(B2856,ZZZ_Part_Id_[[#All],[FGCODE]])))</f>
        <v>1</v>
      </c>
    </row>
    <row r="2857" spans="1:14" x14ac:dyDescent="0.3">
      <c r="A2857" s="2" t="s">
        <v>12688</v>
      </c>
      <c r="B2857" s="2" t="s">
        <v>14</v>
      </c>
      <c r="C2857" s="2" t="s">
        <v>12689</v>
      </c>
      <c r="D2857" s="3">
        <v>40</v>
      </c>
      <c r="E2857" s="3">
        <v>40</v>
      </c>
      <c r="F2857" s="2" t="s">
        <v>16</v>
      </c>
      <c r="G2857" s="2" t="s">
        <v>12690</v>
      </c>
      <c r="H2857" s="3">
        <v>0</v>
      </c>
      <c r="I2857" s="2" t="s">
        <v>409</v>
      </c>
      <c r="J2857" s="2" t="s">
        <v>12691</v>
      </c>
      <c r="K2857" s="2" t="s">
        <v>16</v>
      </c>
      <c r="L2857" s="2" t="s">
        <v>12692</v>
      </c>
      <c r="M2857" s="4">
        <v>3.08</v>
      </c>
      <c r="N2857" t="e">
        <f>OR(LEFT(B2857,3)="frg",(_xlfn.XMATCH(B2857,ZZZ_Part_Id_[[#All],[FGCODE]])))</f>
        <v>#N/A</v>
      </c>
    </row>
    <row r="2858" spans="1:14" x14ac:dyDescent="0.3">
      <c r="A2858" s="2" t="s">
        <v>12688</v>
      </c>
      <c r="B2858" s="2" t="s">
        <v>97</v>
      </c>
      <c r="C2858" s="2" t="s">
        <v>12693</v>
      </c>
      <c r="D2858" s="3">
        <v>187200</v>
      </c>
      <c r="E2858" s="3">
        <v>187200</v>
      </c>
      <c r="F2858" s="2" t="s">
        <v>16</v>
      </c>
      <c r="G2858" s="2" t="s">
        <v>12694</v>
      </c>
      <c r="H2858" s="3">
        <v>0</v>
      </c>
      <c r="I2858" s="2" t="s">
        <v>409</v>
      </c>
      <c r="J2858" s="2" t="s">
        <v>12695</v>
      </c>
      <c r="K2858" s="2" t="s">
        <v>16</v>
      </c>
      <c r="L2858" s="2" t="s">
        <v>12696</v>
      </c>
      <c r="M2858" s="4">
        <v>64209.599999999999</v>
      </c>
      <c r="N2858" t="b">
        <f>OR(LEFT(B2858,3)="frg",(_xlfn.XMATCH(B2858,ZZZ_Part_Id_[[#All],[FGCODE]])))</f>
        <v>1</v>
      </c>
    </row>
    <row r="2859" spans="1:14" x14ac:dyDescent="0.3">
      <c r="A2859" s="2" t="s">
        <v>12697</v>
      </c>
      <c r="B2859" s="2" t="s">
        <v>37</v>
      </c>
      <c r="C2859" s="2" t="s">
        <v>12698</v>
      </c>
      <c r="D2859" s="3">
        <v>8</v>
      </c>
      <c r="E2859" s="3">
        <v>8</v>
      </c>
      <c r="F2859" s="2" t="s">
        <v>16</v>
      </c>
      <c r="G2859" s="2" t="s">
        <v>12699</v>
      </c>
      <c r="H2859" s="3">
        <v>0</v>
      </c>
      <c r="I2859" s="2" t="s">
        <v>409</v>
      </c>
      <c r="J2859" s="2" t="s">
        <v>12700</v>
      </c>
      <c r="K2859" s="2" t="s">
        <v>16</v>
      </c>
      <c r="L2859" s="2" t="s">
        <v>12701</v>
      </c>
      <c r="M2859" s="4">
        <v>128</v>
      </c>
      <c r="N2859" t="e">
        <f>OR(LEFT(B2859,3)="frg",(_xlfn.XMATCH(B2859,ZZZ_Part_Id_[[#All],[FGCODE]])))</f>
        <v>#N/A</v>
      </c>
    </row>
    <row r="2860" spans="1:14" x14ac:dyDescent="0.3">
      <c r="A2860" s="2" t="s">
        <v>12697</v>
      </c>
      <c r="B2860" s="2" t="s">
        <v>97</v>
      </c>
      <c r="C2860" s="2" t="s">
        <v>12702</v>
      </c>
      <c r="D2860" s="3">
        <v>38400</v>
      </c>
      <c r="E2860" s="3">
        <v>38400</v>
      </c>
      <c r="F2860" s="2" t="s">
        <v>16</v>
      </c>
      <c r="G2860" s="2" t="s">
        <v>12703</v>
      </c>
      <c r="H2860" s="3">
        <v>0</v>
      </c>
      <c r="I2860" s="2" t="s">
        <v>409</v>
      </c>
      <c r="J2860" s="2" t="s">
        <v>12704</v>
      </c>
      <c r="K2860" s="2" t="s">
        <v>16</v>
      </c>
      <c r="L2860" s="2" t="s">
        <v>12705</v>
      </c>
      <c r="M2860" s="4">
        <v>13171.2</v>
      </c>
      <c r="N2860" t="b">
        <f>OR(LEFT(B2860,3)="frg",(_xlfn.XMATCH(B2860,ZZZ_Part_Id_[[#All],[FGCODE]])))</f>
        <v>1</v>
      </c>
    </row>
    <row r="2861" spans="1:14" x14ac:dyDescent="0.3">
      <c r="A2861" s="2" t="s">
        <v>12706</v>
      </c>
      <c r="B2861" s="2" t="s">
        <v>759</v>
      </c>
      <c r="C2861" s="2" t="s">
        <v>12707</v>
      </c>
      <c r="D2861" s="3">
        <v>4</v>
      </c>
      <c r="E2861" s="3">
        <v>4</v>
      </c>
      <c r="F2861" s="2" t="s">
        <v>16</v>
      </c>
      <c r="G2861" s="2" t="s">
        <v>12708</v>
      </c>
      <c r="H2861" s="3">
        <v>0</v>
      </c>
      <c r="I2861" s="2" t="s">
        <v>409</v>
      </c>
      <c r="J2861" s="2" t="s">
        <v>12709</v>
      </c>
      <c r="K2861" s="2" t="s">
        <v>16</v>
      </c>
      <c r="L2861" s="2" t="s">
        <v>12710</v>
      </c>
      <c r="M2861" s="4">
        <v>18.11</v>
      </c>
      <c r="N2861" t="e">
        <f>OR(LEFT(B2861,3)="frg",(_xlfn.XMATCH(B2861,ZZZ_Part_Id_[[#All],[FGCODE]])))</f>
        <v>#N/A</v>
      </c>
    </row>
    <row r="2862" spans="1:14" x14ac:dyDescent="0.3">
      <c r="A2862" s="2" t="s">
        <v>12706</v>
      </c>
      <c r="B2862" s="2" t="s">
        <v>764</v>
      </c>
      <c r="C2862" s="2" t="s">
        <v>12711</v>
      </c>
      <c r="D2862" s="3">
        <v>2</v>
      </c>
      <c r="E2862" s="3">
        <v>2</v>
      </c>
      <c r="F2862" s="2" t="s">
        <v>23</v>
      </c>
      <c r="G2862" s="2" t="s">
        <v>12712</v>
      </c>
      <c r="H2862" s="3">
        <v>0</v>
      </c>
      <c r="I2862" s="2" t="s">
        <v>409</v>
      </c>
      <c r="J2862" s="2" t="s">
        <v>12713</v>
      </c>
      <c r="K2862" s="2" t="s">
        <v>23</v>
      </c>
      <c r="L2862" s="2" t="s">
        <v>12714</v>
      </c>
      <c r="M2862" s="4">
        <v>14.56</v>
      </c>
      <c r="N2862" t="e">
        <f>OR(LEFT(B2862,3)="frg",(_xlfn.XMATCH(B2862,ZZZ_Part_Id_[[#All],[FGCODE]])))</f>
        <v>#N/A</v>
      </c>
    </row>
    <row r="2863" spans="1:14" x14ac:dyDescent="0.3">
      <c r="A2863" s="2" t="s">
        <v>12706</v>
      </c>
      <c r="B2863" s="2" t="s">
        <v>5357</v>
      </c>
      <c r="C2863" s="2" t="s">
        <v>12715</v>
      </c>
      <c r="D2863" s="3">
        <v>2000</v>
      </c>
      <c r="E2863" s="3">
        <v>2000</v>
      </c>
      <c r="F2863" s="2" t="s">
        <v>16</v>
      </c>
      <c r="G2863" s="2" t="s">
        <v>12716</v>
      </c>
      <c r="H2863" s="3">
        <v>0</v>
      </c>
      <c r="I2863" s="2" t="s">
        <v>409</v>
      </c>
      <c r="J2863" s="2" t="s">
        <v>12717</v>
      </c>
      <c r="K2863" s="2" t="s">
        <v>16</v>
      </c>
      <c r="L2863" s="2" t="s">
        <v>12718</v>
      </c>
      <c r="M2863" s="4">
        <v>597.08000000000004</v>
      </c>
      <c r="N2863" t="b">
        <f>OR(LEFT(B2863,3)="frg",(_xlfn.XMATCH(B2863,ZZZ_Part_Id_[[#All],[FGCODE]])))</f>
        <v>1</v>
      </c>
    </row>
    <row r="2864" spans="1:14" x14ac:dyDescent="0.3">
      <c r="A2864" s="2" t="s">
        <v>12719</v>
      </c>
      <c r="B2864" s="2" t="s">
        <v>2840</v>
      </c>
      <c r="C2864" s="2" t="s">
        <v>12720</v>
      </c>
      <c r="D2864" s="3">
        <v>30240</v>
      </c>
      <c r="E2864" s="3">
        <v>30240</v>
      </c>
      <c r="F2864" s="2" t="s">
        <v>16</v>
      </c>
      <c r="G2864" s="2" t="s">
        <v>12721</v>
      </c>
      <c r="H2864" s="3">
        <v>0</v>
      </c>
      <c r="I2864" s="2" t="s">
        <v>18</v>
      </c>
      <c r="J2864" s="2" t="s">
        <v>12722</v>
      </c>
      <c r="K2864" s="2" t="s">
        <v>16</v>
      </c>
      <c r="L2864" s="2" t="s">
        <v>12723</v>
      </c>
      <c r="M2864" s="4">
        <v>5578.08</v>
      </c>
      <c r="N2864" t="b">
        <f>OR(LEFT(B2864,3)="frg",(_xlfn.XMATCH(B2864,ZZZ_Part_Id_[[#All],[FGCODE]])))</f>
        <v>1</v>
      </c>
    </row>
    <row r="2865" spans="1:14" x14ac:dyDescent="0.3">
      <c r="A2865" s="2" t="s">
        <v>12724</v>
      </c>
      <c r="B2865" s="2" t="s">
        <v>5477</v>
      </c>
      <c r="C2865" s="2" t="s">
        <v>12725</v>
      </c>
      <c r="D2865" s="3">
        <v>6624</v>
      </c>
      <c r="E2865" s="3">
        <v>6624</v>
      </c>
      <c r="F2865" s="2" t="s">
        <v>16</v>
      </c>
      <c r="G2865" s="2" t="s">
        <v>12726</v>
      </c>
      <c r="H2865" s="3">
        <v>0</v>
      </c>
      <c r="I2865" s="2" t="s">
        <v>18</v>
      </c>
      <c r="J2865" s="2" t="s">
        <v>35</v>
      </c>
      <c r="K2865" s="2" t="s">
        <v>16</v>
      </c>
      <c r="L2865" s="2" t="s">
        <v>12727</v>
      </c>
      <c r="M2865" s="4">
        <v>1977.53</v>
      </c>
      <c r="N2865" t="b">
        <f>OR(LEFT(B2865,3)="frg",(_xlfn.XMATCH(B2865,ZZZ_Part_Id_[[#All],[FGCODE]])))</f>
        <v>1</v>
      </c>
    </row>
    <row r="2866" spans="1:14" x14ac:dyDescent="0.3">
      <c r="A2866" s="2" t="s">
        <v>12728</v>
      </c>
      <c r="B2866" s="2" t="s">
        <v>91</v>
      </c>
      <c r="C2866" s="2" t="s">
        <v>12729</v>
      </c>
      <c r="D2866" s="3">
        <v>1255500</v>
      </c>
      <c r="E2866" s="3">
        <v>1255500</v>
      </c>
      <c r="F2866" s="2" t="s">
        <v>16</v>
      </c>
      <c r="G2866" s="2" t="s">
        <v>12730</v>
      </c>
      <c r="H2866" s="3">
        <v>0</v>
      </c>
      <c r="I2866" s="2" t="s">
        <v>409</v>
      </c>
      <c r="J2866" s="2" t="s">
        <v>12731</v>
      </c>
      <c r="K2866" s="2" t="s">
        <v>16</v>
      </c>
      <c r="L2866" s="2" t="s">
        <v>12732</v>
      </c>
      <c r="M2866" s="4">
        <v>72266.58</v>
      </c>
      <c r="N2866" t="b">
        <f>OR(LEFT(B2866,3)="frg",(_xlfn.XMATCH(B2866,ZZZ_Part_Id_[[#All],[FGCODE]])))</f>
        <v>1</v>
      </c>
    </row>
    <row r="2867" spans="1:14" x14ac:dyDescent="0.3">
      <c r="A2867" s="2" t="s">
        <v>12728</v>
      </c>
      <c r="B2867" s="2" t="s">
        <v>86</v>
      </c>
      <c r="C2867" s="2" t="s">
        <v>12733</v>
      </c>
      <c r="D2867" s="5">
        <v>-336</v>
      </c>
      <c r="E2867" s="5">
        <v>-336</v>
      </c>
      <c r="F2867" s="2" t="s">
        <v>23</v>
      </c>
      <c r="G2867" s="2" t="s">
        <v>12734</v>
      </c>
      <c r="H2867" s="3">
        <v>0</v>
      </c>
      <c r="I2867" s="2" t="s">
        <v>409</v>
      </c>
      <c r="J2867" s="2" t="s">
        <v>12735</v>
      </c>
      <c r="K2867" s="2" t="s">
        <v>23</v>
      </c>
      <c r="L2867" s="2" t="s">
        <v>12736</v>
      </c>
      <c r="M2867" s="6">
        <v>-879.58</v>
      </c>
      <c r="N2867" t="b">
        <f>OR(LEFT(B2867,3)="frg",(_xlfn.XMATCH(B2867,ZZZ_Part_Id_[[#All],[FGCODE]])))</f>
        <v>1</v>
      </c>
    </row>
    <row r="2868" spans="1:14" x14ac:dyDescent="0.3">
      <c r="A2868" s="2" t="s">
        <v>12728</v>
      </c>
      <c r="B2868" s="2" t="s">
        <v>14</v>
      </c>
      <c r="C2868" s="2" t="s">
        <v>12737</v>
      </c>
      <c r="D2868" s="3">
        <v>45</v>
      </c>
      <c r="E2868" s="3">
        <v>45</v>
      </c>
      <c r="F2868" s="2" t="s">
        <v>16</v>
      </c>
      <c r="G2868" s="2" t="s">
        <v>12738</v>
      </c>
      <c r="H2868" s="3">
        <v>0</v>
      </c>
      <c r="I2868" s="2" t="s">
        <v>409</v>
      </c>
      <c r="J2868" s="2" t="s">
        <v>12739</v>
      </c>
      <c r="K2868" s="2" t="s">
        <v>16</v>
      </c>
      <c r="L2868" s="2" t="s">
        <v>12740</v>
      </c>
      <c r="M2868" s="4">
        <v>3.46</v>
      </c>
      <c r="N2868" t="e">
        <f>OR(LEFT(B2868,3)="frg",(_xlfn.XMATCH(B2868,ZZZ_Part_Id_[[#All],[FGCODE]])))</f>
        <v>#N/A</v>
      </c>
    </row>
    <row r="2869" spans="1:14" x14ac:dyDescent="0.3">
      <c r="A2869" s="2" t="s">
        <v>12728</v>
      </c>
      <c r="B2869" s="2" t="s">
        <v>140</v>
      </c>
      <c r="C2869" s="2" t="s">
        <v>12741</v>
      </c>
      <c r="D2869" s="3">
        <v>1.8</v>
      </c>
      <c r="E2869" s="3">
        <v>1.8</v>
      </c>
      <c r="F2869" s="2" t="s">
        <v>16</v>
      </c>
      <c r="G2869" s="2" t="s">
        <v>12742</v>
      </c>
      <c r="H2869" s="3">
        <v>0</v>
      </c>
      <c r="I2869" s="2" t="s">
        <v>409</v>
      </c>
      <c r="J2869" s="2" t="s">
        <v>12743</v>
      </c>
      <c r="K2869" s="2" t="s">
        <v>16</v>
      </c>
      <c r="L2869" s="2" t="s">
        <v>12744</v>
      </c>
      <c r="M2869" s="4">
        <v>3.95</v>
      </c>
      <c r="N2869" t="e">
        <f>OR(LEFT(B2869,3)="frg",(_xlfn.XMATCH(B2869,ZZZ_Part_Id_[[#All],[FGCODE]])))</f>
        <v>#N/A</v>
      </c>
    </row>
    <row r="2870" spans="1:14" x14ac:dyDescent="0.3">
      <c r="A2870" s="2" t="s">
        <v>12728</v>
      </c>
      <c r="B2870" s="2" t="s">
        <v>192</v>
      </c>
      <c r="C2870" s="2" t="s">
        <v>12745</v>
      </c>
      <c r="D2870" s="3">
        <v>0.45</v>
      </c>
      <c r="E2870" s="3">
        <v>0.45</v>
      </c>
      <c r="F2870" s="2" t="s">
        <v>194</v>
      </c>
      <c r="G2870" s="2" t="s">
        <v>12746</v>
      </c>
      <c r="H2870" s="3">
        <v>0</v>
      </c>
      <c r="I2870" s="2" t="s">
        <v>409</v>
      </c>
      <c r="J2870" s="2" t="s">
        <v>12747</v>
      </c>
      <c r="K2870" s="2" t="s">
        <v>194</v>
      </c>
      <c r="L2870" s="2" t="s">
        <v>12748</v>
      </c>
      <c r="M2870" s="4">
        <v>2.2999999999999998</v>
      </c>
      <c r="N2870" t="e">
        <f>OR(LEFT(B2870,3)="frg",(_xlfn.XMATCH(B2870,ZZZ_Part_Id_[[#All],[FGCODE]])))</f>
        <v>#N/A</v>
      </c>
    </row>
    <row r="2871" spans="1:14" x14ac:dyDescent="0.3">
      <c r="A2871" s="2" t="s">
        <v>12728</v>
      </c>
      <c r="B2871" s="2" t="s">
        <v>145</v>
      </c>
      <c r="C2871" s="2" t="s">
        <v>12749</v>
      </c>
      <c r="D2871" s="3">
        <v>0.18</v>
      </c>
      <c r="E2871" s="3">
        <v>0.18</v>
      </c>
      <c r="F2871" s="2" t="s">
        <v>147</v>
      </c>
      <c r="G2871" s="2" t="s">
        <v>12750</v>
      </c>
      <c r="H2871" s="3">
        <v>0</v>
      </c>
      <c r="I2871" s="2" t="s">
        <v>409</v>
      </c>
      <c r="J2871" s="2" t="s">
        <v>12751</v>
      </c>
      <c r="K2871" s="2" t="s">
        <v>147</v>
      </c>
      <c r="L2871" s="2" t="s">
        <v>12752</v>
      </c>
      <c r="M2871" s="4">
        <v>29.05</v>
      </c>
      <c r="N2871" t="e">
        <f>OR(LEFT(B2871,3)="frg",(_xlfn.XMATCH(B2871,ZZZ_Part_Id_[[#All],[FGCODE]])))</f>
        <v>#N/A</v>
      </c>
    </row>
    <row r="2872" spans="1:14" x14ac:dyDescent="0.3">
      <c r="A2872" s="2" t="s">
        <v>12728</v>
      </c>
      <c r="B2872" s="2" t="s">
        <v>167</v>
      </c>
      <c r="C2872" s="2" t="s">
        <v>12753</v>
      </c>
      <c r="D2872" s="3">
        <v>22.635000000000002</v>
      </c>
      <c r="E2872" s="3">
        <v>22.635000000000002</v>
      </c>
      <c r="F2872" s="2" t="s">
        <v>23</v>
      </c>
      <c r="G2872" s="2" t="s">
        <v>12754</v>
      </c>
      <c r="H2872" s="3">
        <v>0</v>
      </c>
      <c r="I2872" s="2" t="s">
        <v>409</v>
      </c>
      <c r="J2872" s="2" t="s">
        <v>12755</v>
      </c>
      <c r="K2872" s="2" t="s">
        <v>23</v>
      </c>
      <c r="L2872" s="2" t="s">
        <v>12756</v>
      </c>
      <c r="M2872" s="4">
        <v>167.81</v>
      </c>
      <c r="N2872" t="e">
        <f>OR(LEFT(B2872,3)="frg",(_xlfn.XMATCH(B2872,ZZZ_Part_Id_[[#All],[FGCODE]])))</f>
        <v>#N/A</v>
      </c>
    </row>
    <row r="2873" spans="1:14" x14ac:dyDescent="0.3">
      <c r="A2873" s="2" t="s">
        <v>12728</v>
      </c>
      <c r="B2873" s="2" t="s">
        <v>172</v>
      </c>
      <c r="C2873" s="2" t="s">
        <v>12757</v>
      </c>
      <c r="D2873" s="3">
        <v>12.69</v>
      </c>
      <c r="E2873" s="3">
        <v>12.69</v>
      </c>
      <c r="F2873" s="2" t="s">
        <v>23</v>
      </c>
      <c r="G2873" s="2" t="s">
        <v>12758</v>
      </c>
      <c r="H2873" s="3">
        <v>0</v>
      </c>
      <c r="I2873" s="2" t="s">
        <v>409</v>
      </c>
      <c r="J2873" s="2" t="s">
        <v>12759</v>
      </c>
      <c r="K2873" s="2" t="s">
        <v>23</v>
      </c>
      <c r="L2873" s="2" t="s">
        <v>12760</v>
      </c>
      <c r="M2873" s="4">
        <v>94.22</v>
      </c>
      <c r="N2873" t="e">
        <f>OR(LEFT(B2873,3)="frg",(_xlfn.XMATCH(B2873,ZZZ_Part_Id_[[#All],[FGCODE]])))</f>
        <v>#N/A</v>
      </c>
    </row>
    <row r="2874" spans="1:14" x14ac:dyDescent="0.3">
      <c r="A2874" s="2" t="s">
        <v>12728</v>
      </c>
      <c r="B2874" s="2" t="s">
        <v>187</v>
      </c>
      <c r="C2874" s="2" t="s">
        <v>12761</v>
      </c>
      <c r="D2874" s="3">
        <v>10</v>
      </c>
      <c r="E2874" s="3">
        <v>10</v>
      </c>
      <c r="F2874" s="2" t="s">
        <v>16</v>
      </c>
      <c r="G2874" s="2" t="s">
        <v>131</v>
      </c>
      <c r="H2874" s="3">
        <v>0</v>
      </c>
      <c r="I2874" s="2" t="s">
        <v>409</v>
      </c>
      <c r="J2874" s="2" t="s">
        <v>12762</v>
      </c>
      <c r="K2874" s="2" t="s">
        <v>16</v>
      </c>
      <c r="L2874" s="2" t="s">
        <v>12763</v>
      </c>
      <c r="M2874" s="4">
        <v>44.26</v>
      </c>
      <c r="N2874" t="e">
        <f>OR(LEFT(B2874,3)="frg",(_xlfn.XMATCH(B2874,ZZZ_Part_Id_[[#All],[FGCODE]])))</f>
        <v>#N/A</v>
      </c>
    </row>
    <row r="2875" spans="1:14" x14ac:dyDescent="0.3">
      <c r="A2875" s="2" t="s">
        <v>12728</v>
      </c>
      <c r="B2875" s="2" t="s">
        <v>213</v>
      </c>
      <c r="C2875" s="2" t="s">
        <v>12764</v>
      </c>
      <c r="D2875" s="3">
        <v>10</v>
      </c>
      <c r="E2875" s="3">
        <v>10</v>
      </c>
      <c r="F2875" s="2" t="s">
        <v>16</v>
      </c>
      <c r="G2875" s="2" t="s">
        <v>131</v>
      </c>
      <c r="H2875" s="3">
        <v>0</v>
      </c>
      <c r="I2875" s="2" t="s">
        <v>409</v>
      </c>
      <c r="J2875" s="2" t="s">
        <v>12765</v>
      </c>
      <c r="K2875" s="2" t="s">
        <v>16</v>
      </c>
      <c r="L2875" s="2" t="s">
        <v>12766</v>
      </c>
      <c r="M2875" s="4">
        <v>0.11</v>
      </c>
      <c r="N2875" t="e">
        <f>OR(LEFT(B2875,3)="frg",(_xlfn.XMATCH(B2875,ZZZ_Part_Id_[[#All],[FGCODE]])))</f>
        <v>#N/A</v>
      </c>
    </row>
    <row r="2876" spans="1:14" x14ac:dyDescent="0.3">
      <c r="A2876" s="2" t="s">
        <v>12767</v>
      </c>
      <c r="B2876" s="2" t="s">
        <v>5357</v>
      </c>
      <c r="C2876" s="2" t="s">
        <v>12768</v>
      </c>
      <c r="D2876" s="3">
        <v>56202</v>
      </c>
      <c r="E2876" s="3">
        <v>56202</v>
      </c>
      <c r="F2876" s="2" t="s">
        <v>16</v>
      </c>
      <c r="G2876" s="2" t="s">
        <v>12769</v>
      </c>
      <c r="H2876" s="3">
        <v>0</v>
      </c>
      <c r="I2876" s="2" t="s">
        <v>409</v>
      </c>
      <c r="J2876" s="2" t="s">
        <v>12770</v>
      </c>
      <c r="K2876" s="2" t="s">
        <v>16</v>
      </c>
      <c r="L2876" s="2" t="s">
        <v>12771</v>
      </c>
      <c r="M2876" s="4">
        <v>16778.560000000001</v>
      </c>
      <c r="N2876" t="b">
        <f>OR(LEFT(B2876,3)="frg",(_xlfn.XMATCH(B2876,ZZZ_Part_Id_[[#All],[FGCODE]])))</f>
        <v>1</v>
      </c>
    </row>
    <row r="2877" spans="1:14" x14ac:dyDescent="0.3">
      <c r="A2877" s="2" t="s">
        <v>12767</v>
      </c>
      <c r="B2877" s="2" t="s">
        <v>21</v>
      </c>
      <c r="C2877" s="2" t="s">
        <v>12772</v>
      </c>
      <c r="D2877" s="5">
        <v>-144</v>
      </c>
      <c r="E2877" s="5">
        <v>-144</v>
      </c>
      <c r="F2877" s="2" t="s">
        <v>23</v>
      </c>
      <c r="G2877" s="2" t="s">
        <v>12773</v>
      </c>
      <c r="H2877" s="3">
        <v>0</v>
      </c>
      <c r="I2877" s="2" t="s">
        <v>409</v>
      </c>
      <c r="J2877" s="2" t="s">
        <v>12774</v>
      </c>
      <c r="K2877" s="2" t="s">
        <v>23</v>
      </c>
      <c r="L2877" s="2" t="s">
        <v>12775</v>
      </c>
      <c r="M2877" s="6">
        <v>-339.9</v>
      </c>
      <c r="N2877" t="b">
        <f>OR(LEFT(B2877,3)="frg",(_xlfn.XMATCH(B2877,ZZZ_Part_Id_[[#All],[FGCODE]])))</f>
        <v>1</v>
      </c>
    </row>
    <row r="2878" spans="1:14" x14ac:dyDescent="0.3">
      <c r="A2878" s="2" t="s">
        <v>12767</v>
      </c>
      <c r="B2878" s="2" t="s">
        <v>14</v>
      </c>
      <c r="C2878" s="2" t="s">
        <v>12776</v>
      </c>
      <c r="D2878" s="3">
        <v>8</v>
      </c>
      <c r="E2878" s="3">
        <v>8</v>
      </c>
      <c r="F2878" s="2" t="s">
        <v>16</v>
      </c>
      <c r="G2878" s="2" t="s">
        <v>12777</v>
      </c>
      <c r="H2878" s="3">
        <v>0</v>
      </c>
      <c r="I2878" s="2" t="s">
        <v>409</v>
      </c>
      <c r="J2878" s="2" t="s">
        <v>12778</v>
      </c>
      <c r="K2878" s="2" t="s">
        <v>16</v>
      </c>
      <c r="L2878" s="2" t="s">
        <v>12779</v>
      </c>
      <c r="M2878" s="4">
        <v>0.62</v>
      </c>
      <c r="N2878" t="e">
        <f>OR(LEFT(B2878,3)="frg",(_xlfn.XMATCH(B2878,ZZZ_Part_Id_[[#All],[FGCODE]])))</f>
        <v>#N/A</v>
      </c>
    </row>
    <row r="2879" spans="1:14" x14ac:dyDescent="0.3">
      <c r="A2879" s="2" t="s">
        <v>12767</v>
      </c>
      <c r="B2879" s="2" t="s">
        <v>140</v>
      </c>
      <c r="C2879" s="2" t="s">
        <v>12780</v>
      </c>
      <c r="D2879" s="3">
        <v>0.32</v>
      </c>
      <c r="E2879" s="3">
        <v>0.32</v>
      </c>
      <c r="F2879" s="2" t="s">
        <v>16</v>
      </c>
      <c r="G2879" s="2" t="s">
        <v>12781</v>
      </c>
      <c r="H2879" s="3">
        <v>0</v>
      </c>
      <c r="I2879" s="2" t="s">
        <v>409</v>
      </c>
      <c r="J2879" s="2" t="s">
        <v>12782</v>
      </c>
      <c r="K2879" s="2" t="s">
        <v>16</v>
      </c>
      <c r="L2879" s="2" t="s">
        <v>12783</v>
      </c>
      <c r="M2879" s="4">
        <v>0.7</v>
      </c>
      <c r="N2879" t="e">
        <f>OR(LEFT(B2879,3)="frg",(_xlfn.XMATCH(B2879,ZZZ_Part_Id_[[#All],[FGCODE]])))</f>
        <v>#N/A</v>
      </c>
    </row>
    <row r="2880" spans="1:14" x14ac:dyDescent="0.3">
      <c r="A2880" s="2" t="s">
        <v>12767</v>
      </c>
      <c r="B2880" s="2" t="s">
        <v>192</v>
      </c>
      <c r="C2880" s="2" t="s">
        <v>12784</v>
      </c>
      <c r="D2880" s="3">
        <v>0.08</v>
      </c>
      <c r="E2880" s="3">
        <v>0.08</v>
      </c>
      <c r="F2880" s="2" t="s">
        <v>194</v>
      </c>
      <c r="G2880" s="2" t="s">
        <v>12785</v>
      </c>
      <c r="H2880" s="3">
        <v>0</v>
      </c>
      <c r="I2880" s="2" t="s">
        <v>409</v>
      </c>
      <c r="J2880" s="2" t="s">
        <v>12786</v>
      </c>
      <c r="K2880" s="2" t="s">
        <v>194</v>
      </c>
      <c r="L2880" s="2" t="s">
        <v>12787</v>
      </c>
      <c r="M2880" s="4">
        <v>0.41</v>
      </c>
      <c r="N2880" t="e">
        <f>OR(LEFT(B2880,3)="frg",(_xlfn.XMATCH(B2880,ZZZ_Part_Id_[[#All],[FGCODE]])))</f>
        <v>#N/A</v>
      </c>
    </row>
    <row r="2881" spans="1:14" x14ac:dyDescent="0.3">
      <c r="A2881" s="2" t="s">
        <v>12788</v>
      </c>
      <c r="B2881" s="2" t="s">
        <v>5477</v>
      </c>
      <c r="C2881" s="2" t="s">
        <v>12789</v>
      </c>
      <c r="D2881" s="3">
        <v>26496</v>
      </c>
      <c r="E2881" s="3">
        <v>26496</v>
      </c>
      <c r="F2881" s="2" t="s">
        <v>16</v>
      </c>
      <c r="G2881" s="2" t="s">
        <v>12790</v>
      </c>
      <c r="H2881" s="3">
        <v>0</v>
      </c>
      <c r="I2881" s="2" t="s">
        <v>409</v>
      </c>
      <c r="J2881" s="2" t="s">
        <v>12791</v>
      </c>
      <c r="K2881" s="2" t="s">
        <v>16</v>
      </c>
      <c r="L2881" s="2" t="s">
        <v>12792</v>
      </c>
      <c r="M2881" s="4">
        <v>7910.12</v>
      </c>
      <c r="N2881" t="b">
        <f>OR(LEFT(B2881,3)="frg",(_xlfn.XMATCH(B2881,ZZZ_Part_Id_[[#All],[FGCODE]])))</f>
        <v>1</v>
      </c>
    </row>
    <row r="2882" spans="1:14" x14ac:dyDescent="0.3">
      <c r="A2882" s="2" t="s">
        <v>12788</v>
      </c>
      <c r="B2882" s="2" t="s">
        <v>14</v>
      </c>
      <c r="C2882" s="2" t="s">
        <v>12793</v>
      </c>
      <c r="D2882" s="3">
        <v>4</v>
      </c>
      <c r="E2882" s="3">
        <v>4</v>
      </c>
      <c r="F2882" s="2" t="s">
        <v>16</v>
      </c>
      <c r="G2882" s="2" t="s">
        <v>12794</v>
      </c>
      <c r="H2882" s="3">
        <v>0</v>
      </c>
      <c r="I2882" s="2" t="s">
        <v>409</v>
      </c>
      <c r="J2882" s="2" t="s">
        <v>12795</v>
      </c>
      <c r="K2882" s="2" t="s">
        <v>16</v>
      </c>
      <c r="L2882" s="2" t="s">
        <v>12796</v>
      </c>
      <c r="M2882" s="4">
        <v>0.31</v>
      </c>
      <c r="N2882" t="e">
        <f>OR(LEFT(B2882,3)="frg",(_xlfn.XMATCH(B2882,ZZZ_Part_Id_[[#All],[FGCODE]])))</f>
        <v>#N/A</v>
      </c>
    </row>
    <row r="2883" spans="1:14" x14ac:dyDescent="0.3">
      <c r="A2883" s="2" t="s">
        <v>12788</v>
      </c>
      <c r="B2883" s="2" t="s">
        <v>140</v>
      </c>
      <c r="C2883" s="2" t="s">
        <v>12797</v>
      </c>
      <c r="D2883" s="3">
        <v>0.16</v>
      </c>
      <c r="E2883" s="3">
        <v>0.16</v>
      </c>
      <c r="F2883" s="2" t="s">
        <v>16</v>
      </c>
      <c r="G2883" s="2" t="s">
        <v>12798</v>
      </c>
      <c r="H2883" s="3">
        <v>0</v>
      </c>
      <c r="I2883" s="2" t="s">
        <v>409</v>
      </c>
      <c r="J2883" s="2" t="s">
        <v>12799</v>
      </c>
      <c r="K2883" s="2" t="s">
        <v>16</v>
      </c>
      <c r="L2883" s="2" t="s">
        <v>12800</v>
      </c>
      <c r="M2883" s="4">
        <v>0.35</v>
      </c>
      <c r="N2883" t="e">
        <f>OR(LEFT(B2883,3)="frg",(_xlfn.XMATCH(B2883,ZZZ_Part_Id_[[#All],[FGCODE]])))</f>
        <v>#N/A</v>
      </c>
    </row>
    <row r="2884" spans="1:14" x14ac:dyDescent="0.3">
      <c r="A2884" s="2" t="s">
        <v>12788</v>
      </c>
      <c r="B2884" s="2" t="s">
        <v>192</v>
      </c>
      <c r="C2884" s="2" t="s">
        <v>12801</v>
      </c>
      <c r="D2884" s="3">
        <v>0.04</v>
      </c>
      <c r="E2884" s="3">
        <v>0.04</v>
      </c>
      <c r="F2884" s="2" t="s">
        <v>194</v>
      </c>
      <c r="G2884" s="2" t="s">
        <v>12802</v>
      </c>
      <c r="H2884" s="3">
        <v>0</v>
      </c>
      <c r="I2884" s="2" t="s">
        <v>409</v>
      </c>
      <c r="J2884" s="2" t="s">
        <v>12803</v>
      </c>
      <c r="K2884" s="2" t="s">
        <v>194</v>
      </c>
      <c r="L2884" s="2" t="s">
        <v>12804</v>
      </c>
      <c r="M2884" s="4">
        <v>0.2</v>
      </c>
      <c r="N2884" t="e">
        <f>OR(LEFT(B2884,3)="frg",(_xlfn.XMATCH(B2884,ZZZ_Part_Id_[[#All],[FGCODE]])))</f>
        <v>#N/A</v>
      </c>
    </row>
    <row r="2885" spans="1:14" x14ac:dyDescent="0.3">
      <c r="A2885" s="2" t="s">
        <v>12805</v>
      </c>
      <c r="B2885" s="2" t="s">
        <v>103</v>
      </c>
      <c r="C2885" s="2" t="s">
        <v>12806</v>
      </c>
      <c r="D2885" s="3">
        <v>31860</v>
      </c>
      <c r="E2885" s="3">
        <v>31860</v>
      </c>
      <c r="F2885" s="2" t="s">
        <v>16</v>
      </c>
      <c r="G2885" s="2" t="s">
        <v>12807</v>
      </c>
      <c r="H2885" s="3">
        <v>0</v>
      </c>
      <c r="I2885" s="2" t="s">
        <v>409</v>
      </c>
      <c r="J2885" s="2" t="s">
        <v>12808</v>
      </c>
      <c r="K2885" s="2" t="s">
        <v>16</v>
      </c>
      <c r="L2885" s="2" t="s">
        <v>12809</v>
      </c>
      <c r="M2885" s="4">
        <v>6379.32</v>
      </c>
      <c r="N2885" t="b">
        <f>OR(LEFT(B2885,3)="frg",(_xlfn.XMATCH(B2885,ZZZ_Part_Id_[[#All],[FGCODE]])))</f>
        <v>1</v>
      </c>
    </row>
    <row r="2886" spans="1:14" x14ac:dyDescent="0.3">
      <c r="A2886" s="2" t="s">
        <v>12805</v>
      </c>
      <c r="B2886" s="2" t="s">
        <v>14</v>
      </c>
      <c r="C2886" s="2" t="s">
        <v>12810</v>
      </c>
      <c r="D2886" s="3">
        <v>3</v>
      </c>
      <c r="E2886" s="3">
        <v>3</v>
      </c>
      <c r="F2886" s="2" t="s">
        <v>16</v>
      </c>
      <c r="G2886" s="2" t="s">
        <v>12811</v>
      </c>
      <c r="H2886" s="3">
        <v>0</v>
      </c>
      <c r="I2886" s="2" t="s">
        <v>409</v>
      </c>
      <c r="J2886" s="2" t="s">
        <v>12812</v>
      </c>
      <c r="K2886" s="2" t="s">
        <v>16</v>
      </c>
      <c r="L2886" s="2" t="s">
        <v>12813</v>
      </c>
      <c r="M2886" s="4">
        <v>0.23</v>
      </c>
      <c r="N2886" t="e">
        <f>OR(LEFT(B2886,3)="frg",(_xlfn.XMATCH(B2886,ZZZ_Part_Id_[[#All],[FGCODE]])))</f>
        <v>#N/A</v>
      </c>
    </row>
    <row r="2887" spans="1:14" x14ac:dyDescent="0.3">
      <c r="A2887" s="2" t="s">
        <v>12805</v>
      </c>
      <c r="B2887" s="2" t="s">
        <v>140</v>
      </c>
      <c r="C2887" s="2" t="s">
        <v>12814</v>
      </c>
      <c r="D2887" s="3">
        <v>0.12</v>
      </c>
      <c r="E2887" s="3">
        <v>0.12</v>
      </c>
      <c r="F2887" s="2" t="s">
        <v>16</v>
      </c>
      <c r="G2887" s="2" t="s">
        <v>12815</v>
      </c>
      <c r="H2887" s="3">
        <v>0</v>
      </c>
      <c r="I2887" s="2" t="s">
        <v>409</v>
      </c>
      <c r="J2887" s="2" t="s">
        <v>12816</v>
      </c>
      <c r="K2887" s="2" t="s">
        <v>16</v>
      </c>
      <c r="L2887" s="2" t="s">
        <v>12817</v>
      </c>
      <c r="M2887" s="4">
        <v>0.26</v>
      </c>
      <c r="N2887" t="e">
        <f>OR(LEFT(B2887,3)="frg",(_xlfn.XMATCH(B2887,ZZZ_Part_Id_[[#All],[FGCODE]])))</f>
        <v>#N/A</v>
      </c>
    </row>
    <row r="2888" spans="1:14" x14ac:dyDescent="0.3">
      <c r="A2888" s="2" t="s">
        <v>12805</v>
      </c>
      <c r="B2888" s="2" t="s">
        <v>192</v>
      </c>
      <c r="C2888" s="2" t="s">
        <v>12818</v>
      </c>
      <c r="D2888" s="3">
        <v>0.03</v>
      </c>
      <c r="E2888" s="3">
        <v>0.03</v>
      </c>
      <c r="F2888" s="2" t="s">
        <v>194</v>
      </c>
      <c r="G2888" s="2" t="s">
        <v>12819</v>
      </c>
      <c r="H2888" s="3">
        <v>0</v>
      </c>
      <c r="I2888" s="2" t="s">
        <v>409</v>
      </c>
      <c r="J2888" s="2" t="s">
        <v>12820</v>
      </c>
      <c r="K2888" s="2" t="s">
        <v>194</v>
      </c>
      <c r="L2888" s="2" t="s">
        <v>12821</v>
      </c>
      <c r="M2888" s="4">
        <v>0.15</v>
      </c>
      <c r="N2888" t="e">
        <f>OR(LEFT(B2888,3)="frg",(_xlfn.XMATCH(B2888,ZZZ_Part_Id_[[#All],[FGCODE]])))</f>
        <v>#N/A</v>
      </c>
    </row>
    <row r="2889" spans="1:14" x14ac:dyDescent="0.3">
      <c r="A2889" s="2" t="s">
        <v>12822</v>
      </c>
      <c r="B2889" s="2" t="s">
        <v>740</v>
      </c>
      <c r="C2889" s="2" t="s">
        <v>12823</v>
      </c>
      <c r="D2889" s="3">
        <v>21240</v>
      </c>
      <c r="E2889" s="3">
        <v>21240</v>
      </c>
      <c r="F2889" s="2" t="s">
        <v>16</v>
      </c>
      <c r="G2889" s="2" t="s">
        <v>12824</v>
      </c>
      <c r="H2889" s="3">
        <v>0</v>
      </c>
      <c r="I2889" s="2" t="s">
        <v>409</v>
      </c>
      <c r="J2889" s="2" t="s">
        <v>12825</v>
      </c>
      <c r="K2889" s="2" t="s">
        <v>16</v>
      </c>
      <c r="L2889" s="2" t="s">
        <v>12826</v>
      </c>
      <c r="M2889" s="4">
        <v>4222.72</v>
      </c>
      <c r="N2889" t="b">
        <f>OR(LEFT(B2889,3)="frg",(_xlfn.XMATCH(B2889,ZZZ_Part_Id_[[#All],[FGCODE]])))</f>
        <v>1</v>
      </c>
    </row>
    <row r="2890" spans="1:14" x14ac:dyDescent="0.3">
      <c r="A2890" s="2" t="s">
        <v>12827</v>
      </c>
      <c r="B2890" s="2" t="s">
        <v>2100</v>
      </c>
      <c r="C2890" s="2" t="s">
        <v>12828</v>
      </c>
      <c r="D2890" s="3">
        <v>53100</v>
      </c>
      <c r="E2890" s="3">
        <v>53100</v>
      </c>
      <c r="F2890" s="2" t="s">
        <v>16</v>
      </c>
      <c r="G2890" s="2" t="s">
        <v>12829</v>
      </c>
      <c r="H2890" s="3">
        <v>0</v>
      </c>
      <c r="I2890" s="2" t="s">
        <v>409</v>
      </c>
      <c r="J2890" s="2" t="s">
        <v>12830</v>
      </c>
      <c r="K2890" s="2" t="s">
        <v>16</v>
      </c>
      <c r="L2890" s="2" t="s">
        <v>12831</v>
      </c>
      <c r="M2890" s="4">
        <v>10556.8</v>
      </c>
      <c r="N2890" t="b">
        <f>OR(LEFT(B2890,3)="frg",(_xlfn.XMATCH(B2890,ZZZ_Part_Id_[[#All],[FGCODE]])))</f>
        <v>1</v>
      </c>
    </row>
    <row r="2891" spans="1:14" x14ac:dyDescent="0.3">
      <c r="A2891" s="2" t="s">
        <v>12827</v>
      </c>
      <c r="B2891" s="2" t="s">
        <v>65</v>
      </c>
      <c r="C2891" s="2" t="s">
        <v>12832</v>
      </c>
      <c r="D2891" s="5">
        <v>-323</v>
      </c>
      <c r="E2891" s="5">
        <v>-323</v>
      </c>
      <c r="F2891" s="2" t="s">
        <v>23</v>
      </c>
      <c r="G2891" s="2" t="s">
        <v>12833</v>
      </c>
      <c r="H2891" s="3">
        <v>0</v>
      </c>
      <c r="I2891" s="2" t="s">
        <v>409</v>
      </c>
      <c r="J2891" s="2" t="s">
        <v>12834</v>
      </c>
      <c r="K2891" s="2" t="s">
        <v>23</v>
      </c>
      <c r="L2891" s="2" t="s">
        <v>12835</v>
      </c>
      <c r="M2891" s="6">
        <v>-830.63</v>
      </c>
      <c r="N2891" t="b">
        <f>OR(LEFT(B2891,3)="frg",(_xlfn.XMATCH(B2891,ZZZ_Part_Id_[[#All],[FGCODE]])))</f>
        <v>1</v>
      </c>
    </row>
    <row r="2892" spans="1:14" x14ac:dyDescent="0.3">
      <c r="A2892" s="2" t="s">
        <v>12827</v>
      </c>
      <c r="B2892" s="2" t="s">
        <v>14</v>
      </c>
      <c r="C2892" s="2" t="s">
        <v>12836</v>
      </c>
      <c r="D2892" s="3">
        <v>4</v>
      </c>
      <c r="E2892" s="3">
        <v>4</v>
      </c>
      <c r="F2892" s="2" t="s">
        <v>16</v>
      </c>
      <c r="G2892" s="2" t="s">
        <v>12837</v>
      </c>
      <c r="H2892" s="3">
        <v>0</v>
      </c>
      <c r="I2892" s="2" t="s">
        <v>409</v>
      </c>
      <c r="J2892" s="2" t="s">
        <v>12838</v>
      </c>
      <c r="K2892" s="2" t="s">
        <v>16</v>
      </c>
      <c r="L2892" s="2" t="s">
        <v>12839</v>
      </c>
      <c r="M2892" s="4">
        <v>0.31</v>
      </c>
      <c r="N2892" t="e">
        <f>OR(LEFT(B2892,3)="frg",(_xlfn.XMATCH(B2892,ZZZ_Part_Id_[[#All],[FGCODE]])))</f>
        <v>#N/A</v>
      </c>
    </row>
    <row r="2893" spans="1:14" x14ac:dyDescent="0.3">
      <c r="A2893" s="2" t="s">
        <v>12827</v>
      </c>
      <c r="B2893" s="2" t="s">
        <v>140</v>
      </c>
      <c r="C2893" s="2" t="s">
        <v>12840</v>
      </c>
      <c r="D2893" s="3">
        <v>0.16</v>
      </c>
      <c r="E2893" s="3">
        <v>0.16</v>
      </c>
      <c r="F2893" s="2" t="s">
        <v>16</v>
      </c>
      <c r="G2893" s="2" t="s">
        <v>12841</v>
      </c>
      <c r="H2893" s="3">
        <v>0</v>
      </c>
      <c r="I2893" s="2" t="s">
        <v>409</v>
      </c>
      <c r="J2893" s="2" t="s">
        <v>12842</v>
      </c>
      <c r="K2893" s="2" t="s">
        <v>16</v>
      </c>
      <c r="L2893" s="2" t="s">
        <v>12843</v>
      </c>
      <c r="M2893" s="4">
        <v>0.35</v>
      </c>
      <c r="N2893" t="e">
        <f>OR(LEFT(B2893,3)="frg",(_xlfn.XMATCH(B2893,ZZZ_Part_Id_[[#All],[FGCODE]])))</f>
        <v>#N/A</v>
      </c>
    </row>
    <row r="2894" spans="1:14" x14ac:dyDescent="0.3">
      <c r="A2894" s="2" t="s">
        <v>12827</v>
      </c>
      <c r="B2894" s="2" t="s">
        <v>192</v>
      </c>
      <c r="C2894" s="2" t="s">
        <v>12844</v>
      </c>
      <c r="D2894" s="3">
        <v>0.04</v>
      </c>
      <c r="E2894" s="3">
        <v>0.04</v>
      </c>
      <c r="F2894" s="2" t="s">
        <v>194</v>
      </c>
      <c r="G2894" s="2" t="s">
        <v>12845</v>
      </c>
      <c r="H2894" s="3">
        <v>0</v>
      </c>
      <c r="I2894" s="2" t="s">
        <v>409</v>
      </c>
      <c r="J2894" s="2" t="s">
        <v>12846</v>
      </c>
      <c r="K2894" s="2" t="s">
        <v>194</v>
      </c>
      <c r="L2894" s="2" t="s">
        <v>12847</v>
      </c>
      <c r="M2894" s="4">
        <v>0.2</v>
      </c>
      <c r="N2894" t="e">
        <f>OR(LEFT(B2894,3)="frg",(_xlfn.XMATCH(B2894,ZZZ_Part_Id_[[#All],[FGCODE]])))</f>
        <v>#N/A</v>
      </c>
    </row>
    <row r="2895" spans="1:14" x14ac:dyDescent="0.3">
      <c r="A2895" s="2" t="s">
        <v>12848</v>
      </c>
      <c r="B2895" s="2" t="s">
        <v>517</v>
      </c>
      <c r="C2895" s="2" t="s">
        <v>12849</v>
      </c>
      <c r="D2895" s="3">
        <v>493920</v>
      </c>
      <c r="E2895" s="3">
        <v>493920</v>
      </c>
      <c r="F2895" s="2" t="s">
        <v>16</v>
      </c>
      <c r="G2895" s="2" t="s">
        <v>12850</v>
      </c>
      <c r="H2895" s="3">
        <v>0</v>
      </c>
      <c r="I2895" s="2" t="s">
        <v>409</v>
      </c>
      <c r="J2895" s="2" t="s">
        <v>12851</v>
      </c>
      <c r="K2895" s="2" t="s">
        <v>16</v>
      </c>
      <c r="L2895" s="2" t="s">
        <v>12852</v>
      </c>
      <c r="M2895" s="4">
        <v>89864.04</v>
      </c>
      <c r="N2895" t="b">
        <f>OR(LEFT(B2895,3)="frg",(_xlfn.XMATCH(B2895,ZZZ_Part_Id_[[#All],[FGCODE]])))</f>
        <v>1</v>
      </c>
    </row>
    <row r="2896" spans="1:14" x14ac:dyDescent="0.3">
      <c r="A2896" s="2" t="s">
        <v>12853</v>
      </c>
      <c r="B2896" s="2" t="s">
        <v>91</v>
      </c>
      <c r="C2896" s="2" t="s">
        <v>12854</v>
      </c>
      <c r="D2896" s="3">
        <v>102900</v>
      </c>
      <c r="E2896" s="3">
        <v>102900</v>
      </c>
      <c r="F2896" s="2" t="s">
        <v>16</v>
      </c>
      <c r="G2896" s="2" t="s">
        <v>12855</v>
      </c>
      <c r="H2896" s="3">
        <v>0</v>
      </c>
      <c r="I2896" s="2" t="s">
        <v>18</v>
      </c>
      <c r="J2896" s="2" t="s">
        <v>12856</v>
      </c>
      <c r="K2896" s="2" t="s">
        <v>16</v>
      </c>
      <c r="L2896" s="2" t="s">
        <v>12857</v>
      </c>
      <c r="M2896" s="4">
        <v>5922.92</v>
      </c>
      <c r="N2896" t="b">
        <f>OR(LEFT(B2896,3)="frg",(_xlfn.XMATCH(B2896,ZZZ_Part_Id_[[#All],[FGCODE]])))</f>
        <v>1</v>
      </c>
    </row>
    <row r="2897" spans="1:14" x14ac:dyDescent="0.3">
      <c r="A2897" s="2" t="s">
        <v>12853</v>
      </c>
      <c r="B2897" s="2" t="s">
        <v>86</v>
      </c>
      <c r="C2897" s="2" t="s">
        <v>12858</v>
      </c>
      <c r="D2897" s="5">
        <v>-181</v>
      </c>
      <c r="E2897" s="5">
        <v>-181</v>
      </c>
      <c r="F2897" s="2" t="s">
        <v>23</v>
      </c>
      <c r="G2897" s="2" t="s">
        <v>12859</v>
      </c>
      <c r="H2897" s="3">
        <v>0</v>
      </c>
      <c r="I2897" s="2" t="s">
        <v>18</v>
      </c>
      <c r="J2897" s="2" t="s">
        <v>12860</v>
      </c>
      <c r="K2897" s="2" t="s">
        <v>23</v>
      </c>
      <c r="L2897" s="2" t="s">
        <v>12861</v>
      </c>
      <c r="M2897" s="6">
        <v>-473.82</v>
      </c>
      <c r="N2897" t="b">
        <f>OR(LEFT(B2897,3)="frg",(_xlfn.XMATCH(B2897,ZZZ_Part_Id_[[#All],[FGCODE]])))</f>
        <v>1</v>
      </c>
    </row>
    <row r="2898" spans="1:14" x14ac:dyDescent="0.3">
      <c r="A2898" s="2" t="s">
        <v>12862</v>
      </c>
      <c r="B2898" s="2" t="s">
        <v>2840</v>
      </c>
      <c r="C2898" s="2" t="s">
        <v>12863</v>
      </c>
      <c r="D2898" s="3">
        <v>10080</v>
      </c>
      <c r="E2898" s="3">
        <v>10080</v>
      </c>
      <c r="F2898" s="2" t="s">
        <v>16</v>
      </c>
      <c r="G2898" s="2" t="s">
        <v>12864</v>
      </c>
      <c r="H2898" s="3">
        <v>0</v>
      </c>
      <c r="I2898" s="2" t="s">
        <v>409</v>
      </c>
      <c r="J2898" s="2" t="s">
        <v>12865</v>
      </c>
      <c r="K2898" s="2" t="s">
        <v>16</v>
      </c>
      <c r="L2898" s="2" t="s">
        <v>12866</v>
      </c>
      <c r="M2898" s="4">
        <v>1859.36</v>
      </c>
      <c r="N2898" t="b">
        <f>OR(LEFT(B2898,3)="frg",(_xlfn.XMATCH(B2898,ZZZ_Part_Id_[[#All],[FGCODE]])))</f>
        <v>1</v>
      </c>
    </row>
    <row r="2899" spans="1:14" x14ac:dyDescent="0.3">
      <c r="A2899" s="2" t="s">
        <v>12867</v>
      </c>
      <c r="B2899" s="2" t="s">
        <v>14</v>
      </c>
      <c r="C2899" s="2" t="s">
        <v>12868</v>
      </c>
      <c r="D2899" s="3">
        <v>4</v>
      </c>
      <c r="E2899" s="3">
        <v>4</v>
      </c>
      <c r="F2899" s="2" t="s">
        <v>16</v>
      </c>
      <c r="G2899" s="2" t="s">
        <v>12869</v>
      </c>
      <c r="H2899" s="3">
        <v>0</v>
      </c>
      <c r="I2899" s="2" t="s">
        <v>18</v>
      </c>
      <c r="J2899" s="2" t="s">
        <v>12870</v>
      </c>
      <c r="K2899" s="2" t="s">
        <v>16</v>
      </c>
      <c r="L2899" s="2" t="s">
        <v>12871</v>
      </c>
      <c r="M2899" s="4">
        <v>0.31</v>
      </c>
      <c r="N2899" t="e">
        <f>OR(LEFT(B2899,3)="frg",(_xlfn.XMATCH(B2899,ZZZ_Part_Id_[[#All],[FGCODE]])))</f>
        <v>#N/A</v>
      </c>
    </row>
    <row r="2900" spans="1:14" x14ac:dyDescent="0.3">
      <c r="A2900" s="2" t="s">
        <v>12867</v>
      </c>
      <c r="B2900" s="2" t="s">
        <v>11210</v>
      </c>
      <c r="C2900" s="2" t="s">
        <v>12872</v>
      </c>
      <c r="D2900" s="3">
        <v>30240</v>
      </c>
      <c r="E2900" s="3">
        <v>30240</v>
      </c>
      <c r="F2900" s="2" t="s">
        <v>16</v>
      </c>
      <c r="G2900" s="2" t="s">
        <v>12873</v>
      </c>
      <c r="H2900" s="3">
        <v>0</v>
      </c>
      <c r="I2900" s="2" t="s">
        <v>18</v>
      </c>
      <c r="J2900" s="2" t="s">
        <v>12874</v>
      </c>
      <c r="K2900" s="2" t="s">
        <v>16</v>
      </c>
      <c r="L2900" s="2" t="s">
        <v>12875</v>
      </c>
      <c r="M2900" s="4">
        <v>5262.96</v>
      </c>
      <c r="N2900" t="b">
        <f>OR(LEFT(B2900,3)="frg",(_xlfn.XMATCH(B2900,ZZZ_Part_Id_[[#All],[FGCODE]])))</f>
        <v>1</v>
      </c>
    </row>
    <row r="2901" spans="1:14" x14ac:dyDescent="0.3">
      <c r="A2901" s="2" t="s">
        <v>12876</v>
      </c>
      <c r="B2901" s="2" t="s">
        <v>517</v>
      </c>
      <c r="C2901" s="2" t="s">
        <v>12877</v>
      </c>
      <c r="D2901" s="3">
        <v>493920</v>
      </c>
      <c r="E2901" s="3">
        <v>493920</v>
      </c>
      <c r="F2901" s="2" t="s">
        <v>16</v>
      </c>
      <c r="G2901" s="2" t="s">
        <v>12878</v>
      </c>
      <c r="H2901" s="3">
        <v>0</v>
      </c>
      <c r="I2901" s="2" t="s">
        <v>18</v>
      </c>
      <c r="J2901" s="2" t="s">
        <v>12879</v>
      </c>
      <c r="K2901" s="2" t="s">
        <v>16</v>
      </c>
      <c r="L2901" s="2" t="s">
        <v>12880</v>
      </c>
      <c r="M2901" s="4">
        <v>89864.04</v>
      </c>
      <c r="N2901" t="b">
        <f>OR(LEFT(B2901,3)="frg",(_xlfn.XMATCH(B2901,ZZZ_Part_Id_[[#All],[FGCODE]])))</f>
        <v>1</v>
      </c>
    </row>
    <row r="2902" spans="1:14" x14ac:dyDescent="0.3">
      <c r="A2902" s="2" t="s">
        <v>12881</v>
      </c>
      <c r="B2902" s="2" t="s">
        <v>1667</v>
      </c>
      <c r="C2902" s="2" t="s">
        <v>12882</v>
      </c>
      <c r="D2902" s="3">
        <v>41760</v>
      </c>
      <c r="E2902" s="3">
        <v>41760</v>
      </c>
      <c r="F2902" s="2" t="s">
        <v>16</v>
      </c>
      <c r="G2902" s="2" t="s">
        <v>12883</v>
      </c>
      <c r="H2902" s="3">
        <v>0</v>
      </c>
      <c r="I2902" s="2" t="s">
        <v>409</v>
      </c>
      <c r="J2902" s="2" t="s">
        <v>12884</v>
      </c>
      <c r="K2902" s="2" t="s">
        <v>16</v>
      </c>
      <c r="L2902" s="2" t="s">
        <v>12885</v>
      </c>
      <c r="M2902" s="4">
        <v>3408.46</v>
      </c>
      <c r="N2902" t="b">
        <f>OR(LEFT(B2902,3)="frg",(_xlfn.XMATCH(B2902,ZZZ_Part_Id_[[#All],[FGCODE]])))</f>
        <v>1</v>
      </c>
    </row>
    <row r="2903" spans="1:14" x14ac:dyDescent="0.3">
      <c r="A2903" s="2" t="s">
        <v>12881</v>
      </c>
      <c r="B2903" s="2" t="s">
        <v>14</v>
      </c>
      <c r="C2903" s="2" t="s">
        <v>12886</v>
      </c>
      <c r="D2903" s="3">
        <v>2</v>
      </c>
      <c r="E2903" s="3">
        <v>2</v>
      </c>
      <c r="F2903" s="2" t="s">
        <v>16</v>
      </c>
      <c r="G2903" s="2" t="s">
        <v>12887</v>
      </c>
      <c r="H2903" s="3">
        <v>0</v>
      </c>
      <c r="I2903" s="2" t="s">
        <v>409</v>
      </c>
      <c r="J2903" s="2" t="s">
        <v>12888</v>
      </c>
      <c r="K2903" s="2" t="s">
        <v>16</v>
      </c>
      <c r="L2903" s="2" t="s">
        <v>12889</v>
      </c>
      <c r="M2903" s="4">
        <v>0.15</v>
      </c>
      <c r="N2903" t="e">
        <f>OR(LEFT(B2903,3)="frg",(_xlfn.XMATCH(B2903,ZZZ_Part_Id_[[#All],[FGCODE]])))</f>
        <v>#N/A</v>
      </c>
    </row>
    <row r="2904" spans="1:14" x14ac:dyDescent="0.3">
      <c r="A2904" s="2" t="s">
        <v>12881</v>
      </c>
      <c r="B2904" s="2" t="s">
        <v>140</v>
      </c>
      <c r="C2904" s="2" t="s">
        <v>12890</v>
      </c>
      <c r="D2904" s="3">
        <v>0.08</v>
      </c>
      <c r="E2904" s="3">
        <v>0.08</v>
      </c>
      <c r="F2904" s="2" t="s">
        <v>16</v>
      </c>
      <c r="G2904" s="2" t="s">
        <v>12891</v>
      </c>
      <c r="H2904" s="3">
        <v>0</v>
      </c>
      <c r="I2904" s="2" t="s">
        <v>409</v>
      </c>
      <c r="J2904" s="2" t="s">
        <v>12892</v>
      </c>
      <c r="K2904" s="2" t="s">
        <v>16</v>
      </c>
      <c r="L2904" s="2" t="s">
        <v>12893</v>
      </c>
      <c r="M2904" s="4">
        <v>0.18</v>
      </c>
      <c r="N2904" t="e">
        <f>OR(LEFT(B2904,3)="frg",(_xlfn.XMATCH(B2904,ZZZ_Part_Id_[[#All],[FGCODE]])))</f>
        <v>#N/A</v>
      </c>
    </row>
    <row r="2905" spans="1:14" x14ac:dyDescent="0.3">
      <c r="A2905" s="2" t="s">
        <v>12881</v>
      </c>
      <c r="B2905" s="2" t="s">
        <v>192</v>
      </c>
      <c r="C2905" s="2" t="s">
        <v>12894</v>
      </c>
      <c r="D2905" s="3">
        <v>0.02</v>
      </c>
      <c r="E2905" s="3">
        <v>0.02</v>
      </c>
      <c r="F2905" s="2" t="s">
        <v>194</v>
      </c>
      <c r="G2905" s="2" t="s">
        <v>12895</v>
      </c>
      <c r="H2905" s="3">
        <v>0</v>
      </c>
      <c r="I2905" s="2" t="s">
        <v>409</v>
      </c>
      <c r="J2905" s="2" t="s">
        <v>12896</v>
      </c>
      <c r="K2905" s="2" t="s">
        <v>194</v>
      </c>
      <c r="L2905" s="2" t="s">
        <v>12897</v>
      </c>
      <c r="M2905" s="4">
        <v>0.1</v>
      </c>
      <c r="N2905" t="e">
        <f>OR(LEFT(B2905,3)="frg",(_xlfn.XMATCH(B2905,ZZZ_Part_Id_[[#All],[FGCODE]])))</f>
        <v>#N/A</v>
      </c>
    </row>
    <row r="2906" spans="1:14" x14ac:dyDescent="0.3">
      <c r="A2906" s="2" t="s">
        <v>12898</v>
      </c>
      <c r="B2906" s="2" t="s">
        <v>11241</v>
      </c>
      <c r="C2906" s="2" t="s">
        <v>12899</v>
      </c>
      <c r="D2906" s="3">
        <v>355320</v>
      </c>
      <c r="E2906" s="3">
        <v>355320</v>
      </c>
      <c r="F2906" s="2" t="s">
        <v>16</v>
      </c>
      <c r="G2906" s="2" t="s">
        <v>12900</v>
      </c>
      <c r="H2906" s="3">
        <v>0</v>
      </c>
      <c r="I2906" s="2" t="s">
        <v>409</v>
      </c>
      <c r="J2906" s="2" t="s">
        <v>12901</v>
      </c>
      <c r="K2906" s="2" t="s">
        <v>16</v>
      </c>
      <c r="L2906" s="2" t="s">
        <v>12902</v>
      </c>
      <c r="M2906" s="4">
        <v>21958.720000000001</v>
      </c>
      <c r="N2906" t="b">
        <f>OR(LEFT(B2906,3)="frg",(_xlfn.XMATCH(B2906,ZZZ_Part_Id_[[#All],[FGCODE]])))</f>
        <v>1</v>
      </c>
    </row>
    <row r="2907" spans="1:14" x14ac:dyDescent="0.3">
      <c r="A2907" s="2" t="s">
        <v>12898</v>
      </c>
      <c r="B2907" s="2" t="s">
        <v>86</v>
      </c>
      <c r="C2907" s="2" t="s">
        <v>12903</v>
      </c>
      <c r="D2907" s="5">
        <v>-238</v>
      </c>
      <c r="E2907" s="5">
        <v>-238</v>
      </c>
      <c r="F2907" s="2" t="s">
        <v>23</v>
      </c>
      <c r="G2907" s="2" t="s">
        <v>12904</v>
      </c>
      <c r="H2907" s="3">
        <v>0</v>
      </c>
      <c r="I2907" s="2" t="s">
        <v>409</v>
      </c>
      <c r="J2907" s="2" t="s">
        <v>12905</v>
      </c>
      <c r="K2907" s="2" t="s">
        <v>23</v>
      </c>
      <c r="L2907" s="2" t="s">
        <v>12906</v>
      </c>
      <c r="M2907" s="6">
        <v>-623.04</v>
      </c>
      <c r="N2907" t="b">
        <f>OR(LEFT(B2907,3)="frg",(_xlfn.XMATCH(B2907,ZZZ_Part_Id_[[#All],[FGCODE]])))</f>
        <v>1</v>
      </c>
    </row>
    <row r="2908" spans="1:14" x14ac:dyDescent="0.3">
      <c r="A2908" s="2" t="s">
        <v>12898</v>
      </c>
      <c r="B2908" s="2" t="s">
        <v>14</v>
      </c>
      <c r="C2908" s="2" t="s">
        <v>12907</v>
      </c>
      <c r="D2908" s="3">
        <v>13</v>
      </c>
      <c r="E2908" s="3">
        <v>13</v>
      </c>
      <c r="F2908" s="2" t="s">
        <v>16</v>
      </c>
      <c r="G2908" s="2" t="s">
        <v>12908</v>
      </c>
      <c r="H2908" s="3">
        <v>0</v>
      </c>
      <c r="I2908" s="2" t="s">
        <v>409</v>
      </c>
      <c r="J2908" s="2" t="s">
        <v>12909</v>
      </c>
      <c r="K2908" s="2" t="s">
        <v>16</v>
      </c>
      <c r="L2908" s="2" t="s">
        <v>12910</v>
      </c>
      <c r="M2908" s="4">
        <v>1</v>
      </c>
      <c r="N2908" t="e">
        <f>OR(LEFT(B2908,3)="frg",(_xlfn.XMATCH(B2908,ZZZ_Part_Id_[[#All],[FGCODE]])))</f>
        <v>#N/A</v>
      </c>
    </row>
    <row r="2909" spans="1:14" x14ac:dyDescent="0.3">
      <c r="A2909" s="2" t="s">
        <v>12898</v>
      </c>
      <c r="B2909" s="2" t="s">
        <v>140</v>
      </c>
      <c r="C2909" s="2" t="s">
        <v>12911</v>
      </c>
      <c r="D2909" s="3">
        <v>0.52</v>
      </c>
      <c r="E2909" s="3">
        <v>0.52</v>
      </c>
      <c r="F2909" s="2" t="s">
        <v>16</v>
      </c>
      <c r="G2909" s="2" t="s">
        <v>12912</v>
      </c>
      <c r="H2909" s="3">
        <v>0</v>
      </c>
      <c r="I2909" s="2" t="s">
        <v>409</v>
      </c>
      <c r="J2909" s="2" t="s">
        <v>12913</v>
      </c>
      <c r="K2909" s="2" t="s">
        <v>16</v>
      </c>
      <c r="L2909" s="2" t="s">
        <v>12914</v>
      </c>
      <c r="M2909" s="4">
        <v>1.1399999999999999</v>
      </c>
      <c r="N2909" t="e">
        <f>OR(LEFT(B2909,3)="frg",(_xlfn.XMATCH(B2909,ZZZ_Part_Id_[[#All],[FGCODE]])))</f>
        <v>#N/A</v>
      </c>
    </row>
    <row r="2910" spans="1:14" x14ac:dyDescent="0.3">
      <c r="A2910" s="2" t="s">
        <v>12898</v>
      </c>
      <c r="B2910" s="2" t="s">
        <v>192</v>
      </c>
      <c r="C2910" s="2" t="s">
        <v>12915</v>
      </c>
      <c r="D2910" s="3">
        <v>0.13</v>
      </c>
      <c r="E2910" s="3">
        <v>0.13</v>
      </c>
      <c r="F2910" s="2" t="s">
        <v>194</v>
      </c>
      <c r="G2910" s="2" t="s">
        <v>12916</v>
      </c>
      <c r="H2910" s="3">
        <v>0</v>
      </c>
      <c r="I2910" s="2" t="s">
        <v>409</v>
      </c>
      <c r="J2910" s="2" t="s">
        <v>12917</v>
      </c>
      <c r="K2910" s="2" t="s">
        <v>194</v>
      </c>
      <c r="L2910" s="2" t="s">
        <v>12918</v>
      </c>
      <c r="M2910" s="4">
        <v>0.66</v>
      </c>
      <c r="N2910" t="e">
        <f>OR(LEFT(B2910,3)="frg",(_xlfn.XMATCH(B2910,ZZZ_Part_Id_[[#All],[FGCODE]])))</f>
        <v>#N/A</v>
      </c>
    </row>
    <row r="2911" spans="1:14" x14ac:dyDescent="0.3">
      <c r="A2911" s="2" t="s">
        <v>12919</v>
      </c>
      <c r="B2911" s="2" t="s">
        <v>11210</v>
      </c>
      <c r="C2911" s="2" t="s">
        <v>12920</v>
      </c>
      <c r="D2911" s="3">
        <v>30240</v>
      </c>
      <c r="E2911" s="3">
        <v>30240</v>
      </c>
      <c r="F2911" s="2" t="s">
        <v>16</v>
      </c>
      <c r="G2911" s="2" t="s">
        <v>12921</v>
      </c>
      <c r="H2911" s="3">
        <v>0</v>
      </c>
      <c r="I2911" s="2" t="s">
        <v>18</v>
      </c>
      <c r="J2911" s="2" t="s">
        <v>12922</v>
      </c>
      <c r="K2911" s="2" t="s">
        <v>16</v>
      </c>
      <c r="L2911" s="2" t="s">
        <v>12923</v>
      </c>
      <c r="M2911" s="4">
        <v>5262.96</v>
      </c>
      <c r="N2911" t="b">
        <f>OR(LEFT(B2911,3)="frg",(_xlfn.XMATCH(B2911,ZZZ_Part_Id_[[#All],[FGCODE]])))</f>
        <v>1</v>
      </c>
    </row>
    <row r="2912" spans="1:14" x14ac:dyDescent="0.3">
      <c r="A2912" s="2" t="s">
        <v>12919</v>
      </c>
      <c r="B2912" s="2" t="s">
        <v>14</v>
      </c>
      <c r="C2912" s="2" t="s">
        <v>12924</v>
      </c>
      <c r="D2912" s="3">
        <v>3</v>
      </c>
      <c r="E2912" s="3">
        <v>3</v>
      </c>
      <c r="F2912" s="2" t="s">
        <v>16</v>
      </c>
      <c r="G2912" s="2" t="s">
        <v>12925</v>
      </c>
      <c r="H2912" s="3">
        <v>0</v>
      </c>
      <c r="I2912" s="2" t="s">
        <v>18</v>
      </c>
      <c r="J2912" s="2" t="s">
        <v>12926</v>
      </c>
      <c r="K2912" s="2" t="s">
        <v>16</v>
      </c>
      <c r="L2912" s="2" t="s">
        <v>12927</v>
      </c>
      <c r="M2912" s="4">
        <v>0.23</v>
      </c>
      <c r="N2912" t="e">
        <f>OR(LEFT(B2912,3)="frg",(_xlfn.XMATCH(B2912,ZZZ_Part_Id_[[#All],[FGCODE]])))</f>
        <v>#N/A</v>
      </c>
    </row>
    <row r="2913" spans="1:14" x14ac:dyDescent="0.3">
      <c r="A2913" s="2" t="s">
        <v>12919</v>
      </c>
      <c r="B2913" s="2" t="s">
        <v>140</v>
      </c>
      <c r="C2913" s="2" t="s">
        <v>12928</v>
      </c>
      <c r="D2913" s="3">
        <v>0.12</v>
      </c>
      <c r="E2913" s="3">
        <v>0.12</v>
      </c>
      <c r="F2913" s="2" t="s">
        <v>16</v>
      </c>
      <c r="G2913" s="2" t="s">
        <v>12929</v>
      </c>
      <c r="H2913" s="3">
        <v>0</v>
      </c>
      <c r="I2913" s="2" t="s">
        <v>18</v>
      </c>
      <c r="J2913" s="2" t="s">
        <v>12930</v>
      </c>
      <c r="K2913" s="2" t="s">
        <v>16</v>
      </c>
      <c r="L2913" s="2" t="s">
        <v>12931</v>
      </c>
      <c r="M2913" s="4">
        <v>0.26</v>
      </c>
      <c r="N2913" t="e">
        <f>OR(LEFT(B2913,3)="frg",(_xlfn.XMATCH(B2913,ZZZ_Part_Id_[[#All],[FGCODE]])))</f>
        <v>#N/A</v>
      </c>
    </row>
    <row r="2914" spans="1:14" x14ac:dyDescent="0.3">
      <c r="A2914" s="2" t="s">
        <v>12919</v>
      </c>
      <c r="B2914" s="2" t="s">
        <v>192</v>
      </c>
      <c r="C2914" s="2" t="s">
        <v>12932</v>
      </c>
      <c r="D2914" s="3">
        <v>0.03</v>
      </c>
      <c r="E2914" s="3">
        <v>0.03</v>
      </c>
      <c r="F2914" s="2" t="s">
        <v>194</v>
      </c>
      <c r="G2914" s="2" t="s">
        <v>12933</v>
      </c>
      <c r="H2914" s="3">
        <v>0</v>
      </c>
      <c r="I2914" s="2" t="s">
        <v>18</v>
      </c>
      <c r="J2914" s="2" t="s">
        <v>12934</v>
      </c>
      <c r="K2914" s="2" t="s">
        <v>194</v>
      </c>
      <c r="L2914" s="2" t="s">
        <v>12935</v>
      </c>
      <c r="M2914" s="4">
        <v>0.15</v>
      </c>
      <c r="N2914" t="e">
        <f>OR(LEFT(B2914,3)="frg",(_xlfn.XMATCH(B2914,ZZZ_Part_Id_[[#All],[FGCODE]])))</f>
        <v>#N/A</v>
      </c>
    </row>
    <row r="2915" spans="1:14" x14ac:dyDescent="0.3">
      <c r="A2915" s="2" t="s">
        <v>12936</v>
      </c>
      <c r="B2915" s="2" t="s">
        <v>1512</v>
      </c>
      <c r="C2915" s="2" t="s">
        <v>12937</v>
      </c>
      <c r="D2915" s="3">
        <v>31860</v>
      </c>
      <c r="E2915" s="3">
        <v>31860</v>
      </c>
      <c r="F2915" s="2" t="s">
        <v>16</v>
      </c>
      <c r="G2915" s="2" t="s">
        <v>12938</v>
      </c>
      <c r="H2915" s="3">
        <v>0</v>
      </c>
      <c r="I2915" s="2" t="s">
        <v>409</v>
      </c>
      <c r="J2915" s="2" t="s">
        <v>12939</v>
      </c>
      <c r="K2915" s="2" t="s">
        <v>16</v>
      </c>
      <c r="L2915" s="2" t="s">
        <v>12940</v>
      </c>
      <c r="M2915" s="4">
        <v>6414.36</v>
      </c>
      <c r="N2915" t="b">
        <f>OR(LEFT(B2915,3)="frg",(_xlfn.XMATCH(B2915,ZZZ_Part_Id_[[#All],[FGCODE]])))</f>
        <v>1</v>
      </c>
    </row>
    <row r="2916" spans="1:14" x14ac:dyDescent="0.3">
      <c r="A2916" s="2" t="s">
        <v>12936</v>
      </c>
      <c r="B2916" s="2" t="s">
        <v>14</v>
      </c>
      <c r="C2916" s="2" t="s">
        <v>12941</v>
      </c>
      <c r="D2916" s="3">
        <v>3</v>
      </c>
      <c r="E2916" s="3">
        <v>3</v>
      </c>
      <c r="F2916" s="2" t="s">
        <v>16</v>
      </c>
      <c r="G2916" s="2" t="s">
        <v>12942</v>
      </c>
      <c r="H2916" s="3">
        <v>0</v>
      </c>
      <c r="I2916" s="2" t="s">
        <v>409</v>
      </c>
      <c r="J2916" s="2" t="s">
        <v>12943</v>
      </c>
      <c r="K2916" s="2" t="s">
        <v>16</v>
      </c>
      <c r="L2916" s="2" t="s">
        <v>12944</v>
      </c>
      <c r="M2916" s="4">
        <v>0.23</v>
      </c>
      <c r="N2916" t="e">
        <f>OR(LEFT(B2916,3)="frg",(_xlfn.XMATCH(B2916,ZZZ_Part_Id_[[#All],[FGCODE]])))</f>
        <v>#N/A</v>
      </c>
    </row>
    <row r="2917" spans="1:14" x14ac:dyDescent="0.3">
      <c r="A2917" s="2" t="s">
        <v>12936</v>
      </c>
      <c r="B2917" s="2" t="s">
        <v>140</v>
      </c>
      <c r="C2917" s="2" t="s">
        <v>12945</v>
      </c>
      <c r="D2917" s="3">
        <v>0.12</v>
      </c>
      <c r="E2917" s="3">
        <v>0.12</v>
      </c>
      <c r="F2917" s="2" t="s">
        <v>16</v>
      </c>
      <c r="G2917" s="2" t="s">
        <v>12946</v>
      </c>
      <c r="H2917" s="3">
        <v>0</v>
      </c>
      <c r="I2917" s="2" t="s">
        <v>409</v>
      </c>
      <c r="J2917" s="2" t="s">
        <v>12947</v>
      </c>
      <c r="K2917" s="2" t="s">
        <v>16</v>
      </c>
      <c r="L2917" s="2" t="s">
        <v>12948</v>
      </c>
      <c r="M2917" s="4">
        <v>0.26</v>
      </c>
      <c r="N2917" t="e">
        <f>OR(LEFT(B2917,3)="frg",(_xlfn.XMATCH(B2917,ZZZ_Part_Id_[[#All],[FGCODE]])))</f>
        <v>#N/A</v>
      </c>
    </row>
    <row r="2918" spans="1:14" x14ac:dyDescent="0.3">
      <c r="A2918" s="2" t="s">
        <v>12936</v>
      </c>
      <c r="B2918" s="2" t="s">
        <v>192</v>
      </c>
      <c r="C2918" s="2" t="s">
        <v>12949</v>
      </c>
      <c r="D2918" s="3">
        <v>0.03</v>
      </c>
      <c r="E2918" s="3">
        <v>0.03</v>
      </c>
      <c r="F2918" s="2" t="s">
        <v>194</v>
      </c>
      <c r="G2918" s="2" t="s">
        <v>12950</v>
      </c>
      <c r="H2918" s="3">
        <v>0</v>
      </c>
      <c r="I2918" s="2" t="s">
        <v>409</v>
      </c>
      <c r="J2918" s="2" t="s">
        <v>12951</v>
      </c>
      <c r="K2918" s="2" t="s">
        <v>194</v>
      </c>
      <c r="L2918" s="2" t="s">
        <v>12952</v>
      </c>
      <c r="M2918" s="4">
        <v>0.15</v>
      </c>
      <c r="N2918" t="e">
        <f>OR(LEFT(B2918,3)="frg",(_xlfn.XMATCH(B2918,ZZZ_Part_Id_[[#All],[FGCODE]])))</f>
        <v>#N/A</v>
      </c>
    </row>
    <row r="2919" spans="1:14" x14ac:dyDescent="0.3">
      <c r="A2919" s="2" t="s">
        <v>12953</v>
      </c>
      <c r="B2919" s="2" t="s">
        <v>10227</v>
      </c>
      <c r="C2919" s="2" t="s">
        <v>12954</v>
      </c>
      <c r="D2919" s="3">
        <v>42480</v>
      </c>
      <c r="E2919" s="3">
        <v>42480</v>
      </c>
      <c r="F2919" s="2" t="s">
        <v>16</v>
      </c>
      <c r="G2919" s="2" t="s">
        <v>12955</v>
      </c>
      <c r="H2919" s="3">
        <v>0</v>
      </c>
      <c r="I2919" s="2" t="s">
        <v>409</v>
      </c>
      <c r="J2919" s="2" t="s">
        <v>12956</v>
      </c>
      <c r="K2919" s="2" t="s">
        <v>16</v>
      </c>
      <c r="L2919" s="2" t="s">
        <v>12957</v>
      </c>
      <c r="M2919" s="4">
        <v>8552.48</v>
      </c>
      <c r="N2919" t="b">
        <f>OR(LEFT(B2919,3)="frg",(_xlfn.XMATCH(B2919,ZZZ_Part_Id_[[#All],[FGCODE]])))</f>
        <v>1</v>
      </c>
    </row>
    <row r="2920" spans="1:14" x14ac:dyDescent="0.3">
      <c r="A2920" s="2" t="s">
        <v>12953</v>
      </c>
      <c r="B2920" s="2" t="s">
        <v>14</v>
      </c>
      <c r="C2920" s="2" t="s">
        <v>12958</v>
      </c>
      <c r="D2920" s="3">
        <v>4</v>
      </c>
      <c r="E2920" s="3">
        <v>4</v>
      </c>
      <c r="F2920" s="2" t="s">
        <v>16</v>
      </c>
      <c r="G2920" s="2" t="s">
        <v>12959</v>
      </c>
      <c r="H2920" s="3">
        <v>0</v>
      </c>
      <c r="I2920" s="2" t="s">
        <v>409</v>
      </c>
      <c r="J2920" s="2" t="s">
        <v>12960</v>
      </c>
      <c r="K2920" s="2" t="s">
        <v>16</v>
      </c>
      <c r="L2920" s="2" t="s">
        <v>12961</v>
      </c>
      <c r="M2920" s="4">
        <v>0.31</v>
      </c>
      <c r="N2920" t="e">
        <f>OR(LEFT(B2920,3)="frg",(_xlfn.XMATCH(B2920,ZZZ_Part_Id_[[#All],[FGCODE]])))</f>
        <v>#N/A</v>
      </c>
    </row>
    <row r="2921" spans="1:14" x14ac:dyDescent="0.3">
      <c r="A2921" s="2" t="s">
        <v>12953</v>
      </c>
      <c r="B2921" s="2" t="s">
        <v>140</v>
      </c>
      <c r="C2921" s="2" t="s">
        <v>12962</v>
      </c>
      <c r="D2921" s="3">
        <v>0.16</v>
      </c>
      <c r="E2921" s="3">
        <v>0.16</v>
      </c>
      <c r="F2921" s="2" t="s">
        <v>16</v>
      </c>
      <c r="G2921" s="2" t="s">
        <v>12963</v>
      </c>
      <c r="H2921" s="3">
        <v>0</v>
      </c>
      <c r="I2921" s="2" t="s">
        <v>409</v>
      </c>
      <c r="J2921" s="2" t="s">
        <v>12964</v>
      </c>
      <c r="K2921" s="2" t="s">
        <v>16</v>
      </c>
      <c r="L2921" s="2" t="s">
        <v>12965</v>
      </c>
      <c r="M2921" s="4">
        <v>0.35</v>
      </c>
      <c r="N2921" t="e">
        <f>OR(LEFT(B2921,3)="frg",(_xlfn.XMATCH(B2921,ZZZ_Part_Id_[[#All],[FGCODE]])))</f>
        <v>#N/A</v>
      </c>
    </row>
    <row r="2922" spans="1:14" x14ac:dyDescent="0.3">
      <c r="A2922" s="2" t="s">
        <v>12953</v>
      </c>
      <c r="B2922" s="2" t="s">
        <v>192</v>
      </c>
      <c r="C2922" s="2" t="s">
        <v>12966</v>
      </c>
      <c r="D2922" s="3">
        <v>0.04</v>
      </c>
      <c r="E2922" s="3">
        <v>0.04</v>
      </c>
      <c r="F2922" s="2" t="s">
        <v>194</v>
      </c>
      <c r="G2922" s="2" t="s">
        <v>12967</v>
      </c>
      <c r="H2922" s="3">
        <v>0</v>
      </c>
      <c r="I2922" s="2" t="s">
        <v>409</v>
      </c>
      <c r="J2922" s="2" t="s">
        <v>12968</v>
      </c>
      <c r="K2922" s="2" t="s">
        <v>194</v>
      </c>
      <c r="L2922" s="2" t="s">
        <v>12969</v>
      </c>
      <c r="M2922" s="4">
        <v>0.2</v>
      </c>
      <c r="N2922" t="e">
        <f>OR(LEFT(B2922,3)="frg",(_xlfn.XMATCH(B2922,ZZZ_Part_Id_[[#All],[FGCODE]])))</f>
        <v>#N/A</v>
      </c>
    </row>
    <row r="2923" spans="1:14" x14ac:dyDescent="0.3">
      <c r="A2923" s="2" t="s">
        <v>12970</v>
      </c>
      <c r="B2923" s="2" t="s">
        <v>1027</v>
      </c>
      <c r="C2923" s="2" t="s">
        <v>12971</v>
      </c>
      <c r="D2923" s="3">
        <v>116820</v>
      </c>
      <c r="E2923" s="3">
        <v>116820</v>
      </c>
      <c r="F2923" s="2" t="s">
        <v>16</v>
      </c>
      <c r="G2923" s="2" t="s">
        <v>12972</v>
      </c>
      <c r="H2923" s="3">
        <v>0</v>
      </c>
      <c r="I2923" s="2" t="s">
        <v>409</v>
      </c>
      <c r="J2923" s="2" t="s">
        <v>12973</v>
      </c>
      <c r="K2923" s="2" t="s">
        <v>16</v>
      </c>
      <c r="L2923" s="2" t="s">
        <v>12974</v>
      </c>
      <c r="M2923" s="4">
        <v>23519.32</v>
      </c>
      <c r="N2923" t="b">
        <f>OR(LEFT(B2923,3)="frg",(_xlfn.XMATCH(B2923,ZZZ_Part_Id_[[#All],[FGCODE]])))</f>
        <v>1</v>
      </c>
    </row>
    <row r="2924" spans="1:14" x14ac:dyDescent="0.3">
      <c r="A2924" s="2" t="s">
        <v>12970</v>
      </c>
      <c r="B2924" s="2" t="s">
        <v>14</v>
      </c>
      <c r="C2924" s="2" t="s">
        <v>12975</v>
      </c>
      <c r="D2924" s="3">
        <v>11</v>
      </c>
      <c r="E2924" s="3">
        <v>11</v>
      </c>
      <c r="F2924" s="2" t="s">
        <v>16</v>
      </c>
      <c r="G2924" s="2" t="s">
        <v>12976</v>
      </c>
      <c r="H2924" s="3">
        <v>0</v>
      </c>
      <c r="I2924" s="2" t="s">
        <v>409</v>
      </c>
      <c r="J2924" s="2" t="s">
        <v>12977</v>
      </c>
      <c r="K2924" s="2" t="s">
        <v>16</v>
      </c>
      <c r="L2924" s="2" t="s">
        <v>12978</v>
      </c>
      <c r="M2924" s="4">
        <v>0.85</v>
      </c>
      <c r="N2924" t="e">
        <f>OR(LEFT(B2924,3)="frg",(_xlfn.XMATCH(B2924,ZZZ_Part_Id_[[#All],[FGCODE]])))</f>
        <v>#N/A</v>
      </c>
    </row>
    <row r="2925" spans="1:14" x14ac:dyDescent="0.3">
      <c r="A2925" s="2" t="s">
        <v>12970</v>
      </c>
      <c r="B2925" s="2" t="s">
        <v>140</v>
      </c>
      <c r="C2925" s="2" t="s">
        <v>12979</v>
      </c>
      <c r="D2925" s="3">
        <v>0.44</v>
      </c>
      <c r="E2925" s="3">
        <v>0.44</v>
      </c>
      <c r="F2925" s="2" t="s">
        <v>16</v>
      </c>
      <c r="G2925" s="2" t="s">
        <v>12980</v>
      </c>
      <c r="H2925" s="3">
        <v>0</v>
      </c>
      <c r="I2925" s="2" t="s">
        <v>409</v>
      </c>
      <c r="J2925" s="2" t="s">
        <v>12981</v>
      </c>
      <c r="K2925" s="2" t="s">
        <v>16</v>
      </c>
      <c r="L2925" s="2" t="s">
        <v>12982</v>
      </c>
      <c r="M2925" s="4">
        <v>0.97</v>
      </c>
      <c r="N2925" t="e">
        <f>OR(LEFT(B2925,3)="frg",(_xlfn.XMATCH(B2925,ZZZ_Part_Id_[[#All],[FGCODE]])))</f>
        <v>#N/A</v>
      </c>
    </row>
    <row r="2926" spans="1:14" x14ac:dyDescent="0.3">
      <c r="A2926" s="2" t="s">
        <v>12970</v>
      </c>
      <c r="B2926" s="2" t="s">
        <v>192</v>
      </c>
      <c r="C2926" s="2" t="s">
        <v>12983</v>
      </c>
      <c r="D2926" s="3">
        <v>0.11</v>
      </c>
      <c r="E2926" s="3">
        <v>0.11</v>
      </c>
      <c r="F2926" s="2" t="s">
        <v>194</v>
      </c>
      <c r="G2926" s="2" t="s">
        <v>12984</v>
      </c>
      <c r="H2926" s="3">
        <v>0</v>
      </c>
      <c r="I2926" s="2" t="s">
        <v>409</v>
      </c>
      <c r="J2926" s="2" t="s">
        <v>12985</v>
      </c>
      <c r="K2926" s="2" t="s">
        <v>194</v>
      </c>
      <c r="L2926" s="2" t="s">
        <v>12986</v>
      </c>
      <c r="M2926" s="4">
        <v>0.56000000000000005</v>
      </c>
      <c r="N2926" t="e">
        <f>OR(LEFT(B2926,3)="frg",(_xlfn.XMATCH(B2926,ZZZ_Part_Id_[[#All],[FGCODE]])))</f>
        <v>#N/A</v>
      </c>
    </row>
    <row r="2927" spans="1:14" x14ac:dyDescent="0.3">
      <c r="A2927" s="2" t="s">
        <v>12987</v>
      </c>
      <c r="B2927" s="2" t="s">
        <v>2086</v>
      </c>
      <c r="C2927" s="2" t="s">
        <v>12988</v>
      </c>
      <c r="D2927" s="3">
        <v>54912</v>
      </c>
      <c r="E2927" s="3">
        <v>54912</v>
      </c>
      <c r="F2927" s="2" t="s">
        <v>16</v>
      </c>
      <c r="G2927" s="2" t="s">
        <v>12989</v>
      </c>
      <c r="H2927" s="3">
        <v>0</v>
      </c>
      <c r="I2927" s="2" t="s">
        <v>409</v>
      </c>
      <c r="J2927" s="2" t="s">
        <v>12990</v>
      </c>
      <c r="K2927" s="2" t="s">
        <v>16</v>
      </c>
      <c r="L2927" s="2" t="s">
        <v>12991</v>
      </c>
      <c r="M2927" s="4">
        <v>12895.48</v>
      </c>
      <c r="N2927" t="b">
        <f>OR(LEFT(B2927,3)="frg",(_xlfn.XMATCH(B2927,ZZZ_Part_Id_[[#All],[FGCODE]])))</f>
        <v>1</v>
      </c>
    </row>
    <row r="2928" spans="1:14" x14ac:dyDescent="0.3">
      <c r="A2928" s="2" t="s">
        <v>12987</v>
      </c>
      <c r="B2928" s="2" t="s">
        <v>14</v>
      </c>
      <c r="C2928" s="2" t="s">
        <v>12992</v>
      </c>
      <c r="D2928" s="3">
        <v>13</v>
      </c>
      <c r="E2928" s="3">
        <v>13</v>
      </c>
      <c r="F2928" s="2" t="s">
        <v>16</v>
      </c>
      <c r="G2928" s="2" t="s">
        <v>12993</v>
      </c>
      <c r="H2928" s="3">
        <v>0</v>
      </c>
      <c r="I2928" s="2" t="s">
        <v>409</v>
      </c>
      <c r="J2928" s="2" t="s">
        <v>12994</v>
      </c>
      <c r="K2928" s="2" t="s">
        <v>16</v>
      </c>
      <c r="L2928" s="2" t="s">
        <v>12995</v>
      </c>
      <c r="M2928" s="4">
        <v>1</v>
      </c>
      <c r="N2928" t="e">
        <f>OR(LEFT(B2928,3)="frg",(_xlfn.XMATCH(B2928,ZZZ_Part_Id_[[#All],[FGCODE]])))</f>
        <v>#N/A</v>
      </c>
    </row>
    <row r="2929" spans="1:14" x14ac:dyDescent="0.3">
      <c r="A2929" s="2" t="s">
        <v>12987</v>
      </c>
      <c r="B2929" s="2" t="s">
        <v>140</v>
      </c>
      <c r="C2929" s="2" t="s">
        <v>12996</v>
      </c>
      <c r="D2929" s="3">
        <v>0.52</v>
      </c>
      <c r="E2929" s="3">
        <v>0.52</v>
      </c>
      <c r="F2929" s="2" t="s">
        <v>16</v>
      </c>
      <c r="G2929" s="2" t="s">
        <v>12997</v>
      </c>
      <c r="H2929" s="3">
        <v>0</v>
      </c>
      <c r="I2929" s="2" t="s">
        <v>409</v>
      </c>
      <c r="J2929" s="2" t="s">
        <v>12998</v>
      </c>
      <c r="K2929" s="2" t="s">
        <v>16</v>
      </c>
      <c r="L2929" s="2" t="s">
        <v>12999</v>
      </c>
      <c r="M2929" s="4">
        <v>1.1399999999999999</v>
      </c>
      <c r="N2929" t="e">
        <f>OR(LEFT(B2929,3)="frg",(_xlfn.XMATCH(B2929,ZZZ_Part_Id_[[#All],[FGCODE]])))</f>
        <v>#N/A</v>
      </c>
    </row>
    <row r="2930" spans="1:14" x14ac:dyDescent="0.3">
      <c r="A2930" s="2" t="s">
        <v>12987</v>
      </c>
      <c r="B2930" s="2" t="s">
        <v>192</v>
      </c>
      <c r="C2930" s="2" t="s">
        <v>13000</v>
      </c>
      <c r="D2930" s="3">
        <v>0.13</v>
      </c>
      <c r="E2930" s="3">
        <v>0.13</v>
      </c>
      <c r="F2930" s="2" t="s">
        <v>194</v>
      </c>
      <c r="G2930" s="2" t="s">
        <v>13001</v>
      </c>
      <c r="H2930" s="3">
        <v>0</v>
      </c>
      <c r="I2930" s="2" t="s">
        <v>409</v>
      </c>
      <c r="J2930" s="2" t="s">
        <v>13002</v>
      </c>
      <c r="K2930" s="2" t="s">
        <v>194</v>
      </c>
      <c r="L2930" s="2" t="s">
        <v>13003</v>
      </c>
      <c r="M2930" s="4">
        <v>0.66</v>
      </c>
      <c r="N2930" t="e">
        <f>OR(LEFT(B2930,3)="frg",(_xlfn.XMATCH(B2930,ZZZ_Part_Id_[[#All],[FGCODE]])))</f>
        <v>#N/A</v>
      </c>
    </row>
    <row r="2931" spans="1:14" x14ac:dyDescent="0.3">
      <c r="A2931" s="2" t="s">
        <v>13004</v>
      </c>
      <c r="B2931" s="2" t="s">
        <v>14</v>
      </c>
      <c r="C2931" s="2" t="s">
        <v>13005</v>
      </c>
      <c r="D2931" s="3">
        <v>9</v>
      </c>
      <c r="E2931" s="3">
        <v>9</v>
      </c>
      <c r="F2931" s="2" t="s">
        <v>16</v>
      </c>
      <c r="G2931" s="2" t="s">
        <v>13006</v>
      </c>
      <c r="H2931" s="3">
        <v>0</v>
      </c>
      <c r="I2931" s="2" t="s">
        <v>18</v>
      </c>
      <c r="J2931" s="2" t="s">
        <v>13007</v>
      </c>
      <c r="K2931" s="2" t="s">
        <v>16</v>
      </c>
      <c r="L2931" s="2" t="s">
        <v>13008</v>
      </c>
      <c r="M2931" s="4">
        <v>0.69</v>
      </c>
      <c r="N2931" t="e">
        <f>OR(LEFT(B2931,3)="frg",(_xlfn.XMATCH(B2931,ZZZ_Part_Id_[[#All],[FGCODE]])))</f>
        <v>#N/A</v>
      </c>
    </row>
    <row r="2932" spans="1:14" x14ac:dyDescent="0.3">
      <c r="A2932" s="2" t="s">
        <v>13004</v>
      </c>
      <c r="B2932" s="2" t="s">
        <v>37</v>
      </c>
      <c r="C2932" s="2" t="s">
        <v>13009</v>
      </c>
      <c r="D2932" s="3">
        <v>9</v>
      </c>
      <c r="E2932" s="3">
        <v>9</v>
      </c>
      <c r="F2932" s="2" t="s">
        <v>16</v>
      </c>
      <c r="G2932" s="2" t="s">
        <v>13010</v>
      </c>
      <c r="H2932" s="3">
        <v>0</v>
      </c>
      <c r="I2932" s="2" t="s">
        <v>18</v>
      </c>
      <c r="J2932" s="2" t="s">
        <v>13011</v>
      </c>
      <c r="K2932" s="2" t="s">
        <v>16</v>
      </c>
      <c r="L2932" s="2" t="s">
        <v>13012</v>
      </c>
      <c r="M2932" s="4">
        <v>144</v>
      </c>
      <c r="N2932" t="e">
        <f>OR(LEFT(B2932,3)="frg",(_xlfn.XMATCH(B2932,ZZZ_Part_Id_[[#All],[FGCODE]])))</f>
        <v>#N/A</v>
      </c>
    </row>
    <row r="2933" spans="1:14" x14ac:dyDescent="0.3">
      <c r="A2933" s="2" t="s">
        <v>13004</v>
      </c>
      <c r="B2933" s="2" t="s">
        <v>86</v>
      </c>
      <c r="C2933" s="2" t="s">
        <v>13013</v>
      </c>
      <c r="D2933" s="5">
        <v>-238</v>
      </c>
      <c r="E2933" s="5">
        <v>-238</v>
      </c>
      <c r="F2933" s="2" t="s">
        <v>23</v>
      </c>
      <c r="G2933" s="2" t="s">
        <v>13014</v>
      </c>
      <c r="H2933" s="3">
        <v>0</v>
      </c>
      <c r="I2933" s="2" t="s">
        <v>18</v>
      </c>
      <c r="J2933" s="2" t="s">
        <v>13015</v>
      </c>
      <c r="K2933" s="2" t="s">
        <v>23</v>
      </c>
      <c r="L2933" s="2" t="s">
        <v>13016</v>
      </c>
      <c r="M2933" s="6">
        <v>-623.04</v>
      </c>
      <c r="N2933" t="b">
        <f>OR(LEFT(B2933,3)="frg",(_xlfn.XMATCH(B2933,ZZZ_Part_Id_[[#All],[FGCODE]])))</f>
        <v>1</v>
      </c>
    </row>
    <row r="2934" spans="1:14" x14ac:dyDescent="0.3">
      <c r="A2934" s="2" t="s">
        <v>13004</v>
      </c>
      <c r="B2934" s="2" t="s">
        <v>11241</v>
      </c>
      <c r="C2934" s="2" t="s">
        <v>13017</v>
      </c>
      <c r="D2934" s="3">
        <v>253800</v>
      </c>
      <c r="E2934" s="3">
        <v>253800</v>
      </c>
      <c r="F2934" s="2" t="s">
        <v>16</v>
      </c>
      <c r="G2934" s="2" t="s">
        <v>13018</v>
      </c>
      <c r="H2934" s="3">
        <v>0</v>
      </c>
      <c r="I2934" s="2" t="s">
        <v>18</v>
      </c>
      <c r="J2934" s="2" t="s">
        <v>13019</v>
      </c>
      <c r="K2934" s="2" t="s">
        <v>16</v>
      </c>
      <c r="L2934" s="2" t="s">
        <v>13020</v>
      </c>
      <c r="M2934" s="4">
        <v>15684.8</v>
      </c>
      <c r="N2934" t="b">
        <f>OR(LEFT(B2934,3)="frg",(_xlfn.XMATCH(B2934,ZZZ_Part_Id_[[#All],[FGCODE]])))</f>
        <v>1</v>
      </c>
    </row>
    <row r="2935" spans="1:14" x14ac:dyDescent="0.3">
      <c r="A2935" s="2" t="s">
        <v>13021</v>
      </c>
      <c r="B2935" s="2" t="s">
        <v>14</v>
      </c>
      <c r="C2935" s="2" t="s">
        <v>13022</v>
      </c>
      <c r="D2935" s="3">
        <v>4</v>
      </c>
      <c r="E2935" s="3">
        <v>4</v>
      </c>
      <c r="F2935" s="2" t="s">
        <v>16</v>
      </c>
      <c r="G2935" s="2" t="s">
        <v>13023</v>
      </c>
      <c r="H2935" s="3">
        <v>0</v>
      </c>
      <c r="I2935" s="2" t="s">
        <v>18</v>
      </c>
      <c r="J2935" s="2" t="s">
        <v>13024</v>
      </c>
      <c r="K2935" s="2" t="s">
        <v>16</v>
      </c>
      <c r="L2935" s="2" t="s">
        <v>13025</v>
      </c>
      <c r="M2935" s="4">
        <v>0.31</v>
      </c>
      <c r="N2935" t="e">
        <f>OR(LEFT(B2935,3)="frg",(_xlfn.XMATCH(B2935,ZZZ_Part_Id_[[#All],[FGCODE]])))</f>
        <v>#N/A</v>
      </c>
    </row>
    <row r="2936" spans="1:14" x14ac:dyDescent="0.3">
      <c r="A2936" s="2" t="s">
        <v>13021</v>
      </c>
      <c r="B2936" s="2" t="s">
        <v>65</v>
      </c>
      <c r="C2936" s="2" t="s">
        <v>13026</v>
      </c>
      <c r="D2936" s="5">
        <v>-304</v>
      </c>
      <c r="E2936" s="5">
        <v>-304</v>
      </c>
      <c r="F2936" s="2" t="s">
        <v>23</v>
      </c>
      <c r="G2936" s="2" t="s">
        <v>13027</v>
      </c>
      <c r="H2936" s="3">
        <v>0</v>
      </c>
      <c r="I2936" s="2" t="s">
        <v>18</v>
      </c>
      <c r="J2936" s="2" t="s">
        <v>13028</v>
      </c>
      <c r="K2936" s="2" t="s">
        <v>23</v>
      </c>
      <c r="L2936" s="2" t="s">
        <v>13029</v>
      </c>
      <c r="M2936" s="6">
        <v>-781.77</v>
      </c>
      <c r="N2936" t="b">
        <f>OR(LEFT(B2936,3)="frg",(_xlfn.XMATCH(B2936,ZZZ_Part_Id_[[#All],[FGCODE]])))</f>
        <v>1</v>
      </c>
    </row>
    <row r="2937" spans="1:14" x14ac:dyDescent="0.3">
      <c r="A2937" s="2" t="s">
        <v>13021</v>
      </c>
      <c r="B2937" s="2" t="s">
        <v>2086</v>
      </c>
      <c r="C2937" s="2" t="s">
        <v>13030</v>
      </c>
      <c r="D2937" s="3">
        <v>25344</v>
      </c>
      <c r="E2937" s="3">
        <v>25344</v>
      </c>
      <c r="F2937" s="2" t="s">
        <v>16</v>
      </c>
      <c r="G2937" s="2" t="s">
        <v>13031</v>
      </c>
      <c r="H2937" s="3">
        <v>0</v>
      </c>
      <c r="I2937" s="2" t="s">
        <v>18</v>
      </c>
      <c r="J2937" s="2" t="s">
        <v>13032</v>
      </c>
      <c r="K2937" s="2" t="s">
        <v>16</v>
      </c>
      <c r="L2937" s="2" t="s">
        <v>13033</v>
      </c>
      <c r="M2937" s="4">
        <v>5951.76</v>
      </c>
      <c r="N2937" t="b">
        <f>OR(LEFT(B2937,3)="frg",(_xlfn.XMATCH(B2937,ZZZ_Part_Id_[[#All],[FGCODE]])))</f>
        <v>1</v>
      </c>
    </row>
    <row r="2938" spans="1:14" x14ac:dyDescent="0.3">
      <c r="A2938" s="2" t="s">
        <v>13034</v>
      </c>
      <c r="B2938" s="2" t="s">
        <v>14</v>
      </c>
      <c r="C2938" s="2" t="s">
        <v>13035</v>
      </c>
      <c r="D2938" s="3">
        <v>4</v>
      </c>
      <c r="E2938" s="3">
        <v>4</v>
      </c>
      <c r="F2938" s="2" t="s">
        <v>16</v>
      </c>
      <c r="G2938" s="2" t="s">
        <v>13036</v>
      </c>
      <c r="H2938" s="3">
        <v>0</v>
      </c>
      <c r="I2938" s="2" t="s">
        <v>18</v>
      </c>
      <c r="J2938" s="2" t="s">
        <v>13037</v>
      </c>
      <c r="K2938" s="2" t="s">
        <v>16</v>
      </c>
      <c r="L2938" s="2" t="s">
        <v>13038</v>
      </c>
      <c r="M2938" s="4">
        <v>0.31</v>
      </c>
      <c r="N2938" t="e">
        <f>OR(LEFT(B2938,3)="frg",(_xlfn.XMATCH(B2938,ZZZ_Part_Id_[[#All],[FGCODE]])))</f>
        <v>#N/A</v>
      </c>
    </row>
    <row r="2939" spans="1:14" x14ac:dyDescent="0.3">
      <c r="A2939" s="2" t="s">
        <v>13034</v>
      </c>
      <c r="B2939" s="2" t="s">
        <v>11210</v>
      </c>
      <c r="C2939" s="2" t="s">
        <v>13039</v>
      </c>
      <c r="D2939" s="3">
        <v>10080</v>
      </c>
      <c r="E2939" s="3">
        <v>10080</v>
      </c>
      <c r="F2939" s="2" t="s">
        <v>16</v>
      </c>
      <c r="G2939" s="2" t="s">
        <v>13040</v>
      </c>
      <c r="H2939" s="3">
        <v>0</v>
      </c>
      <c r="I2939" s="2" t="s">
        <v>18</v>
      </c>
      <c r="J2939" s="2" t="s">
        <v>13041</v>
      </c>
      <c r="K2939" s="2" t="s">
        <v>16</v>
      </c>
      <c r="L2939" s="2" t="s">
        <v>13042</v>
      </c>
      <c r="M2939" s="4">
        <v>1754.32</v>
      </c>
      <c r="N2939" t="b">
        <f>OR(LEFT(B2939,3)="frg",(_xlfn.XMATCH(B2939,ZZZ_Part_Id_[[#All],[FGCODE]])))</f>
        <v>1</v>
      </c>
    </row>
    <row r="2940" spans="1:14" x14ac:dyDescent="0.3">
      <c r="A2940" s="2" t="s">
        <v>13043</v>
      </c>
      <c r="B2940" s="2" t="s">
        <v>14</v>
      </c>
      <c r="C2940" s="2" t="s">
        <v>13044</v>
      </c>
      <c r="D2940" s="3">
        <v>40</v>
      </c>
      <c r="E2940" s="3">
        <v>40</v>
      </c>
      <c r="F2940" s="2" t="s">
        <v>16</v>
      </c>
      <c r="G2940" s="2" t="s">
        <v>13045</v>
      </c>
      <c r="H2940" s="3">
        <v>0</v>
      </c>
      <c r="I2940" s="2" t="s">
        <v>409</v>
      </c>
      <c r="J2940" s="2" t="s">
        <v>13046</v>
      </c>
      <c r="K2940" s="2" t="s">
        <v>16</v>
      </c>
      <c r="L2940" s="2" t="s">
        <v>13047</v>
      </c>
      <c r="M2940" s="4">
        <v>3.08</v>
      </c>
      <c r="N2940" t="e">
        <f>OR(LEFT(B2940,3)="frg",(_xlfn.XMATCH(B2940,ZZZ_Part_Id_[[#All],[FGCODE]])))</f>
        <v>#N/A</v>
      </c>
    </row>
    <row r="2941" spans="1:14" x14ac:dyDescent="0.3">
      <c r="A2941" s="2" t="s">
        <v>13043</v>
      </c>
      <c r="B2941" s="2" t="s">
        <v>5357</v>
      </c>
      <c r="C2941" s="2" t="s">
        <v>13048</v>
      </c>
      <c r="D2941" s="3">
        <v>145728</v>
      </c>
      <c r="E2941" s="3">
        <v>145728</v>
      </c>
      <c r="F2941" s="2" t="s">
        <v>16</v>
      </c>
      <c r="G2941" s="2" t="s">
        <v>13049</v>
      </c>
      <c r="H2941" s="3">
        <v>0</v>
      </c>
      <c r="I2941" s="2" t="s">
        <v>409</v>
      </c>
      <c r="J2941" s="2" t="s">
        <v>13050</v>
      </c>
      <c r="K2941" s="2" t="s">
        <v>16</v>
      </c>
      <c r="L2941" s="2" t="s">
        <v>13051</v>
      </c>
      <c r="M2941" s="4">
        <v>43505.66</v>
      </c>
      <c r="N2941" t="b">
        <f>OR(LEFT(B2941,3)="frg",(_xlfn.XMATCH(B2941,ZZZ_Part_Id_[[#All],[FGCODE]])))</f>
        <v>1</v>
      </c>
    </row>
    <row r="2942" spans="1:14" x14ac:dyDescent="0.3">
      <c r="A2942" s="2" t="s">
        <v>13052</v>
      </c>
      <c r="B2942" s="2" t="s">
        <v>14</v>
      </c>
      <c r="C2942" s="2" t="s">
        <v>13053</v>
      </c>
      <c r="D2942" s="3">
        <v>4</v>
      </c>
      <c r="E2942" s="3">
        <v>4</v>
      </c>
      <c r="F2942" s="2" t="s">
        <v>16</v>
      </c>
      <c r="G2942" s="2" t="s">
        <v>13054</v>
      </c>
      <c r="H2942" s="3">
        <v>0</v>
      </c>
      <c r="I2942" s="2" t="s">
        <v>18</v>
      </c>
      <c r="J2942" s="2" t="s">
        <v>13055</v>
      </c>
      <c r="K2942" s="2" t="s">
        <v>16</v>
      </c>
      <c r="L2942" s="2" t="s">
        <v>13056</v>
      </c>
      <c r="M2942" s="4">
        <v>0.31</v>
      </c>
      <c r="N2942" t="e">
        <f>OR(LEFT(B2942,3)="frg",(_xlfn.XMATCH(B2942,ZZZ_Part_Id_[[#All],[FGCODE]])))</f>
        <v>#N/A</v>
      </c>
    </row>
    <row r="2943" spans="1:14" x14ac:dyDescent="0.3">
      <c r="A2943" s="2" t="s">
        <v>13052</v>
      </c>
      <c r="B2943" s="2" t="s">
        <v>91</v>
      </c>
      <c r="C2943" s="2" t="s">
        <v>13057</v>
      </c>
      <c r="D2943" s="3">
        <v>81000</v>
      </c>
      <c r="E2943" s="3">
        <v>81000</v>
      </c>
      <c r="F2943" s="2" t="s">
        <v>16</v>
      </c>
      <c r="G2943" s="2" t="s">
        <v>13058</v>
      </c>
      <c r="H2943" s="3">
        <v>0</v>
      </c>
      <c r="I2943" s="2" t="s">
        <v>18</v>
      </c>
      <c r="J2943" s="2" t="s">
        <v>13059</v>
      </c>
      <c r="K2943" s="2" t="s">
        <v>16</v>
      </c>
      <c r="L2943" s="2" t="s">
        <v>13060</v>
      </c>
      <c r="M2943" s="4">
        <v>4662.3599999999997</v>
      </c>
      <c r="N2943" t="b">
        <f>OR(LEFT(B2943,3)="frg",(_xlfn.XMATCH(B2943,ZZZ_Part_Id_[[#All],[FGCODE]])))</f>
        <v>1</v>
      </c>
    </row>
    <row r="2944" spans="1:14" x14ac:dyDescent="0.3">
      <c r="A2944" s="2" t="s">
        <v>13061</v>
      </c>
      <c r="B2944" s="2" t="s">
        <v>14</v>
      </c>
      <c r="C2944" s="2" t="s">
        <v>13062</v>
      </c>
      <c r="D2944" s="3">
        <v>140</v>
      </c>
      <c r="E2944" s="3">
        <v>140</v>
      </c>
      <c r="F2944" s="2" t="s">
        <v>16</v>
      </c>
      <c r="G2944" s="2" t="s">
        <v>13063</v>
      </c>
      <c r="H2944" s="3">
        <v>0</v>
      </c>
      <c r="I2944" s="2" t="s">
        <v>409</v>
      </c>
      <c r="J2944" s="2" t="s">
        <v>13064</v>
      </c>
      <c r="K2944" s="2" t="s">
        <v>16</v>
      </c>
      <c r="L2944" s="2" t="s">
        <v>13065</v>
      </c>
      <c r="M2944" s="4">
        <v>10.77</v>
      </c>
      <c r="N2944" t="e">
        <f>OR(LEFT(B2944,3)="frg",(_xlfn.XMATCH(B2944,ZZZ_Part_Id_[[#All],[FGCODE]])))</f>
        <v>#N/A</v>
      </c>
    </row>
    <row r="2945" spans="1:14" x14ac:dyDescent="0.3">
      <c r="A2945" s="2" t="s">
        <v>13061</v>
      </c>
      <c r="B2945" s="2" t="s">
        <v>5357</v>
      </c>
      <c r="C2945" s="2" t="s">
        <v>13066</v>
      </c>
      <c r="D2945" s="3">
        <v>708768</v>
      </c>
      <c r="E2945" s="3">
        <v>708768</v>
      </c>
      <c r="F2945" s="2" t="s">
        <v>16</v>
      </c>
      <c r="G2945" s="2" t="s">
        <v>13067</v>
      </c>
      <c r="H2945" s="3">
        <v>0</v>
      </c>
      <c r="I2945" s="2" t="s">
        <v>409</v>
      </c>
      <c r="J2945" s="2" t="s">
        <v>13068</v>
      </c>
      <c r="K2945" s="2" t="s">
        <v>16</v>
      </c>
      <c r="L2945" s="2" t="s">
        <v>13069</v>
      </c>
      <c r="M2945" s="4">
        <v>211595.71</v>
      </c>
      <c r="N2945" t="b">
        <f>OR(LEFT(B2945,3)="frg",(_xlfn.XMATCH(B2945,ZZZ_Part_Id_[[#All],[FGCODE]])))</f>
        <v>1</v>
      </c>
    </row>
    <row r="2946" spans="1:14" x14ac:dyDescent="0.3">
      <c r="A2946" s="2" t="s">
        <v>13070</v>
      </c>
      <c r="B2946" s="2" t="s">
        <v>14</v>
      </c>
      <c r="C2946" s="2" t="s">
        <v>13071</v>
      </c>
      <c r="D2946" s="3">
        <v>3</v>
      </c>
      <c r="E2946" s="3">
        <v>3</v>
      </c>
      <c r="F2946" s="2" t="s">
        <v>16</v>
      </c>
      <c r="G2946" s="2" t="s">
        <v>13072</v>
      </c>
      <c r="H2946" s="3">
        <v>0</v>
      </c>
      <c r="I2946" s="2" t="s">
        <v>409</v>
      </c>
      <c r="J2946" s="2" t="s">
        <v>13073</v>
      </c>
      <c r="K2946" s="2" t="s">
        <v>16</v>
      </c>
      <c r="L2946" s="2" t="s">
        <v>13074</v>
      </c>
      <c r="M2946" s="4">
        <v>0.23</v>
      </c>
      <c r="N2946" t="e">
        <f>OR(LEFT(B2946,3)="frg",(_xlfn.XMATCH(B2946,ZZZ_Part_Id_[[#All],[FGCODE]])))</f>
        <v>#N/A</v>
      </c>
    </row>
    <row r="2947" spans="1:14" x14ac:dyDescent="0.3">
      <c r="A2947" s="2" t="s">
        <v>13070</v>
      </c>
      <c r="B2947" s="2" t="s">
        <v>37</v>
      </c>
      <c r="C2947" s="2" t="s">
        <v>13075</v>
      </c>
      <c r="D2947" s="3">
        <v>3</v>
      </c>
      <c r="E2947" s="3">
        <v>3</v>
      </c>
      <c r="F2947" s="2" t="s">
        <v>16</v>
      </c>
      <c r="G2947" s="2" t="s">
        <v>13076</v>
      </c>
      <c r="H2947" s="3">
        <v>0</v>
      </c>
      <c r="I2947" s="2" t="s">
        <v>409</v>
      </c>
      <c r="J2947" s="2" t="s">
        <v>13077</v>
      </c>
      <c r="K2947" s="2" t="s">
        <v>16</v>
      </c>
      <c r="L2947" s="2" t="s">
        <v>13078</v>
      </c>
      <c r="M2947" s="4">
        <v>48</v>
      </c>
      <c r="N2947" t="e">
        <f>OR(LEFT(B2947,3)="frg",(_xlfn.XMATCH(B2947,ZZZ_Part_Id_[[#All],[FGCODE]])))</f>
        <v>#N/A</v>
      </c>
    </row>
    <row r="2948" spans="1:14" x14ac:dyDescent="0.3">
      <c r="A2948" s="2" t="s">
        <v>13070</v>
      </c>
      <c r="B2948" s="2" t="s">
        <v>86</v>
      </c>
      <c r="C2948" s="2" t="s">
        <v>13079</v>
      </c>
      <c r="D2948" s="5">
        <v>-238</v>
      </c>
      <c r="E2948" s="5">
        <v>-238</v>
      </c>
      <c r="F2948" s="2" t="s">
        <v>23</v>
      </c>
      <c r="G2948" s="2" t="s">
        <v>13080</v>
      </c>
      <c r="H2948" s="3">
        <v>0</v>
      </c>
      <c r="I2948" s="2" t="s">
        <v>409</v>
      </c>
      <c r="J2948" s="2" t="s">
        <v>13081</v>
      </c>
      <c r="K2948" s="2" t="s">
        <v>23</v>
      </c>
      <c r="L2948" s="2" t="s">
        <v>13082</v>
      </c>
      <c r="M2948" s="6">
        <v>-623.04</v>
      </c>
      <c r="N2948" t="b">
        <f>OR(LEFT(B2948,3)="frg",(_xlfn.XMATCH(B2948,ZZZ_Part_Id_[[#All],[FGCODE]])))</f>
        <v>1</v>
      </c>
    </row>
    <row r="2949" spans="1:14" x14ac:dyDescent="0.3">
      <c r="A2949" s="2" t="s">
        <v>13070</v>
      </c>
      <c r="B2949" s="2" t="s">
        <v>11241</v>
      </c>
      <c r="C2949" s="2" t="s">
        <v>13083</v>
      </c>
      <c r="D2949" s="3">
        <v>101520</v>
      </c>
      <c r="E2949" s="3">
        <v>101520</v>
      </c>
      <c r="F2949" s="2" t="s">
        <v>16</v>
      </c>
      <c r="G2949" s="2" t="s">
        <v>13084</v>
      </c>
      <c r="H2949" s="3">
        <v>0</v>
      </c>
      <c r="I2949" s="2" t="s">
        <v>409</v>
      </c>
      <c r="J2949" s="2" t="s">
        <v>13085</v>
      </c>
      <c r="K2949" s="2" t="s">
        <v>16</v>
      </c>
      <c r="L2949" s="2" t="s">
        <v>13086</v>
      </c>
      <c r="M2949" s="4">
        <v>6273.92</v>
      </c>
      <c r="N2949" t="b">
        <f>OR(LEFT(B2949,3)="frg",(_xlfn.XMATCH(B2949,ZZZ_Part_Id_[[#All],[FGCODE]])))</f>
        <v>1</v>
      </c>
    </row>
    <row r="2950" spans="1:14" x14ac:dyDescent="0.3">
      <c r="A2950" s="2" t="s">
        <v>13087</v>
      </c>
      <c r="B2950" s="2" t="s">
        <v>103</v>
      </c>
      <c r="C2950" s="2" t="s">
        <v>13088</v>
      </c>
      <c r="D2950" s="3">
        <v>42840</v>
      </c>
      <c r="E2950" s="3">
        <v>42840</v>
      </c>
      <c r="F2950" s="2" t="s">
        <v>16</v>
      </c>
      <c r="G2950" s="2" t="s">
        <v>13089</v>
      </c>
      <c r="H2950" s="3">
        <v>0</v>
      </c>
      <c r="I2950" s="2" t="s">
        <v>18</v>
      </c>
      <c r="J2950" s="2" t="s">
        <v>13090</v>
      </c>
      <c r="K2950" s="2" t="s">
        <v>16</v>
      </c>
      <c r="L2950" s="2" t="s">
        <v>13091</v>
      </c>
      <c r="M2950" s="4">
        <v>8577.84</v>
      </c>
      <c r="N2950" t="b">
        <f>OR(LEFT(B2950,3)="frg",(_xlfn.XMATCH(B2950,ZZZ_Part_Id_[[#All],[FGCODE]])))</f>
        <v>1</v>
      </c>
    </row>
    <row r="2951" spans="1:14" x14ac:dyDescent="0.3">
      <c r="A2951" s="2" t="s">
        <v>13092</v>
      </c>
      <c r="B2951" s="2" t="s">
        <v>759</v>
      </c>
      <c r="C2951" s="2" t="s">
        <v>13093</v>
      </c>
      <c r="D2951" s="3">
        <v>1</v>
      </c>
      <c r="E2951" s="3">
        <v>1</v>
      </c>
      <c r="F2951" s="2" t="s">
        <v>16</v>
      </c>
      <c r="G2951" s="2" t="s">
        <v>131</v>
      </c>
      <c r="H2951" s="3">
        <v>0</v>
      </c>
      <c r="I2951" s="2" t="s">
        <v>18</v>
      </c>
      <c r="J2951" s="2" t="s">
        <v>13094</v>
      </c>
      <c r="K2951" s="2" t="s">
        <v>16</v>
      </c>
      <c r="L2951" s="2" t="s">
        <v>13095</v>
      </c>
      <c r="M2951" s="4">
        <v>4.53</v>
      </c>
      <c r="N2951" t="e">
        <f>OR(LEFT(B2951,3)="frg",(_xlfn.XMATCH(B2951,ZZZ_Part_Id_[[#All],[FGCODE]])))</f>
        <v>#N/A</v>
      </c>
    </row>
    <row r="2952" spans="1:14" x14ac:dyDescent="0.3">
      <c r="A2952" s="2" t="s">
        <v>13092</v>
      </c>
      <c r="B2952" s="2" t="s">
        <v>13096</v>
      </c>
      <c r="C2952" s="2" t="s">
        <v>13097</v>
      </c>
      <c r="D2952" s="3">
        <v>2000</v>
      </c>
      <c r="E2952" s="3">
        <v>2000</v>
      </c>
      <c r="F2952" s="2" t="s">
        <v>16</v>
      </c>
      <c r="G2952" s="2" t="s">
        <v>131</v>
      </c>
      <c r="H2952" s="3">
        <v>0</v>
      </c>
      <c r="I2952" s="2" t="s">
        <v>18</v>
      </c>
      <c r="J2952" s="2" t="s">
        <v>13098</v>
      </c>
      <c r="K2952" s="2" t="s">
        <v>16</v>
      </c>
      <c r="L2952" s="2" t="s">
        <v>13099</v>
      </c>
      <c r="M2952" s="4">
        <v>294.94</v>
      </c>
      <c r="N2952" t="b">
        <f>OR(LEFT(B2952,3)="frg",(_xlfn.XMATCH(B2952,ZZZ_Part_Id_[[#All],[FGCODE]])))</f>
        <v>1</v>
      </c>
    </row>
    <row r="2953" spans="1:14" x14ac:dyDescent="0.3">
      <c r="A2953" s="2" t="s">
        <v>13100</v>
      </c>
      <c r="B2953" s="2" t="s">
        <v>14</v>
      </c>
      <c r="C2953" s="2" t="s">
        <v>13101</v>
      </c>
      <c r="D2953" s="3">
        <v>140</v>
      </c>
      <c r="E2953" s="3">
        <v>140</v>
      </c>
      <c r="F2953" s="2" t="s">
        <v>16</v>
      </c>
      <c r="G2953" s="2" t="s">
        <v>13102</v>
      </c>
      <c r="H2953" s="3">
        <v>0</v>
      </c>
      <c r="I2953" s="2" t="s">
        <v>409</v>
      </c>
      <c r="J2953" s="2" t="s">
        <v>13103</v>
      </c>
      <c r="K2953" s="2" t="s">
        <v>16</v>
      </c>
      <c r="L2953" s="2" t="s">
        <v>13104</v>
      </c>
      <c r="M2953" s="4">
        <v>10.77</v>
      </c>
      <c r="N2953" t="e">
        <f>OR(LEFT(B2953,3)="frg",(_xlfn.XMATCH(B2953,ZZZ_Part_Id_[[#All],[FGCODE]])))</f>
        <v>#N/A</v>
      </c>
    </row>
    <row r="2954" spans="1:14" x14ac:dyDescent="0.3">
      <c r="A2954" s="2" t="s">
        <v>13100</v>
      </c>
      <c r="B2954" s="2" t="s">
        <v>5357</v>
      </c>
      <c r="C2954" s="2" t="s">
        <v>13105</v>
      </c>
      <c r="D2954" s="3">
        <v>755136</v>
      </c>
      <c r="E2954" s="3">
        <v>755136</v>
      </c>
      <c r="F2954" s="2" t="s">
        <v>16</v>
      </c>
      <c r="G2954" s="2" t="s">
        <v>13106</v>
      </c>
      <c r="H2954" s="3">
        <v>0</v>
      </c>
      <c r="I2954" s="2" t="s">
        <v>409</v>
      </c>
      <c r="J2954" s="2" t="s">
        <v>13107</v>
      </c>
      <c r="K2954" s="2" t="s">
        <v>16</v>
      </c>
      <c r="L2954" s="2" t="s">
        <v>13108</v>
      </c>
      <c r="M2954" s="4">
        <v>225438.42</v>
      </c>
      <c r="N2954" t="b">
        <f>OR(LEFT(B2954,3)="frg",(_xlfn.XMATCH(B2954,ZZZ_Part_Id_[[#All],[FGCODE]])))</f>
        <v>1</v>
      </c>
    </row>
    <row r="2955" spans="1:14" x14ac:dyDescent="0.3">
      <c r="A2955" s="2" t="s">
        <v>13109</v>
      </c>
      <c r="B2955" s="2" t="s">
        <v>14</v>
      </c>
      <c r="C2955" s="2" t="s">
        <v>13110</v>
      </c>
      <c r="D2955" s="3">
        <v>140</v>
      </c>
      <c r="E2955" s="3">
        <v>140</v>
      </c>
      <c r="F2955" s="2" t="s">
        <v>16</v>
      </c>
      <c r="G2955" s="2" t="s">
        <v>13111</v>
      </c>
      <c r="H2955" s="3">
        <v>0</v>
      </c>
      <c r="I2955" s="2" t="s">
        <v>18</v>
      </c>
      <c r="J2955" s="2" t="s">
        <v>13112</v>
      </c>
      <c r="K2955" s="2" t="s">
        <v>16</v>
      </c>
      <c r="L2955" s="2" t="s">
        <v>13113</v>
      </c>
      <c r="M2955" s="4">
        <v>10.77</v>
      </c>
      <c r="N2955" t="e">
        <f>OR(LEFT(B2955,3)="frg",(_xlfn.XMATCH(B2955,ZZZ_Part_Id_[[#All],[FGCODE]])))</f>
        <v>#N/A</v>
      </c>
    </row>
    <row r="2956" spans="1:14" x14ac:dyDescent="0.3">
      <c r="A2956" s="2" t="s">
        <v>13109</v>
      </c>
      <c r="B2956" s="2" t="s">
        <v>740</v>
      </c>
      <c r="C2956" s="2" t="s">
        <v>13114</v>
      </c>
      <c r="D2956" s="3">
        <v>509760</v>
      </c>
      <c r="E2956" s="3">
        <v>509760</v>
      </c>
      <c r="F2956" s="2" t="s">
        <v>16</v>
      </c>
      <c r="G2956" s="2" t="s">
        <v>13115</v>
      </c>
      <c r="H2956" s="3">
        <v>0</v>
      </c>
      <c r="I2956" s="2" t="s">
        <v>18</v>
      </c>
      <c r="J2956" s="2" t="s">
        <v>13116</v>
      </c>
      <c r="K2956" s="2" t="s">
        <v>16</v>
      </c>
      <c r="L2956" s="2" t="s">
        <v>13117</v>
      </c>
      <c r="M2956" s="4">
        <v>101345.28</v>
      </c>
      <c r="N2956" t="b">
        <f>OR(LEFT(B2956,3)="frg",(_xlfn.XMATCH(B2956,ZZZ_Part_Id_[[#All],[FGCODE]])))</f>
        <v>1</v>
      </c>
    </row>
    <row r="2957" spans="1:14" x14ac:dyDescent="0.3">
      <c r="A2957" s="2" t="s">
        <v>13118</v>
      </c>
      <c r="B2957" s="2" t="s">
        <v>2803</v>
      </c>
      <c r="C2957" s="2" t="s">
        <v>13119</v>
      </c>
      <c r="D2957" s="3">
        <v>40320</v>
      </c>
      <c r="E2957" s="3">
        <v>40320</v>
      </c>
      <c r="F2957" s="2" t="s">
        <v>16</v>
      </c>
      <c r="G2957" s="2" t="s">
        <v>13120</v>
      </c>
      <c r="H2957" s="3">
        <v>0</v>
      </c>
      <c r="I2957" s="2" t="s">
        <v>18</v>
      </c>
      <c r="J2957" s="2" t="s">
        <v>13121</v>
      </c>
      <c r="K2957" s="2" t="s">
        <v>16</v>
      </c>
      <c r="L2957" s="2" t="s">
        <v>13122</v>
      </c>
      <c r="M2957" s="4">
        <v>7520.48</v>
      </c>
      <c r="N2957" t="b">
        <f>OR(LEFT(B2957,3)="frg",(_xlfn.XMATCH(B2957,ZZZ_Part_Id_[[#All],[FGCODE]])))</f>
        <v>1</v>
      </c>
    </row>
    <row r="2958" spans="1:14" x14ac:dyDescent="0.3">
      <c r="A2958" s="2" t="s">
        <v>13123</v>
      </c>
      <c r="B2958" s="2" t="s">
        <v>103</v>
      </c>
      <c r="C2958" s="2" t="s">
        <v>13124</v>
      </c>
      <c r="D2958" s="3">
        <v>10620</v>
      </c>
      <c r="E2958" s="3">
        <v>10260</v>
      </c>
      <c r="F2958" s="2" t="s">
        <v>16</v>
      </c>
      <c r="G2958" s="2" t="s">
        <v>13125</v>
      </c>
      <c r="H2958" s="3">
        <v>0</v>
      </c>
      <c r="I2958" s="2" t="s">
        <v>18</v>
      </c>
      <c r="J2958" s="2" t="s">
        <v>13126</v>
      </c>
      <c r="K2958" s="2" t="s">
        <v>16</v>
      </c>
      <c r="L2958" s="2" t="s">
        <v>13127</v>
      </c>
      <c r="M2958" s="4">
        <v>2054.35</v>
      </c>
      <c r="N2958" t="b">
        <f>OR(LEFT(B2958,3)="frg",(_xlfn.XMATCH(B2958,ZZZ_Part_Id_[[#All],[FGCODE]])))</f>
        <v>1</v>
      </c>
    </row>
    <row r="2959" spans="1:14" x14ac:dyDescent="0.3">
      <c r="A2959" s="2" t="s">
        <v>13128</v>
      </c>
      <c r="B2959" s="2" t="s">
        <v>103</v>
      </c>
      <c r="C2959" s="2" t="s">
        <v>13129</v>
      </c>
      <c r="D2959" s="3">
        <v>10620</v>
      </c>
      <c r="E2959" s="3">
        <v>10620</v>
      </c>
      <c r="F2959" s="2" t="s">
        <v>16</v>
      </c>
      <c r="G2959" s="2" t="s">
        <v>13130</v>
      </c>
      <c r="H2959" s="3">
        <v>0</v>
      </c>
      <c r="I2959" s="2" t="s">
        <v>18</v>
      </c>
      <c r="J2959" s="2" t="s">
        <v>13131</v>
      </c>
      <c r="K2959" s="2" t="s">
        <v>16</v>
      </c>
      <c r="L2959" s="2" t="s">
        <v>13132</v>
      </c>
      <c r="M2959" s="4">
        <v>2126.44</v>
      </c>
      <c r="N2959" t="b">
        <f>OR(LEFT(B2959,3)="frg",(_xlfn.XMATCH(B2959,ZZZ_Part_Id_[[#All],[FGCODE]])))</f>
        <v>1</v>
      </c>
    </row>
    <row r="2960" spans="1:14" x14ac:dyDescent="0.3">
      <c r="A2960" s="2" t="s">
        <v>13133</v>
      </c>
      <c r="B2960" s="2" t="s">
        <v>5357</v>
      </c>
      <c r="C2960" s="2" t="s">
        <v>13134</v>
      </c>
      <c r="D2960" s="3">
        <v>139104</v>
      </c>
      <c r="E2960" s="3">
        <v>139104</v>
      </c>
      <c r="F2960" s="2" t="s">
        <v>16</v>
      </c>
      <c r="G2960" s="2" t="s">
        <v>13135</v>
      </c>
      <c r="H2960" s="3">
        <v>0</v>
      </c>
      <c r="I2960" s="2" t="s">
        <v>18</v>
      </c>
      <c r="J2960" s="2" t="s">
        <v>13136</v>
      </c>
      <c r="K2960" s="2" t="s">
        <v>16</v>
      </c>
      <c r="L2960" s="2" t="s">
        <v>13137</v>
      </c>
      <c r="M2960" s="4">
        <v>41528.129999999997</v>
      </c>
      <c r="N2960" t="b">
        <f>OR(LEFT(B2960,3)="frg",(_xlfn.XMATCH(B2960,ZZZ_Part_Id_[[#All],[FGCODE]])))</f>
        <v>1</v>
      </c>
    </row>
    <row r="2961" spans="1:14" x14ac:dyDescent="0.3">
      <c r="A2961" s="2" t="s">
        <v>13138</v>
      </c>
      <c r="B2961" s="2" t="s">
        <v>14</v>
      </c>
      <c r="C2961" s="2" t="s">
        <v>13139</v>
      </c>
      <c r="D2961" s="3">
        <v>10</v>
      </c>
      <c r="E2961" s="3">
        <v>10</v>
      </c>
      <c r="F2961" s="2" t="s">
        <v>16</v>
      </c>
      <c r="G2961" s="2" t="s">
        <v>13140</v>
      </c>
      <c r="H2961" s="3">
        <v>0</v>
      </c>
      <c r="I2961" s="2" t="s">
        <v>18</v>
      </c>
      <c r="J2961" s="2" t="s">
        <v>13141</v>
      </c>
      <c r="K2961" s="2" t="s">
        <v>16</v>
      </c>
      <c r="L2961" s="2" t="s">
        <v>13142</v>
      </c>
      <c r="M2961" s="4">
        <v>0.77</v>
      </c>
      <c r="N2961" t="e">
        <f>OR(LEFT(B2961,3)="frg",(_xlfn.XMATCH(B2961,ZZZ_Part_Id_[[#All],[FGCODE]])))</f>
        <v>#N/A</v>
      </c>
    </row>
    <row r="2962" spans="1:14" x14ac:dyDescent="0.3">
      <c r="A2962" s="2" t="s">
        <v>13138</v>
      </c>
      <c r="B2962" s="2" t="s">
        <v>797</v>
      </c>
      <c r="C2962" s="2" t="s">
        <v>13143</v>
      </c>
      <c r="D2962" s="3">
        <v>149400</v>
      </c>
      <c r="E2962" s="3">
        <v>149400</v>
      </c>
      <c r="F2962" s="2" t="s">
        <v>16</v>
      </c>
      <c r="G2962" s="2" t="s">
        <v>13144</v>
      </c>
      <c r="H2962" s="3">
        <v>0</v>
      </c>
      <c r="I2962" s="2" t="s">
        <v>18</v>
      </c>
      <c r="J2962" s="2" t="s">
        <v>13145</v>
      </c>
      <c r="K2962" s="2" t="s">
        <v>16</v>
      </c>
      <c r="L2962" s="2" t="s">
        <v>13146</v>
      </c>
      <c r="M2962" s="4">
        <v>8073.6</v>
      </c>
      <c r="N2962" t="b">
        <f>OR(LEFT(B2962,3)="frg",(_xlfn.XMATCH(B2962,ZZZ_Part_Id_[[#All],[FGCODE]])))</f>
        <v>1</v>
      </c>
    </row>
    <row r="2963" spans="1:14" x14ac:dyDescent="0.3">
      <c r="A2963" s="2" t="s">
        <v>13147</v>
      </c>
      <c r="B2963" s="2" t="s">
        <v>1170</v>
      </c>
      <c r="C2963" s="2" t="s">
        <v>13148</v>
      </c>
      <c r="D2963" s="3">
        <v>19200</v>
      </c>
      <c r="E2963" s="3">
        <v>19200</v>
      </c>
      <c r="F2963" s="2" t="s">
        <v>16</v>
      </c>
      <c r="G2963" s="2" t="s">
        <v>13149</v>
      </c>
      <c r="H2963" s="3">
        <v>0</v>
      </c>
      <c r="I2963" s="2" t="s">
        <v>18</v>
      </c>
      <c r="J2963" s="2" t="s">
        <v>13150</v>
      </c>
      <c r="K2963" s="2" t="s">
        <v>16</v>
      </c>
      <c r="L2963" s="2" t="s">
        <v>13151</v>
      </c>
      <c r="M2963" s="4">
        <v>6645.12</v>
      </c>
      <c r="N2963" t="b">
        <f>OR(LEFT(B2963,3)="frg",(_xlfn.XMATCH(B2963,ZZZ_Part_Id_[[#All],[FGCODE]])))</f>
        <v>1</v>
      </c>
    </row>
    <row r="2964" spans="1:14" x14ac:dyDescent="0.3">
      <c r="A2964" s="2" t="s">
        <v>13152</v>
      </c>
      <c r="B2964" s="2" t="s">
        <v>14</v>
      </c>
      <c r="C2964" s="2" t="s">
        <v>13153</v>
      </c>
      <c r="D2964" s="3">
        <v>140</v>
      </c>
      <c r="E2964" s="3">
        <v>140</v>
      </c>
      <c r="F2964" s="2" t="s">
        <v>16</v>
      </c>
      <c r="G2964" s="2" t="s">
        <v>13154</v>
      </c>
      <c r="H2964" s="3">
        <v>0</v>
      </c>
      <c r="I2964" s="2" t="s">
        <v>18</v>
      </c>
      <c r="J2964" s="2" t="s">
        <v>13155</v>
      </c>
      <c r="K2964" s="2" t="s">
        <v>16</v>
      </c>
      <c r="L2964" s="2" t="s">
        <v>13156</v>
      </c>
      <c r="M2964" s="4">
        <v>10.77</v>
      </c>
      <c r="N2964" t="e">
        <f>OR(LEFT(B2964,3)="frg",(_xlfn.XMATCH(B2964,ZZZ_Part_Id_[[#All],[FGCODE]])))</f>
        <v>#N/A</v>
      </c>
    </row>
    <row r="2965" spans="1:14" x14ac:dyDescent="0.3">
      <c r="A2965" s="2" t="s">
        <v>13152</v>
      </c>
      <c r="B2965" s="2" t="s">
        <v>1027</v>
      </c>
      <c r="C2965" s="2" t="s">
        <v>13157</v>
      </c>
      <c r="D2965" s="3">
        <v>509760</v>
      </c>
      <c r="E2965" s="3">
        <v>509760</v>
      </c>
      <c r="F2965" s="2" t="s">
        <v>16</v>
      </c>
      <c r="G2965" s="2" t="s">
        <v>13158</v>
      </c>
      <c r="H2965" s="3">
        <v>0</v>
      </c>
      <c r="I2965" s="2" t="s">
        <v>18</v>
      </c>
      <c r="J2965" s="2" t="s">
        <v>13159</v>
      </c>
      <c r="K2965" s="2" t="s">
        <v>16</v>
      </c>
      <c r="L2965" s="2" t="s">
        <v>13160</v>
      </c>
      <c r="M2965" s="4">
        <v>102696.48</v>
      </c>
      <c r="N2965" t="b">
        <f>OR(LEFT(B2965,3)="frg",(_xlfn.XMATCH(B2965,ZZZ_Part_Id_[[#All],[FGCODE]])))</f>
        <v>1</v>
      </c>
    </row>
    <row r="2966" spans="1:14" x14ac:dyDescent="0.3">
      <c r="A2966" s="2" t="s">
        <v>13161</v>
      </c>
      <c r="B2966" s="2" t="s">
        <v>14</v>
      </c>
      <c r="C2966" s="2" t="s">
        <v>13162</v>
      </c>
      <c r="D2966" s="3">
        <v>40</v>
      </c>
      <c r="E2966" s="3">
        <v>40</v>
      </c>
      <c r="F2966" s="2" t="s">
        <v>16</v>
      </c>
      <c r="G2966" s="2" t="s">
        <v>13163</v>
      </c>
      <c r="H2966" s="3">
        <v>0</v>
      </c>
      <c r="I2966" s="2" t="s">
        <v>18</v>
      </c>
      <c r="J2966" s="2" t="s">
        <v>13164</v>
      </c>
      <c r="K2966" s="2" t="s">
        <v>16</v>
      </c>
      <c r="L2966" s="2" t="s">
        <v>13165</v>
      </c>
      <c r="M2966" s="4">
        <v>3.08</v>
      </c>
      <c r="N2966" t="e">
        <f>OR(LEFT(B2966,3)="frg",(_xlfn.XMATCH(B2966,ZZZ_Part_Id_[[#All],[FGCODE]])))</f>
        <v>#N/A</v>
      </c>
    </row>
    <row r="2967" spans="1:14" x14ac:dyDescent="0.3">
      <c r="A2967" s="2" t="s">
        <v>13161</v>
      </c>
      <c r="B2967" s="2" t="s">
        <v>517</v>
      </c>
      <c r="C2967" s="2" t="s">
        <v>13166</v>
      </c>
      <c r="D2967" s="3">
        <v>463680</v>
      </c>
      <c r="E2967" s="3">
        <v>463680</v>
      </c>
      <c r="F2967" s="2" t="s">
        <v>16</v>
      </c>
      <c r="G2967" s="2" t="s">
        <v>13167</v>
      </c>
      <c r="H2967" s="3">
        <v>0</v>
      </c>
      <c r="I2967" s="2" t="s">
        <v>18</v>
      </c>
      <c r="J2967" s="2" t="s">
        <v>13168</v>
      </c>
      <c r="K2967" s="2" t="s">
        <v>16</v>
      </c>
      <c r="L2967" s="2" t="s">
        <v>13169</v>
      </c>
      <c r="M2967" s="4">
        <v>84389.759999999995</v>
      </c>
      <c r="N2967" t="b">
        <f>OR(LEFT(B2967,3)="frg",(_xlfn.XMATCH(B2967,ZZZ_Part_Id_[[#All],[FGCODE]])))</f>
        <v>1</v>
      </c>
    </row>
    <row r="2968" spans="1:14" x14ac:dyDescent="0.3">
      <c r="A2968" s="2" t="s">
        <v>13170</v>
      </c>
      <c r="B2968" s="2" t="s">
        <v>1170</v>
      </c>
      <c r="C2968" s="2" t="s">
        <v>13171</v>
      </c>
      <c r="D2968" s="3">
        <v>19200</v>
      </c>
      <c r="E2968" s="3">
        <v>19200</v>
      </c>
      <c r="F2968" s="2" t="s">
        <v>16</v>
      </c>
      <c r="G2968" s="2" t="s">
        <v>13172</v>
      </c>
      <c r="H2968" s="3">
        <v>0</v>
      </c>
      <c r="I2968" s="2" t="s">
        <v>18</v>
      </c>
      <c r="J2968" s="2" t="s">
        <v>13173</v>
      </c>
      <c r="K2968" s="2" t="s">
        <v>16</v>
      </c>
      <c r="L2968" s="2" t="s">
        <v>13174</v>
      </c>
      <c r="M2968" s="4">
        <v>6645.12</v>
      </c>
      <c r="N2968" t="b">
        <f>OR(LEFT(B2968,3)="frg",(_xlfn.XMATCH(B2968,ZZZ_Part_Id_[[#All],[FGCODE]])))</f>
        <v>1</v>
      </c>
    </row>
    <row r="2969" spans="1:14" x14ac:dyDescent="0.3">
      <c r="A2969" s="2" t="s">
        <v>13175</v>
      </c>
      <c r="B2969" s="2" t="s">
        <v>1667</v>
      </c>
      <c r="C2969" s="2" t="s">
        <v>13176</v>
      </c>
      <c r="D2969" s="3">
        <v>62640</v>
      </c>
      <c r="E2969" s="3">
        <v>62640</v>
      </c>
      <c r="F2969" s="2" t="s">
        <v>16</v>
      </c>
      <c r="G2969" s="2" t="s">
        <v>13177</v>
      </c>
      <c r="H2969" s="3">
        <v>0</v>
      </c>
      <c r="I2969" s="2" t="s">
        <v>409</v>
      </c>
      <c r="J2969" s="2" t="s">
        <v>13178</v>
      </c>
      <c r="K2969" s="2" t="s">
        <v>16</v>
      </c>
      <c r="L2969" s="2" t="s">
        <v>13179</v>
      </c>
      <c r="M2969" s="4">
        <v>5107.68</v>
      </c>
      <c r="N2969" t="b">
        <f>OR(LEFT(B2969,3)="frg",(_xlfn.XMATCH(B2969,ZZZ_Part_Id_[[#All],[FGCODE]])))</f>
        <v>1</v>
      </c>
    </row>
    <row r="2970" spans="1:14" x14ac:dyDescent="0.3">
      <c r="A2970" s="2" t="s">
        <v>13180</v>
      </c>
      <c r="B2970" s="2" t="s">
        <v>4511</v>
      </c>
      <c r="C2970" s="2" t="s">
        <v>13181</v>
      </c>
      <c r="D2970" s="3">
        <v>89640</v>
      </c>
      <c r="E2970" s="3">
        <v>89640</v>
      </c>
      <c r="F2970" s="2" t="s">
        <v>16</v>
      </c>
      <c r="G2970" s="2" t="s">
        <v>13182</v>
      </c>
      <c r="H2970" s="3">
        <v>0</v>
      </c>
      <c r="I2970" s="2" t="s">
        <v>409</v>
      </c>
      <c r="J2970" s="2" t="s">
        <v>13183</v>
      </c>
      <c r="K2970" s="2" t="s">
        <v>16</v>
      </c>
      <c r="L2970" s="2" t="s">
        <v>13184</v>
      </c>
      <c r="M2970" s="4">
        <v>4968.75</v>
      </c>
      <c r="N2970" t="b">
        <f>OR(LEFT(B2970,3)="frg",(_xlfn.XMATCH(B2970,ZZZ_Part_Id_[[#All],[FGCODE]])))</f>
        <v>1</v>
      </c>
    </row>
    <row r="2971" spans="1:14" x14ac:dyDescent="0.3">
      <c r="A2971" s="2" t="s">
        <v>13185</v>
      </c>
      <c r="B2971" s="2" t="s">
        <v>1027</v>
      </c>
      <c r="C2971" s="2" t="s">
        <v>13186</v>
      </c>
      <c r="D2971" s="3">
        <v>10620</v>
      </c>
      <c r="E2971" s="3">
        <v>10620</v>
      </c>
      <c r="F2971" s="2" t="s">
        <v>16</v>
      </c>
      <c r="G2971" s="2" t="s">
        <v>13187</v>
      </c>
      <c r="H2971" s="3">
        <v>0</v>
      </c>
      <c r="I2971" s="2" t="s">
        <v>18</v>
      </c>
      <c r="J2971" s="2" t="s">
        <v>13188</v>
      </c>
      <c r="K2971" s="2" t="s">
        <v>16</v>
      </c>
      <c r="L2971" s="2" t="s">
        <v>13189</v>
      </c>
      <c r="M2971" s="4">
        <v>2139.5100000000002</v>
      </c>
      <c r="N2971" t="b">
        <f>OR(LEFT(B2971,3)="frg",(_xlfn.XMATCH(B2971,ZZZ_Part_Id_[[#All],[FGCODE]])))</f>
        <v>1</v>
      </c>
    </row>
    <row r="2972" spans="1:14" x14ac:dyDescent="0.3">
      <c r="A2972" s="2" t="s">
        <v>13190</v>
      </c>
      <c r="B2972" s="2" t="s">
        <v>14</v>
      </c>
      <c r="C2972" s="2" t="s">
        <v>13191</v>
      </c>
      <c r="D2972" s="3">
        <v>64</v>
      </c>
      <c r="E2972" s="3">
        <v>64</v>
      </c>
      <c r="F2972" s="2" t="s">
        <v>16</v>
      </c>
      <c r="G2972" s="2" t="s">
        <v>13192</v>
      </c>
      <c r="H2972" s="3">
        <v>0</v>
      </c>
      <c r="I2972" s="2" t="s">
        <v>18</v>
      </c>
      <c r="J2972" s="2" t="s">
        <v>13193</v>
      </c>
      <c r="K2972" s="2" t="s">
        <v>16</v>
      </c>
      <c r="L2972" s="2" t="s">
        <v>13194</v>
      </c>
      <c r="M2972" s="4">
        <v>4.92</v>
      </c>
      <c r="N2972" t="e">
        <f>OR(LEFT(B2972,3)="frg",(_xlfn.XMATCH(B2972,ZZZ_Part_Id_[[#All],[FGCODE]])))</f>
        <v>#N/A</v>
      </c>
    </row>
    <row r="2973" spans="1:14" x14ac:dyDescent="0.3">
      <c r="A2973" s="2" t="s">
        <v>13190</v>
      </c>
      <c r="B2973" s="2" t="s">
        <v>517</v>
      </c>
      <c r="C2973" s="2" t="s">
        <v>13195</v>
      </c>
      <c r="D2973" s="3">
        <v>483840</v>
      </c>
      <c r="E2973" s="3">
        <v>483840</v>
      </c>
      <c r="F2973" s="2" t="s">
        <v>16</v>
      </c>
      <c r="G2973" s="2" t="s">
        <v>13196</v>
      </c>
      <c r="H2973" s="3">
        <v>0</v>
      </c>
      <c r="I2973" s="2" t="s">
        <v>18</v>
      </c>
      <c r="J2973" s="2" t="s">
        <v>13197</v>
      </c>
      <c r="K2973" s="2" t="s">
        <v>16</v>
      </c>
      <c r="L2973" s="2" t="s">
        <v>13198</v>
      </c>
      <c r="M2973" s="4">
        <v>88058.880000000005</v>
      </c>
      <c r="N2973" t="b">
        <f>OR(LEFT(B2973,3)="frg",(_xlfn.XMATCH(B2973,ZZZ_Part_Id_[[#All],[FGCODE]])))</f>
        <v>1</v>
      </c>
    </row>
    <row r="2974" spans="1:14" x14ac:dyDescent="0.3">
      <c r="A2974" s="2" t="s">
        <v>13199</v>
      </c>
      <c r="B2974" s="2" t="s">
        <v>14</v>
      </c>
      <c r="C2974" s="2" t="s">
        <v>13200</v>
      </c>
      <c r="D2974" s="3">
        <v>140</v>
      </c>
      <c r="E2974" s="3">
        <v>140</v>
      </c>
      <c r="F2974" s="2" t="s">
        <v>16</v>
      </c>
      <c r="G2974" s="2" t="s">
        <v>13201</v>
      </c>
      <c r="H2974" s="3">
        <v>0</v>
      </c>
      <c r="I2974" s="2" t="s">
        <v>18</v>
      </c>
      <c r="J2974" s="2" t="s">
        <v>13202</v>
      </c>
      <c r="K2974" s="2" t="s">
        <v>16</v>
      </c>
      <c r="L2974" s="2" t="s">
        <v>13203</v>
      </c>
      <c r="M2974" s="4">
        <v>10.77</v>
      </c>
      <c r="N2974" t="e">
        <f>OR(LEFT(B2974,3)="frg",(_xlfn.XMATCH(B2974,ZZZ_Part_Id_[[#All],[FGCODE]])))</f>
        <v>#N/A</v>
      </c>
    </row>
    <row r="2975" spans="1:14" x14ac:dyDescent="0.3">
      <c r="A2975" s="2" t="s">
        <v>13199</v>
      </c>
      <c r="B2975" s="2" t="s">
        <v>11068</v>
      </c>
      <c r="C2975" s="2" t="s">
        <v>13204</v>
      </c>
      <c r="D2975" s="3">
        <v>1019520</v>
      </c>
      <c r="E2975" s="3">
        <v>1019520</v>
      </c>
      <c r="F2975" s="2" t="s">
        <v>16</v>
      </c>
      <c r="G2975" s="2" t="s">
        <v>13205</v>
      </c>
      <c r="H2975" s="3">
        <v>0</v>
      </c>
      <c r="I2975" s="2" t="s">
        <v>18</v>
      </c>
      <c r="J2975" s="2" t="s">
        <v>13206</v>
      </c>
      <c r="K2975" s="2" t="s">
        <v>16</v>
      </c>
      <c r="L2975" s="2" t="s">
        <v>13207</v>
      </c>
      <c r="M2975" s="4">
        <v>193249.92000000001</v>
      </c>
      <c r="N2975" t="b">
        <f>OR(LEFT(B2975,3)="frg",(_xlfn.XMATCH(B2975,ZZZ_Part_Id_[[#All],[FGCODE]])))</f>
        <v>1</v>
      </c>
    </row>
    <row r="2976" spans="1:14" x14ac:dyDescent="0.3">
      <c r="A2976" s="2" t="s">
        <v>13208</v>
      </c>
      <c r="B2976" s="2" t="s">
        <v>97</v>
      </c>
      <c r="C2976" s="2" t="s">
        <v>13209</v>
      </c>
      <c r="D2976" s="3">
        <v>273600</v>
      </c>
      <c r="E2976" s="3">
        <v>273600</v>
      </c>
      <c r="F2976" s="2" t="s">
        <v>16</v>
      </c>
      <c r="G2976" s="2" t="s">
        <v>13210</v>
      </c>
      <c r="H2976" s="3">
        <v>0</v>
      </c>
      <c r="I2976" s="2" t="s">
        <v>18</v>
      </c>
      <c r="J2976" s="2" t="s">
        <v>13211</v>
      </c>
      <c r="K2976" s="2" t="s">
        <v>16</v>
      </c>
      <c r="L2976" s="2" t="s">
        <v>13212</v>
      </c>
      <c r="M2976" s="4">
        <v>93877.86</v>
      </c>
      <c r="N2976" t="b">
        <f>OR(LEFT(B2976,3)="frg",(_xlfn.XMATCH(B2976,ZZZ_Part_Id_[[#All],[FGCODE]])))</f>
        <v>1</v>
      </c>
    </row>
    <row r="2977" spans="1:14" x14ac:dyDescent="0.3">
      <c r="A2977" s="2" t="s">
        <v>13208</v>
      </c>
      <c r="B2977" s="2" t="s">
        <v>14</v>
      </c>
      <c r="C2977" s="2" t="s">
        <v>13213</v>
      </c>
      <c r="D2977" s="3">
        <v>57</v>
      </c>
      <c r="E2977" s="3">
        <v>57</v>
      </c>
      <c r="F2977" s="2" t="s">
        <v>16</v>
      </c>
      <c r="G2977" s="2" t="s">
        <v>13214</v>
      </c>
      <c r="H2977" s="3">
        <v>0</v>
      </c>
      <c r="I2977" s="2" t="s">
        <v>18</v>
      </c>
      <c r="J2977" s="2" t="s">
        <v>13215</v>
      </c>
      <c r="K2977" s="2" t="s">
        <v>16</v>
      </c>
      <c r="L2977" s="2" t="s">
        <v>13216</v>
      </c>
      <c r="M2977" s="4">
        <v>4.3899999999999997</v>
      </c>
      <c r="N2977" t="e">
        <f>OR(LEFT(B2977,3)="frg",(_xlfn.XMATCH(B2977,ZZZ_Part_Id_[[#All],[FGCODE]])))</f>
        <v>#N/A</v>
      </c>
    </row>
    <row r="2978" spans="1:14" x14ac:dyDescent="0.3">
      <c r="A2978" s="2" t="s">
        <v>13208</v>
      </c>
      <c r="B2978" s="2" t="s">
        <v>140</v>
      </c>
      <c r="C2978" s="2" t="s">
        <v>13217</v>
      </c>
      <c r="D2978" s="3">
        <v>2.2799999999999998</v>
      </c>
      <c r="E2978" s="3">
        <v>2.2799999999999998</v>
      </c>
      <c r="F2978" s="2" t="s">
        <v>16</v>
      </c>
      <c r="G2978" s="2" t="s">
        <v>13218</v>
      </c>
      <c r="H2978" s="3">
        <v>0</v>
      </c>
      <c r="I2978" s="2" t="s">
        <v>18</v>
      </c>
      <c r="J2978" s="2" t="s">
        <v>13219</v>
      </c>
      <c r="K2978" s="2" t="s">
        <v>16</v>
      </c>
      <c r="L2978" s="2" t="s">
        <v>13220</v>
      </c>
      <c r="M2978" s="4">
        <v>5.01</v>
      </c>
      <c r="N2978" t="e">
        <f>OR(LEFT(B2978,3)="frg",(_xlfn.XMATCH(B2978,ZZZ_Part_Id_[[#All],[FGCODE]])))</f>
        <v>#N/A</v>
      </c>
    </row>
    <row r="2979" spans="1:14" x14ac:dyDescent="0.3">
      <c r="A2979" s="2" t="s">
        <v>13208</v>
      </c>
      <c r="B2979" s="2" t="s">
        <v>192</v>
      </c>
      <c r="C2979" s="2" t="s">
        <v>13221</v>
      </c>
      <c r="D2979" s="3">
        <v>0.56999999999999995</v>
      </c>
      <c r="E2979" s="3">
        <v>0.56999999999999995</v>
      </c>
      <c r="F2979" s="2" t="s">
        <v>194</v>
      </c>
      <c r="G2979" s="2" t="s">
        <v>13222</v>
      </c>
      <c r="H2979" s="3">
        <v>0</v>
      </c>
      <c r="I2979" s="2" t="s">
        <v>18</v>
      </c>
      <c r="J2979" s="2" t="s">
        <v>13223</v>
      </c>
      <c r="K2979" s="2" t="s">
        <v>194</v>
      </c>
      <c r="L2979" s="2" t="s">
        <v>13224</v>
      </c>
      <c r="M2979" s="4">
        <v>2.87</v>
      </c>
      <c r="N2979" t="e">
        <f>OR(LEFT(B2979,3)="frg",(_xlfn.XMATCH(B2979,ZZZ_Part_Id_[[#All],[FGCODE]])))</f>
        <v>#N/A</v>
      </c>
    </row>
    <row r="2980" spans="1:14" x14ac:dyDescent="0.3">
      <c r="A2980" s="2" t="s">
        <v>13225</v>
      </c>
      <c r="B2980" s="2" t="s">
        <v>91</v>
      </c>
      <c r="C2980" s="2" t="s">
        <v>13226</v>
      </c>
      <c r="D2980" s="3">
        <v>108000</v>
      </c>
      <c r="E2980" s="3">
        <v>108000</v>
      </c>
      <c r="F2980" s="2" t="s">
        <v>16</v>
      </c>
      <c r="G2980" s="2" t="s">
        <v>13227</v>
      </c>
      <c r="H2980" s="3">
        <v>0</v>
      </c>
      <c r="I2980" s="2" t="s">
        <v>18</v>
      </c>
      <c r="J2980" s="2" t="s">
        <v>13228</v>
      </c>
      <c r="K2980" s="2" t="s">
        <v>16</v>
      </c>
      <c r="L2980" s="2" t="s">
        <v>13229</v>
      </c>
      <c r="M2980" s="4">
        <v>6217.56</v>
      </c>
      <c r="N2980" t="b">
        <f>OR(LEFT(B2980,3)="frg",(_xlfn.XMATCH(B2980,ZZZ_Part_Id_[[#All],[FGCODE]])))</f>
        <v>1</v>
      </c>
    </row>
    <row r="2981" spans="1:14" x14ac:dyDescent="0.3">
      <c r="A2981" s="2" t="s">
        <v>13225</v>
      </c>
      <c r="B2981" s="2" t="s">
        <v>14</v>
      </c>
      <c r="C2981" s="2" t="s">
        <v>13230</v>
      </c>
      <c r="D2981" s="3">
        <v>4</v>
      </c>
      <c r="E2981" s="3">
        <v>4</v>
      </c>
      <c r="F2981" s="2" t="s">
        <v>16</v>
      </c>
      <c r="G2981" s="2" t="s">
        <v>13231</v>
      </c>
      <c r="H2981" s="3">
        <v>0</v>
      </c>
      <c r="I2981" s="2" t="s">
        <v>18</v>
      </c>
      <c r="J2981" s="2" t="s">
        <v>13232</v>
      </c>
      <c r="K2981" s="2" t="s">
        <v>16</v>
      </c>
      <c r="L2981" s="2" t="s">
        <v>13233</v>
      </c>
      <c r="M2981" s="4">
        <v>0.31</v>
      </c>
      <c r="N2981" t="e">
        <f>OR(LEFT(B2981,3)="frg",(_xlfn.XMATCH(B2981,ZZZ_Part_Id_[[#All],[FGCODE]])))</f>
        <v>#N/A</v>
      </c>
    </row>
    <row r="2982" spans="1:14" x14ac:dyDescent="0.3">
      <c r="A2982" s="2" t="s">
        <v>13225</v>
      </c>
      <c r="B2982" s="2" t="s">
        <v>140</v>
      </c>
      <c r="C2982" s="2" t="s">
        <v>13234</v>
      </c>
      <c r="D2982" s="3">
        <v>0.16</v>
      </c>
      <c r="E2982" s="3">
        <v>0.16</v>
      </c>
      <c r="F2982" s="2" t="s">
        <v>16</v>
      </c>
      <c r="G2982" s="2" t="s">
        <v>13235</v>
      </c>
      <c r="H2982" s="3">
        <v>0</v>
      </c>
      <c r="I2982" s="2" t="s">
        <v>18</v>
      </c>
      <c r="J2982" s="2" t="s">
        <v>13236</v>
      </c>
      <c r="K2982" s="2" t="s">
        <v>16</v>
      </c>
      <c r="L2982" s="2" t="s">
        <v>13237</v>
      </c>
      <c r="M2982" s="4">
        <v>0.35</v>
      </c>
      <c r="N2982" t="e">
        <f>OR(LEFT(B2982,3)="frg",(_xlfn.XMATCH(B2982,ZZZ_Part_Id_[[#All],[FGCODE]])))</f>
        <v>#N/A</v>
      </c>
    </row>
    <row r="2983" spans="1:14" x14ac:dyDescent="0.3">
      <c r="A2983" s="2" t="s">
        <v>13225</v>
      </c>
      <c r="B2983" s="2" t="s">
        <v>192</v>
      </c>
      <c r="C2983" s="2" t="s">
        <v>13238</v>
      </c>
      <c r="D2983" s="3">
        <v>0.04</v>
      </c>
      <c r="E2983" s="3">
        <v>0.04</v>
      </c>
      <c r="F2983" s="2" t="s">
        <v>194</v>
      </c>
      <c r="G2983" s="2" t="s">
        <v>13239</v>
      </c>
      <c r="H2983" s="3">
        <v>0</v>
      </c>
      <c r="I2983" s="2" t="s">
        <v>18</v>
      </c>
      <c r="J2983" s="2" t="s">
        <v>13240</v>
      </c>
      <c r="K2983" s="2" t="s">
        <v>194</v>
      </c>
      <c r="L2983" s="2" t="s">
        <v>13241</v>
      </c>
      <c r="M2983" s="4">
        <v>0.2</v>
      </c>
      <c r="N2983" t="e">
        <f>OR(LEFT(B2983,3)="frg",(_xlfn.XMATCH(B2983,ZZZ_Part_Id_[[#All],[FGCODE]])))</f>
        <v>#N/A</v>
      </c>
    </row>
    <row r="2984" spans="1:14" x14ac:dyDescent="0.3">
      <c r="A2984" s="2" t="s">
        <v>13242</v>
      </c>
      <c r="B2984" s="2" t="s">
        <v>5357</v>
      </c>
      <c r="C2984" s="2" t="s">
        <v>13243</v>
      </c>
      <c r="D2984" s="3">
        <v>635904</v>
      </c>
      <c r="E2984" s="3">
        <v>635904</v>
      </c>
      <c r="F2984" s="2" t="s">
        <v>16</v>
      </c>
      <c r="G2984" s="2" t="s">
        <v>13244</v>
      </c>
      <c r="H2984" s="3">
        <v>0</v>
      </c>
      <c r="I2984" s="2" t="s">
        <v>409</v>
      </c>
      <c r="J2984" s="2" t="s">
        <v>13245</v>
      </c>
      <c r="K2984" s="2" t="s">
        <v>16</v>
      </c>
      <c r="L2984" s="2" t="s">
        <v>13246</v>
      </c>
      <c r="M2984" s="4">
        <v>189995.51999999999</v>
      </c>
      <c r="N2984" t="b">
        <f>OR(LEFT(B2984,3)="frg",(_xlfn.XMATCH(B2984,ZZZ_Part_Id_[[#All],[FGCODE]])))</f>
        <v>1</v>
      </c>
    </row>
    <row r="2985" spans="1:14" x14ac:dyDescent="0.3">
      <c r="A2985" s="2" t="s">
        <v>13247</v>
      </c>
      <c r="B2985" s="2" t="s">
        <v>11068</v>
      </c>
      <c r="C2985" s="2" t="s">
        <v>13248</v>
      </c>
      <c r="D2985" s="3">
        <v>307980</v>
      </c>
      <c r="E2985" s="3">
        <v>307980</v>
      </c>
      <c r="F2985" s="2" t="s">
        <v>16</v>
      </c>
      <c r="G2985" s="2" t="s">
        <v>13249</v>
      </c>
      <c r="H2985" s="3">
        <v>0</v>
      </c>
      <c r="I2985" s="2" t="s">
        <v>409</v>
      </c>
      <c r="J2985" s="2" t="s">
        <v>13250</v>
      </c>
      <c r="K2985" s="2" t="s">
        <v>16</v>
      </c>
      <c r="L2985" s="2" t="s">
        <v>13251</v>
      </c>
      <c r="M2985" s="4">
        <v>58377.58</v>
      </c>
      <c r="N2985" t="b">
        <f>OR(LEFT(B2985,3)="frg",(_xlfn.XMATCH(B2985,ZZZ_Part_Id_[[#All],[FGCODE]])))</f>
        <v>1</v>
      </c>
    </row>
    <row r="2986" spans="1:14" x14ac:dyDescent="0.3">
      <c r="A2986" s="2" t="s">
        <v>13247</v>
      </c>
      <c r="B2986" s="2" t="s">
        <v>14</v>
      </c>
      <c r="C2986" s="2" t="s">
        <v>13252</v>
      </c>
      <c r="D2986" s="3">
        <v>29</v>
      </c>
      <c r="E2986" s="3">
        <v>29</v>
      </c>
      <c r="F2986" s="2" t="s">
        <v>16</v>
      </c>
      <c r="G2986" s="2" t="s">
        <v>13253</v>
      </c>
      <c r="H2986" s="3">
        <v>0</v>
      </c>
      <c r="I2986" s="2" t="s">
        <v>409</v>
      </c>
      <c r="J2986" s="2" t="s">
        <v>13254</v>
      </c>
      <c r="K2986" s="2" t="s">
        <v>16</v>
      </c>
      <c r="L2986" s="2" t="s">
        <v>13255</v>
      </c>
      <c r="M2986" s="4">
        <v>2.23</v>
      </c>
      <c r="N2986" t="e">
        <f>OR(LEFT(B2986,3)="frg",(_xlfn.XMATCH(B2986,ZZZ_Part_Id_[[#All],[FGCODE]])))</f>
        <v>#N/A</v>
      </c>
    </row>
    <row r="2987" spans="1:14" x14ac:dyDescent="0.3">
      <c r="A2987" s="2" t="s">
        <v>13247</v>
      </c>
      <c r="B2987" s="2" t="s">
        <v>140</v>
      </c>
      <c r="C2987" s="2" t="s">
        <v>13256</v>
      </c>
      <c r="D2987" s="3">
        <v>1.1599999999999999</v>
      </c>
      <c r="E2987" s="3">
        <v>1.1599999999999999</v>
      </c>
      <c r="F2987" s="2" t="s">
        <v>16</v>
      </c>
      <c r="G2987" s="2" t="s">
        <v>13257</v>
      </c>
      <c r="H2987" s="3">
        <v>0</v>
      </c>
      <c r="I2987" s="2" t="s">
        <v>409</v>
      </c>
      <c r="J2987" s="2" t="s">
        <v>13258</v>
      </c>
      <c r="K2987" s="2" t="s">
        <v>16</v>
      </c>
      <c r="L2987" s="2" t="s">
        <v>13259</v>
      </c>
      <c r="M2987" s="4">
        <v>2.5499999999999998</v>
      </c>
      <c r="N2987" t="e">
        <f>OR(LEFT(B2987,3)="frg",(_xlfn.XMATCH(B2987,ZZZ_Part_Id_[[#All],[FGCODE]])))</f>
        <v>#N/A</v>
      </c>
    </row>
    <row r="2988" spans="1:14" x14ac:dyDescent="0.3">
      <c r="A2988" s="2" t="s">
        <v>13247</v>
      </c>
      <c r="B2988" s="2" t="s">
        <v>192</v>
      </c>
      <c r="C2988" s="2" t="s">
        <v>13260</v>
      </c>
      <c r="D2988" s="3">
        <v>0.28999999999999998</v>
      </c>
      <c r="E2988" s="3">
        <v>0.28999999999999998</v>
      </c>
      <c r="F2988" s="2" t="s">
        <v>194</v>
      </c>
      <c r="G2988" s="2" t="s">
        <v>13261</v>
      </c>
      <c r="H2988" s="3">
        <v>0</v>
      </c>
      <c r="I2988" s="2" t="s">
        <v>409</v>
      </c>
      <c r="J2988" s="2" t="s">
        <v>13262</v>
      </c>
      <c r="K2988" s="2" t="s">
        <v>194</v>
      </c>
      <c r="L2988" s="2" t="s">
        <v>13263</v>
      </c>
      <c r="M2988" s="4">
        <v>1.46</v>
      </c>
      <c r="N2988" t="e">
        <f>OR(LEFT(B2988,3)="frg",(_xlfn.XMATCH(B2988,ZZZ_Part_Id_[[#All],[FGCODE]])))</f>
        <v>#N/A</v>
      </c>
    </row>
    <row r="2989" spans="1:14" x14ac:dyDescent="0.3">
      <c r="A2989" s="2" t="s">
        <v>13264</v>
      </c>
      <c r="B2989" s="2" t="s">
        <v>308</v>
      </c>
      <c r="C2989" s="2" t="s">
        <v>13265</v>
      </c>
      <c r="D2989" s="3">
        <v>27000</v>
      </c>
      <c r="E2989" s="3">
        <v>27000</v>
      </c>
      <c r="F2989" s="2" t="s">
        <v>16</v>
      </c>
      <c r="G2989" s="2" t="s">
        <v>13266</v>
      </c>
      <c r="H2989" s="3">
        <v>0</v>
      </c>
      <c r="I2989" s="2" t="s">
        <v>409</v>
      </c>
      <c r="J2989" s="2" t="s">
        <v>13267</v>
      </c>
      <c r="K2989" s="2" t="s">
        <v>16</v>
      </c>
      <c r="L2989" s="2" t="s">
        <v>13268</v>
      </c>
      <c r="M2989" s="4">
        <v>1597.86</v>
      </c>
      <c r="N2989" t="b">
        <f>OR(LEFT(B2989,3)="frg",(_xlfn.XMATCH(B2989,ZZZ_Part_Id_[[#All],[FGCODE]])))</f>
        <v>1</v>
      </c>
    </row>
    <row r="2990" spans="1:14" x14ac:dyDescent="0.3">
      <c r="A2990" s="2" t="s">
        <v>13269</v>
      </c>
      <c r="B2990" s="2" t="s">
        <v>4796</v>
      </c>
      <c r="C2990" s="2" t="s">
        <v>13270</v>
      </c>
      <c r="D2990" s="3">
        <v>14592</v>
      </c>
      <c r="E2990" s="3">
        <v>14592</v>
      </c>
      <c r="F2990" s="2" t="s">
        <v>16</v>
      </c>
      <c r="G2990" s="2" t="s">
        <v>13271</v>
      </c>
      <c r="H2990" s="3">
        <v>0</v>
      </c>
      <c r="I2990" s="2" t="s">
        <v>409</v>
      </c>
      <c r="J2990" s="2" t="s">
        <v>13272</v>
      </c>
      <c r="K2990" s="2" t="s">
        <v>16</v>
      </c>
      <c r="L2990" s="2" t="s">
        <v>13273</v>
      </c>
      <c r="M2990" s="4">
        <v>4675.8599999999997</v>
      </c>
      <c r="N2990" t="b">
        <f>OR(LEFT(B2990,3)="frg",(_xlfn.XMATCH(B2990,ZZZ_Part_Id_[[#All],[FGCODE]])))</f>
        <v>1</v>
      </c>
    </row>
    <row r="2991" spans="1:14" x14ac:dyDescent="0.3">
      <c r="A2991" s="2" t="s">
        <v>13269</v>
      </c>
      <c r="B2991" s="2" t="s">
        <v>65</v>
      </c>
      <c r="C2991" s="2" t="s">
        <v>13274</v>
      </c>
      <c r="D2991" s="5">
        <v>-233</v>
      </c>
      <c r="E2991" s="5">
        <v>-233</v>
      </c>
      <c r="F2991" s="2" t="s">
        <v>23</v>
      </c>
      <c r="G2991" s="2" t="s">
        <v>13275</v>
      </c>
      <c r="H2991" s="3">
        <v>0</v>
      </c>
      <c r="I2991" s="2" t="s">
        <v>409</v>
      </c>
      <c r="J2991" s="2" t="s">
        <v>13276</v>
      </c>
      <c r="K2991" s="2" t="s">
        <v>23</v>
      </c>
      <c r="L2991" s="2" t="s">
        <v>13277</v>
      </c>
      <c r="M2991" s="6">
        <v>-599.17999999999995</v>
      </c>
      <c r="N2991" t="b">
        <f>OR(LEFT(B2991,3)="frg",(_xlfn.XMATCH(B2991,ZZZ_Part_Id_[[#All],[FGCODE]])))</f>
        <v>1</v>
      </c>
    </row>
    <row r="2992" spans="1:14" x14ac:dyDescent="0.3">
      <c r="A2992" s="2" t="s">
        <v>13278</v>
      </c>
      <c r="B2992" s="2" t="s">
        <v>14</v>
      </c>
      <c r="C2992" s="2" t="s">
        <v>13279</v>
      </c>
      <c r="D2992" s="3">
        <v>64</v>
      </c>
      <c r="E2992" s="3">
        <v>64</v>
      </c>
      <c r="F2992" s="2" t="s">
        <v>16</v>
      </c>
      <c r="G2992" s="2" t="s">
        <v>13280</v>
      </c>
      <c r="H2992" s="3">
        <v>0</v>
      </c>
      <c r="I2992" s="2" t="s">
        <v>18</v>
      </c>
      <c r="J2992" s="2" t="s">
        <v>13281</v>
      </c>
      <c r="K2992" s="2" t="s">
        <v>16</v>
      </c>
      <c r="L2992" s="2" t="s">
        <v>13282</v>
      </c>
      <c r="M2992" s="4">
        <v>4.92</v>
      </c>
      <c r="N2992" t="e">
        <f>OR(LEFT(B2992,3)="frg",(_xlfn.XMATCH(B2992,ZZZ_Part_Id_[[#All],[FGCODE]])))</f>
        <v>#N/A</v>
      </c>
    </row>
    <row r="2993" spans="1:14" x14ac:dyDescent="0.3">
      <c r="A2993" s="2" t="s">
        <v>13278</v>
      </c>
      <c r="B2993" s="2" t="s">
        <v>11068</v>
      </c>
      <c r="C2993" s="2" t="s">
        <v>13283</v>
      </c>
      <c r="D2993" s="3">
        <v>477900</v>
      </c>
      <c r="E2993" s="3">
        <v>477900</v>
      </c>
      <c r="F2993" s="2" t="s">
        <v>16</v>
      </c>
      <c r="G2993" s="2" t="s">
        <v>13284</v>
      </c>
      <c r="H2993" s="3">
        <v>0</v>
      </c>
      <c r="I2993" s="2" t="s">
        <v>18</v>
      </c>
      <c r="J2993" s="2" t="s">
        <v>13285</v>
      </c>
      <c r="K2993" s="2" t="s">
        <v>16</v>
      </c>
      <c r="L2993" s="2" t="s">
        <v>13286</v>
      </c>
      <c r="M2993" s="4">
        <v>90585.9</v>
      </c>
      <c r="N2993" t="b">
        <f>OR(LEFT(B2993,3)="frg",(_xlfn.XMATCH(B2993,ZZZ_Part_Id_[[#All],[FGCODE]])))</f>
        <v>1</v>
      </c>
    </row>
    <row r="2994" spans="1:14" x14ac:dyDescent="0.3">
      <c r="A2994" s="2" t="s">
        <v>13287</v>
      </c>
      <c r="B2994" s="2" t="s">
        <v>14</v>
      </c>
      <c r="C2994" s="2" t="s">
        <v>13288</v>
      </c>
      <c r="D2994" s="3">
        <v>140</v>
      </c>
      <c r="E2994" s="3">
        <v>140</v>
      </c>
      <c r="F2994" s="2" t="s">
        <v>16</v>
      </c>
      <c r="G2994" s="2" t="s">
        <v>13289</v>
      </c>
      <c r="H2994" s="3">
        <v>0</v>
      </c>
      <c r="I2994" s="2" t="s">
        <v>18</v>
      </c>
      <c r="J2994" s="2" t="s">
        <v>13290</v>
      </c>
      <c r="K2994" s="2" t="s">
        <v>16</v>
      </c>
      <c r="L2994" s="2" t="s">
        <v>13291</v>
      </c>
      <c r="M2994" s="4">
        <v>10.77</v>
      </c>
      <c r="N2994" t="e">
        <f>OR(LEFT(B2994,3)="frg",(_xlfn.XMATCH(B2994,ZZZ_Part_Id_[[#All],[FGCODE]])))</f>
        <v>#N/A</v>
      </c>
    </row>
    <row r="2995" spans="1:14" x14ac:dyDescent="0.3">
      <c r="A2995" s="2" t="s">
        <v>13287</v>
      </c>
      <c r="B2995" s="2" t="s">
        <v>97</v>
      </c>
      <c r="C2995" s="2" t="s">
        <v>13292</v>
      </c>
      <c r="D2995" s="3">
        <v>340800</v>
      </c>
      <c r="E2995" s="3">
        <v>340800</v>
      </c>
      <c r="F2995" s="2" t="s">
        <v>16</v>
      </c>
      <c r="G2995" s="2" t="s">
        <v>13293</v>
      </c>
      <c r="H2995" s="3">
        <v>0</v>
      </c>
      <c r="I2995" s="2" t="s">
        <v>18</v>
      </c>
      <c r="J2995" s="2" t="s">
        <v>13294</v>
      </c>
      <c r="K2995" s="2" t="s">
        <v>16</v>
      </c>
      <c r="L2995" s="2" t="s">
        <v>13295</v>
      </c>
      <c r="M2995" s="4">
        <v>116935.58</v>
      </c>
      <c r="N2995" t="b">
        <f>OR(LEFT(B2995,3)="frg",(_xlfn.XMATCH(B2995,ZZZ_Part_Id_[[#All],[FGCODE]])))</f>
        <v>1</v>
      </c>
    </row>
    <row r="2996" spans="1:14" x14ac:dyDescent="0.3">
      <c r="A2996" s="2" t="s">
        <v>13296</v>
      </c>
      <c r="B2996" s="2" t="s">
        <v>2086</v>
      </c>
      <c r="C2996" s="2" t="s">
        <v>13297</v>
      </c>
      <c r="D2996" s="3">
        <v>16896</v>
      </c>
      <c r="E2996" s="3">
        <v>16896</v>
      </c>
      <c r="F2996" s="2" t="s">
        <v>16</v>
      </c>
      <c r="G2996" s="2" t="s">
        <v>13298</v>
      </c>
      <c r="H2996" s="3">
        <v>0</v>
      </c>
      <c r="I2996" s="2" t="s">
        <v>18</v>
      </c>
      <c r="J2996" s="2" t="s">
        <v>13299</v>
      </c>
      <c r="K2996" s="2" t="s">
        <v>16</v>
      </c>
      <c r="L2996" s="2" t="s">
        <v>13300</v>
      </c>
      <c r="M2996" s="4">
        <v>3968.04</v>
      </c>
      <c r="N2996" t="b">
        <f>OR(LEFT(B2996,3)="frg",(_xlfn.XMATCH(B2996,ZZZ_Part_Id_[[#All],[FGCODE]])))</f>
        <v>1</v>
      </c>
    </row>
    <row r="2997" spans="1:14" x14ac:dyDescent="0.3">
      <c r="A2997" s="2" t="s">
        <v>13301</v>
      </c>
      <c r="B2997" s="2" t="s">
        <v>14</v>
      </c>
      <c r="C2997" s="2" t="s">
        <v>13302</v>
      </c>
      <c r="D2997" s="3">
        <v>140</v>
      </c>
      <c r="E2997" s="3">
        <v>140</v>
      </c>
      <c r="F2997" s="2" t="s">
        <v>16</v>
      </c>
      <c r="G2997" s="2" t="s">
        <v>13303</v>
      </c>
      <c r="H2997" s="3">
        <v>0</v>
      </c>
      <c r="I2997" s="2" t="s">
        <v>18</v>
      </c>
      <c r="J2997" s="2" t="s">
        <v>13304</v>
      </c>
      <c r="K2997" s="2" t="s">
        <v>16</v>
      </c>
      <c r="L2997" s="2" t="s">
        <v>13305</v>
      </c>
      <c r="M2997" s="4">
        <v>10.77</v>
      </c>
      <c r="N2997" t="e">
        <f>OR(LEFT(B2997,3)="frg",(_xlfn.XMATCH(B2997,ZZZ_Part_Id_[[#All],[FGCODE]])))</f>
        <v>#N/A</v>
      </c>
    </row>
    <row r="2998" spans="1:14" x14ac:dyDescent="0.3">
      <c r="A2998" s="2" t="s">
        <v>13301</v>
      </c>
      <c r="B2998" s="2" t="s">
        <v>97</v>
      </c>
      <c r="C2998" s="2" t="s">
        <v>13306</v>
      </c>
      <c r="D2998" s="3">
        <v>360000</v>
      </c>
      <c r="E2998" s="3">
        <v>360000</v>
      </c>
      <c r="F2998" s="2" t="s">
        <v>16</v>
      </c>
      <c r="G2998" s="2" t="s">
        <v>13307</v>
      </c>
      <c r="H2998" s="3">
        <v>0</v>
      </c>
      <c r="I2998" s="2" t="s">
        <v>18</v>
      </c>
      <c r="J2998" s="2" t="s">
        <v>13308</v>
      </c>
      <c r="K2998" s="2" t="s">
        <v>16</v>
      </c>
      <c r="L2998" s="2" t="s">
        <v>13309</v>
      </c>
      <c r="M2998" s="4">
        <v>123523.5</v>
      </c>
      <c r="N2998" t="b">
        <f>OR(LEFT(B2998,3)="frg",(_xlfn.XMATCH(B2998,ZZZ_Part_Id_[[#All],[FGCODE]])))</f>
        <v>1</v>
      </c>
    </row>
    <row r="2999" spans="1:14" x14ac:dyDescent="0.3">
      <c r="A2999" s="2" t="s">
        <v>13310</v>
      </c>
      <c r="B2999" s="2" t="s">
        <v>14</v>
      </c>
      <c r="C2999" s="2" t="s">
        <v>13311</v>
      </c>
      <c r="D2999" s="3">
        <v>40</v>
      </c>
      <c r="E2999" s="3">
        <v>40</v>
      </c>
      <c r="F2999" s="2" t="s">
        <v>16</v>
      </c>
      <c r="G2999" s="2" t="s">
        <v>13312</v>
      </c>
      <c r="H2999" s="3">
        <v>0</v>
      </c>
      <c r="I2999" s="2" t="s">
        <v>18</v>
      </c>
      <c r="J2999" s="2" t="s">
        <v>13313</v>
      </c>
      <c r="K2999" s="2" t="s">
        <v>16</v>
      </c>
      <c r="L2999" s="2" t="s">
        <v>13314</v>
      </c>
      <c r="M2999" s="4">
        <v>3.08</v>
      </c>
      <c r="N2999" t="e">
        <f>OR(LEFT(B2999,3)="frg",(_xlfn.XMATCH(B2999,ZZZ_Part_Id_[[#All],[FGCODE]])))</f>
        <v>#N/A</v>
      </c>
    </row>
    <row r="3000" spans="1:14" x14ac:dyDescent="0.3">
      <c r="A3000" s="2" t="s">
        <v>13310</v>
      </c>
      <c r="B3000" s="2" t="s">
        <v>11068</v>
      </c>
      <c r="C3000" s="2" t="s">
        <v>13315</v>
      </c>
      <c r="D3000" s="3">
        <v>283985</v>
      </c>
      <c r="E3000" s="3">
        <v>283985</v>
      </c>
      <c r="F3000" s="2" t="s">
        <v>16</v>
      </c>
      <c r="G3000" s="2" t="s">
        <v>13316</v>
      </c>
      <c r="H3000" s="3">
        <v>0</v>
      </c>
      <c r="I3000" s="2" t="s">
        <v>18</v>
      </c>
      <c r="J3000" s="2" t="s">
        <v>13317</v>
      </c>
      <c r="K3000" s="2" t="s">
        <v>16</v>
      </c>
      <c r="L3000" s="2" t="s">
        <v>13318</v>
      </c>
      <c r="M3000" s="4">
        <v>53829.33</v>
      </c>
      <c r="N3000" t="b">
        <f>OR(LEFT(B3000,3)="frg",(_xlfn.XMATCH(B3000,ZZZ_Part_Id_[[#All],[FGCODE]])))</f>
        <v>1</v>
      </c>
    </row>
    <row r="3001" spans="1:14" x14ac:dyDescent="0.3">
      <c r="A3001" s="2" t="s">
        <v>13319</v>
      </c>
      <c r="B3001" s="2" t="s">
        <v>37</v>
      </c>
      <c r="C3001" s="2" t="s">
        <v>13320</v>
      </c>
      <c r="D3001" s="3">
        <v>8</v>
      </c>
      <c r="E3001" s="3">
        <v>8</v>
      </c>
      <c r="F3001" s="2" t="s">
        <v>16</v>
      </c>
      <c r="G3001" s="2" t="s">
        <v>13321</v>
      </c>
      <c r="H3001" s="3">
        <v>0</v>
      </c>
      <c r="I3001" s="2" t="s">
        <v>18</v>
      </c>
      <c r="J3001" s="2" t="s">
        <v>13322</v>
      </c>
      <c r="K3001" s="2" t="s">
        <v>16</v>
      </c>
      <c r="L3001" s="2" t="s">
        <v>13323</v>
      </c>
      <c r="M3001" s="4">
        <v>128</v>
      </c>
      <c r="N3001" t="e">
        <f>OR(LEFT(B3001,3)="frg",(_xlfn.XMATCH(B3001,ZZZ_Part_Id_[[#All],[FGCODE]])))</f>
        <v>#N/A</v>
      </c>
    </row>
    <row r="3002" spans="1:14" x14ac:dyDescent="0.3">
      <c r="A3002" s="2" t="s">
        <v>13319</v>
      </c>
      <c r="B3002" s="2" t="s">
        <v>97</v>
      </c>
      <c r="C3002" s="2" t="s">
        <v>13324</v>
      </c>
      <c r="D3002" s="3">
        <v>43200</v>
      </c>
      <c r="E3002" s="3">
        <v>43200</v>
      </c>
      <c r="F3002" s="2" t="s">
        <v>16</v>
      </c>
      <c r="G3002" s="2" t="s">
        <v>13325</v>
      </c>
      <c r="H3002" s="3">
        <v>0</v>
      </c>
      <c r="I3002" s="2" t="s">
        <v>18</v>
      </c>
      <c r="J3002" s="2" t="s">
        <v>13326</v>
      </c>
      <c r="K3002" s="2" t="s">
        <v>16</v>
      </c>
      <c r="L3002" s="2" t="s">
        <v>13327</v>
      </c>
      <c r="M3002" s="4">
        <v>14822.82</v>
      </c>
      <c r="N3002" t="b">
        <f>OR(LEFT(B3002,3)="frg",(_xlfn.XMATCH(B3002,ZZZ_Part_Id_[[#All],[FGCODE]])))</f>
        <v>1</v>
      </c>
    </row>
    <row r="3003" spans="1:14" x14ac:dyDescent="0.3">
      <c r="A3003" s="2" t="s">
        <v>13328</v>
      </c>
      <c r="B3003" s="2" t="s">
        <v>14</v>
      </c>
      <c r="C3003" s="2" t="s">
        <v>13329</v>
      </c>
      <c r="D3003" s="3">
        <v>14</v>
      </c>
      <c r="E3003" s="3">
        <v>14</v>
      </c>
      <c r="F3003" s="2" t="s">
        <v>16</v>
      </c>
      <c r="G3003" s="2" t="s">
        <v>13330</v>
      </c>
      <c r="H3003" s="3">
        <v>0</v>
      </c>
      <c r="I3003" s="2" t="s">
        <v>18</v>
      </c>
      <c r="J3003" s="2" t="s">
        <v>13331</v>
      </c>
      <c r="K3003" s="2" t="s">
        <v>16</v>
      </c>
      <c r="L3003" s="2" t="s">
        <v>13332</v>
      </c>
      <c r="M3003" s="4">
        <v>1.08</v>
      </c>
      <c r="N3003" t="e">
        <f>OR(LEFT(B3003,3)="frg",(_xlfn.XMATCH(B3003,ZZZ_Part_Id_[[#All],[FGCODE]])))</f>
        <v>#N/A</v>
      </c>
    </row>
    <row r="3004" spans="1:14" x14ac:dyDescent="0.3">
      <c r="A3004" s="2" t="s">
        <v>13328</v>
      </c>
      <c r="B3004" s="2" t="s">
        <v>97</v>
      </c>
      <c r="C3004" s="2" t="s">
        <v>13333</v>
      </c>
      <c r="D3004" s="3">
        <v>57600</v>
      </c>
      <c r="E3004" s="3">
        <v>57600</v>
      </c>
      <c r="F3004" s="2" t="s">
        <v>16</v>
      </c>
      <c r="G3004" s="2" t="s">
        <v>13334</v>
      </c>
      <c r="H3004" s="3">
        <v>0</v>
      </c>
      <c r="I3004" s="2" t="s">
        <v>18</v>
      </c>
      <c r="J3004" s="2" t="s">
        <v>13335</v>
      </c>
      <c r="K3004" s="2" t="s">
        <v>16</v>
      </c>
      <c r="L3004" s="2" t="s">
        <v>13336</v>
      </c>
      <c r="M3004" s="4">
        <v>19763.759999999998</v>
      </c>
      <c r="N3004" t="b">
        <f>OR(LEFT(B3004,3)="frg",(_xlfn.XMATCH(B3004,ZZZ_Part_Id_[[#All],[FGCODE]])))</f>
        <v>1</v>
      </c>
    </row>
    <row r="3005" spans="1:14" x14ac:dyDescent="0.3">
      <c r="A3005" s="2" t="s">
        <v>13337</v>
      </c>
      <c r="B3005" s="2" t="s">
        <v>37</v>
      </c>
      <c r="C3005" s="2" t="s">
        <v>13338</v>
      </c>
      <c r="D3005" s="3">
        <v>3</v>
      </c>
      <c r="E3005" s="3">
        <v>3</v>
      </c>
      <c r="F3005" s="2" t="s">
        <v>16</v>
      </c>
      <c r="G3005" s="2" t="s">
        <v>13339</v>
      </c>
      <c r="H3005" s="3">
        <v>0</v>
      </c>
      <c r="I3005" s="2" t="s">
        <v>18</v>
      </c>
      <c r="J3005" s="2" t="s">
        <v>13340</v>
      </c>
      <c r="K3005" s="2" t="s">
        <v>16</v>
      </c>
      <c r="L3005" s="2" t="s">
        <v>13341</v>
      </c>
      <c r="M3005" s="4">
        <v>48</v>
      </c>
      <c r="N3005" t="e">
        <f>OR(LEFT(B3005,3)="frg",(_xlfn.XMATCH(B3005,ZZZ_Part_Id_[[#All],[FGCODE]])))</f>
        <v>#N/A</v>
      </c>
    </row>
    <row r="3006" spans="1:14" x14ac:dyDescent="0.3">
      <c r="A3006" s="2" t="s">
        <v>13337</v>
      </c>
      <c r="B3006" s="2" t="s">
        <v>97</v>
      </c>
      <c r="C3006" s="2" t="s">
        <v>13342</v>
      </c>
      <c r="D3006" s="3">
        <v>19200</v>
      </c>
      <c r="E3006" s="3">
        <v>0</v>
      </c>
      <c r="F3006" s="2" t="s">
        <v>16</v>
      </c>
      <c r="G3006" s="2" t="s">
        <v>13343</v>
      </c>
      <c r="H3006" s="3">
        <v>0</v>
      </c>
      <c r="I3006" s="2" t="s">
        <v>18</v>
      </c>
      <c r="J3006" s="2" t="s">
        <v>13344</v>
      </c>
      <c r="K3006" s="2" t="s">
        <v>16</v>
      </c>
      <c r="L3006" s="2" t="s">
        <v>13345</v>
      </c>
      <c r="M3006" s="4">
        <v>0</v>
      </c>
      <c r="N3006" t="b">
        <f>OR(LEFT(B3006,3)="frg",(_xlfn.XMATCH(B3006,ZZZ_Part_Id_[[#All],[FGCODE]])))</f>
        <v>1</v>
      </c>
    </row>
    <row r="3007" spans="1:14" x14ac:dyDescent="0.3">
      <c r="A3007" s="2" t="s">
        <v>13337</v>
      </c>
      <c r="B3007" s="2" t="s">
        <v>65</v>
      </c>
      <c r="C3007" s="2" t="s">
        <v>13346</v>
      </c>
      <c r="D3007" s="5">
        <v>-249</v>
      </c>
      <c r="E3007" s="5">
        <v>-249</v>
      </c>
      <c r="F3007" s="2" t="s">
        <v>23</v>
      </c>
      <c r="G3007" s="2" t="s">
        <v>131</v>
      </c>
      <c r="H3007" s="3">
        <v>0</v>
      </c>
      <c r="I3007" s="2" t="s">
        <v>18</v>
      </c>
      <c r="J3007" s="2" t="s">
        <v>13347</v>
      </c>
      <c r="K3007" s="2" t="s">
        <v>23</v>
      </c>
      <c r="L3007" s="2" t="s">
        <v>13348</v>
      </c>
      <c r="M3007" s="6">
        <v>-640.33000000000004</v>
      </c>
      <c r="N3007" t="b">
        <f>OR(LEFT(B3007,3)="frg",(_xlfn.XMATCH(B3007,ZZZ_Part_Id_[[#All],[FGCODE]])))</f>
        <v>1</v>
      </c>
    </row>
    <row r="3008" spans="1:14" x14ac:dyDescent="0.3">
      <c r="A3008" s="2" t="s">
        <v>13337</v>
      </c>
      <c r="B3008" s="2" t="s">
        <v>97</v>
      </c>
      <c r="C3008" s="2" t="s">
        <v>13349</v>
      </c>
      <c r="D3008" s="3">
        <v>19200</v>
      </c>
      <c r="E3008" s="3">
        <v>19200</v>
      </c>
      <c r="F3008" s="2" t="s">
        <v>16</v>
      </c>
      <c r="G3008" s="2" t="s">
        <v>131</v>
      </c>
      <c r="H3008" s="3">
        <v>0</v>
      </c>
      <c r="I3008" s="2" t="s">
        <v>18</v>
      </c>
      <c r="J3008" s="2" t="s">
        <v>13350</v>
      </c>
      <c r="K3008" s="2" t="s">
        <v>16</v>
      </c>
      <c r="L3008" s="2" t="s">
        <v>13351</v>
      </c>
      <c r="M3008" s="4">
        <v>6587.92</v>
      </c>
      <c r="N3008" t="b">
        <f>OR(LEFT(B3008,3)="frg",(_xlfn.XMATCH(B3008,ZZZ_Part_Id_[[#All],[FGCODE]])))</f>
        <v>1</v>
      </c>
    </row>
    <row r="3009" spans="1:14" x14ac:dyDescent="0.3">
      <c r="A3009" s="2" t="s">
        <v>13352</v>
      </c>
      <c r="B3009" s="2" t="s">
        <v>14</v>
      </c>
      <c r="C3009" s="2" t="s">
        <v>13353</v>
      </c>
      <c r="D3009" s="3">
        <v>95</v>
      </c>
      <c r="E3009" s="3">
        <v>95</v>
      </c>
      <c r="F3009" s="2" t="s">
        <v>16</v>
      </c>
      <c r="G3009" s="2" t="s">
        <v>13354</v>
      </c>
      <c r="H3009" s="3">
        <v>0</v>
      </c>
      <c r="I3009" s="2" t="s">
        <v>18</v>
      </c>
      <c r="J3009" s="2" t="s">
        <v>13355</v>
      </c>
      <c r="K3009" s="2" t="s">
        <v>16</v>
      </c>
      <c r="L3009" s="2" t="s">
        <v>13356</v>
      </c>
      <c r="M3009" s="4">
        <v>7.31</v>
      </c>
      <c r="N3009" t="e">
        <f>OR(LEFT(B3009,3)="frg",(_xlfn.XMATCH(B3009,ZZZ_Part_Id_[[#All],[FGCODE]])))</f>
        <v>#N/A</v>
      </c>
    </row>
    <row r="3010" spans="1:14" x14ac:dyDescent="0.3">
      <c r="A3010" s="2" t="s">
        <v>13352</v>
      </c>
      <c r="B3010" s="2" t="s">
        <v>5357</v>
      </c>
      <c r="C3010" s="2" t="s">
        <v>13357</v>
      </c>
      <c r="D3010" s="3">
        <v>688896</v>
      </c>
      <c r="E3010" s="3">
        <v>688896</v>
      </c>
      <c r="F3010" s="2" t="s">
        <v>16</v>
      </c>
      <c r="G3010" s="2" t="s">
        <v>13358</v>
      </c>
      <c r="H3010" s="3">
        <v>0</v>
      </c>
      <c r="I3010" s="2" t="s">
        <v>18</v>
      </c>
      <c r="J3010" s="2" t="s">
        <v>13359</v>
      </c>
      <c r="K3010" s="2" t="s">
        <v>16</v>
      </c>
      <c r="L3010" s="2" t="s">
        <v>13360</v>
      </c>
      <c r="M3010" s="4">
        <v>205828.47</v>
      </c>
      <c r="N3010" t="b">
        <f>OR(LEFT(B3010,3)="frg",(_xlfn.XMATCH(B3010,ZZZ_Part_Id_[[#All],[FGCODE]])))</f>
        <v>1</v>
      </c>
    </row>
    <row r="3011" spans="1:14" x14ac:dyDescent="0.3">
      <c r="A3011" s="2" t="s">
        <v>13361</v>
      </c>
      <c r="B3011" s="2" t="s">
        <v>14</v>
      </c>
      <c r="C3011" s="2" t="s">
        <v>13362</v>
      </c>
      <c r="D3011" s="3">
        <v>64</v>
      </c>
      <c r="E3011" s="3">
        <v>64</v>
      </c>
      <c r="F3011" s="2" t="s">
        <v>16</v>
      </c>
      <c r="G3011" s="2" t="s">
        <v>13363</v>
      </c>
      <c r="H3011" s="3">
        <v>0</v>
      </c>
      <c r="I3011" s="2" t="s">
        <v>18</v>
      </c>
      <c r="J3011" s="2" t="s">
        <v>13364</v>
      </c>
      <c r="K3011" s="2" t="s">
        <v>16</v>
      </c>
      <c r="L3011" s="2" t="s">
        <v>13365</v>
      </c>
      <c r="M3011" s="4">
        <v>4.92</v>
      </c>
      <c r="N3011" t="e">
        <f>OR(LEFT(B3011,3)="frg",(_xlfn.XMATCH(B3011,ZZZ_Part_Id_[[#All],[FGCODE]])))</f>
        <v>#N/A</v>
      </c>
    </row>
    <row r="3012" spans="1:14" x14ac:dyDescent="0.3">
      <c r="A3012" s="2" t="s">
        <v>13361</v>
      </c>
      <c r="B3012" s="2" t="s">
        <v>517</v>
      </c>
      <c r="C3012" s="2" t="s">
        <v>13366</v>
      </c>
      <c r="D3012" s="3">
        <v>483840</v>
      </c>
      <c r="E3012" s="3">
        <v>483840</v>
      </c>
      <c r="F3012" s="2" t="s">
        <v>16</v>
      </c>
      <c r="G3012" s="2" t="s">
        <v>13367</v>
      </c>
      <c r="H3012" s="3">
        <v>0</v>
      </c>
      <c r="I3012" s="2" t="s">
        <v>18</v>
      </c>
      <c r="J3012" s="2" t="s">
        <v>13368</v>
      </c>
      <c r="K3012" s="2" t="s">
        <v>16</v>
      </c>
      <c r="L3012" s="2" t="s">
        <v>13369</v>
      </c>
      <c r="M3012" s="4">
        <v>88058.880000000005</v>
      </c>
      <c r="N3012" t="b">
        <f>OR(LEFT(B3012,3)="frg",(_xlfn.XMATCH(B3012,ZZZ_Part_Id_[[#All],[FGCODE]])))</f>
        <v>1</v>
      </c>
    </row>
    <row r="3013" spans="1:14" x14ac:dyDescent="0.3">
      <c r="A3013" s="2" t="s">
        <v>13370</v>
      </c>
      <c r="B3013" s="2" t="s">
        <v>14</v>
      </c>
      <c r="C3013" s="2" t="s">
        <v>13371</v>
      </c>
      <c r="D3013" s="3">
        <v>64</v>
      </c>
      <c r="E3013" s="3">
        <v>64</v>
      </c>
      <c r="F3013" s="2" t="s">
        <v>16</v>
      </c>
      <c r="G3013" s="2" t="s">
        <v>13372</v>
      </c>
      <c r="H3013" s="3">
        <v>0</v>
      </c>
      <c r="I3013" s="2" t="s">
        <v>18</v>
      </c>
      <c r="J3013" s="2" t="s">
        <v>13373</v>
      </c>
      <c r="K3013" s="2" t="s">
        <v>16</v>
      </c>
      <c r="L3013" s="2" t="s">
        <v>13374</v>
      </c>
      <c r="M3013" s="4">
        <v>4.92</v>
      </c>
      <c r="N3013" t="e">
        <f>OR(LEFT(B3013,3)="frg",(_xlfn.XMATCH(B3013,ZZZ_Part_Id_[[#All],[FGCODE]])))</f>
        <v>#N/A</v>
      </c>
    </row>
    <row r="3014" spans="1:14" x14ac:dyDescent="0.3">
      <c r="A3014" s="2" t="s">
        <v>13370</v>
      </c>
      <c r="B3014" s="2" t="s">
        <v>11040</v>
      </c>
      <c r="C3014" s="2" t="s">
        <v>13375</v>
      </c>
      <c r="D3014" s="3">
        <v>509760</v>
      </c>
      <c r="E3014" s="3">
        <v>509760</v>
      </c>
      <c r="F3014" s="2" t="s">
        <v>16</v>
      </c>
      <c r="G3014" s="2" t="s">
        <v>13376</v>
      </c>
      <c r="H3014" s="3">
        <v>0</v>
      </c>
      <c r="I3014" s="2" t="s">
        <v>18</v>
      </c>
      <c r="J3014" s="2" t="s">
        <v>13377</v>
      </c>
      <c r="K3014" s="2" t="s">
        <v>16</v>
      </c>
      <c r="L3014" s="2" t="s">
        <v>13378</v>
      </c>
      <c r="M3014" s="4">
        <v>95401.44</v>
      </c>
      <c r="N3014" t="b">
        <f>OR(LEFT(B3014,3)="frg",(_xlfn.XMATCH(B3014,ZZZ_Part_Id_[[#All],[FGCODE]])))</f>
        <v>1</v>
      </c>
    </row>
    <row r="3015" spans="1:14" x14ac:dyDescent="0.3">
      <c r="A3015" s="2" t="s">
        <v>13379</v>
      </c>
      <c r="B3015" s="2" t="s">
        <v>14</v>
      </c>
      <c r="C3015" s="2" t="s">
        <v>13380</v>
      </c>
      <c r="D3015" s="3">
        <v>40</v>
      </c>
      <c r="E3015" s="3">
        <v>40</v>
      </c>
      <c r="F3015" s="2" t="s">
        <v>16</v>
      </c>
      <c r="G3015" s="2" t="s">
        <v>13381</v>
      </c>
      <c r="H3015" s="3">
        <v>0</v>
      </c>
      <c r="I3015" s="2" t="s">
        <v>409</v>
      </c>
      <c r="J3015" s="2" t="s">
        <v>13382</v>
      </c>
      <c r="K3015" s="2" t="s">
        <v>16</v>
      </c>
      <c r="L3015" s="2" t="s">
        <v>13383</v>
      </c>
      <c r="M3015" s="4">
        <v>3.08</v>
      </c>
      <c r="N3015" t="e">
        <f>OR(LEFT(B3015,3)="frg",(_xlfn.XMATCH(B3015,ZZZ_Part_Id_[[#All],[FGCODE]])))</f>
        <v>#N/A</v>
      </c>
    </row>
    <row r="3016" spans="1:14" x14ac:dyDescent="0.3">
      <c r="A3016" s="2" t="s">
        <v>13379</v>
      </c>
      <c r="B3016" s="2" t="s">
        <v>11241</v>
      </c>
      <c r="C3016" s="2" t="s">
        <v>13384</v>
      </c>
      <c r="D3016" s="3">
        <v>558360</v>
      </c>
      <c r="E3016" s="3">
        <v>558360</v>
      </c>
      <c r="F3016" s="2" t="s">
        <v>16</v>
      </c>
      <c r="G3016" s="2" t="s">
        <v>13385</v>
      </c>
      <c r="H3016" s="3">
        <v>0</v>
      </c>
      <c r="I3016" s="2" t="s">
        <v>409</v>
      </c>
      <c r="J3016" s="2" t="s">
        <v>13386</v>
      </c>
      <c r="K3016" s="2" t="s">
        <v>16</v>
      </c>
      <c r="L3016" s="2" t="s">
        <v>13387</v>
      </c>
      <c r="M3016" s="4">
        <v>34601.599999999999</v>
      </c>
      <c r="N3016" t="b">
        <f>OR(LEFT(B3016,3)="frg",(_xlfn.XMATCH(B3016,ZZZ_Part_Id_[[#All],[FGCODE]])))</f>
        <v>1</v>
      </c>
    </row>
    <row r="3017" spans="1:14" x14ac:dyDescent="0.3">
      <c r="A3017" s="2" t="s">
        <v>13388</v>
      </c>
      <c r="B3017" s="2" t="s">
        <v>14</v>
      </c>
      <c r="C3017" s="2" t="s">
        <v>13389</v>
      </c>
      <c r="D3017" s="3">
        <v>40</v>
      </c>
      <c r="E3017" s="3">
        <v>40</v>
      </c>
      <c r="F3017" s="2" t="s">
        <v>16</v>
      </c>
      <c r="G3017" s="2" t="s">
        <v>13390</v>
      </c>
      <c r="H3017" s="3">
        <v>0</v>
      </c>
      <c r="I3017" s="2" t="s">
        <v>409</v>
      </c>
      <c r="J3017" s="2" t="s">
        <v>13391</v>
      </c>
      <c r="K3017" s="2" t="s">
        <v>16</v>
      </c>
      <c r="L3017" s="2" t="s">
        <v>13392</v>
      </c>
      <c r="M3017" s="4">
        <v>3.08</v>
      </c>
      <c r="N3017" t="e">
        <f>OR(LEFT(B3017,3)="frg",(_xlfn.XMATCH(B3017,ZZZ_Part_Id_[[#All],[FGCODE]])))</f>
        <v>#N/A</v>
      </c>
    </row>
    <row r="3018" spans="1:14" x14ac:dyDescent="0.3">
      <c r="A3018" s="2" t="s">
        <v>13388</v>
      </c>
      <c r="B3018" s="2" t="s">
        <v>5357</v>
      </c>
      <c r="C3018" s="2" t="s">
        <v>13393</v>
      </c>
      <c r="D3018" s="3">
        <v>264960</v>
      </c>
      <c r="E3018" s="3">
        <v>264960</v>
      </c>
      <c r="F3018" s="2" t="s">
        <v>16</v>
      </c>
      <c r="G3018" s="2" t="s">
        <v>13394</v>
      </c>
      <c r="H3018" s="3">
        <v>0</v>
      </c>
      <c r="I3018" s="2" t="s">
        <v>409</v>
      </c>
      <c r="J3018" s="2" t="s">
        <v>13395</v>
      </c>
      <c r="K3018" s="2" t="s">
        <v>16</v>
      </c>
      <c r="L3018" s="2" t="s">
        <v>13396</v>
      </c>
      <c r="M3018" s="4">
        <v>79164.800000000003</v>
      </c>
      <c r="N3018" t="b">
        <f>OR(LEFT(B3018,3)="frg",(_xlfn.XMATCH(B3018,ZZZ_Part_Id_[[#All],[FGCODE]])))</f>
        <v>1</v>
      </c>
    </row>
    <row r="3019" spans="1:14" x14ac:dyDescent="0.3">
      <c r="A3019" s="2" t="s">
        <v>13397</v>
      </c>
      <c r="B3019" s="2" t="s">
        <v>14</v>
      </c>
      <c r="C3019" s="2" t="s">
        <v>13398</v>
      </c>
      <c r="D3019" s="3">
        <v>64</v>
      </c>
      <c r="E3019" s="3">
        <v>64</v>
      </c>
      <c r="F3019" s="2" t="s">
        <v>16</v>
      </c>
      <c r="G3019" s="2" t="s">
        <v>13399</v>
      </c>
      <c r="H3019" s="3">
        <v>0</v>
      </c>
      <c r="I3019" s="2" t="s">
        <v>18</v>
      </c>
      <c r="J3019" s="2" t="s">
        <v>13400</v>
      </c>
      <c r="K3019" s="2" t="s">
        <v>16</v>
      </c>
      <c r="L3019" s="2" t="s">
        <v>13401</v>
      </c>
      <c r="M3019" s="4">
        <v>4.92</v>
      </c>
      <c r="N3019" t="e">
        <f>OR(LEFT(B3019,3)="frg",(_xlfn.XMATCH(B3019,ZZZ_Part_Id_[[#All],[FGCODE]])))</f>
        <v>#N/A</v>
      </c>
    </row>
    <row r="3020" spans="1:14" x14ac:dyDescent="0.3">
      <c r="A3020" s="2" t="s">
        <v>13397</v>
      </c>
      <c r="B3020" s="2" t="s">
        <v>11040</v>
      </c>
      <c r="C3020" s="2" t="s">
        <v>13402</v>
      </c>
      <c r="D3020" s="3">
        <v>509760</v>
      </c>
      <c r="E3020" s="3">
        <v>509760</v>
      </c>
      <c r="F3020" s="2" t="s">
        <v>16</v>
      </c>
      <c r="G3020" s="2" t="s">
        <v>13403</v>
      </c>
      <c r="H3020" s="3">
        <v>0</v>
      </c>
      <c r="I3020" s="2" t="s">
        <v>18</v>
      </c>
      <c r="J3020" s="2" t="s">
        <v>13404</v>
      </c>
      <c r="K3020" s="2" t="s">
        <v>16</v>
      </c>
      <c r="L3020" s="2" t="s">
        <v>13405</v>
      </c>
      <c r="M3020" s="4">
        <v>95401.44</v>
      </c>
      <c r="N3020" t="b">
        <f>OR(LEFT(B3020,3)="frg",(_xlfn.XMATCH(B3020,ZZZ_Part_Id_[[#All],[FGCODE]])))</f>
        <v>1</v>
      </c>
    </row>
    <row r="3021" spans="1:14" x14ac:dyDescent="0.3">
      <c r="A3021" s="2" t="s">
        <v>13406</v>
      </c>
      <c r="B3021" s="2" t="s">
        <v>14</v>
      </c>
      <c r="C3021" s="2" t="s">
        <v>13407</v>
      </c>
      <c r="D3021" s="3">
        <v>40</v>
      </c>
      <c r="E3021" s="3">
        <v>40</v>
      </c>
      <c r="F3021" s="2" t="s">
        <v>16</v>
      </c>
      <c r="G3021" s="2" t="s">
        <v>13408</v>
      </c>
      <c r="H3021" s="3">
        <v>0</v>
      </c>
      <c r="I3021" s="2" t="s">
        <v>18</v>
      </c>
      <c r="J3021" s="2" t="s">
        <v>13409</v>
      </c>
      <c r="K3021" s="2" t="s">
        <v>16</v>
      </c>
      <c r="L3021" s="2" t="s">
        <v>13410</v>
      </c>
      <c r="M3021" s="4">
        <v>3.08</v>
      </c>
      <c r="N3021" t="e">
        <f>OR(LEFT(B3021,3)="frg",(_xlfn.XMATCH(B3021,ZZZ_Part_Id_[[#All],[FGCODE]])))</f>
        <v>#N/A</v>
      </c>
    </row>
    <row r="3022" spans="1:14" x14ac:dyDescent="0.3">
      <c r="A3022" s="2" t="s">
        <v>13406</v>
      </c>
      <c r="B3022" s="2" t="s">
        <v>11241</v>
      </c>
      <c r="C3022" s="2" t="s">
        <v>13411</v>
      </c>
      <c r="D3022" s="3">
        <v>558360</v>
      </c>
      <c r="E3022" s="3">
        <v>558360</v>
      </c>
      <c r="F3022" s="2" t="s">
        <v>16</v>
      </c>
      <c r="G3022" s="2" t="s">
        <v>13412</v>
      </c>
      <c r="H3022" s="3">
        <v>0</v>
      </c>
      <c r="I3022" s="2" t="s">
        <v>18</v>
      </c>
      <c r="J3022" s="2" t="s">
        <v>13413</v>
      </c>
      <c r="K3022" s="2" t="s">
        <v>16</v>
      </c>
      <c r="L3022" s="2" t="s">
        <v>13414</v>
      </c>
      <c r="M3022" s="4">
        <v>34601.599999999999</v>
      </c>
      <c r="N3022" t="b">
        <f>OR(LEFT(B3022,3)="frg",(_xlfn.XMATCH(B3022,ZZZ_Part_Id_[[#All],[FGCODE]])))</f>
        <v>1</v>
      </c>
    </row>
    <row r="3023" spans="1:14" x14ac:dyDescent="0.3">
      <c r="A3023" s="2" t="s">
        <v>13415</v>
      </c>
      <c r="B3023" s="2" t="s">
        <v>37</v>
      </c>
      <c r="C3023" s="2" t="s">
        <v>13416</v>
      </c>
      <c r="D3023" s="3">
        <v>7</v>
      </c>
      <c r="E3023" s="3">
        <v>7</v>
      </c>
      <c r="F3023" s="2" t="s">
        <v>16</v>
      </c>
      <c r="G3023" s="2" t="s">
        <v>13417</v>
      </c>
      <c r="H3023" s="3">
        <v>0</v>
      </c>
      <c r="I3023" s="2" t="s">
        <v>18</v>
      </c>
      <c r="J3023" s="2" t="s">
        <v>13418</v>
      </c>
      <c r="K3023" s="2" t="s">
        <v>16</v>
      </c>
      <c r="L3023" s="2" t="s">
        <v>13419</v>
      </c>
      <c r="M3023" s="4">
        <v>112</v>
      </c>
      <c r="N3023" t="e">
        <f>OR(LEFT(B3023,3)="frg",(_xlfn.XMATCH(B3023,ZZZ_Part_Id_[[#All],[FGCODE]])))</f>
        <v>#N/A</v>
      </c>
    </row>
    <row r="3024" spans="1:14" x14ac:dyDescent="0.3">
      <c r="A3024" s="2" t="s">
        <v>13415</v>
      </c>
      <c r="B3024" s="2" t="s">
        <v>97</v>
      </c>
      <c r="C3024" s="2" t="s">
        <v>13420</v>
      </c>
      <c r="D3024" s="3">
        <v>33600</v>
      </c>
      <c r="E3024" s="3">
        <v>33600</v>
      </c>
      <c r="F3024" s="2" t="s">
        <v>16</v>
      </c>
      <c r="G3024" s="2" t="s">
        <v>13421</v>
      </c>
      <c r="H3024" s="3">
        <v>0</v>
      </c>
      <c r="I3024" s="2" t="s">
        <v>18</v>
      </c>
      <c r="J3024" s="2" t="s">
        <v>13422</v>
      </c>
      <c r="K3024" s="2" t="s">
        <v>16</v>
      </c>
      <c r="L3024" s="2" t="s">
        <v>13423</v>
      </c>
      <c r="M3024" s="4">
        <v>11528.86</v>
      </c>
      <c r="N3024" t="b">
        <f>OR(LEFT(B3024,3)="frg",(_xlfn.XMATCH(B3024,ZZZ_Part_Id_[[#All],[FGCODE]])))</f>
        <v>1</v>
      </c>
    </row>
    <row r="3025" spans="1:14" x14ac:dyDescent="0.3">
      <c r="A3025" s="2" t="s">
        <v>13424</v>
      </c>
      <c r="B3025" s="2" t="s">
        <v>4796</v>
      </c>
      <c r="C3025" s="2" t="s">
        <v>13425</v>
      </c>
      <c r="D3025" s="3">
        <v>4864</v>
      </c>
      <c r="E3025" s="3">
        <v>0</v>
      </c>
      <c r="F3025" s="2" t="s">
        <v>16</v>
      </c>
      <c r="G3025" s="2" t="s">
        <v>13426</v>
      </c>
      <c r="H3025" s="3">
        <v>0</v>
      </c>
      <c r="I3025" s="2" t="s">
        <v>18</v>
      </c>
      <c r="J3025" s="2" t="s">
        <v>13427</v>
      </c>
      <c r="K3025" s="2" t="s">
        <v>16</v>
      </c>
      <c r="L3025" s="2" t="s">
        <v>13428</v>
      </c>
      <c r="M3025" s="4">
        <v>0</v>
      </c>
      <c r="N3025" t="b">
        <f>OR(LEFT(B3025,3)="frg",(_xlfn.XMATCH(B3025,ZZZ_Part_Id_[[#All],[FGCODE]])))</f>
        <v>1</v>
      </c>
    </row>
    <row r="3026" spans="1:14" x14ac:dyDescent="0.3">
      <c r="A3026" s="2" t="s">
        <v>13429</v>
      </c>
      <c r="B3026" s="2" t="s">
        <v>14</v>
      </c>
      <c r="C3026" s="2" t="s">
        <v>13430</v>
      </c>
      <c r="D3026" s="3">
        <v>64</v>
      </c>
      <c r="E3026" s="3">
        <v>64</v>
      </c>
      <c r="F3026" s="2" t="s">
        <v>16</v>
      </c>
      <c r="G3026" s="2" t="s">
        <v>13431</v>
      </c>
      <c r="H3026" s="3">
        <v>0</v>
      </c>
      <c r="I3026" s="2" t="s">
        <v>409</v>
      </c>
      <c r="J3026" s="2" t="s">
        <v>13432</v>
      </c>
      <c r="K3026" s="2" t="s">
        <v>16</v>
      </c>
      <c r="L3026" s="2" t="s">
        <v>13433</v>
      </c>
      <c r="M3026" s="4">
        <v>4.92</v>
      </c>
      <c r="N3026" t="e">
        <f>OR(LEFT(B3026,3)="frg",(_xlfn.XMATCH(B3026,ZZZ_Part_Id_[[#All],[FGCODE]])))</f>
        <v>#N/A</v>
      </c>
    </row>
    <row r="3027" spans="1:14" x14ac:dyDescent="0.3">
      <c r="A3027" s="2" t="s">
        <v>13429</v>
      </c>
      <c r="B3027" s="2" t="s">
        <v>4791</v>
      </c>
      <c r="C3027" s="2" t="s">
        <v>13434</v>
      </c>
      <c r="D3027" s="3">
        <v>423936</v>
      </c>
      <c r="E3027" s="3">
        <v>423936</v>
      </c>
      <c r="F3027" s="2" t="s">
        <v>16</v>
      </c>
      <c r="G3027" s="2" t="s">
        <v>13435</v>
      </c>
      <c r="H3027" s="3">
        <v>0</v>
      </c>
      <c r="I3027" s="2" t="s">
        <v>409</v>
      </c>
      <c r="J3027" s="2" t="s">
        <v>13436</v>
      </c>
      <c r="K3027" s="2" t="s">
        <v>16</v>
      </c>
      <c r="L3027" s="2" t="s">
        <v>13437</v>
      </c>
      <c r="M3027" s="4">
        <v>124531.2</v>
      </c>
      <c r="N3027" t="b">
        <f>OR(LEFT(B3027,3)="frg",(_xlfn.XMATCH(B3027,ZZZ_Part_Id_[[#All],[FGCODE]])))</f>
        <v>1</v>
      </c>
    </row>
    <row r="3028" spans="1:14" x14ac:dyDescent="0.3">
      <c r="A3028" s="2" t="s">
        <v>13438</v>
      </c>
      <c r="B3028" s="2" t="s">
        <v>14</v>
      </c>
      <c r="C3028" s="2" t="s">
        <v>13439</v>
      </c>
      <c r="D3028" s="3">
        <v>64</v>
      </c>
      <c r="E3028" s="3">
        <v>64</v>
      </c>
      <c r="F3028" s="2" t="s">
        <v>16</v>
      </c>
      <c r="G3028" s="2" t="s">
        <v>13440</v>
      </c>
      <c r="H3028" s="3">
        <v>0</v>
      </c>
      <c r="I3028" s="2" t="s">
        <v>18</v>
      </c>
      <c r="J3028" s="2" t="s">
        <v>13441</v>
      </c>
      <c r="K3028" s="2" t="s">
        <v>16</v>
      </c>
      <c r="L3028" s="2" t="s">
        <v>13442</v>
      </c>
      <c r="M3028" s="4">
        <v>4.92</v>
      </c>
      <c r="N3028" t="e">
        <f>OR(LEFT(B3028,3)="frg",(_xlfn.XMATCH(B3028,ZZZ_Part_Id_[[#All],[FGCODE]])))</f>
        <v>#N/A</v>
      </c>
    </row>
    <row r="3029" spans="1:14" x14ac:dyDescent="0.3">
      <c r="A3029" s="2" t="s">
        <v>13438</v>
      </c>
      <c r="B3029" s="2" t="s">
        <v>11040</v>
      </c>
      <c r="C3029" s="2" t="s">
        <v>13443</v>
      </c>
      <c r="D3029" s="3">
        <v>637200</v>
      </c>
      <c r="E3029" s="3">
        <v>637200</v>
      </c>
      <c r="F3029" s="2" t="s">
        <v>16</v>
      </c>
      <c r="G3029" s="2" t="s">
        <v>13444</v>
      </c>
      <c r="H3029" s="3">
        <v>0</v>
      </c>
      <c r="I3029" s="2" t="s">
        <v>18</v>
      </c>
      <c r="J3029" s="2" t="s">
        <v>13445</v>
      </c>
      <c r="K3029" s="2" t="s">
        <v>16</v>
      </c>
      <c r="L3029" s="2" t="s">
        <v>13446</v>
      </c>
      <c r="M3029" s="4">
        <v>119251.8</v>
      </c>
      <c r="N3029" t="b">
        <f>OR(LEFT(B3029,3)="frg",(_xlfn.XMATCH(B3029,ZZZ_Part_Id_[[#All],[FGCODE]])))</f>
        <v>1</v>
      </c>
    </row>
    <row r="3030" spans="1:14" x14ac:dyDescent="0.3">
      <c r="A3030" s="2" t="s">
        <v>13447</v>
      </c>
      <c r="B3030" s="2" t="s">
        <v>14</v>
      </c>
      <c r="C3030" s="2" t="s">
        <v>13448</v>
      </c>
      <c r="D3030" s="3">
        <v>140</v>
      </c>
      <c r="E3030" s="3">
        <v>140</v>
      </c>
      <c r="F3030" s="2" t="s">
        <v>16</v>
      </c>
      <c r="G3030" s="2" t="s">
        <v>13449</v>
      </c>
      <c r="H3030" s="3">
        <v>0</v>
      </c>
      <c r="I3030" s="2" t="s">
        <v>409</v>
      </c>
      <c r="J3030" s="2" t="s">
        <v>13450</v>
      </c>
      <c r="K3030" s="2" t="s">
        <v>16</v>
      </c>
      <c r="L3030" s="2" t="s">
        <v>13451</v>
      </c>
      <c r="M3030" s="4">
        <v>10.77</v>
      </c>
      <c r="N3030" t="e">
        <f>OR(LEFT(B3030,3)="frg",(_xlfn.XMATCH(B3030,ZZZ_Part_Id_[[#All],[FGCODE]])))</f>
        <v>#N/A</v>
      </c>
    </row>
    <row r="3031" spans="1:14" x14ac:dyDescent="0.3">
      <c r="A3031" s="2" t="s">
        <v>13447</v>
      </c>
      <c r="B3031" s="2" t="s">
        <v>4791</v>
      </c>
      <c r="C3031" s="2" t="s">
        <v>13452</v>
      </c>
      <c r="D3031" s="3">
        <v>536544</v>
      </c>
      <c r="E3031" s="3">
        <v>536544</v>
      </c>
      <c r="F3031" s="2" t="s">
        <v>16</v>
      </c>
      <c r="G3031" s="2" t="s">
        <v>13453</v>
      </c>
      <c r="H3031" s="3">
        <v>0</v>
      </c>
      <c r="I3031" s="2" t="s">
        <v>409</v>
      </c>
      <c r="J3031" s="2" t="s">
        <v>13454</v>
      </c>
      <c r="K3031" s="2" t="s">
        <v>16</v>
      </c>
      <c r="L3031" s="2" t="s">
        <v>13455</v>
      </c>
      <c r="M3031" s="4">
        <v>157609.79999999999</v>
      </c>
      <c r="N3031" t="b">
        <f>OR(LEFT(B3031,3)="frg",(_xlfn.XMATCH(B3031,ZZZ_Part_Id_[[#All],[FGCODE]])))</f>
        <v>1</v>
      </c>
    </row>
    <row r="3032" spans="1:14" x14ac:dyDescent="0.3">
      <c r="A3032" s="2" t="s">
        <v>13456</v>
      </c>
      <c r="B3032" s="2" t="s">
        <v>14</v>
      </c>
      <c r="C3032" s="2" t="s">
        <v>13457</v>
      </c>
      <c r="D3032" s="3">
        <v>13</v>
      </c>
      <c r="E3032" s="3">
        <v>13</v>
      </c>
      <c r="F3032" s="2" t="s">
        <v>16</v>
      </c>
      <c r="G3032" s="2" t="s">
        <v>13458</v>
      </c>
      <c r="H3032" s="3">
        <v>0</v>
      </c>
      <c r="I3032" s="2" t="s">
        <v>409</v>
      </c>
      <c r="J3032" s="2" t="s">
        <v>13459</v>
      </c>
      <c r="K3032" s="2" t="s">
        <v>16</v>
      </c>
      <c r="L3032" s="2" t="s">
        <v>13460</v>
      </c>
      <c r="M3032" s="4">
        <v>1</v>
      </c>
      <c r="N3032" t="e">
        <f>OR(LEFT(B3032,3)="frg",(_xlfn.XMATCH(B3032,ZZZ_Part_Id_[[#All],[FGCODE]])))</f>
        <v>#N/A</v>
      </c>
    </row>
    <row r="3033" spans="1:14" x14ac:dyDescent="0.3">
      <c r="A3033" s="2" t="s">
        <v>13456</v>
      </c>
      <c r="B3033" s="2" t="s">
        <v>37</v>
      </c>
      <c r="C3033" s="2" t="s">
        <v>13461</v>
      </c>
      <c r="D3033" s="3">
        <v>13</v>
      </c>
      <c r="E3033" s="3">
        <v>13</v>
      </c>
      <c r="F3033" s="2" t="s">
        <v>16</v>
      </c>
      <c r="G3033" s="2" t="s">
        <v>13462</v>
      </c>
      <c r="H3033" s="3">
        <v>0</v>
      </c>
      <c r="I3033" s="2" t="s">
        <v>409</v>
      </c>
      <c r="J3033" s="2" t="s">
        <v>13463</v>
      </c>
      <c r="K3033" s="2" t="s">
        <v>16</v>
      </c>
      <c r="L3033" s="2" t="s">
        <v>13464</v>
      </c>
      <c r="M3033" s="4">
        <v>208</v>
      </c>
      <c r="N3033" t="e">
        <f>OR(LEFT(B3033,3)="frg",(_xlfn.XMATCH(B3033,ZZZ_Part_Id_[[#All],[FGCODE]])))</f>
        <v>#N/A</v>
      </c>
    </row>
    <row r="3034" spans="1:14" x14ac:dyDescent="0.3">
      <c r="A3034" s="2" t="s">
        <v>13456</v>
      </c>
      <c r="B3034" s="2" t="s">
        <v>86</v>
      </c>
      <c r="C3034" s="2" t="s">
        <v>13465</v>
      </c>
      <c r="D3034" s="5">
        <v>-476</v>
      </c>
      <c r="E3034" s="5">
        <v>-476</v>
      </c>
      <c r="F3034" s="2" t="s">
        <v>23</v>
      </c>
      <c r="G3034" s="2" t="s">
        <v>13466</v>
      </c>
      <c r="H3034" s="3">
        <v>0</v>
      </c>
      <c r="I3034" s="2" t="s">
        <v>409</v>
      </c>
      <c r="J3034" s="2" t="s">
        <v>13467</v>
      </c>
      <c r="K3034" s="2" t="s">
        <v>23</v>
      </c>
      <c r="L3034" s="2" t="s">
        <v>13468</v>
      </c>
      <c r="M3034" s="6">
        <v>-1246.07</v>
      </c>
      <c r="N3034" t="b">
        <f>OR(LEFT(B3034,3)="frg",(_xlfn.XMATCH(B3034,ZZZ_Part_Id_[[#All],[FGCODE]])))</f>
        <v>1</v>
      </c>
    </row>
    <row r="3035" spans="1:14" x14ac:dyDescent="0.3">
      <c r="A3035" s="2" t="s">
        <v>13456</v>
      </c>
      <c r="B3035" s="2" t="s">
        <v>11241</v>
      </c>
      <c r="C3035" s="2" t="s">
        <v>13469</v>
      </c>
      <c r="D3035" s="3">
        <v>380700</v>
      </c>
      <c r="E3035" s="3">
        <v>380700</v>
      </c>
      <c r="F3035" s="2" t="s">
        <v>16</v>
      </c>
      <c r="G3035" s="2" t="s">
        <v>13470</v>
      </c>
      <c r="H3035" s="3">
        <v>0</v>
      </c>
      <c r="I3035" s="2" t="s">
        <v>409</v>
      </c>
      <c r="J3035" s="2" t="s">
        <v>13471</v>
      </c>
      <c r="K3035" s="2" t="s">
        <v>16</v>
      </c>
      <c r="L3035" s="2" t="s">
        <v>13472</v>
      </c>
      <c r="M3035" s="4">
        <v>23592</v>
      </c>
      <c r="N3035" t="b">
        <f>OR(LEFT(B3035,3)="frg",(_xlfn.XMATCH(B3035,ZZZ_Part_Id_[[#All],[FGCODE]])))</f>
        <v>1</v>
      </c>
    </row>
    <row r="3036" spans="1:14" x14ac:dyDescent="0.3">
      <c r="A3036" s="2" t="s">
        <v>13473</v>
      </c>
      <c r="B3036" s="2" t="s">
        <v>4796</v>
      </c>
      <c r="C3036" s="2" t="s">
        <v>13474</v>
      </c>
      <c r="D3036" s="3">
        <v>4864</v>
      </c>
      <c r="E3036" s="3">
        <v>4864</v>
      </c>
      <c r="F3036" s="2" t="s">
        <v>16</v>
      </c>
      <c r="G3036" s="2" t="s">
        <v>13475</v>
      </c>
      <c r="H3036" s="3">
        <v>0</v>
      </c>
      <c r="I3036" s="2" t="s">
        <v>409</v>
      </c>
      <c r="J3036" s="2" t="s">
        <v>13476</v>
      </c>
      <c r="K3036" s="2" t="s">
        <v>16</v>
      </c>
      <c r="L3036" s="2" t="s">
        <v>13477</v>
      </c>
      <c r="M3036" s="4">
        <v>1558.62</v>
      </c>
      <c r="N3036" t="b">
        <f>OR(LEFT(B3036,3)="frg",(_xlfn.XMATCH(B3036,ZZZ_Part_Id_[[#All],[FGCODE]])))</f>
        <v>1</v>
      </c>
    </row>
    <row r="3037" spans="1:14" x14ac:dyDescent="0.3">
      <c r="A3037" s="2" t="s">
        <v>13478</v>
      </c>
      <c r="B3037" s="2" t="s">
        <v>14</v>
      </c>
      <c r="C3037" s="2" t="s">
        <v>13479</v>
      </c>
      <c r="D3037" s="3">
        <v>64</v>
      </c>
      <c r="E3037" s="3">
        <v>64</v>
      </c>
      <c r="F3037" s="2" t="s">
        <v>16</v>
      </c>
      <c r="G3037" s="2" t="s">
        <v>13480</v>
      </c>
      <c r="H3037" s="3">
        <v>0</v>
      </c>
      <c r="I3037" s="2" t="s">
        <v>18</v>
      </c>
      <c r="J3037" s="2" t="s">
        <v>13481</v>
      </c>
      <c r="K3037" s="2" t="s">
        <v>16</v>
      </c>
      <c r="L3037" s="2" t="s">
        <v>13482</v>
      </c>
      <c r="M3037" s="4">
        <v>4.92</v>
      </c>
      <c r="N3037" t="e">
        <f>OR(LEFT(B3037,3)="frg",(_xlfn.XMATCH(B3037,ZZZ_Part_Id_[[#All],[FGCODE]])))</f>
        <v>#N/A</v>
      </c>
    </row>
    <row r="3038" spans="1:14" x14ac:dyDescent="0.3">
      <c r="A3038" s="2" t="s">
        <v>13478</v>
      </c>
      <c r="B3038" s="2" t="s">
        <v>11040</v>
      </c>
      <c r="C3038" s="2" t="s">
        <v>13483</v>
      </c>
      <c r="D3038" s="3">
        <v>552240</v>
      </c>
      <c r="E3038" s="3">
        <v>552240</v>
      </c>
      <c r="F3038" s="2" t="s">
        <v>16</v>
      </c>
      <c r="G3038" s="2" t="s">
        <v>13484</v>
      </c>
      <c r="H3038" s="3">
        <v>0</v>
      </c>
      <c r="I3038" s="2" t="s">
        <v>18</v>
      </c>
      <c r="J3038" s="2" t="s">
        <v>13485</v>
      </c>
      <c r="K3038" s="2" t="s">
        <v>16</v>
      </c>
      <c r="L3038" s="2" t="s">
        <v>13486</v>
      </c>
      <c r="M3038" s="4">
        <v>103351.56</v>
      </c>
      <c r="N3038" t="b">
        <f>OR(LEFT(B3038,3)="frg",(_xlfn.XMATCH(B3038,ZZZ_Part_Id_[[#All],[FGCODE]])))</f>
        <v>1</v>
      </c>
    </row>
    <row r="3039" spans="1:14" x14ac:dyDescent="0.3">
      <c r="A3039" s="2" t="s">
        <v>13487</v>
      </c>
      <c r="B3039" s="2" t="s">
        <v>14</v>
      </c>
      <c r="C3039" s="2" t="s">
        <v>13488</v>
      </c>
      <c r="D3039" s="3">
        <v>10</v>
      </c>
      <c r="E3039" s="3">
        <v>10</v>
      </c>
      <c r="F3039" s="2" t="s">
        <v>16</v>
      </c>
      <c r="G3039" s="2" t="s">
        <v>13489</v>
      </c>
      <c r="H3039" s="3">
        <v>0</v>
      </c>
      <c r="I3039" s="2" t="s">
        <v>409</v>
      </c>
      <c r="J3039" s="2" t="s">
        <v>13490</v>
      </c>
      <c r="K3039" s="2" t="s">
        <v>16</v>
      </c>
      <c r="L3039" s="2" t="s">
        <v>13491</v>
      </c>
      <c r="M3039" s="4">
        <v>0.77</v>
      </c>
      <c r="N3039" t="e">
        <f>OR(LEFT(B3039,3)="frg",(_xlfn.XMATCH(B3039,ZZZ_Part_Id_[[#All],[FGCODE]])))</f>
        <v>#N/A</v>
      </c>
    </row>
    <row r="3040" spans="1:14" x14ac:dyDescent="0.3">
      <c r="A3040" s="2" t="s">
        <v>13487</v>
      </c>
      <c r="B3040" s="2" t="s">
        <v>21</v>
      </c>
      <c r="C3040" s="2" t="s">
        <v>13492</v>
      </c>
      <c r="D3040" s="5">
        <v>-178</v>
      </c>
      <c r="E3040" s="5">
        <v>-178</v>
      </c>
      <c r="F3040" s="2" t="s">
        <v>23</v>
      </c>
      <c r="G3040" s="2" t="s">
        <v>13493</v>
      </c>
      <c r="H3040" s="3">
        <v>0</v>
      </c>
      <c r="I3040" s="2" t="s">
        <v>409</v>
      </c>
      <c r="J3040" s="2" t="s">
        <v>13494</v>
      </c>
      <c r="K3040" s="2" t="s">
        <v>23</v>
      </c>
      <c r="L3040" s="2" t="s">
        <v>13495</v>
      </c>
      <c r="M3040" s="6">
        <v>-447.49</v>
      </c>
      <c r="N3040" t="b">
        <f>OR(LEFT(B3040,3)="frg",(_xlfn.XMATCH(B3040,ZZZ_Part_Id_[[#All],[FGCODE]])))</f>
        <v>1</v>
      </c>
    </row>
    <row r="3041" spans="1:14" x14ac:dyDescent="0.3">
      <c r="A3041" s="2" t="s">
        <v>13487</v>
      </c>
      <c r="B3041" s="2" t="s">
        <v>5357</v>
      </c>
      <c r="C3041" s="2" t="s">
        <v>13496</v>
      </c>
      <c r="D3041" s="3">
        <v>37074</v>
      </c>
      <c r="E3041" s="3">
        <v>39744</v>
      </c>
      <c r="F3041" s="2" t="s">
        <v>16</v>
      </c>
      <c r="G3041" s="2" t="s">
        <v>13497</v>
      </c>
      <c r="H3041" s="3">
        <v>0</v>
      </c>
      <c r="I3041" s="2" t="s">
        <v>409</v>
      </c>
      <c r="J3041" s="2" t="s">
        <v>13498</v>
      </c>
      <c r="K3041" s="2" t="s">
        <v>16</v>
      </c>
      <c r="L3041" s="2" t="s">
        <v>13499</v>
      </c>
      <c r="M3041" s="4">
        <v>11874.72</v>
      </c>
      <c r="N3041" t="b">
        <f>OR(LEFT(B3041,3)="frg",(_xlfn.XMATCH(B3041,ZZZ_Part_Id_[[#All],[FGCODE]])))</f>
        <v>1</v>
      </c>
    </row>
    <row r="3042" spans="1:14" x14ac:dyDescent="0.3">
      <c r="A3042" s="2" t="s">
        <v>13500</v>
      </c>
      <c r="B3042" s="2" t="s">
        <v>14</v>
      </c>
      <c r="C3042" s="2" t="s">
        <v>13501</v>
      </c>
      <c r="D3042" s="3">
        <v>40</v>
      </c>
      <c r="E3042" s="3">
        <v>40</v>
      </c>
      <c r="F3042" s="2" t="s">
        <v>16</v>
      </c>
      <c r="G3042" s="2" t="s">
        <v>13502</v>
      </c>
      <c r="H3042" s="3">
        <v>0</v>
      </c>
      <c r="I3042" s="2" t="s">
        <v>409</v>
      </c>
      <c r="J3042" s="2" t="s">
        <v>13503</v>
      </c>
      <c r="K3042" s="2" t="s">
        <v>16</v>
      </c>
      <c r="L3042" s="2" t="s">
        <v>13504</v>
      </c>
      <c r="M3042" s="4">
        <v>3.08</v>
      </c>
      <c r="N3042" t="e">
        <f>OR(LEFT(B3042,3)="frg",(_xlfn.XMATCH(B3042,ZZZ_Part_Id_[[#All],[FGCODE]])))</f>
        <v>#N/A</v>
      </c>
    </row>
    <row r="3043" spans="1:14" x14ac:dyDescent="0.3">
      <c r="A3043" s="2" t="s">
        <v>13500</v>
      </c>
      <c r="B3043" s="2" t="s">
        <v>65</v>
      </c>
      <c r="C3043" s="2" t="s">
        <v>13505</v>
      </c>
      <c r="D3043" s="5">
        <v>-409</v>
      </c>
      <c r="E3043" s="5">
        <v>-409</v>
      </c>
      <c r="F3043" s="2" t="s">
        <v>23</v>
      </c>
      <c r="G3043" s="2" t="s">
        <v>13506</v>
      </c>
      <c r="H3043" s="3">
        <v>0</v>
      </c>
      <c r="I3043" s="2" t="s">
        <v>409</v>
      </c>
      <c r="J3043" s="2" t="s">
        <v>13507</v>
      </c>
      <c r="K3043" s="2" t="s">
        <v>23</v>
      </c>
      <c r="L3043" s="2" t="s">
        <v>13508</v>
      </c>
      <c r="M3043" s="6">
        <v>-1051.78</v>
      </c>
      <c r="N3043" t="b">
        <f>OR(LEFT(B3043,3)="frg",(_xlfn.XMATCH(B3043,ZZZ_Part_Id_[[#All],[FGCODE]])))</f>
        <v>1</v>
      </c>
    </row>
    <row r="3044" spans="1:14" x14ac:dyDescent="0.3">
      <c r="A3044" s="2" t="s">
        <v>13500</v>
      </c>
      <c r="B3044" s="2" t="s">
        <v>3142</v>
      </c>
      <c r="C3044" s="2" t="s">
        <v>13509</v>
      </c>
      <c r="D3044" s="3">
        <v>87668</v>
      </c>
      <c r="E3044" s="3">
        <v>87668</v>
      </c>
      <c r="F3044" s="2" t="s">
        <v>16</v>
      </c>
      <c r="G3044" s="2" t="s">
        <v>13510</v>
      </c>
      <c r="H3044" s="3">
        <v>0</v>
      </c>
      <c r="I3044" s="2" t="s">
        <v>409</v>
      </c>
      <c r="J3044" s="2" t="s">
        <v>13511</v>
      </c>
      <c r="K3044" s="2" t="s">
        <v>16</v>
      </c>
      <c r="L3044" s="2" t="s">
        <v>13512</v>
      </c>
      <c r="M3044" s="4">
        <v>28563.97</v>
      </c>
      <c r="N3044" t="b">
        <f>OR(LEFT(B3044,3)="frg",(_xlfn.XMATCH(B3044,ZZZ_Part_Id_[[#All],[FGCODE]])))</f>
        <v>1</v>
      </c>
    </row>
    <row r="3045" spans="1:14" x14ac:dyDescent="0.3">
      <c r="A3045" s="2" t="s">
        <v>13513</v>
      </c>
      <c r="B3045" s="2" t="s">
        <v>97</v>
      </c>
      <c r="C3045" s="2" t="s">
        <v>13514</v>
      </c>
      <c r="D3045" s="3">
        <v>216000</v>
      </c>
      <c r="E3045" s="3">
        <v>216000</v>
      </c>
      <c r="F3045" s="2" t="s">
        <v>16</v>
      </c>
      <c r="G3045" s="2" t="s">
        <v>13515</v>
      </c>
      <c r="H3045" s="3">
        <v>0</v>
      </c>
      <c r="I3045" s="2" t="s">
        <v>409</v>
      </c>
      <c r="J3045" s="2" t="s">
        <v>13516</v>
      </c>
      <c r="K3045" s="2" t="s">
        <v>16</v>
      </c>
      <c r="L3045" s="2" t="s">
        <v>13517</v>
      </c>
      <c r="M3045" s="4">
        <v>74114.100000000006</v>
      </c>
      <c r="N3045" t="b">
        <f>OR(LEFT(B3045,3)="frg",(_xlfn.XMATCH(B3045,ZZZ_Part_Id_[[#All],[FGCODE]])))</f>
        <v>1</v>
      </c>
    </row>
    <row r="3046" spans="1:14" x14ac:dyDescent="0.3">
      <c r="A3046" s="2" t="s">
        <v>13513</v>
      </c>
      <c r="B3046" s="2" t="s">
        <v>14</v>
      </c>
      <c r="C3046" s="2" t="s">
        <v>13518</v>
      </c>
      <c r="D3046" s="3">
        <v>45</v>
      </c>
      <c r="E3046" s="3">
        <v>45</v>
      </c>
      <c r="F3046" s="2" t="s">
        <v>16</v>
      </c>
      <c r="G3046" s="2" t="s">
        <v>13519</v>
      </c>
      <c r="H3046" s="3">
        <v>0</v>
      </c>
      <c r="I3046" s="2" t="s">
        <v>409</v>
      </c>
      <c r="J3046" s="2" t="s">
        <v>13520</v>
      </c>
      <c r="K3046" s="2" t="s">
        <v>16</v>
      </c>
      <c r="L3046" s="2" t="s">
        <v>13521</v>
      </c>
      <c r="M3046" s="4">
        <v>3.46</v>
      </c>
      <c r="N3046" t="e">
        <f>OR(LEFT(B3046,3)="frg",(_xlfn.XMATCH(B3046,ZZZ_Part_Id_[[#All],[FGCODE]])))</f>
        <v>#N/A</v>
      </c>
    </row>
    <row r="3047" spans="1:14" x14ac:dyDescent="0.3">
      <c r="A3047" s="2" t="s">
        <v>13513</v>
      </c>
      <c r="B3047" s="2" t="s">
        <v>140</v>
      </c>
      <c r="C3047" s="2" t="s">
        <v>13522</v>
      </c>
      <c r="D3047" s="3">
        <v>1.8</v>
      </c>
      <c r="E3047" s="3">
        <v>1.8</v>
      </c>
      <c r="F3047" s="2" t="s">
        <v>16</v>
      </c>
      <c r="G3047" s="2" t="s">
        <v>13523</v>
      </c>
      <c r="H3047" s="3">
        <v>0</v>
      </c>
      <c r="I3047" s="2" t="s">
        <v>409</v>
      </c>
      <c r="J3047" s="2" t="s">
        <v>13524</v>
      </c>
      <c r="K3047" s="2" t="s">
        <v>16</v>
      </c>
      <c r="L3047" s="2" t="s">
        <v>13525</v>
      </c>
      <c r="M3047" s="4">
        <v>3.95</v>
      </c>
      <c r="N3047" t="e">
        <f>OR(LEFT(B3047,3)="frg",(_xlfn.XMATCH(B3047,ZZZ_Part_Id_[[#All],[FGCODE]])))</f>
        <v>#N/A</v>
      </c>
    </row>
    <row r="3048" spans="1:14" x14ac:dyDescent="0.3">
      <c r="A3048" s="2" t="s">
        <v>13513</v>
      </c>
      <c r="B3048" s="2" t="s">
        <v>192</v>
      </c>
      <c r="C3048" s="2" t="s">
        <v>13526</v>
      </c>
      <c r="D3048" s="3">
        <v>0.45</v>
      </c>
      <c r="E3048" s="3">
        <v>0.45</v>
      </c>
      <c r="F3048" s="2" t="s">
        <v>194</v>
      </c>
      <c r="G3048" s="2" t="s">
        <v>13527</v>
      </c>
      <c r="H3048" s="3">
        <v>0</v>
      </c>
      <c r="I3048" s="2" t="s">
        <v>409</v>
      </c>
      <c r="J3048" s="2" t="s">
        <v>13528</v>
      </c>
      <c r="K3048" s="2" t="s">
        <v>194</v>
      </c>
      <c r="L3048" s="2" t="s">
        <v>13529</v>
      </c>
      <c r="M3048" s="4">
        <v>2.2599999999999998</v>
      </c>
      <c r="N3048" t="e">
        <f>OR(LEFT(B3048,3)="frg",(_xlfn.XMATCH(B3048,ZZZ_Part_Id_[[#All],[FGCODE]])))</f>
        <v>#N/A</v>
      </c>
    </row>
    <row r="3049" spans="1:14" x14ac:dyDescent="0.3">
      <c r="A3049" s="2" t="s">
        <v>13530</v>
      </c>
      <c r="B3049" s="2" t="s">
        <v>11068</v>
      </c>
      <c r="C3049" s="2" t="s">
        <v>13531</v>
      </c>
      <c r="D3049" s="3">
        <v>562860</v>
      </c>
      <c r="E3049" s="3">
        <v>562860</v>
      </c>
      <c r="F3049" s="2" t="s">
        <v>16</v>
      </c>
      <c r="G3049" s="2" t="s">
        <v>13532</v>
      </c>
      <c r="H3049" s="3">
        <v>0</v>
      </c>
      <c r="I3049" s="2" t="s">
        <v>409</v>
      </c>
      <c r="J3049" s="2" t="s">
        <v>13533</v>
      </c>
      <c r="K3049" s="2" t="s">
        <v>16</v>
      </c>
      <c r="L3049" s="2" t="s">
        <v>13534</v>
      </c>
      <c r="M3049" s="4">
        <v>106690.06</v>
      </c>
      <c r="N3049" t="b">
        <f>OR(LEFT(B3049,3)="frg",(_xlfn.XMATCH(B3049,ZZZ_Part_Id_[[#All],[FGCODE]])))</f>
        <v>1</v>
      </c>
    </row>
    <row r="3050" spans="1:14" x14ac:dyDescent="0.3">
      <c r="A3050" s="2" t="s">
        <v>13530</v>
      </c>
      <c r="B3050" s="2" t="s">
        <v>14</v>
      </c>
      <c r="C3050" s="2" t="s">
        <v>13535</v>
      </c>
      <c r="D3050" s="3">
        <v>53</v>
      </c>
      <c r="E3050" s="3">
        <v>53</v>
      </c>
      <c r="F3050" s="2" t="s">
        <v>16</v>
      </c>
      <c r="G3050" s="2" t="s">
        <v>13536</v>
      </c>
      <c r="H3050" s="3">
        <v>0</v>
      </c>
      <c r="I3050" s="2" t="s">
        <v>409</v>
      </c>
      <c r="J3050" s="2" t="s">
        <v>13537</v>
      </c>
      <c r="K3050" s="2" t="s">
        <v>16</v>
      </c>
      <c r="L3050" s="2" t="s">
        <v>13538</v>
      </c>
      <c r="M3050" s="4">
        <v>4.08</v>
      </c>
      <c r="N3050" t="e">
        <f>OR(LEFT(B3050,3)="frg",(_xlfn.XMATCH(B3050,ZZZ_Part_Id_[[#All],[FGCODE]])))</f>
        <v>#N/A</v>
      </c>
    </row>
    <row r="3051" spans="1:14" x14ac:dyDescent="0.3">
      <c r="A3051" s="2" t="s">
        <v>13530</v>
      </c>
      <c r="B3051" s="2" t="s">
        <v>140</v>
      </c>
      <c r="C3051" s="2" t="s">
        <v>13539</v>
      </c>
      <c r="D3051" s="3">
        <v>2.12</v>
      </c>
      <c r="E3051" s="3">
        <v>2.12</v>
      </c>
      <c r="F3051" s="2" t="s">
        <v>16</v>
      </c>
      <c r="G3051" s="2" t="s">
        <v>13540</v>
      </c>
      <c r="H3051" s="3">
        <v>0</v>
      </c>
      <c r="I3051" s="2" t="s">
        <v>409</v>
      </c>
      <c r="J3051" s="2" t="s">
        <v>13541</v>
      </c>
      <c r="K3051" s="2" t="s">
        <v>16</v>
      </c>
      <c r="L3051" s="2" t="s">
        <v>13542</v>
      </c>
      <c r="M3051" s="4">
        <v>4.66</v>
      </c>
      <c r="N3051" t="e">
        <f>OR(LEFT(B3051,3)="frg",(_xlfn.XMATCH(B3051,ZZZ_Part_Id_[[#All],[FGCODE]])))</f>
        <v>#N/A</v>
      </c>
    </row>
    <row r="3052" spans="1:14" x14ac:dyDescent="0.3">
      <c r="A3052" s="2" t="s">
        <v>13530</v>
      </c>
      <c r="B3052" s="2" t="s">
        <v>192</v>
      </c>
      <c r="C3052" s="2" t="s">
        <v>13543</v>
      </c>
      <c r="D3052" s="3">
        <v>0.53</v>
      </c>
      <c r="E3052" s="3">
        <v>0.53</v>
      </c>
      <c r="F3052" s="2" t="s">
        <v>194</v>
      </c>
      <c r="G3052" s="2" t="s">
        <v>13544</v>
      </c>
      <c r="H3052" s="3">
        <v>0</v>
      </c>
      <c r="I3052" s="2" t="s">
        <v>409</v>
      </c>
      <c r="J3052" s="2" t="s">
        <v>13545</v>
      </c>
      <c r="K3052" s="2" t="s">
        <v>194</v>
      </c>
      <c r="L3052" s="2" t="s">
        <v>13546</v>
      </c>
      <c r="M3052" s="4">
        <v>2.67</v>
      </c>
      <c r="N3052" t="e">
        <f>OR(LEFT(B3052,3)="frg",(_xlfn.XMATCH(B3052,ZZZ_Part_Id_[[#All],[FGCODE]])))</f>
        <v>#N/A</v>
      </c>
    </row>
    <row r="3053" spans="1:14" x14ac:dyDescent="0.3">
      <c r="A3053" s="2" t="s">
        <v>13547</v>
      </c>
      <c r="B3053" s="2" t="s">
        <v>11040</v>
      </c>
      <c r="C3053" s="2" t="s">
        <v>13548</v>
      </c>
      <c r="D3053" s="3">
        <v>180540</v>
      </c>
      <c r="E3053" s="3">
        <v>180540</v>
      </c>
      <c r="F3053" s="2" t="s">
        <v>16</v>
      </c>
      <c r="G3053" s="2" t="s">
        <v>13549</v>
      </c>
      <c r="H3053" s="3">
        <v>0</v>
      </c>
      <c r="I3053" s="2" t="s">
        <v>409</v>
      </c>
      <c r="J3053" s="2" t="s">
        <v>13550</v>
      </c>
      <c r="K3053" s="2" t="s">
        <v>16</v>
      </c>
      <c r="L3053" s="2" t="s">
        <v>13551</v>
      </c>
      <c r="M3053" s="4">
        <v>33788.01</v>
      </c>
      <c r="N3053" t="b">
        <f>OR(LEFT(B3053,3)="frg",(_xlfn.XMATCH(B3053,ZZZ_Part_Id_[[#All],[FGCODE]])))</f>
        <v>1</v>
      </c>
    </row>
    <row r="3054" spans="1:14" x14ac:dyDescent="0.3">
      <c r="A3054" s="2" t="s">
        <v>13547</v>
      </c>
      <c r="B3054" s="2" t="s">
        <v>14</v>
      </c>
      <c r="C3054" s="2" t="s">
        <v>13552</v>
      </c>
      <c r="D3054" s="3">
        <v>17</v>
      </c>
      <c r="E3054" s="3">
        <v>17</v>
      </c>
      <c r="F3054" s="2" t="s">
        <v>16</v>
      </c>
      <c r="G3054" s="2" t="s">
        <v>13553</v>
      </c>
      <c r="H3054" s="3">
        <v>0</v>
      </c>
      <c r="I3054" s="2" t="s">
        <v>409</v>
      </c>
      <c r="J3054" s="2" t="s">
        <v>13554</v>
      </c>
      <c r="K3054" s="2" t="s">
        <v>16</v>
      </c>
      <c r="L3054" s="2" t="s">
        <v>13555</v>
      </c>
      <c r="M3054" s="4">
        <v>1.31</v>
      </c>
      <c r="N3054" t="e">
        <f>OR(LEFT(B3054,3)="frg",(_xlfn.XMATCH(B3054,ZZZ_Part_Id_[[#All],[FGCODE]])))</f>
        <v>#N/A</v>
      </c>
    </row>
    <row r="3055" spans="1:14" x14ac:dyDescent="0.3">
      <c r="A3055" s="2" t="s">
        <v>13547</v>
      </c>
      <c r="B3055" s="2" t="s">
        <v>140</v>
      </c>
      <c r="C3055" s="2" t="s">
        <v>13556</v>
      </c>
      <c r="D3055" s="3">
        <v>0.68</v>
      </c>
      <c r="E3055" s="3">
        <v>0.68</v>
      </c>
      <c r="F3055" s="2" t="s">
        <v>16</v>
      </c>
      <c r="G3055" s="2" t="s">
        <v>13557</v>
      </c>
      <c r="H3055" s="3">
        <v>0</v>
      </c>
      <c r="I3055" s="2" t="s">
        <v>409</v>
      </c>
      <c r="J3055" s="2" t="s">
        <v>13558</v>
      </c>
      <c r="K3055" s="2" t="s">
        <v>16</v>
      </c>
      <c r="L3055" s="2" t="s">
        <v>13559</v>
      </c>
      <c r="M3055" s="4">
        <v>1.49</v>
      </c>
      <c r="N3055" t="e">
        <f>OR(LEFT(B3055,3)="frg",(_xlfn.XMATCH(B3055,ZZZ_Part_Id_[[#All],[FGCODE]])))</f>
        <v>#N/A</v>
      </c>
    </row>
    <row r="3056" spans="1:14" x14ac:dyDescent="0.3">
      <c r="A3056" s="2" t="s">
        <v>13547</v>
      </c>
      <c r="B3056" s="2" t="s">
        <v>192</v>
      </c>
      <c r="C3056" s="2" t="s">
        <v>13560</v>
      </c>
      <c r="D3056" s="3">
        <v>0.17</v>
      </c>
      <c r="E3056" s="3">
        <v>0.17</v>
      </c>
      <c r="F3056" s="2" t="s">
        <v>194</v>
      </c>
      <c r="G3056" s="2" t="s">
        <v>13561</v>
      </c>
      <c r="H3056" s="3">
        <v>0</v>
      </c>
      <c r="I3056" s="2" t="s">
        <v>409</v>
      </c>
      <c r="J3056" s="2" t="s">
        <v>13562</v>
      </c>
      <c r="K3056" s="2" t="s">
        <v>194</v>
      </c>
      <c r="L3056" s="2" t="s">
        <v>13563</v>
      </c>
      <c r="M3056" s="4">
        <v>0.86</v>
      </c>
      <c r="N3056" t="e">
        <f>OR(LEFT(B3056,3)="frg",(_xlfn.XMATCH(B3056,ZZZ_Part_Id_[[#All],[FGCODE]])))</f>
        <v>#N/A</v>
      </c>
    </row>
    <row r="3057" spans="1:14" x14ac:dyDescent="0.3">
      <c r="A3057" s="2" t="s">
        <v>13564</v>
      </c>
      <c r="B3057" s="2" t="s">
        <v>70</v>
      </c>
      <c r="C3057" s="2" t="s">
        <v>13565</v>
      </c>
      <c r="D3057" s="3">
        <v>120384</v>
      </c>
      <c r="E3057" s="3">
        <v>120384</v>
      </c>
      <c r="F3057" s="2" t="s">
        <v>16</v>
      </c>
      <c r="G3057" s="2" t="s">
        <v>13566</v>
      </c>
      <c r="H3057" s="3">
        <v>0</v>
      </c>
      <c r="I3057" s="2" t="s">
        <v>409</v>
      </c>
      <c r="J3057" s="2" t="s">
        <v>13567</v>
      </c>
      <c r="K3057" s="2" t="s">
        <v>16</v>
      </c>
      <c r="L3057" s="2" t="s">
        <v>13568</v>
      </c>
      <c r="M3057" s="4">
        <v>29639.81</v>
      </c>
      <c r="N3057" t="b">
        <f>OR(LEFT(B3057,3)="frg",(_xlfn.XMATCH(B3057,ZZZ_Part_Id_[[#All],[FGCODE]])))</f>
        <v>1</v>
      </c>
    </row>
    <row r="3058" spans="1:14" x14ac:dyDescent="0.3">
      <c r="A3058" s="2" t="s">
        <v>13564</v>
      </c>
      <c r="B3058" s="2" t="s">
        <v>14</v>
      </c>
      <c r="C3058" s="2" t="s">
        <v>13569</v>
      </c>
      <c r="D3058" s="3">
        <v>17</v>
      </c>
      <c r="E3058" s="3">
        <v>17</v>
      </c>
      <c r="F3058" s="2" t="s">
        <v>16</v>
      </c>
      <c r="G3058" s="2" t="s">
        <v>13570</v>
      </c>
      <c r="H3058" s="3">
        <v>0</v>
      </c>
      <c r="I3058" s="2" t="s">
        <v>409</v>
      </c>
      <c r="J3058" s="2" t="s">
        <v>13571</v>
      </c>
      <c r="K3058" s="2" t="s">
        <v>16</v>
      </c>
      <c r="L3058" s="2" t="s">
        <v>13572</v>
      </c>
      <c r="M3058" s="4">
        <v>1.31</v>
      </c>
      <c r="N3058" t="e">
        <f>OR(LEFT(B3058,3)="frg",(_xlfn.XMATCH(B3058,ZZZ_Part_Id_[[#All],[FGCODE]])))</f>
        <v>#N/A</v>
      </c>
    </row>
    <row r="3059" spans="1:14" x14ac:dyDescent="0.3">
      <c r="A3059" s="2" t="s">
        <v>13564</v>
      </c>
      <c r="B3059" s="2" t="s">
        <v>140</v>
      </c>
      <c r="C3059" s="2" t="s">
        <v>13573</v>
      </c>
      <c r="D3059" s="3">
        <v>0.68</v>
      </c>
      <c r="E3059" s="3">
        <v>0.68</v>
      </c>
      <c r="F3059" s="2" t="s">
        <v>16</v>
      </c>
      <c r="G3059" s="2" t="s">
        <v>13574</v>
      </c>
      <c r="H3059" s="3">
        <v>0</v>
      </c>
      <c r="I3059" s="2" t="s">
        <v>409</v>
      </c>
      <c r="J3059" s="2" t="s">
        <v>13575</v>
      </c>
      <c r="K3059" s="2" t="s">
        <v>16</v>
      </c>
      <c r="L3059" s="2" t="s">
        <v>13576</v>
      </c>
      <c r="M3059" s="4">
        <v>1.49</v>
      </c>
      <c r="N3059" t="e">
        <f>OR(LEFT(B3059,3)="frg",(_xlfn.XMATCH(B3059,ZZZ_Part_Id_[[#All],[FGCODE]])))</f>
        <v>#N/A</v>
      </c>
    </row>
    <row r="3060" spans="1:14" x14ac:dyDescent="0.3">
      <c r="A3060" s="2" t="s">
        <v>13564</v>
      </c>
      <c r="B3060" s="2" t="s">
        <v>192</v>
      </c>
      <c r="C3060" s="2" t="s">
        <v>13577</v>
      </c>
      <c r="D3060" s="3">
        <v>0.17</v>
      </c>
      <c r="E3060" s="3">
        <v>0.17</v>
      </c>
      <c r="F3060" s="2" t="s">
        <v>194</v>
      </c>
      <c r="G3060" s="2" t="s">
        <v>13578</v>
      </c>
      <c r="H3060" s="3">
        <v>0</v>
      </c>
      <c r="I3060" s="2" t="s">
        <v>409</v>
      </c>
      <c r="J3060" s="2" t="s">
        <v>13579</v>
      </c>
      <c r="K3060" s="2" t="s">
        <v>194</v>
      </c>
      <c r="L3060" s="2" t="s">
        <v>13580</v>
      </c>
      <c r="M3060" s="4">
        <v>0.86</v>
      </c>
      <c r="N3060" t="e">
        <f>OR(LEFT(B3060,3)="frg",(_xlfn.XMATCH(B3060,ZZZ_Part_Id_[[#All],[FGCODE]])))</f>
        <v>#N/A</v>
      </c>
    </row>
    <row r="3061" spans="1:14" x14ac:dyDescent="0.3">
      <c r="A3061" s="2" t="s">
        <v>13564</v>
      </c>
      <c r="B3061" s="2" t="s">
        <v>65</v>
      </c>
      <c r="C3061" s="2" t="s">
        <v>13581</v>
      </c>
      <c r="D3061" s="5">
        <v>-456</v>
      </c>
      <c r="E3061" s="5">
        <v>-456</v>
      </c>
      <c r="F3061" s="2" t="s">
        <v>23</v>
      </c>
      <c r="G3061" s="2" t="s">
        <v>13582</v>
      </c>
      <c r="H3061" s="3">
        <v>0</v>
      </c>
      <c r="I3061" s="2" t="s">
        <v>409</v>
      </c>
      <c r="J3061" s="2" t="s">
        <v>13583</v>
      </c>
      <c r="K3061" s="2" t="s">
        <v>23</v>
      </c>
      <c r="L3061" s="2" t="s">
        <v>13584</v>
      </c>
      <c r="M3061" s="6">
        <v>-1172.6500000000001</v>
      </c>
      <c r="N3061" t="b">
        <f>OR(LEFT(B3061,3)="frg",(_xlfn.XMATCH(B3061,ZZZ_Part_Id_[[#All],[FGCODE]])))</f>
        <v>1</v>
      </c>
    </row>
    <row r="3062" spans="1:14" x14ac:dyDescent="0.3">
      <c r="A3062" s="2" t="s">
        <v>13585</v>
      </c>
      <c r="B3062" s="2" t="s">
        <v>14</v>
      </c>
      <c r="C3062" s="2" t="s">
        <v>13586</v>
      </c>
      <c r="D3062" s="3">
        <v>64</v>
      </c>
      <c r="E3062" s="3">
        <v>64</v>
      </c>
      <c r="F3062" s="2" t="s">
        <v>16</v>
      </c>
      <c r="G3062" s="2" t="s">
        <v>13587</v>
      </c>
      <c r="H3062" s="3">
        <v>0</v>
      </c>
      <c r="I3062" s="2" t="s">
        <v>18</v>
      </c>
      <c r="J3062" s="2" t="s">
        <v>13588</v>
      </c>
      <c r="K3062" s="2" t="s">
        <v>16</v>
      </c>
      <c r="L3062" s="2" t="s">
        <v>13589</v>
      </c>
      <c r="M3062" s="4">
        <v>4.92</v>
      </c>
      <c r="N3062" t="e">
        <f>OR(LEFT(B3062,3)="frg",(_xlfn.XMATCH(B3062,ZZZ_Part_Id_[[#All],[FGCODE]])))</f>
        <v>#N/A</v>
      </c>
    </row>
    <row r="3063" spans="1:14" x14ac:dyDescent="0.3">
      <c r="A3063" s="2" t="s">
        <v>13585</v>
      </c>
      <c r="B3063" s="2" t="s">
        <v>11068</v>
      </c>
      <c r="C3063" s="2" t="s">
        <v>13590</v>
      </c>
      <c r="D3063" s="3">
        <v>637200</v>
      </c>
      <c r="E3063" s="3">
        <v>637200</v>
      </c>
      <c r="F3063" s="2" t="s">
        <v>16</v>
      </c>
      <c r="G3063" s="2" t="s">
        <v>13591</v>
      </c>
      <c r="H3063" s="3">
        <v>0</v>
      </c>
      <c r="I3063" s="2" t="s">
        <v>18</v>
      </c>
      <c r="J3063" s="2" t="s">
        <v>13592</v>
      </c>
      <c r="K3063" s="2" t="s">
        <v>16</v>
      </c>
      <c r="L3063" s="2" t="s">
        <v>13593</v>
      </c>
      <c r="M3063" s="4">
        <v>120781.21</v>
      </c>
      <c r="N3063" t="b">
        <f>OR(LEFT(B3063,3)="frg",(_xlfn.XMATCH(B3063,ZZZ_Part_Id_[[#All],[FGCODE]])))</f>
        <v>1</v>
      </c>
    </row>
    <row r="3064" spans="1:14" x14ac:dyDescent="0.3">
      <c r="A3064" s="2" t="s">
        <v>13594</v>
      </c>
      <c r="B3064" s="2" t="s">
        <v>97</v>
      </c>
      <c r="C3064" s="2" t="s">
        <v>13595</v>
      </c>
      <c r="D3064" s="3">
        <v>326400</v>
      </c>
      <c r="E3064" s="3">
        <v>326400</v>
      </c>
      <c r="F3064" s="2" t="s">
        <v>16</v>
      </c>
      <c r="G3064" s="2" t="s">
        <v>13596</v>
      </c>
      <c r="H3064" s="3">
        <v>0</v>
      </c>
      <c r="I3064" s="2" t="s">
        <v>18</v>
      </c>
      <c r="J3064" s="2" t="s">
        <v>13597</v>
      </c>
      <c r="K3064" s="2" t="s">
        <v>16</v>
      </c>
      <c r="L3064" s="2" t="s">
        <v>13598</v>
      </c>
      <c r="M3064" s="4">
        <v>111994.64</v>
      </c>
      <c r="N3064" t="b">
        <f>OR(LEFT(B3064,3)="frg",(_xlfn.XMATCH(B3064,ZZZ_Part_Id_[[#All],[FGCODE]])))</f>
        <v>1</v>
      </c>
    </row>
    <row r="3065" spans="1:14" x14ac:dyDescent="0.3">
      <c r="A3065" s="2" t="s">
        <v>13599</v>
      </c>
      <c r="B3065" s="2" t="s">
        <v>14</v>
      </c>
      <c r="C3065" s="2" t="s">
        <v>13600</v>
      </c>
      <c r="D3065" s="3">
        <v>14</v>
      </c>
      <c r="E3065" s="3">
        <v>14</v>
      </c>
      <c r="F3065" s="2" t="s">
        <v>16</v>
      </c>
      <c r="G3065" s="2" t="s">
        <v>13601</v>
      </c>
      <c r="H3065" s="3">
        <v>0</v>
      </c>
      <c r="I3065" s="2" t="s">
        <v>18</v>
      </c>
      <c r="J3065" s="2" t="s">
        <v>13602</v>
      </c>
      <c r="K3065" s="2" t="s">
        <v>16</v>
      </c>
      <c r="L3065" s="2" t="s">
        <v>13603</v>
      </c>
      <c r="M3065" s="4">
        <v>1.08</v>
      </c>
      <c r="N3065" t="e">
        <f>OR(LEFT(B3065,3)="frg",(_xlfn.XMATCH(B3065,ZZZ_Part_Id_[[#All],[FGCODE]])))</f>
        <v>#N/A</v>
      </c>
    </row>
    <row r="3066" spans="1:14" x14ac:dyDescent="0.3">
      <c r="A3066" s="2" t="s">
        <v>13599</v>
      </c>
      <c r="B3066" s="2" t="s">
        <v>65</v>
      </c>
      <c r="C3066" s="2" t="s">
        <v>13604</v>
      </c>
      <c r="D3066" s="5">
        <v>-152</v>
      </c>
      <c r="E3066" s="5">
        <v>-152</v>
      </c>
      <c r="F3066" s="2" t="s">
        <v>23</v>
      </c>
      <c r="G3066" s="2" t="s">
        <v>13605</v>
      </c>
      <c r="H3066" s="3">
        <v>0</v>
      </c>
      <c r="I3066" s="2" t="s">
        <v>18</v>
      </c>
      <c r="J3066" s="2" t="s">
        <v>13606</v>
      </c>
      <c r="K3066" s="2" t="s">
        <v>23</v>
      </c>
      <c r="L3066" s="2" t="s">
        <v>13607</v>
      </c>
      <c r="M3066" s="6">
        <v>-390.88</v>
      </c>
      <c r="N3066" t="b">
        <f>OR(LEFT(B3066,3)="frg",(_xlfn.XMATCH(B3066,ZZZ_Part_Id_[[#All],[FGCODE]])))</f>
        <v>1</v>
      </c>
    </row>
    <row r="3067" spans="1:14" x14ac:dyDescent="0.3">
      <c r="A3067" s="2" t="s">
        <v>13599</v>
      </c>
      <c r="B3067" s="2" t="s">
        <v>2086</v>
      </c>
      <c r="C3067" s="2" t="s">
        <v>13608</v>
      </c>
      <c r="D3067" s="3">
        <v>59136</v>
      </c>
      <c r="E3067" s="3">
        <v>59136</v>
      </c>
      <c r="F3067" s="2" t="s">
        <v>16</v>
      </c>
      <c r="G3067" s="2" t="s">
        <v>13609</v>
      </c>
      <c r="H3067" s="3">
        <v>0</v>
      </c>
      <c r="I3067" s="2" t="s">
        <v>18</v>
      </c>
      <c r="J3067" s="2" t="s">
        <v>13610</v>
      </c>
      <c r="K3067" s="2" t="s">
        <v>16</v>
      </c>
      <c r="L3067" s="2" t="s">
        <v>13611</v>
      </c>
      <c r="M3067" s="4">
        <v>13888.14</v>
      </c>
      <c r="N3067" t="b">
        <f>OR(LEFT(B3067,3)="frg",(_xlfn.XMATCH(B3067,ZZZ_Part_Id_[[#All],[FGCODE]])))</f>
        <v>1</v>
      </c>
    </row>
    <row r="3068" spans="1:14" x14ac:dyDescent="0.3">
      <c r="A3068" s="2" t="s">
        <v>13612</v>
      </c>
      <c r="B3068" s="2" t="s">
        <v>14</v>
      </c>
      <c r="C3068" s="2" t="s">
        <v>13613</v>
      </c>
      <c r="D3068" s="3">
        <v>64</v>
      </c>
      <c r="E3068" s="3">
        <v>64</v>
      </c>
      <c r="F3068" s="2" t="s">
        <v>16</v>
      </c>
      <c r="G3068" s="2" t="s">
        <v>13614</v>
      </c>
      <c r="H3068" s="3">
        <v>0</v>
      </c>
      <c r="I3068" s="2" t="s">
        <v>18</v>
      </c>
      <c r="J3068" s="2" t="s">
        <v>13615</v>
      </c>
      <c r="K3068" s="2" t="s">
        <v>16</v>
      </c>
      <c r="L3068" s="2" t="s">
        <v>13616</v>
      </c>
      <c r="M3068" s="4">
        <v>4.92</v>
      </c>
      <c r="N3068" t="e">
        <f>OR(LEFT(B3068,3)="frg",(_xlfn.XMATCH(B3068,ZZZ_Part_Id_[[#All],[FGCODE]])))</f>
        <v>#N/A</v>
      </c>
    </row>
    <row r="3069" spans="1:14" x14ac:dyDescent="0.3">
      <c r="A3069" s="2" t="s">
        <v>13612</v>
      </c>
      <c r="B3069" s="2" t="s">
        <v>517</v>
      </c>
      <c r="C3069" s="2" t="s">
        <v>13617</v>
      </c>
      <c r="D3069" s="3">
        <v>624960</v>
      </c>
      <c r="E3069" s="3">
        <v>624960</v>
      </c>
      <c r="F3069" s="2" t="s">
        <v>16</v>
      </c>
      <c r="G3069" s="2" t="s">
        <v>13618</v>
      </c>
      <c r="H3069" s="3">
        <v>0</v>
      </c>
      <c r="I3069" s="2" t="s">
        <v>18</v>
      </c>
      <c r="J3069" s="2" t="s">
        <v>13619</v>
      </c>
      <c r="K3069" s="2" t="s">
        <v>16</v>
      </c>
      <c r="L3069" s="2" t="s">
        <v>13620</v>
      </c>
      <c r="M3069" s="4">
        <v>113742.72</v>
      </c>
      <c r="N3069" t="b">
        <f>OR(LEFT(B3069,3)="frg",(_xlfn.XMATCH(B3069,ZZZ_Part_Id_[[#All],[FGCODE]])))</f>
        <v>1</v>
      </c>
    </row>
    <row r="3070" spans="1:14" x14ac:dyDescent="0.3">
      <c r="A3070" s="2" t="s">
        <v>13621</v>
      </c>
      <c r="B3070" s="2" t="s">
        <v>8269</v>
      </c>
      <c r="C3070" s="2" t="s">
        <v>13622</v>
      </c>
      <c r="D3070" s="3">
        <v>38200</v>
      </c>
      <c r="E3070" s="3">
        <v>0</v>
      </c>
      <c r="F3070" s="2" t="s">
        <v>16</v>
      </c>
      <c r="G3070" s="2" t="s">
        <v>13623</v>
      </c>
      <c r="H3070" s="3">
        <v>0</v>
      </c>
      <c r="I3070" s="2" t="s">
        <v>409</v>
      </c>
      <c r="J3070" s="2" t="s">
        <v>13624</v>
      </c>
      <c r="K3070" s="2" t="s">
        <v>16</v>
      </c>
      <c r="L3070" s="2" t="s">
        <v>13625</v>
      </c>
      <c r="M3070" s="4">
        <v>0</v>
      </c>
      <c r="N3070" t="e">
        <f>OR(LEFT(B3070,3)="frg",(_xlfn.XMATCH(B3070,ZZZ_Part_Id_[[#All],[FGCODE]])))</f>
        <v>#N/A</v>
      </c>
    </row>
    <row r="3071" spans="1:14" x14ac:dyDescent="0.3">
      <c r="A3071" s="2" t="s">
        <v>13621</v>
      </c>
      <c r="B3071" s="2" t="s">
        <v>8278</v>
      </c>
      <c r="C3071" s="2" t="s">
        <v>13626</v>
      </c>
      <c r="D3071" s="3">
        <v>29.66</v>
      </c>
      <c r="E3071" s="3">
        <v>0</v>
      </c>
      <c r="F3071" s="2" t="s">
        <v>23</v>
      </c>
      <c r="G3071" s="2" t="s">
        <v>13627</v>
      </c>
      <c r="H3071" s="3">
        <v>0</v>
      </c>
      <c r="I3071" s="2" t="s">
        <v>409</v>
      </c>
      <c r="J3071" s="2" t="s">
        <v>13628</v>
      </c>
      <c r="K3071" s="2" t="s">
        <v>23</v>
      </c>
      <c r="L3071" s="2" t="s">
        <v>13629</v>
      </c>
      <c r="M3071" s="4">
        <v>0</v>
      </c>
      <c r="N3071" t="e">
        <f>OR(LEFT(B3071,3)="frg",(_xlfn.XMATCH(B3071,ZZZ_Part_Id_[[#All],[FGCODE]])))</f>
        <v>#N/A</v>
      </c>
    </row>
    <row r="3072" spans="1:14" x14ac:dyDescent="0.3">
      <c r="A3072" s="2" t="s">
        <v>13621</v>
      </c>
      <c r="B3072" s="2" t="s">
        <v>14</v>
      </c>
      <c r="C3072" s="2" t="s">
        <v>13630</v>
      </c>
      <c r="D3072" s="3">
        <v>20</v>
      </c>
      <c r="E3072" s="3">
        <v>0</v>
      </c>
      <c r="F3072" s="2" t="s">
        <v>16</v>
      </c>
      <c r="G3072" s="2" t="s">
        <v>13631</v>
      </c>
      <c r="H3072" s="3">
        <v>0</v>
      </c>
      <c r="I3072" s="2" t="s">
        <v>409</v>
      </c>
      <c r="J3072" s="2" t="s">
        <v>13632</v>
      </c>
      <c r="K3072" s="2" t="s">
        <v>16</v>
      </c>
      <c r="L3072" s="2" t="s">
        <v>13633</v>
      </c>
      <c r="M3072" s="4">
        <v>0</v>
      </c>
      <c r="N3072" t="e">
        <f>OR(LEFT(B3072,3)="frg",(_xlfn.XMATCH(B3072,ZZZ_Part_Id_[[#All],[FGCODE]])))</f>
        <v>#N/A</v>
      </c>
    </row>
    <row r="3073" spans="1:14" x14ac:dyDescent="0.3">
      <c r="A3073" s="2" t="s">
        <v>13621</v>
      </c>
      <c r="B3073" s="2" t="s">
        <v>8291</v>
      </c>
      <c r="C3073" s="2" t="s">
        <v>13634</v>
      </c>
      <c r="D3073" s="3">
        <v>1.28</v>
      </c>
      <c r="E3073" s="3">
        <v>0</v>
      </c>
      <c r="F3073" s="2" t="s">
        <v>23</v>
      </c>
      <c r="G3073" s="2" t="s">
        <v>13635</v>
      </c>
      <c r="H3073" s="3">
        <v>0</v>
      </c>
      <c r="I3073" s="2" t="s">
        <v>409</v>
      </c>
      <c r="J3073" s="2" t="s">
        <v>13636</v>
      </c>
      <c r="K3073" s="2" t="s">
        <v>23</v>
      </c>
      <c r="L3073" s="2" t="s">
        <v>13637</v>
      </c>
      <c r="M3073" s="4">
        <v>0</v>
      </c>
      <c r="N3073" t="e">
        <f>OR(LEFT(B3073,3)="frg",(_xlfn.XMATCH(B3073,ZZZ_Part_Id_[[#All],[FGCODE]])))</f>
        <v>#N/A</v>
      </c>
    </row>
    <row r="3074" spans="1:14" x14ac:dyDescent="0.3">
      <c r="A3074" s="2" t="s">
        <v>13621</v>
      </c>
      <c r="B3074" s="2" t="s">
        <v>8296</v>
      </c>
      <c r="C3074" s="2" t="s">
        <v>13638</v>
      </c>
      <c r="D3074" s="3">
        <v>0.08</v>
      </c>
      <c r="E3074" s="3">
        <v>0</v>
      </c>
      <c r="F3074" s="2" t="s">
        <v>23</v>
      </c>
      <c r="G3074" s="2" t="s">
        <v>13639</v>
      </c>
      <c r="H3074" s="3">
        <v>0</v>
      </c>
      <c r="I3074" s="2" t="s">
        <v>409</v>
      </c>
      <c r="J3074" s="2" t="s">
        <v>13640</v>
      </c>
      <c r="K3074" s="2" t="s">
        <v>23</v>
      </c>
      <c r="L3074" s="2" t="s">
        <v>13641</v>
      </c>
      <c r="M3074" s="4">
        <v>0</v>
      </c>
      <c r="N3074" t="e">
        <f>OR(LEFT(B3074,3)="frg",(_xlfn.XMATCH(B3074,ZZZ_Part_Id_[[#All],[FGCODE]])))</f>
        <v>#N/A</v>
      </c>
    </row>
    <row r="3075" spans="1:14" x14ac:dyDescent="0.3">
      <c r="A3075" s="2" t="s">
        <v>13621</v>
      </c>
      <c r="B3075" s="2" t="s">
        <v>45</v>
      </c>
      <c r="C3075" s="2" t="s">
        <v>13642</v>
      </c>
      <c r="D3075" s="3">
        <v>1.68</v>
      </c>
      <c r="E3075" s="3">
        <v>0</v>
      </c>
      <c r="F3075" s="2" t="s">
        <v>47</v>
      </c>
      <c r="G3075" s="2" t="s">
        <v>13643</v>
      </c>
      <c r="H3075" s="3">
        <v>0</v>
      </c>
      <c r="I3075" s="2" t="s">
        <v>409</v>
      </c>
      <c r="J3075" s="2" t="s">
        <v>13644</v>
      </c>
      <c r="K3075" s="2" t="s">
        <v>47</v>
      </c>
      <c r="L3075" s="2" t="s">
        <v>13645</v>
      </c>
      <c r="M3075" s="4">
        <v>0</v>
      </c>
      <c r="N3075" t="e">
        <f>OR(LEFT(B3075,3)="frg",(_xlfn.XMATCH(B3075,ZZZ_Part_Id_[[#All],[FGCODE]])))</f>
        <v>#N/A</v>
      </c>
    </row>
    <row r="3076" spans="1:14" x14ac:dyDescent="0.3">
      <c r="A3076" s="2" t="s">
        <v>13621</v>
      </c>
      <c r="B3076" s="2" t="s">
        <v>4365</v>
      </c>
      <c r="C3076" s="2" t="s">
        <v>13646</v>
      </c>
      <c r="D3076" s="3">
        <v>37800</v>
      </c>
      <c r="E3076" s="3">
        <v>0</v>
      </c>
      <c r="F3076" s="2" t="s">
        <v>16</v>
      </c>
      <c r="G3076" s="2" t="s">
        <v>13647</v>
      </c>
      <c r="H3076" s="3">
        <v>0</v>
      </c>
      <c r="I3076" s="2" t="s">
        <v>409</v>
      </c>
      <c r="J3076" s="2" t="s">
        <v>13648</v>
      </c>
      <c r="K3076" s="2" t="s">
        <v>16</v>
      </c>
      <c r="L3076" s="2" t="s">
        <v>13649</v>
      </c>
      <c r="M3076" s="4">
        <v>0</v>
      </c>
      <c r="N3076" t="b">
        <f>OR(LEFT(B3076,3)="frg",(_xlfn.XMATCH(B3076,ZZZ_Part_Id_[[#All],[FGCODE]])))</f>
        <v>1</v>
      </c>
    </row>
    <row r="3077" spans="1:14" x14ac:dyDescent="0.3">
      <c r="A3077" s="2" t="s">
        <v>13650</v>
      </c>
      <c r="B3077" s="2" t="s">
        <v>13651</v>
      </c>
      <c r="C3077" s="2" t="s">
        <v>13652</v>
      </c>
      <c r="D3077" s="3">
        <v>38200</v>
      </c>
      <c r="E3077" s="3">
        <v>38200</v>
      </c>
      <c r="F3077" s="2" t="s">
        <v>16</v>
      </c>
      <c r="G3077" s="2" t="s">
        <v>13653</v>
      </c>
      <c r="H3077" s="3">
        <v>0</v>
      </c>
      <c r="I3077" s="2" t="s">
        <v>409</v>
      </c>
      <c r="J3077" s="2" t="s">
        <v>13654</v>
      </c>
      <c r="K3077" s="2" t="s">
        <v>16</v>
      </c>
      <c r="L3077" s="2" t="s">
        <v>13655</v>
      </c>
      <c r="M3077" s="4">
        <v>625.64</v>
      </c>
      <c r="N3077" t="e">
        <f>OR(LEFT(B3077,3)="frg",(_xlfn.XMATCH(B3077,ZZZ_Part_Id_[[#All],[FGCODE]])))</f>
        <v>#N/A</v>
      </c>
    </row>
    <row r="3078" spans="1:14" x14ac:dyDescent="0.3">
      <c r="A3078" s="2" t="s">
        <v>13650</v>
      </c>
      <c r="B3078" s="2" t="s">
        <v>8278</v>
      </c>
      <c r="C3078" s="2" t="s">
        <v>13656</v>
      </c>
      <c r="D3078" s="3">
        <v>29.66</v>
      </c>
      <c r="E3078" s="3">
        <v>29.66</v>
      </c>
      <c r="F3078" s="2" t="s">
        <v>23</v>
      </c>
      <c r="G3078" s="2" t="s">
        <v>13657</v>
      </c>
      <c r="H3078" s="3">
        <v>0</v>
      </c>
      <c r="I3078" s="2" t="s">
        <v>409</v>
      </c>
      <c r="J3078" s="2" t="s">
        <v>13658</v>
      </c>
      <c r="K3078" s="2" t="s">
        <v>23</v>
      </c>
      <c r="L3078" s="2" t="s">
        <v>13659</v>
      </c>
      <c r="M3078" s="4">
        <v>221.45</v>
      </c>
      <c r="N3078" t="e">
        <f>OR(LEFT(B3078,3)="frg",(_xlfn.XMATCH(B3078,ZZZ_Part_Id_[[#All],[FGCODE]])))</f>
        <v>#N/A</v>
      </c>
    </row>
    <row r="3079" spans="1:14" x14ac:dyDescent="0.3">
      <c r="A3079" s="2" t="s">
        <v>13650</v>
      </c>
      <c r="B3079" s="2" t="s">
        <v>14</v>
      </c>
      <c r="C3079" s="2" t="s">
        <v>13660</v>
      </c>
      <c r="D3079" s="3">
        <v>20</v>
      </c>
      <c r="E3079" s="3">
        <v>20</v>
      </c>
      <c r="F3079" s="2" t="s">
        <v>16</v>
      </c>
      <c r="G3079" s="2" t="s">
        <v>13661</v>
      </c>
      <c r="H3079" s="3">
        <v>0</v>
      </c>
      <c r="I3079" s="2" t="s">
        <v>409</v>
      </c>
      <c r="J3079" s="2" t="s">
        <v>13662</v>
      </c>
      <c r="K3079" s="2" t="s">
        <v>16</v>
      </c>
      <c r="L3079" s="2" t="s">
        <v>13663</v>
      </c>
      <c r="M3079" s="4">
        <v>1.54</v>
      </c>
      <c r="N3079" t="e">
        <f>OR(LEFT(B3079,3)="frg",(_xlfn.XMATCH(B3079,ZZZ_Part_Id_[[#All],[FGCODE]])))</f>
        <v>#N/A</v>
      </c>
    </row>
    <row r="3080" spans="1:14" x14ac:dyDescent="0.3">
      <c r="A3080" s="2" t="s">
        <v>13650</v>
      </c>
      <c r="B3080" s="2" t="s">
        <v>8291</v>
      </c>
      <c r="C3080" s="2" t="s">
        <v>13664</v>
      </c>
      <c r="D3080" s="3">
        <v>1.28</v>
      </c>
      <c r="E3080" s="3">
        <v>1.28</v>
      </c>
      <c r="F3080" s="2" t="s">
        <v>23</v>
      </c>
      <c r="G3080" s="2" t="s">
        <v>13665</v>
      </c>
      <c r="H3080" s="3">
        <v>0</v>
      </c>
      <c r="I3080" s="2" t="s">
        <v>409</v>
      </c>
      <c r="J3080" s="2" t="s">
        <v>13666</v>
      </c>
      <c r="K3080" s="2" t="s">
        <v>23</v>
      </c>
      <c r="L3080" s="2" t="s">
        <v>13667</v>
      </c>
      <c r="M3080" s="4">
        <v>23.36</v>
      </c>
      <c r="N3080" t="e">
        <f>OR(LEFT(B3080,3)="frg",(_xlfn.XMATCH(B3080,ZZZ_Part_Id_[[#All],[FGCODE]])))</f>
        <v>#N/A</v>
      </c>
    </row>
    <row r="3081" spans="1:14" x14ac:dyDescent="0.3">
      <c r="A3081" s="2" t="s">
        <v>13650</v>
      </c>
      <c r="B3081" s="2" t="s">
        <v>8296</v>
      </c>
      <c r="C3081" s="2" t="s">
        <v>13668</v>
      </c>
      <c r="D3081" s="3">
        <v>0.08</v>
      </c>
      <c r="E3081" s="3">
        <v>0</v>
      </c>
      <c r="F3081" s="2" t="s">
        <v>23</v>
      </c>
      <c r="G3081" s="2" t="s">
        <v>13669</v>
      </c>
      <c r="H3081" s="3">
        <v>0</v>
      </c>
      <c r="I3081" s="2" t="s">
        <v>409</v>
      </c>
      <c r="J3081" s="2" t="s">
        <v>13670</v>
      </c>
      <c r="K3081" s="2" t="s">
        <v>23</v>
      </c>
      <c r="L3081" s="2" t="s">
        <v>13671</v>
      </c>
      <c r="M3081" s="4">
        <v>0</v>
      </c>
      <c r="N3081" t="e">
        <f>OR(LEFT(B3081,3)="frg",(_xlfn.XMATCH(B3081,ZZZ_Part_Id_[[#All],[FGCODE]])))</f>
        <v>#N/A</v>
      </c>
    </row>
    <row r="3082" spans="1:14" x14ac:dyDescent="0.3">
      <c r="A3082" s="2" t="s">
        <v>13650</v>
      </c>
      <c r="B3082" s="2" t="s">
        <v>264</v>
      </c>
      <c r="C3082" s="2" t="s">
        <v>13672</v>
      </c>
      <c r="D3082" s="3">
        <v>0.02</v>
      </c>
      <c r="E3082" s="3">
        <v>0.02</v>
      </c>
      <c r="F3082" s="2" t="s">
        <v>16</v>
      </c>
      <c r="G3082" s="2" t="s">
        <v>13673</v>
      </c>
      <c r="H3082" s="3">
        <v>0</v>
      </c>
      <c r="I3082" s="2" t="s">
        <v>409</v>
      </c>
      <c r="J3082" s="2" t="s">
        <v>13674</v>
      </c>
      <c r="K3082" s="2" t="s">
        <v>16</v>
      </c>
      <c r="L3082" s="2" t="s">
        <v>13675</v>
      </c>
      <c r="M3082" s="4">
        <v>0.75</v>
      </c>
      <c r="N3082" t="e">
        <f>OR(LEFT(B3082,3)="frg",(_xlfn.XMATCH(B3082,ZZZ_Part_Id_[[#All],[FGCODE]])))</f>
        <v>#N/A</v>
      </c>
    </row>
    <row r="3083" spans="1:14" x14ac:dyDescent="0.3">
      <c r="A3083" s="2" t="s">
        <v>13650</v>
      </c>
      <c r="B3083" s="2" t="s">
        <v>45</v>
      </c>
      <c r="C3083" s="2" t="s">
        <v>13676</v>
      </c>
      <c r="D3083" s="3">
        <v>1.68</v>
      </c>
      <c r="E3083" s="3">
        <v>1.68</v>
      </c>
      <c r="F3083" s="2" t="s">
        <v>47</v>
      </c>
      <c r="G3083" s="2" t="s">
        <v>13677</v>
      </c>
      <c r="H3083" s="3">
        <v>0</v>
      </c>
      <c r="I3083" s="2" t="s">
        <v>409</v>
      </c>
      <c r="J3083" s="2" t="s">
        <v>13678</v>
      </c>
      <c r="K3083" s="2" t="s">
        <v>47</v>
      </c>
      <c r="L3083" s="2" t="s">
        <v>13679</v>
      </c>
      <c r="M3083" s="4">
        <v>135.94999999999999</v>
      </c>
      <c r="N3083" t="e">
        <f>OR(LEFT(B3083,3)="frg",(_xlfn.XMATCH(B3083,ZZZ_Part_Id_[[#All],[FGCODE]])))</f>
        <v>#N/A</v>
      </c>
    </row>
    <row r="3084" spans="1:14" x14ac:dyDescent="0.3">
      <c r="A3084" s="2" t="s">
        <v>13650</v>
      </c>
      <c r="B3084" s="2" t="s">
        <v>4365</v>
      </c>
      <c r="C3084" s="2" t="s">
        <v>13680</v>
      </c>
      <c r="D3084" s="3">
        <v>37800</v>
      </c>
      <c r="E3084" s="3">
        <v>37800</v>
      </c>
      <c r="F3084" s="2" t="s">
        <v>16</v>
      </c>
      <c r="G3084" s="2" t="s">
        <v>13681</v>
      </c>
      <c r="H3084" s="3">
        <v>0</v>
      </c>
      <c r="I3084" s="2" t="s">
        <v>409</v>
      </c>
      <c r="J3084" s="2" t="s">
        <v>13682</v>
      </c>
      <c r="K3084" s="2" t="s">
        <v>16</v>
      </c>
      <c r="L3084" s="2" t="s">
        <v>13683</v>
      </c>
      <c r="M3084" s="4">
        <v>14246.44</v>
      </c>
      <c r="N3084" t="b">
        <f>OR(LEFT(B3084,3)="frg",(_xlfn.XMATCH(B3084,ZZZ_Part_Id_[[#All],[FGCODE]])))</f>
        <v>1</v>
      </c>
    </row>
    <row r="3085" spans="1:14" x14ac:dyDescent="0.3">
      <c r="A3085" s="2" t="s">
        <v>13684</v>
      </c>
      <c r="B3085" s="2" t="s">
        <v>11068</v>
      </c>
      <c r="C3085" s="2" t="s">
        <v>13685</v>
      </c>
      <c r="D3085" s="3">
        <v>244260</v>
      </c>
      <c r="E3085" s="3">
        <v>244260</v>
      </c>
      <c r="F3085" s="2" t="s">
        <v>16</v>
      </c>
      <c r="G3085" s="2" t="s">
        <v>13686</v>
      </c>
      <c r="H3085" s="3">
        <v>0</v>
      </c>
      <c r="I3085" s="2" t="s">
        <v>9416</v>
      </c>
      <c r="J3085" s="2" t="s">
        <v>13687</v>
      </c>
      <c r="K3085" s="2" t="s">
        <v>16</v>
      </c>
      <c r="L3085" s="2" t="s">
        <v>13688</v>
      </c>
      <c r="M3085" s="4">
        <v>46299.46</v>
      </c>
      <c r="N3085" t="b">
        <f>OR(LEFT(B3085,3)="frg",(_xlfn.XMATCH(B3085,ZZZ_Part_Id_[[#All],[FGCODE]])))</f>
        <v>1</v>
      </c>
    </row>
    <row r="3086" spans="1:14" x14ac:dyDescent="0.3">
      <c r="A3086" s="2" t="s">
        <v>13684</v>
      </c>
      <c r="B3086" s="2" t="s">
        <v>21</v>
      </c>
      <c r="C3086" s="2" t="s">
        <v>13689</v>
      </c>
      <c r="D3086" s="5">
        <v>-646</v>
      </c>
      <c r="E3086" s="5">
        <v>-646</v>
      </c>
      <c r="F3086" s="2" t="s">
        <v>23</v>
      </c>
      <c r="G3086" s="2" t="s">
        <v>13690</v>
      </c>
      <c r="H3086" s="3">
        <v>0</v>
      </c>
      <c r="I3086" s="2" t="s">
        <v>9416</v>
      </c>
      <c r="J3086" s="2" t="s">
        <v>13691</v>
      </c>
      <c r="K3086" s="2" t="s">
        <v>23</v>
      </c>
      <c r="L3086" s="2" t="s">
        <v>13692</v>
      </c>
      <c r="M3086" s="6">
        <v>-1624.04</v>
      </c>
      <c r="N3086" t="b">
        <f>OR(LEFT(B3086,3)="frg",(_xlfn.XMATCH(B3086,ZZZ_Part_Id_[[#All],[FGCODE]])))</f>
        <v>1</v>
      </c>
    </row>
    <row r="3087" spans="1:14" x14ac:dyDescent="0.3">
      <c r="A3087" s="2" t="s">
        <v>13684</v>
      </c>
      <c r="B3087" s="2" t="s">
        <v>14</v>
      </c>
      <c r="C3087" s="2" t="s">
        <v>13693</v>
      </c>
      <c r="D3087" s="3">
        <v>21</v>
      </c>
      <c r="E3087" s="3">
        <v>21</v>
      </c>
      <c r="F3087" s="2" t="s">
        <v>16</v>
      </c>
      <c r="G3087" s="2" t="s">
        <v>13694</v>
      </c>
      <c r="H3087" s="3">
        <v>0</v>
      </c>
      <c r="I3087" s="2" t="s">
        <v>9416</v>
      </c>
      <c r="J3087" s="2" t="s">
        <v>13695</v>
      </c>
      <c r="K3087" s="2" t="s">
        <v>16</v>
      </c>
      <c r="L3087" s="2" t="s">
        <v>13696</v>
      </c>
      <c r="M3087" s="4">
        <v>1.62</v>
      </c>
      <c r="N3087" t="e">
        <f>OR(LEFT(B3087,3)="frg",(_xlfn.XMATCH(B3087,ZZZ_Part_Id_[[#All],[FGCODE]])))</f>
        <v>#N/A</v>
      </c>
    </row>
    <row r="3088" spans="1:14" x14ac:dyDescent="0.3">
      <c r="A3088" s="2" t="s">
        <v>13684</v>
      </c>
      <c r="B3088" s="2" t="s">
        <v>140</v>
      </c>
      <c r="C3088" s="2" t="s">
        <v>13697</v>
      </c>
      <c r="D3088" s="3">
        <v>0.84</v>
      </c>
      <c r="E3088" s="3">
        <v>0.84</v>
      </c>
      <c r="F3088" s="2" t="s">
        <v>16</v>
      </c>
      <c r="G3088" s="2" t="s">
        <v>13698</v>
      </c>
      <c r="H3088" s="3">
        <v>0</v>
      </c>
      <c r="I3088" s="2" t="s">
        <v>9416</v>
      </c>
      <c r="J3088" s="2" t="s">
        <v>13699</v>
      </c>
      <c r="K3088" s="2" t="s">
        <v>16</v>
      </c>
      <c r="L3088" s="2" t="s">
        <v>13700</v>
      </c>
      <c r="M3088" s="4">
        <v>1.85</v>
      </c>
      <c r="N3088" t="e">
        <f>OR(LEFT(B3088,3)="frg",(_xlfn.XMATCH(B3088,ZZZ_Part_Id_[[#All],[FGCODE]])))</f>
        <v>#N/A</v>
      </c>
    </row>
    <row r="3089" spans="1:14" x14ac:dyDescent="0.3">
      <c r="A3089" s="2" t="s">
        <v>13684</v>
      </c>
      <c r="B3089" s="2" t="s">
        <v>192</v>
      </c>
      <c r="C3089" s="2" t="s">
        <v>13701</v>
      </c>
      <c r="D3089" s="3">
        <v>0.21</v>
      </c>
      <c r="E3089" s="3">
        <v>0.21</v>
      </c>
      <c r="F3089" s="2" t="s">
        <v>194</v>
      </c>
      <c r="G3089" s="2" t="s">
        <v>13702</v>
      </c>
      <c r="H3089" s="3">
        <v>0</v>
      </c>
      <c r="I3089" s="2" t="s">
        <v>9416</v>
      </c>
      <c r="J3089" s="2" t="s">
        <v>13703</v>
      </c>
      <c r="K3089" s="2" t="s">
        <v>194</v>
      </c>
      <c r="L3089" s="2" t="s">
        <v>13704</v>
      </c>
      <c r="M3089" s="4">
        <v>1.06</v>
      </c>
      <c r="N3089" t="e">
        <f>OR(LEFT(B3089,3)="frg",(_xlfn.XMATCH(B3089,ZZZ_Part_Id_[[#All],[FGCODE]])))</f>
        <v>#N/A</v>
      </c>
    </row>
    <row r="3090" spans="1:14" x14ac:dyDescent="0.3">
      <c r="A3090" s="2" t="s">
        <v>13705</v>
      </c>
      <c r="B3090" s="2" t="s">
        <v>11257</v>
      </c>
      <c r="C3090" s="2" t="s">
        <v>13706</v>
      </c>
      <c r="D3090" s="3">
        <v>138060</v>
      </c>
      <c r="E3090" s="3">
        <v>138060</v>
      </c>
      <c r="F3090" s="2" t="s">
        <v>16</v>
      </c>
      <c r="G3090" s="2" t="s">
        <v>13707</v>
      </c>
      <c r="H3090" s="3">
        <v>0</v>
      </c>
      <c r="I3090" s="2" t="s">
        <v>409</v>
      </c>
      <c r="J3090" s="2" t="s">
        <v>13708</v>
      </c>
      <c r="K3090" s="2" t="s">
        <v>16</v>
      </c>
      <c r="L3090" s="2" t="s">
        <v>13709</v>
      </c>
      <c r="M3090" s="4">
        <v>24304.080000000002</v>
      </c>
      <c r="N3090" t="b">
        <f>OR(LEFT(B3090,3)="frg",(_xlfn.XMATCH(B3090,ZZZ_Part_Id_[[#All],[FGCODE]])))</f>
        <v>1</v>
      </c>
    </row>
    <row r="3091" spans="1:14" x14ac:dyDescent="0.3">
      <c r="A3091" s="2" t="s">
        <v>13705</v>
      </c>
      <c r="B3091" s="2" t="s">
        <v>14</v>
      </c>
      <c r="C3091" s="2" t="s">
        <v>13710</v>
      </c>
      <c r="D3091" s="3">
        <v>13</v>
      </c>
      <c r="E3091" s="3">
        <v>13</v>
      </c>
      <c r="F3091" s="2" t="s">
        <v>16</v>
      </c>
      <c r="G3091" s="2" t="s">
        <v>13711</v>
      </c>
      <c r="H3091" s="3">
        <v>0</v>
      </c>
      <c r="I3091" s="2" t="s">
        <v>409</v>
      </c>
      <c r="J3091" s="2" t="s">
        <v>13712</v>
      </c>
      <c r="K3091" s="2" t="s">
        <v>16</v>
      </c>
      <c r="L3091" s="2" t="s">
        <v>13713</v>
      </c>
      <c r="M3091" s="4">
        <v>1</v>
      </c>
      <c r="N3091" t="e">
        <f>OR(LEFT(B3091,3)="frg",(_xlfn.XMATCH(B3091,ZZZ_Part_Id_[[#All],[FGCODE]])))</f>
        <v>#N/A</v>
      </c>
    </row>
    <row r="3092" spans="1:14" x14ac:dyDescent="0.3">
      <c r="A3092" s="2" t="s">
        <v>13705</v>
      </c>
      <c r="B3092" s="2" t="s">
        <v>140</v>
      </c>
      <c r="C3092" s="2" t="s">
        <v>13714</v>
      </c>
      <c r="D3092" s="3">
        <v>0.52</v>
      </c>
      <c r="E3092" s="3">
        <v>0.52</v>
      </c>
      <c r="F3092" s="2" t="s">
        <v>16</v>
      </c>
      <c r="G3092" s="2" t="s">
        <v>13715</v>
      </c>
      <c r="H3092" s="3">
        <v>0</v>
      </c>
      <c r="I3092" s="2" t="s">
        <v>409</v>
      </c>
      <c r="J3092" s="2" t="s">
        <v>13716</v>
      </c>
      <c r="K3092" s="2" t="s">
        <v>16</v>
      </c>
      <c r="L3092" s="2" t="s">
        <v>13717</v>
      </c>
      <c r="M3092" s="4">
        <v>1.1399999999999999</v>
      </c>
      <c r="N3092" t="e">
        <f>OR(LEFT(B3092,3)="frg",(_xlfn.XMATCH(B3092,ZZZ_Part_Id_[[#All],[FGCODE]])))</f>
        <v>#N/A</v>
      </c>
    </row>
    <row r="3093" spans="1:14" x14ac:dyDescent="0.3">
      <c r="A3093" s="2" t="s">
        <v>13705</v>
      </c>
      <c r="B3093" s="2" t="s">
        <v>192</v>
      </c>
      <c r="C3093" s="2" t="s">
        <v>13718</v>
      </c>
      <c r="D3093" s="3">
        <v>0.13</v>
      </c>
      <c r="E3093" s="3">
        <v>0.13</v>
      </c>
      <c r="F3093" s="2" t="s">
        <v>194</v>
      </c>
      <c r="G3093" s="2" t="s">
        <v>13719</v>
      </c>
      <c r="H3093" s="3">
        <v>0</v>
      </c>
      <c r="I3093" s="2" t="s">
        <v>409</v>
      </c>
      <c r="J3093" s="2" t="s">
        <v>13720</v>
      </c>
      <c r="K3093" s="2" t="s">
        <v>194</v>
      </c>
      <c r="L3093" s="2" t="s">
        <v>13721</v>
      </c>
      <c r="M3093" s="4">
        <v>0.65</v>
      </c>
      <c r="N3093" t="e">
        <f>OR(LEFT(B3093,3)="frg",(_xlfn.XMATCH(B3093,ZZZ_Part_Id_[[#All],[FGCODE]])))</f>
        <v>#N/A</v>
      </c>
    </row>
    <row r="3094" spans="1:14" x14ac:dyDescent="0.3">
      <c r="A3094" s="2" t="s">
        <v>13722</v>
      </c>
      <c r="B3094" s="2" t="s">
        <v>14</v>
      </c>
      <c r="C3094" s="2" t="s">
        <v>13723</v>
      </c>
      <c r="D3094" s="3">
        <v>64</v>
      </c>
      <c r="E3094" s="3">
        <v>64</v>
      </c>
      <c r="F3094" s="2" t="s">
        <v>16</v>
      </c>
      <c r="G3094" s="2" t="s">
        <v>13724</v>
      </c>
      <c r="H3094" s="3">
        <v>0</v>
      </c>
      <c r="I3094" s="2" t="s">
        <v>18</v>
      </c>
      <c r="J3094" s="2" t="s">
        <v>13725</v>
      </c>
      <c r="K3094" s="2" t="s">
        <v>16</v>
      </c>
      <c r="L3094" s="2" t="s">
        <v>13726</v>
      </c>
      <c r="M3094" s="4">
        <v>4.92</v>
      </c>
      <c r="N3094" t="e">
        <f>OR(LEFT(B3094,3)="frg",(_xlfn.XMATCH(B3094,ZZZ_Part_Id_[[#All],[FGCODE]])))</f>
        <v>#N/A</v>
      </c>
    </row>
    <row r="3095" spans="1:14" x14ac:dyDescent="0.3">
      <c r="A3095" s="2" t="s">
        <v>13722</v>
      </c>
      <c r="B3095" s="2" t="s">
        <v>97</v>
      </c>
      <c r="C3095" s="2" t="s">
        <v>13727</v>
      </c>
      <c r="D3095" s="3">
        <v>249600</v>
      </c>
      <c r="E3095" s="3">
        <v>249600</v>
      </c>
      <c r="F3095" s="2" t="s">
        <v>16</v>
      </c>
      <c r="G3095" s="2" t="s">
        <v>13728</v>
      </c>
      <c r="H3095" s="3">
        <v>0</v>
      </c>
      <c r="I3095" s="2" t="s">
        <v>18</v>
      </c>
      <c r="J3095" s="2" t="s">
        <v>13729</v>
      </c>
      <c r="K3095" s="2" t="s">
        <v>16</v>
      </c>
      <c r="L3095" s="2" t="s">
        <v>13730</v>
      </c>
      <c r="M3095" s="4">
        <v>85642.96</v>
      </c>
      <c r="N3095" t="b">
        <f>OR(LEFT(B3095,3)="frg",(_xlfn.XMATCH(B3095,ZZZ_Part_Id_[[#All],[FGCODE]])))</f>
        <v>1</v>
      </c>
    </row>
    <row r="3096" spans="1:14" x14ac:dyDescent="0.3">
      <c r="A3096" s="2" t="s">
        <v>13731</v>
      </c>
      <c r="B3096" s="2" t="s">
        <v>14</v>
      </c>
      <c r="C3096" s="2" t="s">
        <v>13732</v>
      </c>
      <c r="D3096" s="3">
        <v>64</v>
      </c>
      <c r="E3096" s="3">
        <v>64</v>
      </c>
      <c r="F3096" s="2" t="s">
        <v>16</v>
      </c>
      <c r="G3096" s="2" t="s">
        <v>13733</v>
      </c>
      <c r="H3096" s="3">
        <v>0</v>
      </c>
      <c r="I3096" s="2" t="s">
        <v>18</v>
      </c>
      <c r="J3096" s="2" t="s">
        <v>13734</v>
      </c>
      <c r="K3096" s="2" t="s">
        <v>16</v>
      </c>
      <c r="L3096" s="2" t="s">
        <v>13735</v>
      </c>
      <c r="M3096" s="4">
        <v>4.92</v>
      </c>
      <c r="N3096" t="e">
        <f>OR(LEFT(B3096,3)="frg",(_xlfn.XMATCH(B3096,ZZZ_Part_Id_[[#All],[FGCODE]])))</f>
        <v>#N/A</v>
      </c>
    </row>
    <row r="3097" spans="1:14" x14ac:dyDescent="0.3">
      <c r="A3097" s="2" t="s">
        <v>13731</v>
      </c>
      <c r="B3097" s="2" t="s">
        <v>517</v>
      </c>
      <c r="C3097" s="2" t="s">
        <v>13736</v>
      </c>
      <c r="D3097" s="3">
        <v>483840</v>
      </c>
      <c r="E3097" s="3">
        <v>483840</v>
      </c>
      <c r="F3097" s="2" t="s">
        <v>16</v>
      </c>
      <c r="G3097" s="2" t="s">
        <v>13737</v>
      </c>
      <c r="H3097" s="3">
        <v>0</v>
      </c>
      <c r="I3097" s="2" t="s">
        <v>18</v>
      </c>
      <c r="J3097" s="2" t="s">
        <v>13738</v>
      </c>
      <c r="K3097" s="2" t="s">
        <v>16</v>
      </c>
      <c r="L3097" s="2" t="s">
        <v>13739</v>
      </c>
      <c r="M3097" s="4">
        <v>88058.880000000005</v>
      </c>
      <c r="N3097" t="b">
        <f>OR(LEFT(B3097,3)="frg",(_xlfn.XMATCH(B3097,ZZZ_Part_Id_[[#All],[FGCODE]])))</f>
        <v>1</v>
      </c>
    </row>
    <row r="3098" spans="1:14" x14ac:dyDescent="0.3">
      <c r="A3098" s="2" t="s">
        <v>13740</v>
      </c>
      <c r="B3098" s="2" t="s">
        <v>14</v>
      </c>
      <c r="C3098" s="2" t="s">
        <v>13741</v>
      </c>
      <c r="D3098" s="3">
        <v>40</v>
      </c>
      <c r="E3098" s="3">
        <v>40</v>
      </c>
      <c r="F3098" s="2" t="s">
        <v>16</v>
      </c>
      <c r="G3098" s="2" t="s">
        <v>13742</v>
      </c>
      <c r="H3098" s="3">
        <v>0</v>
      </c>
      <c r="I3098" s="2" t="s">
        <v>18</v>
      </c>
      <c r="J3098" s="2" t="s">
        <v>13743</v>
      </c>
      <c r="K3098" s="2" t="s">
        <v>16</v>
      </c>
      <c r="L3098" s="2" t="s">
        <v>13744</v>
      </c>
      <c r="M3098" s="4">
        <v>3.08</v>
      </c>
      <c r="N3098" t="e">
        <f>OR(LEFT(B3098,3)="frg",(_xlfn.XMATCH(B3098,ZZZ_Part_Id_[[#All],[FGCODE]])))</f>
        <v>#N/A</v>
      </c>
    </row>
    <row r="3099" spans="1:14" x14ac:dyDescent="0.3">
      <c r="A3099" s="2" t="s">
        <v>13740</v>
      </c>
      <c r="B3099" s="2" t="s">
        <v>11040</v>
      </c>
      <c r="C3099" s="2" t="s">
        <v>13745</v>
      </c>
      <c r="D3099" s="3">
        <v>361080</v>
      </c>
      <c r="E3099" s="3">
        <v>361080</v>
      </c>
      <c r="F3099" s="2" t="s">
        <v>16</v>
      </c>
      <c r="G3099" s="2" t="s">
        <v>13746</v>
      </c>
      <c r="H3099" s="3">
        <v>0</v>
      </c>
      <c r="I3099" s="2" t="s">
        <v>18</v>
      </c>
      <c r="J3099" s="2" t="s">
        <v>13747</v>
      </c>
      <c r="K3099" s="2" t="s">
        <v>16</v>
      </c>
      <c r="L3099" s="2" t="s">
        <v>13748</v>
      </c>
      <c r="M3099" s="4">
        <v>67576.03</v>
      </c>
      <c r="N3099" t="b">
        <f>OR(LEFT(B3099,3)="frg",(_xlfn.XMATCH(B3099,ZZZ_Part_Id_[[#All],[FGCODE]])))</f>
        <v>1</v>
      </c>
    </row>
    <row r="3100" spans="1:14" x14ac:dyDescent="0.3">
      <c r="A3100" s="2" t="s">
        <v>13749</v>
      </c>
      <c r="B3100" s="2" t="s">
        <v>14</v>
      </c>
      <c r="C3100" s="2" t="s">
        <v>13750</v>
      </c>
      <c r="D3100" s="3">
        <v>10</v>
      </c>
      <c r="E3100" s="3">
        <v>10</v>
      </c>
      <c r="F3100" s="2" t="s">
        <v>16</v>
      </c>
      <c r="G3100" s="2" t="s">
        <v>13751</v>
      </c>
      <c r="H3100" s="3">
        <v>0</v>
      </c>
      <c r="I3100" s="2" t="s">
        <v>18</v>
      </c>
      <c r="J3100" s="2" t="s">
        <v>13752</v>
      </c>
      <c r="K3100" s="2" t="s">
        <v>16</v>
      </c>
      <c r="L3100" s="2" t="s">
        <v>13753</v>
      </c>
      <c r="M3100" s="4">
        <v>0.77</v>
      </c>
      <c r="N3100" t="e">
        <f>OR(LEFT(B3100,3)="frg",(_xlfn.XMATCH(B3100,ZZZ_Part_Id_[[#All],[FGCODE]])))</f>
        <v>#N/A</v>
      </c>
    </row>
    <row r="3101" spans="1:14" x14ac:dyDescent="0.3">
      <c r="A3101" s="2" t="s">
        <v>13749</v>
      </c>
      <c r="B3101" s="2" t="s">
        <v>2121</v>
      </c>
      <c r="C3101" s="2" t="s">
        <v>13754</v>
      </c>
      <c r="D3101" s="3">
        <v>24840</v>
      </c>
      <c r="E3101" s="3">
        <v>24840</v>
      </c>
      <c r="F3101" s="2" t="s">
        <v>16</v>
      </c>
      <c r="G3101" s="2" t="s">
        <v>13755</v>
      </c>
      <c r="H3101" s="3">
        <v>0</v>
      </c>
      <c r="I3101" s="2" t="s">
        <v>18</v>
      </c>
      <c r="J3101" s="2" t="s">
        <v>13756</v>
      </c>
      <c r="K3101" s="2" t="s">
        <v>16</v>
      </c>
      <c r="L3101" s="2" t="s">
        <v>13757</v>
      </c>
      <c r="M3101" s="4">
        <v>5734.05</v>
      </c>
      <c r="N3101" t="b">
        <f>OR(LEFT(B3101,3)="frg",(_xlfn.XMATCH(B3101,ZZZ_Part_Id_[[#All],[FGCODE]])))</f>
        <v>1</v>
      </c>
    </row>
    <row r="3102" spans="1:14" x14ac:dyDescent="0.3">
      <c r="A3102" s="2" t="s">
        <v>13758</v>
      </c>
      <c r="B3102" s="2" t="s">
        <v>13651</v>
      </c>
      <c r="C3102" s="2" t="s">
        <v>13759</v>
      </c>
      <c r="D3102" s="3">
        <v>19100</v>
      </c>
      <c r="E3102" s="3">
        <v>19100</v>
      </c>
      <c r="F3102" s="2" t="s">
        <v>16</v>
      </c>
      <c r="G3102" s="2" t="s">
        <v>13760</v>
      </c>
      <c r="H3102" s="3">
        <v>0</v>
      </c>
      <c r="I3102" s="2" t="s">
        <v>409</v>
      </c>
      <c r="J3102" s="2" t="s">
        <v>13761</v>
      </c>
      <c r="K3102" s="2" t="s">
        <v>16</v>
      </c>
      <c r="L3102" s="2" t="s">
        <v>13762</v>
      </c>
      <c r="M3102" s="4">
        <v>312.82</v>
      </c>
      <c r="N3102" t="e">
        <f>OR(LEFT(B3102,3)="frg",(_xlfn.XMATCH(B3102,ZZZ_Part_Id_[[#All],[FGCODE]])))</f>
        <v>#N/A</v>
      </c>
    </row>
    <row r="3103" spans="1:14" x14ac:dyDescent="0.3">
      <c r="A3103" s="2" t="s">
        <v>13758</v>
      </c>
      <c r="B3103" s="2" t="s">
        <v>8278</v>
      </c>
      <c r="C3103" s="2" t="s">
        <v>13763</v>
      </c>
      <c r="D3103" s="3">
        <v>14.83</v>
      </c>
      <c r="E3103" s="3">
        <v>14.83</v>
      </c>
      <c r="F3103" s="2" t="s">
        <v>23</v>
      </c>
      <c r="G3103" s="2" t="s">
        <v>13764</v>
      </c>
      <c r="H3103" s="3">
        <v>0</v>
      </c>
      <c r="I3103" s="2" t="s">
        <v>409</v>
      </c>
      <c r="J3103" s="2" t="s">
        <v>13765</v>
      </c>
      <c r="K3103" s="2" t="s">
        <v>23</v>
      </c>
      <c r="L3103" s="2" t="s">
        <v>13766</v>
      </c>
      <c r="M3103" s="4">
        <v>110.72</v>
      </c>
      <c r="N3103" t="e">
        <f>OR(LEFT(B3103,3)="frg",(_xlfn.XMATCH(B3103,ZZZ_Part_Id_[[#All],[FGCODE]])))</f>
        <v>#N/A</v>
      </c>
    </row>
    <row r="3104" spans="1:14" x14ac:dyDescent="0.3">
      <c r="A3104" s="2" t="s">
        <v>13758</v>
      </c>
      <c r="B3104" s="2" t="s">
        <v>14</v>
      </c>
      <c r="C3104" s="2" t="s">
        <v>13767</v>
      </c>
      <c r="D3104" s="3">
        <v>10</v>
      </c>
      <c r="E3104" s="3">
        <v>10</v>
      </c>
      <c r="F3104" s="2" t="s">
        <v>16</v>
      </c>
      <c r="G3104" s="2" t="s">
        <v>13768</v>
      </c>
      <c r="H3104" s="3">
        <v>0</v>
      </c>
      <c r="I3104" s="2" t="s">
        <v>409</v>
      </c>
      <c r="J3104" s="2" t="s">
        <v>13769</v>
      </c>
      <c r="K3104" s="2" t="s">
        <v>16</v>
      </c>
      <c r="L3104" s="2" t="s">
        <v>13770</v>
      </c>
      <c r="M3104" s="4">
        <v>0.77</v>
      </c>
      <c r="N3104" t="e">
        <f>OR(LEFT(B3104,3)="frg",(_xlfn.XMATCH(B3104,ZZZ_Part_Id_[[#All],[FGCODE]])))</f>
        <v>#N/A</v>
      </c>
    </row>
    <row r="3105" spans="1:14" x14ac:dyDescent="0.3">
      <c r="A3105" s="2" t="s">
        <v>13758</v>
      </c>
      <c r="B3105" s="2" t="s">
        <v>8291</v>
      </c>
      <c r="C3105" s="2" t="s">
        <v>13771</v>
      </c>
      <c r="D3105" s="3">
        <v>0.64</v>
      </c>
      <c r="E3105" s="3">
        <v>0.64</v>
      </c>
      <c r="F3105" s="2" t="s">
        <v>23</v>
      </c>
      <c r="G3105" s="2" t="s">
        <v>13772</v>
      </c>
      <c r="H3105" s="3">
        <v>0</v>
      </c>
      <c r="I3105" s="2" t="s">
        <v>409</v>
      </c>
      <c r="J3105" s="2" t="s">
        <v>13773</v>
      </c>
      <c r="K3105" s="2" t="s">
        <v>23</v>
      </c>
      <c r="L3105" s="2" t="s">
        <v>13774</v>
      </c>
      <c r="M3105" s="4">
        <v>11.68</v>
      </c>
      <c r="N3105" t="e">
        <f>OR(LEFT(B3105,3)="frg",(_xlfn.XMATCH(B3105,ZZZ_Part_Id_[[#All],[FGCODE]])))</f>
        <v>#N/A</v>
      </c>
    </row>
    <row r="3106" spans="1:14" x14ac:dyDescent="0.3">
      <c r="A3106" s="2" t="s">
        <v>13758</v>
      </c>
      <c r="B3106" s="2" t="s">
        <v>8296</v>
      </c>
      <c r="C3106" s="2" t="s">
        <v>13775</v>
      </c>
      <c r="D3106" s="3">
        <v>0.04</v>
      </c>
      <c r="E3106" s="3">
        <v>0</v>
      </c>
      <c r="F3106" s="2" t="s">
        <v>23</v>
      </c>
      <c r="G3106" s="2" t="s">
        <v>13776</v>
      </c>
      <c r="H3106" s="3">
        <v>0</v>
      </c>
      <c r="I3106" s="2" t="s">
        <v>409</v>
      </c>
      <c r="J3106" s="2" t="s">
        <v>13777</v>
      </c>
      <c r="K3106" s="2" t="s">
        <v>23</v>
      </c>
      <c r="L3106" s="2" t="s">
        <v>13778</v>
      </c>
      <c r="M3106" s="4">
        <v>0</v>
      </c>
      <c r="N3106" t="e">
        <f>OR(LEFT(B3106,3)="frg",(_xlfn.XMATCH(B3106,ZZZ_Part_Id_[[#All],[FGCODE]])))</f>
        <v>#N/A</v>
      </c>
    </row>
    <row r="3107" spans="1:14" x14ac:dyDescent="0.3">
      <c r="A3107" s="2" t="s">
        <v>13758</v>
      </c>
      <c r="B3107" s="2" t="s">
        <v>45</v>
      </c>
      <c r="C3107" s="2" t="s">
        <v>13779</v>
      </c>
      <c r="D3107" s="3">
        <v>0.84</v>
      </c>
      <c r="E3107" s="3">
        <v>0.84</v>
      </c>
      <c r="F3107" s="2" t="s">
        <v>47</v>
      </c>
      <c r="G3107" s="2" t="s">
        <v>13780</v>
      </c>
      <c r="H3107" s="3">
        <v>0</v>
      </c>
      <c r="I3107" s="2" t="s">
        <v>409</v>
      </c>
      <c r="J3107" s="2" t="s">
        <v>13781</v>
      </c>
      <c r="K3107" s="2" t="s">
        <v>47</v>
      </c>
      <c r="L3107" s="2" t="s">
        <v>13782</v>
      </c>
      <c r="M3107" s="4">
        <v>67.98</v>
      </c>
      <c r="N3107" t="e">
        <f>OR(LEFT(B3107,3)="frg",(_xlfn.XMATCH(B3107,ZZZ_Part_Id_[[#All],[FGCODE]])))</f>
        <v>#N/A</v>
      </c>
    </row>
    <row r="3108" spans="1:14" x14ac:dyDescent="0.3">
      <c r="A3108" s="2" t="s">
        <v>13758</v>
      </c>
      <c r="B3108" s="2" t="s">
        <v>4365</v>
      </c>
      <c r="C3108" s="2" t="s">
        <v>13783</v>
      </c>
      <c r="D3108" s="3">
        <v>18900</v>
      </c>
      <c r="E3108" s="3">
        <v>18900</v>
      </c>
      <c r="F3108" s="2" t="s">
        <v>16</v>
      </c>
      <c r="G3108" s="2" t="s">
        <v>13784</v>
      </c>
      <c r="H3108" s="3">
        <v>0</v>
      </c>
      <c r="I3108" s="2" t="s">
        <v>409</v>
      </c>
      <c r="J3108" s="2" t="s">
        <v>13785</v>
      </c>
      <c r="K3108" s="2" t="s">
        <v>16</v>
      </c>
      <c r="L3108" s="2" t="s">
        <v>13786</v>
      </c>
      <c r="M3108" s="4">
        <v>7123.22</v>
      </c>
      <c r="N3108" t="b">
        <f>OR(LEFT(B3108,3)="frg",(_xlfn.XMATCH(B3108,ZZZ_Part_Id_[[#All],[FGCODE]])))</f>
        <v>1</v>
      </c>
    </row>
    <row r="3109" spans="1:14" x14ac:dyDescent="0.3">
      <c r="A3109" s="2" t="s">
        <v>13787</v>
      </c>
      <c r="B3109" s="2" t="s">
        <v>14</v>
      </c>
      <c r="C3109" s="2" t="s">
        <v>13788</v>
      </c>
      <c r="D3109" s="3">
        <v>64</v>
      </c>
      <c r="E3109" s="3">
        <v>64</v>
      </c>
      <c r="F3109" s="2" t="s">
        <v>16</v>
      </c>
      <c r="G3109" s="2" t="s">
        <v>13789</v>
      </c>
      <c r="H3109" s="3">
        <v>0</v>
      </c>
      <c r="I3109" s="2" t="s">
        <v>18</v>
      </c>
      <c r="J3109" s="2" t="s">
        <v>13790</v>
      </c>
      <c r="K3109" s="2" t="s">
        <v>16</v>
      </c>
      <c r="L3109" s="2" t="s">
        <v>13791</v>
      </c>
      <c r="M3109" s="4">
        <v>4.92</v>
      </c>
      <c r="N3109" t="e">
        <f>OR(LEFT(B3109,3)="frg",(_xlfn.XMATCH(B3109,ZZZ_Part_Id_[[#All],[FGCODE]])))</f>
        <v>#N/A</v>
      </c>
    </row>
    <row r="3110" spans="1:14" x14ac:dyDescent="0.3">
      <c r="A3110" s="2" t="s">
        <v>13787</v>
      </c>
      <c r="B3110" s="2" t="s">
        <v>11040</v>
      </c>
      <c r="C3110" s="2" t="s">
        <v>13792</v>
      </c>
      <c r="D3110" s="3">
        <v>679680</v>
      </c>
      <c r="E3110" s="3">
        <v>679680</v>
      </c>
      <c r="F3110" s="2" t="s">
        <v>16</v>
      </c>
      <c r="G3110" s="2" t="s">
        <v>13793</v>
      </c>
      <c r="H3110" s="3">
        <v>0</v>
      </c>
      <c r="I3110" s="2" t="s">
        <v>18</v>
      </c>
      <c r="J3110" s="2" t="s">
        <v>13794</v>
      </c>
      <c r="K3110" s="2" t="s">
        <v>16</v>
      </c>
      <c r="L3110" s="2" t="s">
        <v>13795</v>
      </c>
      <c r="M3110" s="4">
        <v>127201.93</v>
      </c>
      <c r="N3110" t="b">
        <f>OR(LEFT(B3110,3)="frg",(_xlfn.XMATCH(B3110,ZZZ_Part_Id_[[#All],[FGCODE]])))</f>
        <v>1</v>
      </c>
    </row>
    <row r="3111" spans="1:14" x14ac:dyDescent="0.3">
      <c r="A3111" s="2" t="s">
        <v>13796</v>
      </c>
      <c r="B3111" s="2" t="s">
        <v>14</v>
      </c>
      <c r="C3111" s="2" t="s">
        <v>13797</v>
      </c>
      <c r="D3111" s="3">
        <v>64</v>
      </c>
      <c r="E3111" s="3">
        <v>64</v>
      </c>
      <c r="F3111" s="2" t="s">
        <v>16</v>
      </c>
      <c r="G3111" s="2" t="s">
        <v>13798</v>
      </c>
      <c r="H3111" s="3">
        <v>0</v>
      </c>
      <c r="I3111" s="2" t="s">
        <v>18</v>
      </c>
      <c r="J3111" s="2" t="s">
        <v>13799</v>
      </c>
      <c r="K3111" s="2" t="s">
        <v>16</v>
      </c>
      <c r="L3111" s="2" t="s">
        <v>13800</v>
      </c>
      <c r="M3111" s="4">
        <v>4.92</v>
      </c>
      <c r="N3111" t="e">
        <f>OR(LEFT(B3111,3)="frg",(_xlfn.XMATCH(B3111,ZZZ_Part_Id_[[#All],[FGCODE]])))</f>
        <v>#N/A</v>
      </c>
    </row>
    <row r="3112" spans="1:14" x14ac:dyDescent="0.3">
      <c r="A3112" s="2" t="s">
        <v>13796</v>
      </c>
      <c r="B3112" s="2" t="s">
        <v>97</v>
      </c>
      <c r="C3112" s="2" t="s">
        <v>13801</v>
      </c>
      <c r="D3112" s="3">
        <v>312000</v>
      </c>
      <c r="E3112" s="3">
        <v>312000</v>
      </c>
      <c r="F3112" s="2" t="s">
        <v>16</v>
      </c>
      <c r="G3112" s="2" t="s">
        <v>13802</v>
      </c>
      <c r="H3112" s="3">
        <v>0</v>
      </c>
      <c r="I3112" s="2" t="s">
        <v>18</v>
      </c>
      <c r="J3112" s="2" t="s">
        <v>13803</v>
      </c>
      <c r="K3112" s="2" t="s">
        <v>16</v>
      </c>
      <c r="L3112" s="2" t="s">
        <v>13804</v>
      </c>
      <c r="M3112" s="4">
        <v>107053.7</v>
      </c>
      <c r="N3112" t="b">
        <f>OR(LEFT(B3112,3)="frg",(_xlfn.XMATCH(B3112,ZZZ_Part_Id_[[#All],[FGCODE]])))</f>
        <v>1</v>
      </c>
    </row>
    <row r="3113" spans="1:14" x14ac:dyDescent="0.3">
      <c r="A3113" s="2" t="s">
        <v>13805</v>
      </c>
      <c r="B3113" s="2" t="s">
        <v>14</v>
      </c>
      <c r="C3113" s="2" t="s">
        <v>13806</v>
      </c>
      <c r="D3113" s="3">
        <v>14</v>
      </c>
      <c r="E3113" s="3">
        <v>14</v>
      </c>
      <c r="F3113" s="2" t="s">
        <v>16</v>
      </c>
      <c r="G3113" s="2" t="s">
        <v>13807</v>
      </c>
      <c r="H3113" s="3">
        <v>0</v>
      </c>
      <c r="I3113" s="2" t="s">
        <v>18</v>
      </c>
      <c r="J3113" s="2" t="s">
        <v>13808</v>
      </c>
      <c r="K3113" s="2" t="s">
        <v>16</v>
      </c>
      <c r="L3113" s="2" t="s">
        <v>13809</v>
      </c>
      <c r="M3113" s="4">
        <v>1.08</v>
      </c>
      <c r="N3113" t="e">
        <f>OR(LEFT(B3113,3)="frg",(_xlfn.XMATCH(B3113,ZZZ_Part_Id_[[#All],[FGCODE]])))</f>
        <v>#N/A</v>
      </c>
    </row>
    <row r="3114" spans="1:14" x14ac:dyDescent="0.3">
      <c r="A3114" s="2" t="s">
        <v>13805</v>
      </c>
      <c r="B3114" s="2" t="s">
        <v>13810</v>
      </c>
      <c r="C3114" s="2" t="s">
        <v>13811</v>
      </c>
      <c r="D3114" s="3">
        <v>138060</v>
      </c>
      <c r="E3114" s="3">
        <v>138060</v>
      </c>
      <c r="F3114" s="2" t="s">
        <v>16</v>
      </c>
      <c r="G3114" s="2" t="s">
        <v>13812</v>
      </c>
      <c r="H3114" s="3">
        <v>0</v>
      </c>
      <c r="I3114" s="2" t="s">
        <v>18</v>
      </c>
      <c r="J3114" s="2" t="s">
        <v>13813</v>
      </c>
      <c r="K3114" s="2" t="s">
        <v>16</v>
      </c>
      <c r="L3114" s="2" t="s">
        <v>13814</v>
      </c>
      <c r="M3114" s="4">
        <v>23972.74</v>
      </c>
      <c r="N3114" t="b">
        <f>OR(LEFT(B3114,3)="frg",(_xlfn.XMATCH(B3114,ZZZ_Part_Id_[[#All],[FGCODE]])))</f>
        <v>1</v>
      </c>
    </row>
    <row r="3115" spans="1:14" x14ac:dyDescent="0.3">
      <c r="A3115" s="2" t="s">
        <v>13815</v>
      </c>
      <c r="B3115" s="2" t="s">
        <v>14</v>
      </c>
      <c r="C3115" s="2" t="s">
        <v>13816</v>
      </c>
      <c r="D3115" s="3">
        <v>4</v>
      </c>
      <c r="E3115" s="3">
        <v>4</v>
      </c>
      <c r="F3115" s="2" t="s">
        <v>16</v>
      </c>
      <c r="G3115" s="2" t="s">
        <v>13817</v>
      </c>
      <c r="H3115" s="3">
        <v>0</v>
      </c>
      <c r="I3115" s="2" t="s">
        <v>409</v>
      </c>
      <c r="J3115" s="2" t="s">
        <v>13818</v>
      </c>
      <c r="K3115" s="2" t="s">
        <v>16</v>
      </c>
      <c r="L3115" s="2" t="s">
        <v>13819</v>
      </c>
      <c r="M3115" s="4">
        <v>0.31</v>
      </c>
      <c r="N3115" t="e">
        <f>OR(LEFT(B3115,3)="frg",(_xlfn.XMATCH(B3115,ZZZ_Part_Id_[[#All],[FGCODE]])))</f>
        <v>#N/A</v>
      </c>
    </row>
    <row r="3116" spans="1:14" x14ac:dyDescent="0.3">
      <c r="A3116" s="2" t="s">
        <v>13815</v>
      </c>
      <c r="B3116" s="2" t="s">
        <v>2121</v>
      </c>
      <c r="C3116" s="2" t="s">
        <v>13820</v>
      </c>
      <c r="D3116" s="3">
        <v>9936</v>
      </c>
      <c r="E3116" s="3">
        <v>9936</v>
      </c>
      <c r="F3116" s="2" t="s">
        <v>16</v>
      </c>
      <c r="G3116" s="2" t="s">
        <v>13821</v>
      </c>
      <c r="H3116" s="3">
        <v>0</v>
      </c>
      <c r="I3116" s="2" t="s">
        <v>409</v>
      </c>
      <c r="J3116" s="2" t="s">
        <v>13822</v>
      </c>
      <c r="K3116" s="2" t="s">
        <v>16</v>
      </c>
      <c r="L3116" s="2" t="s">
        <v>13823</v>
      </c>
      <c r="M3116" s="4">
        <v>2293.62</v>
      </c>
      <c r="N3116" t="b">
        <f>OR(LEFT(B3116,3)="frg",(_xlfn.XMATCH(B3116,ZZZ_Part_Id_[[#All],[FGCODE]])))</f>
        <v>1</v>
      </c>
    </row>
    <row r="3117" spans="1:14" x14ac:dyDescent="0.3">
      <c r="A3117" s="2" t="s">
        <v>13824</v>
      </c>
      <c r="B3117" s="2" t="s">
        <v>13651</v>
      </c>
      <c r="C3117" s="2" t="s">
        <v>13825</v>
      </c>
      <c r="D3117" s="3">
        <v>19100</v>
      </c>
      <c r="E3117" s="3">
        <v>19100</v>
      </c>
      <c r="F3117" s="2" t="s">
        <v>16</v>
      </c>
      <c r="G3117" s="2" t="s">
        <v>13826</v>
      </c>
      <c r="H3117" s="3">
        <v>0</v>
      </c>
      <c r="I3117" s="2" t="s">
        <v>409</v>
      </c>
      <c r="J3117" s="2" t="s">
        <v>13827</v>
      </c>
      <c r="K3117" s="2" t="s">
        <v>16</v>
      </c>
      <c r="L3117" s="2" t="s">
        <v>13828</v>
      </c>
      <c r="M3117" s="4">
        <v>312.82</v>
      </c>
      <c r="N3117" t="e">
        <f>OR(LEFT(B3117,3)="frg",(_xlfn.XMATCH(B3117,ZZZ_Part_Id_[[#All],[FGCODE]])))</f>
        <v>#N/A</v>
      </c>
    </row>
    <row r="3118" spans="1:14" x14ac:dyDescent="0.3">
      <c r="A3118" s="2" t="s">
        <v>13824</v>
      </c>
      <c r="B3118" s="2" t="s">
        <v>8278</v>
      </c>
      <c r="C3118" s="2" t="s">
        <v>13829</v>
      </c>
      <c r="D3118" s="3">
        <v>14.83</v>
      </c>
      <c r="E3118" s="3">
        <v>14.83</v>
      </c>
      <c r="F3118" s="2" t="s">
        <v>23</v>
      </c>
      <c r="G3118" s="2" t="s">
        <v>13830</v>
      </c>
      <c r="H3118" s="3">
        <v>0</v>
      </c>
      <c r="I3118" s="2" t="s">
        <v>409</v>
      </c>
      <c r="J3118" s="2" t="s">
        <v>13831</v>
      </c>
      <c r="K3118" s="2" t="s">
        <v>23</v>
      </c>
      <c r="L3118" s="2" t="s">
        <v>13832</v>
      </c>
      <c r="M3118" s="4">
        <v>110.72</v>
      </c>
      <c r="N3118" t="e">
        <f>OR(LEFT(B3118,3)="frg",(_xlfn.XMATCH(B3118,ZZZ_Part_Id_[[#All],[FGCODE]])))</f>
        <v>#N/A</v>
      </c>
    </row>
    <row r="3119" spans="1:14" x14ac:dyDescent="0.3">
      <c r="A3119" s="2" t="s">
        <v>13824</v>
      </c>
      <c r="B3119" s="2" t="s">
        <v>8291</v>
      </c>
      <c r="C3119" s="2" t="s">
        <v>13833</v>
      </c>
      <c r="D3119" s="3">
        <v>0.64</v>
      </c>
      <c r="E3119" s="3">
        <v>0.64</v>
      </c>
      <c r="F3119" s="2" t="s">
        <v>23</v>
      </c>
      <c r="G3119" s="2" t="s">
        <v>13834</v>
      </c>
      <c r="H3119" s="3">
        <v>0</v>
      </c>
      <c r="I3119" s="2" t="s">
        <v>409</v>
      </c>
      <c r="J3119" s="2" t="s">
        <v>13835</v>
      </c>
      <c r="K3119" s="2" t="s">
        <v>23</v>
      </c>
      <c r="L3119" s="2" t="s">
        <v>13836</v>
      </c>
      <c r="M3119" s="4">
        <v>11.68</v>
      </c>
      <c r="N3119" t="e">
        <f>OR(LEFT(B3119,3)="frg",(_xlfn.XMATCH(B3119,ZZZ_Part_Id_[[#All],[FGCODE]])))</f>
        <v>#N/A</v>
      </c>
    </row>
    <row r="3120" spans="1:14" x14ac:dyDescent="0.3">
      <c r="A3120" s="2" t="s">
        <v>13824</v>
      </c>
      <c r="B3120" s="2" t="s">
        <v>8296</v>
      </c>
      <c r="C3120" s="2" t="s">
        <v>13837</v>
      </c>
      <c r="D3120" s="3">
        <v>0.04</v>
      </c>
      <c r="E3120" s="3">
        <v>0</v>
      </c>
      <c r="F3120" s="2" t="s">
        <v>23</v>
      </c>
      <c r="G3120" s="2" t="s">
        <v>13838</v>
      </c>
      <c r="H3120" s="3">
        <v>0</v>
      </c>
      <c r="I3120" s="2" t="s">
        <v>409</v>
      </c>
      <c r="J3120" s="2" t="s">
        <v>13839</v>
      </c>
      <c r="K3120" s="2" t="s">
        <v>23</v>
      </c>
      <c r="L3120" s="2" t="s">
        <v>13840</v>
      </c>
      <c r="M3120" s="4">
        <v>0</v>
      </c>
      <c r="N3120" t="e">
        <f>OR(LEFT(B3120,3)="frg",(_xlfn.XMATCH(B3120,ZZZ_Part_Id_[[#All],[FGCODE]])))</f>
        <v>#N/A</v>
      </c>
    </row>
    <row r="3121" spans="1:14" x14ac:dyDescent="0.3">
      <c r="A3121" s="2" t="s">
        <v>13824</v>
      </c>
      <c r="B3121" s="2" t="s">
        <v>45</v>
      </c>
      <c r="C3121" s="2" t="s">
        <v>13841</v>
      </c>
      <c r="D3121" s="3">
        <v>0.84</v>
      </c>
      <c r="E3121" s="3">
        <v>0.84</v>
      </c>
      <c r="F3121" s="2" t="s">
        <v>47</v>
      </c>
      <c r="G3121" s="2" t="s">
        <v>13842</v>
      </c>
      <c r="H3121" s="3">
        <v>0</v>
      </c>
      <c r="I3121" s="2" t="s">
        <v>409</v>
      </c>
      <c r="J3121" s="2" t="s">
        <v>13843</v>
      </c>
      <c r="K3121" s="2" t="s">
        <v>47</v>
      </c>
      <c r="L3121" s="2" t="s">
        <v>13844</v>
      </c>
      <c r="M3121" s="4">
        <v>67.98</v>
      </c>
      <c r="N3121" t="e">
        <f>OR(LEFT(B3121,3)="frg",(_xlfn.XMATCH(B3121,ZZZ_Part_Id_[[#All],[FGCODE]])))</f>
        <v>#N/A</v>
      </c>
    </row>
    <row r="3122" spans="1:14" x14ac:dyDescent="0.3">
      <c r="A3122" s="2" t="s">
        <v>13824</v>
      </c>
      <c r="B3122" s="2" t="s">
        <v>4365</v>
      </c>
      <c r="C3122" s="2" t="s">
        <v>13845</v>
      </c>
      <c r="D3122" s="3">
        <v>18900</v>
      </c>
      <c r="E3122" s="3">
        <v>18900</v>
      </c>
      <c r="F3122" s="2" t="s">
        <v>16</v>
      </c>
      <c r="G3122" s="2" t="s">
        <v>13846</v>
      </c>
      <c r="H3122" s="3">
        <v>0</v>
      </c>
      <c r="I3122" s="2" t="s">
        <v>409</v>
      </c>
      <c r="J3122" s="2" t="s">
        <v>13847</v>
      </c>
      <c r="K3122" s="2" t="s">
        <v>16</v>
      </c>
      <c r="L3122" s="2" t="s">
        <v>13848</v>
      </c>
      <c r="M3122" s="4">
        <v>7123.22</v>
      </c>
      <c r="N3122" t="b">
        <f>OR(LEFT(B3122,3)="frg",(_xlfn.XMATCH(B3122,ZZZ_Part_Id_[[#All],[FGCODE]])))</f>
        <v>1</v>
      </c>
    </row>
    <row r="3123" spans="1:14" x14ac:dyDescent="0.3">
      <c r="A3123" s="2" t="s">
        <v>13849</v>
      </c>
      <c r="B3123" s="2" t="s">
        <v>14</v>
      </c>
      <c r="C3123" s="2" t="s">
        <v>13850</v>
      </c>
      <c r="D3123" s="3">
        <v>20</v>
      </c>
      <c r="E3123" s="3">
        <v>20</v>
      </c>
      <c r="F3123" s="2" t="s">
        <v>16</v>
      </c>
      <c r="G3123" s="2" t="s">
        <v>13851</v>
      </c>
      <c r="H3123" s="3">
        <v>0</v>
      </c>
      <c r="I3123" s="2" t="s">
        <v>18</v>
      </c>
      <c r="J3123" s="2" t="s">
        <v>13852</v>
      </c>
      <c r="K3123" s="2" t="s">
        <v>16</v>
      </c>
      <c r="L3123" s="2" t="s">
        <v>13853</v>
      </c>
      <c r="M3123" s="4">
        <v>1.54</v>
      </c>
      <c r="N3123" t="e">
        <f>OR(LEFT(B3123,3)="frg",(_xlfn.XMATCH(B3123,ZZZ_Part_Id_[[#All],[FGCODE]])))</f>
        <v>#N/A</v>
      </c>
    </row>
    <row r="3124" spans="1:14" x14ac:dyDescent="0.3">
      <c r="A3124" s="2" t="s">
        <v>13849</v>
      </c>
      <c r="B3124" s="2" t="s">
        <v>65</v>
      </c>
      <c r="C3124" s="2" t="s">
        <v>13854</v>
      </c>
      <c r="D3124" s="5">
        <v>-323</v>
      </c>
      <c r="E3124" s="5">
        <v>-323</v>
      </c>
      <c r="F3124" s="2" t="s">
        <v>23</v>
      </c>
      <c r="G3124" s="2" t="s">
        <v>13855</v>
      </c>
      <c r="H3124" s="3">
        <v>0</v>
      </c>
      <c r="I3124" s="2" t="s">
        <v>18</v>
      </c>
      <c r="J3124" s="2" t="s">
        <v>13856</v>
      </c>
      <c r="K3124" s="2" t="s">
        <v>23</v>
      </c>
      <c r="L3124" s="2" t="s">
        <v>13857</v>
      </c>
      <c r="M3124" s="6">
        <v>-830.63</v>
      </c>
      <c r="N3124" t="b">
        <f>OR(LEFT(B3124,3)="frg",(_xlfn.XMATCH(B3124,ZZZ_Part_Id_[[#All],[FGCODE]])))</f>
        <v>1</v>
      </c>
    </row>
    <row r="3125" spans="1:14" x14ac:dyDescent="0.3">
      <c r="A3125" s="2" t="s">
        <v>13849</v>
      </c>
      <c r="B3125" s="2" t="s">
        <v>11040</v>
      </c>
      <c r="C3125" s="2" t="s">
        <v>13858</v>
      </c>
      <c r="D3125" s="3">
        <v>191160</v>
      </c>
      <c r="E3125" s="3">
        <v>191160</v>
      </c>
      <c r="F3125" s="2" t="s">
        <v>16</v>
      </c>
      <c r="G3125" s="2" t="s">
        <v>13859</v>
      </c>
      <c r="H3125" s="3">
        <v>0</v>
      </c>
      <c r="I3125" s="2" t="s">
        <v>18</v>
      </c>
      <c r="J3125" s="2" t="s">
        <v>13860</v>
      </c>
      <c r="K3125" s="2" t="s">
        <v>16</v>
      </c>
      <c r="L3125" s="2" t="s">
        <v>13861</v>
      </c>
      <c r="M3125" s="4">
        <v>35775.54</v>
      </c>
      <c r="N3125" t="b">
        <f>OR(LEFT(B3125,3)="frg",(_xlfn.XMATCH(B3125,ZZZ_Part_Id_[[#All],[FGCODE]])))</f>
        <v>1</v>
      </c>
    </row>
    <row r="3126" spans="1:14" x14ac:dyDescent="0.3">
      <c r="A3126" s="2" t="s">
        <v>13862</v>
      </c>
      <c r="B3126" s="2" t="s">
        <v>14</v>
      </c>
      <c r="C3126" s="2" t="s">
        <v>13863</v>
      </c>
      <c r="D3126" s="3">
        <v>40</v>
      </c>
      <c r="E3126" s="3">
        <v>40</v>
      </c>
      <c r="F3126" s="2" t="s">
        <v>16</v>
      </c>
      <c r="G3126" s="2" t="s">
        <v>13864</v>
      </c>
      <c r="H3126" s="3">
        <v>0</v>
      </c>
      <c r="I3126" s="2" t="s">
        <v>18</v>
      </c>
      <c r="J3126" s="2" t="s">
        <v>13865</v>
      </c>
      <c r="K3126" s="2" t="s">
        <v>16</v>
      </c>
      <c r="L3126" s="2" t="s">
        <v>13866</v>
      </c>
      <c r="M3126" s="4">
        <v>3.08</v>
      </c>
      <c r="N3126" t="e">
        <f>OR(LEFT(B3126,3)="frg",(_xlfn.XMATCH(B3126,ZZZ_Part_Id_[[#All],[FGCODE]])))</f>
        <v>#N/A</v>
      </c>
    </row>
    <row r="3127" spans="1:14" x14ac:dyDescent="0.3">
      <c r="A3127" s="2" t="s">
        <v>13862</v>
      </c>
      <c r="B3127" s="2" t="s">
        <v>97</v>
      </c>
      <c r="C3127" s="2" t="s">
        <v>13867</v>
      </c>
      <c r="D3127" s="3">
        <v>120000</v>
      </c>
      <c r="E3127" s="3">
        <v>120000</v>
      </c>
      <c r="F3127" s="2" t="s">
        <v>16</v>
      </c>
      <c r="G3127" s="2" t="s">
        <v>13868</v>
      </c>
      <c r="H3127" s="3">
        <v>0</v>
      </c>
      <c r="I3127" s="2" t="s">
        <v>18</v>
      </c>
      <c r="J3127" s="2" t="s">
        <v>13869</v>
      </c>
      <c r="K3127" s="2" t="s">
        <v>16</v>
      </c>
      <c r="L3127" s="2" t="s">
        <v>13870</v>
      </c>
      <c r="M3127" s="4">
        <v>41174.5</v>
      </c>
      <c r="N3127" t="b">
        <f>OR(LEFT(B3127,3)="frg",(_xlfn.XMATCH(B3127,ZZZ_Part_Id_[[#All],[FGCODE]])))</f>
        <v>1</v>
      </c>
    </row>
    <row r="3128" spans="1:14" x14ac:dyDescent="0.3">
      <c r="A3128" s="2" t="s">
        <v>13871</v>
      </c>
      <c r="B3128" s="2" t="s">
        <v>14</v>
      </c>
      <c r="C3128" s="2" t="s">
        <v>13872</v>
      </c>
      <c r="D3128" s="3">
        <v>64</v>
      </c>
      <c r="E3128" s="3">
        <v>64</v>
      </c>
      <c r="F3128" s="2" t="s">
        <v>16</v>
      </c>
      <c r="G3128" s="2" t="s">
        <v>13873</v>
      </c>
      <c r="H3128" s="3">
        <v>0</v>
      </c>
      <c r="I3128" s="2" t="s">
        <v>18</v>
      </c>
      <c r="J3128" s="2" t="s">
        <v>13874</v>
      </c>
      <c r="K3128" s="2" t="s">
        <v>16</v>
      </c>
      <c r="L3128" s="2" t="s">
        <v>13875</v>
      </c>
      <c r="M3128" s="4">
        <v>4.92</v>
      </c>
      <c r="N3128" t="e">
        <f>OR(LEFT(B3128,3)="frg",(_xlfn.XMATCH(B3128,ZZZ_Part_Id_[[#All],[FGCODE]])))</f>
        <v>#N/A</v>
      </c>
    </row>
    <row r="3129" spans="1:14" x14ac:dyDescent="0.3">
      <c r="A3129" s="2" t="s">
        <v>13871</v>
      </c>
      <c r="B3129" s="2" t="s">
        <v>103</v>
      </c>
      <c r="C3129" s="2" t="s">
        <v>13876</v>
      </c>
      <c r="D3129" s="3">
        <v>509760</v>
      </c>
      <c r="E3129" s="3">
        <v>509760</v>
      </c>
      <c r="F3129" s="2" t="s">
        <v>16</v>
      </c>
      <c r="G3129" s="2" t="s">
        <v>13877</v>
      </c>
      <c r="H3129" s="3">
        <v>0</v>
      </c>
      <c r="I3129" s="2" t="s">
        <v>18</v>
      </c>
      <c r="J3129" s="2" t="s">
        <v>13878</v>
      </c>
      <c r="K3129" s="2" t="s">
        <v>16</v>
      </c>
      <c r="L3129" s="2" t="s">
        <v>13879</v>
      </c>
      <c r="M3129" s="4">
        <v>102099.84</v>
      </c>
      <c r="N3129" t="b">
        <f>OR(LEFT(B3129,3)="frg",(_xlfn.XMATCH(B3129,ZZZ_Part_Id_[[#All],[FGCODE]])))</f>
        <v>1</v>
      </c>
    </row>
    <row r="3130" spans="1:14" x14ac:dyDescent="0.3">
      <c r="A3130" s="2" t="s">
        <v>13880</v>
      </c>
      <c r="B3130" s="2" t="s">
        <v>14</v>
      </c>
      <c r="C3130" s="2" t="s">
        <v>13881</v>
      </c>
      <c r="D3130" s="3">
        <v>64</v>
      </c>
      <c r="E3130" s="3">
        <v>64</v>
      </c>
      <c r="F3130" s="2" t="s">
        <v>16</v>
      </c>
      <c r="G3130" s="2" t="s">
        <v>13882</v>
      </c>
      <c r="H3130" s="3">
        <v>0</v>
      </c>
      <c r="I3130" s="2" t="s">
        <v>409</v>
      </c>
      <c r="J3130" s="2" t="s">
        <v>13883</v>
      </c>
      <c r="K3130" s="2" t="s">
        <v>16</v>
      </c>
      <c r="L3130" s="2" t="s">
        <v>13884</v>
      </c>
      <c r="M3130" s="4">
        <v>4.92</v>
      </c>
      <c r="N3130" t="e">
        <f>OR(LEFT(B3130,3)="frg",(_xlfn.XMATCH(B3130,ZZZ_Part_Id_[[#All],[FGCODE]])))</f>
        <v>#N/A</v>
      </c>
    </row>
    <row r="3131" spans="1:14" x14ac:dyDescent="0.3">
      <c r="A3131" s="2" t="s">
        <v>13880</v>
      </c>
      <c r="B3131" s="2" t="s">
        <v>5357</v>
      </c>
      <c r="C3131" s="2" t="s">
        <v>13885</v>
      </c>
      <c r="D3131" s="3">
        <v>317952</v>
      </c>
      <c r="E3131" s="3">
        <v>317952</v>
      </c>
      <c r="F3131" s="2" t="s">
        <v>16</v>
      </c>
      <c r="G3131" s="2" t="s">
        <v>13886</v>
      </c>
      <c r="H3131" s="3">
        <v>0</v>
      </c>
      <c r="I3131" s="2" t="s">
        <v>409</v>
      </c>
      <c r="J3131" s="2" t="s">
        <v>13887</v>
      </c>
      <c r="K3131" s="2" t="s">
        <v>16</v>
      </c>
      <c r="L3131" s="2" t="s">
        <v>13888</v>
      </c>
      <c r="M3131" s="4">
        <v>94997.759999999995</v>
      </c>
      <c r="N3131" t="b">
        <f>OR(LEFT(B3131,3)="frg",(_xlfn.XMATCH(B3131,ZZZ_Part_Id_[[#All],[FGCODE]])))</f>
        <v>1</v>
      </c>
    </row>
    <row r="3132" spans="1:14" x14ac:dyDescent="0.3">
      <c r="A3132" s="2" t="s">
        <v>13889</v>
      </c>
      <c r="B3132" s="2" t="s">
        <v>14</v>
      </c>
      <c r="C3132" s="2" t="s">
        <v>13890</v>
      </c>
      <c r="D3132" s="3">
        <v>140</v>
      </c>
      <c r="E3132" s="3">
        <v>0</v>
      </c>
      <c r="F3132" s="2" t="s">
        <v>16</v>
      </c>
      <c r="G3132" s="2" t="s">
        <v>13891</v>
      </c>
      <c r="H3132" s="3">
        <v>0</v>
      </c>
      <c r="I3132" s="2" t="s">
        <v>18</v>
      </c>
      <c r="J3132" s="2" t="s">
        <v>13892</v>
      </c>
      <c r="K3132" s="2" t="s">
        <v>16</v>
      </c>
      <c r="L3132" s="2" t="s">
        <v>13893</v>
      </c>
      <c r="M3132" s="4">
        <v>0</v>
      </c>
      <c r="N3132" t="e">
        <f>OR(LEFT(B3132,3)="frg",(_xlfn.XMATCH(B3132,ZZZ_Part_Id_[[#All],[FGCODE]])))</f>
        <v>#N/A</v>
      </c>
    </row>
    <row r="3133" spans="1:14" x14ac:dyDescent="0.3">
      <c r="A3133" s="2" t="s">
        <v>13889</v>
      </c>
      <c r="B3133" s="2" t="s">
        <v>1027</v>
      </c>
      <c r="C3133" s="2" t="s">
        <v>13894</v>
      </c>
      <c r="D3133" s="3">
        <v>446040</v>
      </c>
      <c r="E3133" s="3">
        <v>446040</v>
      </c>
      <c r="F3133" s="2" t="s">
        <v>16</v>
      </c>
      <c r="G3133" s="2" t="s">
        <v>13895</v>
      </c>
      <c r="H3133" s="3">
        <v>0</v>
      </c>
      <c r="I3133" s="2" t="s">
        <v>18</v>
      </c>
      <c r="J3133" s="2" t="s">
        <v>13896</v>
      </c>
      <c r="K3133" s="2" t="s">
        <v>16</v>
      </c>
      <c r="L3133" s="2" t="s">
        <v>13897</v>
      </c>
      <c r="M3133" s="4">
        <v>89859.42</v>
      </c>
      <c r="N3133" t="b">
        <f>OR(LEFT(B3133,3)="frg",(_xlfn.XMATCH(B3133,ZZZ_Part_Id_[[#All],[FGCODE]])))</f>
        <v>1</v>
      </c>
    </row>
    <row r="3134" spans="1:14" x14ac:dyDescent="0.3">
      <c r="A3134" s="2" t="s">
        <v>13889</v>
      </c>
      <c r="B3134" s="2" t="s">
        <v>187</v>
      </c>
      <c r="C3134" s="2" t="s">
        <v>13898</v>
      </c>
      <c r="D3134" s="3">
        <v>38</v>
      </c>
      <c r="E3134" s="3">
        <v>40</v>
      </c>
      <c r="F3134" s="2" t="s">
        <v>16</v>
      </c>
      <c r="G3134" s="2" t="s">
        <v>131</v>
      </c>
      <c r="H3134" s="3">
        <v>0</v>
      </c>
      <c r="I3134" s="2" t="s">
        <v>18</v>
      </c>
      <c r="J3134" s="2" t="s">
        <v>13899</v>
      </c>
      <c r="K3134" s="2" t="s">
        <v>16</v>
      </c>
      <c r="L3134" s="2" t="s">
        <v>13900</v>
      </c>
      <c r="M3134" s="4">
        <v>177.06</v>
      </c>
      <c r="N3134" t="e">
        <f>OR(LEFT(B3134,3)="frg",(_xlfn.XMATCH(B3134,ZZZ_Part_Id_[[#All],[FGCODE]])))</f>
        <v>#N/A</v>
      </c>
    </row>
    <row r="3135" spans="1:14" x14ac:dyDescent="0.3">
      <c r="A3135" s="2" t="s">
        <v>13889</v>
      </c>
      <c r="B3135" s="2" t="s">
        <v>177</v>
      </c>
      <c r="C3135" s="2" t="s">
        <v>13901</v>
      </c>
      <c r="D3135" s="3">
        <v>38</v>
      </c>
      <c r="E3135" s="3">
        <v>40</v>
      </c>
      <c r="F3135" s="2" t="s">
        <v>16</v>
      </c>
      <c r="G3135" s="2" t="s">
        <v>131</v>
      </c>
      <c r="H3135" s="3">
        <v>0</v>
      </c>
      <c r="I3135" s="2" t="s">
        <v>18</v>
      </c>
      <c r="J3135" s="2" t="s">
        <v>13902</v>
      </c>
      <c r="K3135" s="2" t="s">
        <v>16</v>
      </c>
      <c r="L3135" s="2" t="s">
        <v>13903</v>
      </c>
      <c r="M3135" s="4">
        <v>1156.82</v>
      </c>
      <c r="N3135" t="e">
        <f>OR(LEFT(B3135,3)="frg",(_xlfn.XMATCH(B3135,ZZZ_Part_Id_[[#All],[FGCODE]])))</f>
        <v>#N/A</v>
      </c>
    </row>
    <row r="3136" spans="1:14" x14ac:dyDescent="0.3">
      <c r="A3136" s="2" t="s">
        <v>13889</v>
      </c>
      <c r="B3136" s="2" t="s">
        <v>140</v>
      </c>
      <c r="C3136" s="2" t="s">
        <v>13904</v>
      </c>
      <c r="D3136" s="3">
        <v>1.52</v>
      </c>
      <c r="E3136" s="3">
        <v>1.52</v>
      </c>
      <c r="F3136" s="2" t="s">
        <v>16</v>
      </c>
      <c r="G3136" s="2" t="s">
        <v>131</v>
      </c>
      <c r="H3136" s="3">
        <v>0</v>
      </c>
      <c r="I3136" s="2" t="s">
        <v>18</v>
      </c>
      <c r="J3136" s="2" t="s">
        <v>13905</v>
      </c>
      <c r="K3136" s="2" t="s">
        <v>16</v>
      </c>
      <c r="L3136" s="2" t="s">
        <v>13906</v>
      </c>
      <c r="M3136" s="4">
        <v>3.17</v>
      </c>
      <c r="N3136" t="e">
        <f>OR(LEFT(B3136,3)="frg",(_xlfn.XMATCH(B3136,ZZZ_Part_Id_[[#All],[FGCODE]])))</f>
        <v>#N/A</v>
      </c>
    </row>
    <row r="3137" spans="1:14" x14ac:dyDescent="0.3">
      <c r="A3137" s="2" t="s">
        <v>13889</v>
      </c>
      <c r="B3137" s="2" t="s">
        <v>182</v>
      </c>
      <c r="C3137" s="2" t="s">
        <v>13907</v>
      </c>
      <c r="D3137" s="3">
        <v>38</v>
      </c>
      <c r="E3137" s="3">
        <v>40</v>
      </c>
      <c r="F3137" s="2" t="s">
        <v>16</v>
      </c>
      <c r="G3137" s="2" t="s">
        <v>131</v>
      </c>
      <c r="H3137" s="3">
        <v>0</v>
      </c>
      <c r="I3137" s="2" t="s">
        <v>18</v>
      </c>
      <c r="J3137" s="2" t="s">
        <v>13908</v>
      </c>
      <c r="K3137" s="2" t="s">
        <v>16</v>
      </c>
      <c r="L3137" s="2" t="s">
        <v>13909</v>
      </c>
      <c r="M3137" s="4">
        <v>45.18</v>
      </c>
      <c r="N3137" t="e">
        <f>OR(LEFT(B3137,3)="frg",(_xlfn.XMATCH(B3137,ZZZ_Part_Id_[[#All],[FGCODE]])))</f>
        <v>#N/A</v>
      </c>
    </row>
    <row r="3138" spans="1:14" x14ac:dyDescent="0.3">
      <c r="A3138" s="2" t="s">
        <v>13889</v>
      </c>
      <c r="B3138" s="2" t="s">
        <v>145</v>
      </c>
      <c r="C3138" s="2" t="s">
        <v>13910</v>
      </c>
      <c r="D3138" s="3">
        <v>0.152</v>
      </c>
      <c r="E3138" s="3">
        <v>0.152</v>
      </c>
      <c r="F3138" s="2" t="s">
        <v>147</v>
      </c>
      <c r="G3138" s="2" t="s">
        <v>131</v>
      </c>
      <c r="H3138" s="3">
        <v>0</v>
      </c>
      <c r="I3138" s="2" t="s">
        <v>18</v>
      </c>
      <c r="J3138" s="2" t="s">
        <v>13911</v>
      </c>
      <c r="K3138" s="2" t="s">
        <v>147</v>
      </c>
      <c r="L3138" s="2" t="s">
        <v>13912</v>
      </c>
      <c r="M3138" s="4">
        <v>24.53</v>
      </c>
      <c r="N3138" t="e">
        <f>OR(LEFT(B3138,3)="frg",(_xlfn.XMATCH(B3138,ZZZ_Part_Id_[[#All],[FGCODE]])))</f>
        <v>#N/A</v>
      </c>
    </row>
    <row r="3139" spans="1:14" x14ac:dyDescent="0.3">
      <c r="A3139" s="2" t="s">
        <v>13889</v>
      </c>
      <c r="B3139" s="2" t="s">
        <v>151</v>
      </c>
      <c r="C3139" s="2" t="s">
        <v>13913</v>
      </c>
      <c r="D3139" s="3">
        <v>152</v>
      </c>
      <c r="E3139" s="3">
        <v>140</v>
      </c>
      <c r="F3139" s="2" t="s">
        <v>16</v>
      </c>
      <c r="G3139" s="2" t="s">
        <v>131</v>
      </c>
      <c r="H3139" s="3">
        <v>0</v>
      </c>
      <c r="I3139" s="2" t="s">
        <v>18</v>
      </c>
      <c r="J3139" s="2" t="s">
        <v>13914</v>
      </c>
      <c r="K3139" s="2" t="s">
        <v>16</v>
      </c>
      <c r="L3139" s="2" t="s">
        <v>13915</v>
      </c>
      <c r="M3139" s="4">
        <v>335.25</v>
      </c>
      <c r="N3139" t="e">
        <f>OR(LEFT(B3139,3)="frg",(_xlfn.XMATCH(B3139,ZZZ_Part_Id_[[#All],[FGCODE]])))</f>
        <v>#N/A</v>
      </c>
    </row>
    <row r="3140" spans="1:14" x14ac:dyDescent="0.3">
      <c r="A3140" s="2" t="s">
        <v>13889</v>
      </c>
      <c r="B3140" s="2" t="s">
        <v>167</v>
      </c>
      <c r="C3140" s="2" t="s">
        <v>13916</v>
      </c>
      <c r="D3140" s="3">
        <v>12.73</v>
      </c>
      <c r="E3140" s="3">
        <v>12.73</v>
      </c>
      <c r="F3140" s="2" t="s">
        <v>23</v>
      </c>
      <c r="G3140" s="2" t="s">
        <v>131</v>
      </c>
      <c r="H3140" s="3">
        <v>0</v>
      </c>
      <c r="I3140" s="2" t="s">
        <v>18</v>
      </c>
      <c r="J3140" s="2" t="s">
        <v>13917</v>
      </c>
      <c r="K3140" s="2" t="s">
        <v>23</v>
      </c>
      <c r="L3140" s="2" t="s">
        <v>13918</v>
      </c>
      <c r="M3140" s="4">
        <v>94.66</v>
      </c>
      <c r="N3140" t="e">
        <f>OR(LEFT(B3140,3)="frg",(_xlfn.XMATCH(B3140,ZZZ_Part_Id_[[#All],[FGCODE]])))</f>
        <v>#N/A</v>
      </c>
    </row>
    <row r="3141" spans="1:14" x14ac:dyDescent="0.3">
      <c r="A3141" s="2" t="s">
        <v>13889</v>
      </c>
      <c r="B3141" s="2" t="s">
        <v>172</v>
      </c>
      <c r="C3141" s="2" t="s">
        <v>13919</v>
      </c>
      <c r="D3141" s="3">
        <v>10.715999999999999</v>
      </c>
      <c r="E3141" s="3">
        <v>10.715999999999999</v>
      </c>
      <c r="F3141" s="2" t="s">
        <v>23</v>
      </c>
      <c r="G3141" s="2" t="s">
        <v>131</v>
      </c>
      <c r="H3141" s="3">
        <v>0</v>
      </c>
      <c r="I3141" s="2" t="s">
        <v>18</v>
      </c>
      <c r="J3141" s="2" t="s">
        <v>13920</v>
      </c>
      <c r="K3141" s="2" t="s">
        <v>23</v>
      </c>
      <c r="L3141" s="2" t="s">
        <v>13921</v>
      </c>
      <c r="M3141" s="4">
        <v>79.56</v>
      </c>
      <c r="N3141" t="e">
        <f>OR(LEFT(B3141,3)="frg",(_xlfn.XMATCH(B3141,ZZZ_Part_Id_[[#All],[FGCODE]])))</f>
        <v>#N/A</v>
      </c>
    </row>
    <row r="3142" spans="1:14" x14ac:dyDescent="0.3">
      <c r="A3142" s="2" t="s">
        <v>13889</v>
      </c>
      <c r="B3142" s="2" t="s">
        <v>192</v>
      </c>
      <c r="C3142" s="2" t="s">
        <v>13922</v>
      </c>
      <c r="D3142" s="3">
        <v>0.38</v>
      </c>
      <c r="E3142" s="3">
        <v>0.38</v>
      </c>
      <c r="F3142" s="2" t="s">
        <v>194</v>
      </c>
      <c r="G3142" s="2" t="s">
        <v>131</v>
      </c>
      <c r="H3142" s="3">
        <v>0</v>
      </c>
      <c r="I3142" s="2" t="s">
        <v>18</v>
      </c>
      <c r="J3142" s="2" t="s">
        <v>13923</v>
      </c>
      <c r="K3142" s="2" t="s">
        <v>194</v>
      </c>
      <c r="L3142" s="2" t="s">
        <v>13924</v>
      </c>
      <c r="M3142" s="4">
        <v>1.91</v>
      </c>
      <c r="N3142" t="e">
        <f>OR(LEFT(B3142,3)="frg",(_xlfn.XMATCH(B3142,ZZZ_Part_Id_[[#All],[FGCODE]])))</f>
        <v>#N/A</v>
      </c>
    </row>
    <row r="3143" spans="1:14" x14ac:dyDescent="0.3">
      <c r="A3143" s="2" t="s">
        <v>13889</v>
      </c>
      <c r="B3143" s="2" t="s">
        <v>14</v>
      </c>
      <c r="C3143" s="2" t="s">
        <v>13925</v>
      </c>
      <c r="D3143" s="3">
        <v>152</v>
      </c>
      <c r="E3143" s="3">
        <v>140</v>
      </c>
      <c r="F3143" s="2" t="s">
        <v>16</v>
      </c>
      <c r="G3143" s="2" t="s">
        <v>131</v>
      </c>
      <c r="H3143" s="3">
        <v>0</v>
      </c>
      <c r="I3143" s="2" t="s">
        <v>18</v>
      </c>
      <c r="J3143" s="2" t="s">
        <v>13926</v>
      </c>
      <c r="K3143" s="2" t="s">
        <v>16</v>
      </c>
      <c r="L3143" s="2" t="s">
        <v>13927</v>
      </c>
      <c r="M3143" s="4">
        <v>10.77</v>
      </c>
      <c r="N3143" t="e">
        <f>OR(LEFT(B3143,3)="frg",(_xlfn.XMATCH(B3143,ZZZ_Part_Id_[[#All],[FGCODE]])))</f>
        <v>#N/A</v>
      </c>
    </row>
    <row r="3144" spans="1:14" x14ac:dyDescent="0.3">
      <c r="A3144" s="2" t="s">
        <v>13889</v>
      </c>
      <c r="B3144" s="2" t="s">
        <v>161</v>
      </c>
      <c r="C3144" s="2" t="s">
        <v>13928</v>
      </c>
      <c r="D3144" s="3">
        <v>1.52</v>
      </c>
      <c r="E3144" s="3">
        <v>0</v>
      </c>
      <c r="F3144" s="2" t="s">
        <v>163</v>
      </c>
      <c r="G3144" s="2" t="s">
        <v>131</v>
      </c>
      <c r="H3144" s="3">
        <v>0</v>
      </c>
      <c r="I3144" s="2" t="s">
        <v>18</v>
      </c>
      <c r="J3144" s="2" t="s">
        <v>13929</v>
      </c>
      <c r="K3144" s="2" t="s">
        <v>163</v>
      </c>
      <c r="L3144" s="2" t="s">
        <v>13930</v>
      </c>
      <c r="M3144" s="4">
        <v>0</v>
      </c>
      <c r="N3144" t="e">
        <f>OR(LEFT(B3144,3)="frg",(_xlfn.XMATCH(B3144,ZZZ_Part_Id_[[#All],[FGCODE]])))</f>
        <v>#N/A</v>
      </c>
    </row>
    <row r="3145" spans="1:14" x14ac:dyDescent="0.3">
      <c r="A3145" s="2" t="s">
        <v>13889</v>
      </c>
      <c r="B3145" s="2" t="s">
        <v>264</v>
      </c>
      <c r="C3145" s="2" t="s">
        <v>13931</v>
      </c>
      <c r="D3145" s="3">
        <v>3.7999999999999999E-2</v>
      </c>
      <c r="E3145" s="3">
        <v>0</v>
      </c>
      <c r="F3145" s="2" t="s">
        <v>16</v>
      </c>
      <c r="G3145" s="2" t="s">
        <v>131</v>
      </c>
      <c r="H3145" s="3">
        <v>0</v>
      </c>
      <c r="I3145" s="2" t="s">
        <v>18</v>
      </c>
      <c r="J3145" s="2" t="s">
        <v>13932</v>
      </c>
      <c r="K3145" s="2" t="s">
        <v>16</v>
      </c>
      <c r="L3145" s="2" t="s">
        <v>13933</v>
      </c>
      <c r="M3145" s="4">
        <v>0</v>
      </c>
      <c r="N3145" t="e">
        <f>OR(LEFT(B3145,3)="frg",(_xlfn.XMATCH(B3145,ZZZ_Part_Id_[[#All],[FGCODE]])))</f>
        <v>#N/A</v>
      </c>
    </row>
    <row r="3146" spans="1:14" x14ac:dyDescent="0.3">
      <c r="A3146" s="2" t="s">
        <v>13889</v>
      </c>
      <c r="B3146" s="2" t="s">
        <v>21</v>
      </c>
      <c r="C3146" s="2" t="s">
        <v>13934</v>
      </c>
      <c r="D3146" s="5">
        <v>-1269</v>
      </c>
      <c r="E3146" s="5">
        <v>-1269</v>
      </c>
      <c r="F3146" s="2" t="s">
        <v>23</v>
      </c>
      <c r="G3146" s="2" t="s">
        <v>131</v>
      </c>
      <c r="H3146" s="3">
        <v>0</v>
      </c>
      <c r="I3146" s="2" t="s">
        <v>18</v>
      </c>
      <c r="J3146" s="2" t="s">
        <v>13935</v>
      </c>
      <c r="K3146" s="2" t="s">
        <v>23</v>
      </c>
      <c r="L3146" s="2" t="s">
        <v>13936</v>
      </c>
      <c r="M3146" s="6">
        <v>-3190.27</v>
      </c>
      <c r="N3146" t="b">
        <f>OR(LEFT(B3146,3)="frg",(_xlfn.XMATCH(B3146,ZZZ_Part_Id_[[#All],[FGCODE]])))</f>
        <v>1</v>
      </c>
    </row>
    <row r="3147" spans="1:14" x14ac:dyDescent="0.3">
      <c r="A3147" s="2" t="s">
        <v>13937</v>
      </c>
      <c r="B3147" s="2" t="s">
        <v>13651</v>
      </c>
      <c r="C3147" s="2" t="s">
        <v>13938</v>
      </c>
      <c r="D3147" s="3">
        <v>49660</v>
      </c>
      <c r="E3147" s="3">
        <v>49660</v>
      </c>
      <c r="F3147" s="2" t="s">
        <v>16</v>
      </c>
      <c r="G3147" s="2" t="s">
        <v>13939</v>
      </c>
      <c r="H3147" s="3">
        <v>0</v>
      </c>
      <c r="I3147" s="2" t="s">
        <v>409</v>
      </c>
      <c r="J3147" s="2" t="s">
        <v>13940</v>
      </c>
      <c r="K3147" s="2" t="s">
        <v>16</v>
      </c>
      <c r="L3147" s="2" t="s">
        <v>13941</v>
      </c>
      <c r="M3147" s="4">
        <v>813.33</v>
      </c>
      <c r="N3147" t="e">
        <f>OR(LEFT(B3147,3)="frg",(_xlfn.XMATCH(B3147,ZZZ_Part_Id_[[#All],[FGCODE]])))</f>
        <v>#N/A</v>
      </c>
    </row>
    <row r="3148" spans="1:14" x14ac:dyDescent="0.3">
      <c r="A3148" s="2" t="s">
        <v>13937</v>
      </c>
      <c r="B3148" s="2" t="s">
        <v>8278</v>
      </c>
      <c r="C3148" s="2" t="s">
        <v>13942</v>
      </c>
      <c r="D3148" s="3">
        <v>38.558</v>
      </c>
      <c r="E3148" s="3">
        <v>38.558</v>
      </c>
      <c r="F3148" s="2" t="s">
        <v>23</v>
      </c>
      <c r="G3148" s="2" t="s">
        <v>13943</v>
      </c>
      <c r="H3148" s="3">
        <v>0</v>
      </c>
      <c r="I3148" s="2" t="s">
        <v>409</v>
      </c>
      <c r="J3148" s="2" t="s">
        <v>13944</v>
      </c>
      <c r="K3148" s="2" t="s">
        <v>23</v>
      </c>
      <c r="L3148" s="2" t="s">
        <v>13945</v>
      </c>
      <c r="M3148" s="4">
        <v>287.88</v>
      </c>
      <c r="N3148" t="e">
        <f>OR(LEFT(B3148,3)="frg",(_xlfn.XMATCH(B3148,ZZZ_Part_Id_[[#All],[FGCODE]])))</f>
        <v>#N/A</v>
      </c>
    </row>
    <row r="3149" spans="1:14" x14ac:dyDescent="0.3">
      <c r="A3149" s="2" t="s">
        <v>13937</v>
      </c>
      <c r="B3149" s="2" t="s">
        <v>14</v>
      </c>
      <c r="C3149" s="2" t="s">
        <v>13946</v>
      </c>
      <c r="D3149" s="3">
        <v>26</v>
      </c>
      <c r="E3149" s="3">
        <v>26</v>
      </c>
      <c r="F3149" s="2" t="s">
        <v>16</v>
      </c>
      <c r="G3149" s="2" t="s">
        <v>13947</v>
      </c>
      <c r="H3149" s="3">
        <v>0</v>
      </c>
      <c r="I3149" s="2" t="s">
        <v>409</v>
      </c>
      <c r="J3149" s="2" t="s">
        <v>13948</v>
      </c>
      <c r="K3149" s="2" t="s">
        <v>16</v>
      </c>
      <c r="L3149" s="2" t="s">
        <v>13949</v>
      </c>
      <c r="M3149" s="4">
        <v>2</v>
      </c>
      <c r="N3149" t="e">
        <f>OR(LEFT(B3149,3)="frg",(_xlfn.XMATCH(B3149,ZZZ_Part_Id_[[#All],[FGCODE]])))</f>
        <v>#N/A</v>
      </c>
    </row>
    <row r="3150" spans="1:14" x14ac:dyDescent="0.3">
      <c r="A3150" s="2" t="s">
        <v>13937</v>
      </c>
      <c r="B3150" s="2" t="s">
        <v>8291</v>
      </c>
      <c r="C3150" s="2" t="s">
        <v>13950</v>
      </c>
      <c r="D3150" s="3">
        <v>1.6639999999999999</v>
      </c>
      <c r="E3150" s="3">
        <v>1.6639999999999999</v>
      </c>
      <c r="F3150" s="2" t="s">
        <v>23</v>
      </c>
      <c r="G3150" s="2" t="s">
        <v>13951</v>
      </c>
      <c r="H3150" s="3">
        <v>0</v>
      </c>
      <c r="I3150" s="2" t="s">
        <v>409</v>
      </c>
      <c r="J3150" s="2" t="s">
        <v>13952</v>
      </c>
      <c r="K3150" s="2" t="s">
        <v>23</v>
      </c>
      <c r="L3150" s="2" t="s">
        <v>13953</v>
      </c>
      <c r="M3150" s="4">
        <v>30.37</v>
      </c>
      <c r="N3150" t="e">
        <f>OR(LEFT(B3150,3)="frg",(_xlfn.XMATCH(B3150,ZZZ_Part_Id_[[#All],[FGCODE]])))</f>
        <v>#N/A</v>
      </c>
    </row>
    <row r="3151" spans="1:14" x14ac:dyDescent="0.3">
      <c r="A3151" s="2" t="s">
        <v>13937</v>
      </c>
      <c r="B3151" s="2" t="s">
        <v>8296</v>
      </c>
      <c r="C3151" s="2" t="s">
        <v>13954</v>
      </c>
      <c r="D3151" s="3">
        <v>0.104</v>
      </c>
      <c r="E3151" s="3">
        <v>0</v>
      </c>
      <c r="F3151" s="2" t="s">
        <v>23</v>
      </c>
      <c r="G3151" s="2" t="s">
        <v>13955</v>
      </c>
      <c r="H3151" s="3">
        <v>0</v>
      </c>
      <c r="I3151" s="2" t="s">
        <v>409</v>
      </c>
      <c r="J3151" s="2" t="s">
        <v>13956</v>
      </c>
      <c r="K3151" s="2" t="s">
        <v>23</v>
      </c>
      <c r="L3151" s="2" t="s">
        <v>13957</v>
      </c>
      <c r="M3151" s="4">
        <v>0</v>
      </c>
      <c r="N3151" t="e">
        <f>OR(LEFT(B3151,3)="frg",(_xlfn.XMATCH(B3151,ZZZ_Part_Id_[[#All],[FGCODE]])))</f>
        <v>#N/A</v>
      </c>
    </row>
    <row r="3152" spans="1:14" x14ac:dyDescent="0.3">
      <c r="A3152" s="2" t="s">
        <v>13937</v>
      </c>
      <c r="B3152" s="2" t="s">
        <v>45</v>
      </c>
      <c r="C3152" s="2" t="s">
        <v>13958</v>
      </c>
      <c r="D3152" s="3">
        <v>2.1840000000000002</v>
      </c>
      <c r="E3152" s="3">
        <v>2.1840000000000002</v>
      </c>
      <c r="F3152" s="2" t="s">
        <v>47</v>
      </c>
      <c r="G3152" s="2" t="s">
        <v>13959</v>
      </c>
      <c r="H3152" s="3">
        <v>0</v>
      </c>
      <c r="I3152" s="2" t="s">
        <v>409</v>
      </c>
      <c r="J3152" s="2" t="s">
        <v>13960</v>
      </c>
      <c r="K3152" s="2" t="s">
        <v>47</v>
      </c>
      <c r="L3152" s="2" t="s">
        <v>13961</v>
      </c>
      <c r="M3152" s="4">
        <v>176.74</v>
      </c>
      <c r="N3152" t="e">
        <f>OR(LEFT(B3152,3)="frg",(_xlfn.XMATCH(B3152,ZZZ_Part_Id_[[#All],[FGCODE]])))</f>
        <v>#N/A</v>
      </c>
    </row>
    <row r="3153" spans="1:14" x14ac:dyDescent="0.3">
      <c r="A3153" s="2" t="s">
        <v>13937</v>
      </c>
      <c r="B3153" s="2" t="s">
        <v>4365</v>
      </c>
      <c r="C3153" s="2" t="s">
        <v>13962</v>
      </c>
      <c r="D3153" s="3">
        <v>49140</v>
      </c>
      <c r="E3153" s="3">
        <v>49140</v>
      </c>
      <c r="F3153" s="2" t="s">
        <v>16</v>
      </c>
      <c r="G3153" s="2" t="s">
        <v>13963</v>
      </c>
      <c r="H3153" s="3">
        <v>0</v>
      </c>
      <c r="I3153" s="2" t="s">
        <v>409</v>
      </c>
      <c r="J3153" s="2" t="s">
        <v>13964</v>
      </c>
      <c r="K3153" s="2" t="s">
        <v>16</v>
      </c>
      <c r="L3153" s="2" t="s">
        <v>13965</v>
      </c>
      <c r="M3153" s="4">
        <v>18520.37</v>
      </c>
      <c r="N3153" t="b">
        <f>OR(LEFT(B3153,3)="frg",(_xlfn.XMATCH(B3153,ZZZ_Part_Id_[[#All],[FGCODE]])))</f>
        <v>1</v>
      </c>
    </row>
    <row r="3154" spans="1:14" x14ac:dyDescent="0.3">
      <c r="A3154" s="2" t="s">
        <v>13966</v>
      </c>
      <c r="B3154" s="2" t="s">
        <v>13967</v>
      </c>
      <c r="C3154" s="2" t="s">
        <v>13968</v>
      </c>
      <c r="D3154" s="3">
        <v>12192</v>
      </c>
      <c r="E3154" s="3">
        <v>12192</v>
      </c>
      <c r="F3154" s="2" t="s">
        <v>16</v>
      </c>
      <c r="G3154" s="2" t="s">
        <v>131</v>
      </c>
      <c r="H3154" s="3">
        <v>0</v>
      </c>
      <c r="I3154" s="2" t="s">
        <v>409</v>
      </c>
      <c r="J3154" s="2" t="s">
        <v>13969</v>
      </c>
      <c r="K3154" s="2" t="s">
        <v>16</v>
      </c>
      <c r="L3154" s="2" t="s">
        <v>13970</v>
      </c>
      <c r="M3154" s="4">
        <v>1338.8</v>
      </c>
      <c r="N3154" t="b">
        <f>OR(LEFT(B3154,3)="frg",(_xlfn.XMATCH(B3154,ZZZ_Part_Id_[[#All],[FGCODE]])))</f>
        <v>1</v>
      </c>
    </row>
    <row r="3155" spans="1:14" x14ac:dyDescent="0.3">
      <c r="A3155" s="2" t="s">
        <v>13971</v>
      </c>
      <c r="B3155" s="2" t="s">
        <v>14</v>
      </c>
      <c r="C3155" s="2" t="s">
        <v>13972</v>
      </c>
      <c r="D3155" s="3">
        <v>64</v>
      </c>
      <c r="E3155" s="3">
        <v>64</v>
      </c>
      <c r="F3155" s="2" t="s">
        <v>16</v>
      </c>
      <c r="G3155" s="2" t="s">
        <v>13973</v>
      </c>
      <c r="H3155" s="3">
        <v>0</v>
      </c>
      <c r="I3155" s="2" t="s">
        <v>18</v>
      </c>
      <c r="J3155" s="2" t="s">
        <v>13974</v>
      </c>
      <c r="K3155" s="2" t="s">
        <v>16</v>
      </c>
      <c r="L3155" s="2" t="s">
        <v>13975</v>
      </c>
      <c r="M3155" s="4">
        <v>4.92</v>
      </c>
      <c r="N3155" t="e">
        <f>OR(LEFT(B3155,3)="frg",(_xlfn.XMATCH(B3155,ZZZ_Part_Id_[[#All],[FGCODE]])))</f>
        <v>#N/A</v>
      </c>
    </row>
    <row r="3156" spans="1:14" x14ac:dyDescent="0.3">
      <c r="A3156" s="2" t="s">
        <v>13971</v>
      </c>
      <c r="B3156" s="2" t="s">
        <v>103</v>
      </c>
      <c r="C3156" s="2" t="s">
        <v>13976</v>
      </c>
      <c r="D3156" s="3">
        <v>509760</v>
      </c>
      <c r="E3156" s="3">
        <v>509760</v>
      </c>
      <c r="F3156" s="2" t="s">
        <v>16</v>
      </c>
      <c r="G3156" s="2" t="s">
        <v>13977</v>
      </c>
      <c r="H3156" s="3">
        <v>0</v>
      </c>
      <c r="I3156" s="2" t="s">
        <v>18</v>
      </c>
      <c r="J3156" s="2" t="s">
        <v>13978</v>
      </c>
      <c r="K3156" s="2" t="s">
        <v>16</v>
      </c>
      <c r="L3156" s="2" t="s">
        <v>13979</v>
      </c>
      <c r="M3156" s="4">
        <v>102099.84</v>
      </c>
      <c r="N3156" t="b">
        <f>OR(LEFT(B3156,3)="frg",(_xlfn.XMATCH(B3156,ZZZ_Part_Id_[[#All],[FGCODE]])))</f>
        <v>1</v>
      </c>
    </row>
    <row r="3157" spans="1:14" x14ac:dyDescent="0.3">
      <c r="A3157" s="2" t="s">
        <v>13980</v>
      </c>
      <c r="B3157" s="2" t="s">
        <v>14</v>
      </c>
      <c r="C3157" s="2" t="s">
        <v>13981</v>
      </c>
      <c r="D3157" s="3">
        <v>64</v>
      </c>
      <c r="E3157" s="3">
        <v>64</v>
      </c>
      <c r="F3157" s="2" t="s">
        <v>16</v>
      </c>
      <c r="G3157" s="2" t="s">
        <v>13982</v>
      </c>
      <c r="H3157" s="3">
        <v>0</v>
      </c>
      <c r="I3157" s="2" t="s">
        <v>18</v>
      </c>
      <c r="J3157" s="2" t="s">
        <v>13983</v>
      </c>
      <c r="K3157" s="2" t="s">
        <v>16</v>
      </c>
      <c r="L3157" s="2" t="s">
        <v>13984</v>
      </c>
      <c r="M3157" s="4">
        <v>4.92</v>
      </c>
      <c r="N3157" t="e">
        <f>OR(LEFT(B3157,3)="frg",(_xlfn.XMATCH(B3157,ZZZ_Part_Id_[[#All],[FGCODE]])))</f>
        <v>#N/A</v>
      </c>
    </row>
    <row r="3158" spans="1:14" x14ac:dyDescent="0.3">
      <c r="A3158" s="2" t="s">
        <v>13980</v>
      </c>
      <c r="B3158" s="2" t="s">
        <v>5357</v>
      </c>
      <c r="C3158" s="2" t="s">
        <v>13985</v>
      </c>
      <c r="D3158" s="3">
        <v>317952</v>
      </c>
      <c r="E3158" s="3">
        <v>317952</v>
      </c>
      <c r="F3158" s="2" t="s">
        <v>16</v>
      </c>
      <c r="G3158" s="2" t="s">
        <v>13986</v>
      </c>
      <c r="H3158" s="3">
        <v>0</v>
      </c>
      <c r="I3158" s="2" t="s">
        <v>18</v>
      </c>
      <c r="J3158" s="2" t="s">
        <v>13987</v>
      </c>
      <c r="K3158" s="2" t="s">
        <v>16</v>
      </c>
      <c r="L3158" s="2" t="s">
        <v>13988</v>
      </c>
      <c r="M3158" s="4">
        <v>94997.759999999995</v>
      </c>
      <c r="N3158" t="b">
        <f>OR(LEFT(B3158,3)="frg",(_xlfn.XMATCH(B3158,ZZZ_Part_Id_[[#All],[FGCODE]])))</f>
        <v>1</v>
      </c>
    </row>
    <row r="3159" spans="1:14" x14ac:dyDescent="0.3">
      <c r="A3159" s="2" t="s">
        <v>13989</v>
      </c>
      <c r="B3159" s="2" t="s">
        <v>14</v>
      </c>
      <c r="C3159" s="2" t="s">
        <v>13990</v>
      </c>
      <c r="D3159" s="3">
        <v>4</v>
      </c>
      <c r="E3159" s="3">
        <v>4</v>
      </c>
      <c r="F3159" s="2" t="s">
        <v>16</v>
      </c>
      <c r="G3159" s="2" t="s">
        <v>131</v>
      </c>
      <c r="H3159" s="3">
        <v>0</v>
      </c>
      <c r="I3159" s="2" t="s">
        <v>409</v>
      </c>
      <c r="J3159" s="2" t="s">
        <v>13991</v>
      </c>
      <c r="K3159" s="2" t="s">
        <v>16</v>
      </c>
      <c r="L3159" s="2" t="s">
        <v>13992</v>
      </c>
      <c r="M3159" s="4">
        <v>0.31</v>
      </c>
      <c r="N3159" t="e">
        <f>OR(LEFT(B3159,3)="frg",(_xlfn.XMATCH(B3159,ZZZ_Part_Id_[[#All],[FGCODE]])))</f>
        <v>#N/A</v>
      </c>
    </row>
    <row r="3160" spans="1:14" x14ac:dyDescent="0.3">
      <c r="A3160" s="2" t="s">
        <v>13989</v>
      </c>
      <c r="B3160" s="2" t="s">
        <v>13967</v>
      </c>
      <c r="C3160" s="2" t="s">
        <v>13993</v>
      </c>
      <c r="D3160" s="3">
        <v>36576</v>
      </c>
      <c r="E3160" s="3">
        <v>36576</v>
      </c>
      <c r="F3160" s="2" t="s">
        <v>16</v>
      </c>
      <c r="G3160" s="2" t="s">
        <v>131</v>
      </c>
      <c r="H3160" s="3">
        <v>0</v>
      </c>
      <c r="I3160" s="2" t="s">
        <v>409</v>
      </c>
      <c r="J3160" s="2" t="s">
        <v>13994</v>
      </c>
      <c r="K3160" s="2" t="s">
        <v>16</v>
      </c>
      <c r="L3160" s="2" t="s">
        <v>13995</v>
      </c>
      <c r="M3160" s="4">
        <v>4016.4</v>
      </c>
      <c r="N3160" t="b">
        <f>OR(LEFT(B3160,3)="frg",(_xlfn.XMATCH(B3160,ZZZ_Part_Id_[[#All],[FGCODE]])))</f>
        <v>1</v>
      </c>
    </row>
    <row r="3161" spans="1:14" x14ac:dyDescent="0.3">
      <c r="A3161" s="2" t="s">
        <v>13996</v>
      </c>
      <c r="B3161" s="2" t="s">
        <v>11068</v>
      </c>
      <c r="C3161" s="2" t="s">
        <v>13997</v>
      </c>
      <c r="D3161" s="3">
        <v>10620</v>
      </c>
      <c r="E3161" s="3">
        <v>10620</v>
      </c>
      <c r="F3161" s="2" t="s">
        <v>16</v>
      </c>
      <c r="G3161" s="2" t="s">
        <v>13998</v>
      </c>
      <c r="H3161" s="3">
        <v>0</v>
      </c>
      <c r="I3161" s="2" t="s">
        <v>18</v>
      </c>
      <c r="J3161" s="2" t="s">
        <v>13999</v>
      </c>
      <c r="K3161" s="2" t="s">
        <v>16</v>
      </c>
      <c r="L3161" s="2" t="s">
        <v>14000</v>
      </c>
      <c r="M3161" s="4">
        <v>2013.02</v>
      </c>
      <c r="N3161" t="b">
        <f>OR(LEFT(B3161,3)="frg",(_xlfn.XMATCH(B3161,ZZZ_Part_Id_[[#All],[FGCODE]])))</f>
        <v>1</v>
      </c>
    </row>
    <row r="3162" spans="1:14" x14ac:dyDescent="0.3">
      <c r="A3162" s="2" t="s">
        <v>14001</v>
      </c>
      <c r="B3162" s="2" t="s">
        <v>14</v>
      </c>
      <c r="C3162" s="2" t="s">
        <v>14002</v>
      </c>
      <c r="D3162" s="3">
        <v>10</v>
      </c>
      <c r="E3162" s="3">
        <v>0</v>
      </c>
      <c r="F3162" s="2" t="s">
        <v>16</v>
      </c>
      <c r="G3162" s="2" t="s">
        <v>14003</v>
      </c>
      <c r="H3162" s="3">
        <v>0</v>
      </c>
      <c r="I3162" s="2" t="s">
        <v>18</v>
      </c>
      <c r="J3162" s="2" t="s">
        <v>14004</v>
      </c>
      <c r="K3162" s="2" t="s">
        <v>16</v>
      </c>
      <c r="L3162" s="2" t="s">
        <v>14005</v>
      </c>
      <c r="M3162" s="4">
        <v>0</v>
      </c>
      <c r="N3162" t="e">
        <f>OR(LEFT(B3162,3)="frg",(_xlfn.XMATCH(B3162,ZZZ_Part_Id_[[#All],[FGCODE]])))</f>
        <v>#N/A</v>
      </c>
    </row>
    <row r="3163" spans="1:14" x14ac:dyDescent="0.3">
      <c r="A3163" s="2" t="s">
        <v>14001</v>
      </c>
      <c r="B3163" s="2" t="s">
        <v>21</v>
      </c>
      <c r="C3163" s="2" t="s">
        <v>14006</v>
      </c>
      <c r="D3163" s="5">
        <v>-323</v>
      </c>
      <c r="E3163" s="5">
        <v>-323</v>
      </c>
      <c r="F3163" s="2" t="s">
        <v>23</v>
      </c>
      <c r="G3163" s="2" t="s">
        <v>14007</v>
      </c>
      <c r="H3163" s="3">
        <v>0</v>
      </c>
      <c r="I3163" s="2" t="s">
        <v>18</v>
      </c>
      <c r="J3163" s="2" t="s">
        <v>14008</v>
      </c>
      <c r="K3163" s="2" t="s">
        <v>23</v>
      </c>
      <c r="L3163" s="2" t="s">
        <v>14009</v>
      </c>
      <c r="M3163" s="6">
        <v>-812.02</v>
      </c>
      <c r="N3163" t="b">
        <f>OR(LEFT(B3163,3)="frg",(_xlfn.XMATCH(B3163,ZZZ_Part_Id_[[#All],[FGCODE]])))</f>
        <v>1</v>
      </c>
    </row>
    <row r="3164" spans="1:14" x14ac:dyDescent="0.3">
      <c r="A3164" s="2" t="s">
        <v>14001</v>
      </c>
      <c r="B3164" s="2" t="s">
        <v>1027</v>
      </c>
      <c r="C3164" s="2" t="s">
        <v>14010</v>
      </c>
      <c r="D3164" s="3">
        <v>63720</v>
      </c>
      <c r="E3164" s="3">
        <v>63720</v>
      </c>
      <c r="F3164" s="2" t="s">
        <v>16</v>
      </c>
      <c r="G3164" s="2" t="s">
        <v>14011</v>
      </c>
      <c r="H3164" s="3">
        <v>0</v>
      </c>
      <c r="I3164" s="2" t="s">
        <v>18</v>
      </c>
      <c r="J3164" s="2" t="s">
        <v>14012</v>
      </c>
      <c r="K3164" s="2" t="s">
        <v>16</v>
      </c>
      <c r="L3164" s="2" t="s">
        <v>14013</v>
      </c>
      <c r="M3164" s="4">
        <v>12837.06</v>
      </c>
      <c r="N3164" t="b">
        <f>OR(LEFT(B3164,3)="frg",(_xlfn.XMATCH(B3164,ZZZ_Part_Id_[[#All],[FGCODE]])))</f>
        <v>1</v>
      </c>
    </row>
    <row r="3165" spans="1:14" x14ac:dyDescent="0.3">
      <c r="A3165" s="2" t="s">
        <v>14001</v>
      </c>
      <c r="B3165" s="2" t="s">
        <v>187</v>
      </c>
      <c r="C3165" s="2" t="s">
        <v>14014</v>
      </c>
      <c r="D3165" s="3">
        <v>5</v>
      </c>
      <c r="E3165" s="3">
        <v>0</v>
      </c>
      <c r="F3165" s="2" t="s">
        <v>16</v>
      </c>
      <c r="G3165" s="2" t="s">
        <v>131</v>
      </c>
      <c r="H3165" s="3">
        <v>0</v>
      </c>
      <c r="I3165" s="2" t="s">
        <v>18</v>
      </c>
      <c r="J3165" s="2" t="s">
        <v>14015</v>
      </c>
      <c r="K3165" s="2" t="s">
        <v>16</v>
      </c>
      <c r="L3165" s="2" t="s">
        <v>14016</v>
      </c>
      <c r="M3165" s="4">
        <v>0</v>
      </c>
      <c r="N3165" t="e">
        <f>OR(LEFT(B3165,3)="frg",(_xlfn.XMATCH(B3165,ZZZ_Part_Id_[[#All],[FGCODE]])))</f>
        <v>#N/A</v>
      </c>
    </row>
    <row r="3166" spans="1:14" x14ac:dyDescent="0.3">
      <c r="A3166" s="2" t="s">
        <v>14001</v>
      </c>
      <c r="B3166" s="2" t="s">
        <v>177</v>
      </c>
      <c r="C3166" s="2" t="s">
        <v>14017</v>
      </c>
      <c r="D3166" s="3">
        <v>5</v>
      </c>
      <c r="E3166" s="3">
        <v>5</v>
      </c>
      <c r="F3166" s="2" t="s">
        <v>16</v>
      </c>
      <c r="G3166" s="2" t="s">
        <v>131</v>
      </c>
      <c r="H3166" s="3">
        <v>0</v>
      </c>
      <c r="I3166" s="2" t="s">
        <v>18</v>
      </c>
      <c r="J3166" s="2" t="s">
        <v>14018</v>
      </c>
      <c r="K3166" s="2" t="s">
        <v>16</v>
      </c>
      <c r="L3166" s="2" t="s">
        <v>14019</v>
      </c>
      <c r="M3166" s="4">
        <v>144.6</v>
      </c>
      <c r="N3166" t="e">
        <f>OR(LEFT(B3166,3)="frg",(_xlfn.XMATCH(B3166,ZZZ_Part_Id_[[#All],[FGCODE]])))</f>
        <v>#N/A</v>
      </c>
    </row>
    <row r="3167" spans="1:14" x14ac:dyDescent="0.3">
      <c r="A3167" s="2" t="s">
        <v>14001</v>
      </c>
      <c r="B3167" s="2" t="s">
        <v>140</v>
      </c>
      <c r="C3167" s="2" t="s">
        <v>14020</v>
      </c>
      <c r="D3167" s="3">
        <v>0.2</v>
      </c>
      <c r="E3167" s="3">
        <v>0.2</v>
      </c>
      <c r="F3167" s="2" t="s">
        <v>16</v>
      </c>
      <c r="G3167" s="2" t="s">
        <v>131</v>
      </c>
      <c r="H3167" s="3">
        <v>0</v>
      </c>
      <c r="I3167" s="2" t="s">
        <v>18</v>
      </c>
      <c r="J3167" s="2" t="s">
        <v>14021</v>
      </c>
      <c r="K3167" s="2" t="s">
        <v>16</v>
      </c>
      <c r="L3167" s="2" t="s">
        <v>14022</v>
      </c>
      <c r="M3167" s="4">
        <v>0.42</v>
      </c>
      <c r="N3167" t="e">
        <f>OR(LEFT(B3167,3)="frg",(_xlfn.XMATCH(B3167,ZZZ_Part_Id_[[#All],[FGCODE]])))</f>
        <v>#N/A</v>
      </c>
    </row>
    <row r="3168" spans="1:14" x14ac:dyDescent="0.3">
      <c r="A3168" s="2" t="s">
        <v>14001</v>
      </c>
      <c r="B3168" s="2" t="s">
        <v>182</v>
      </c>
      <c r="C3168" s="2" t="s">
        <v>14023</v>
      </c>
      <c r="D3168" s="3">
        <v>5</v>
      </c>
      <c r="E3168" s="3">
        <v>0</v>
      </c>
      <c r="F3168" s="2" t="s">
        <v>16</v>
      </c>
      <c r="G3168" s="2" t="s">
        <v>131</v>
      </c>
      <c r="H3168" s="3">
        <v>0</v>
      </c>
      <c r="I3168" s="2" t="s">
        <v>18</v>
      </c>
      <c r="J3168" s="2" t="s">
        <v>14024</v>
      </c>
      <c r="K3168" s="2" t="s">
        <v>16</v>
      </c>
      <c r="L3168" s="2" t="s">
        <v>14025</v>
      </c>
      <c r="M3168" s="4">
        <v>0</v>
      </c>
      <c r="N3168" t="e">
        <f>OR(LEFT(B3168,3)="frg",(_xlfn.XMATCH(B3168,ZZZ_Part_Id_[[#All],[FGCODE]])))</f>
        <v>#N/A</v>
      </c>
    </row>
    <row r="3169" spans="1:14" x14ac:dyDescent="0.3">
      <c r="A3169" s="2" t="s">
        <v>14001</v>
      </c>
      <c r="B3169" s="2" t="s">
        <v>145</v>
      </c>
      <c r="C3169" s="2" t="s">
        <v>14026</v>
      </c>
      <c r="D3169" s="3">
        <v>0.02</v>
      </c>
      <c r="E3169" s="3">
        <v>0.02</v>
      </c>
      <c r="F3169" s="2" t="s">
        <v>147</v>
      </c>
      <c r="G3169" s="2" t="s">
        <v>131</v>
      </c>
      <c r="H3169" s="3">
        <v>0</v>
      </c>
      <c r="I3169" s="2" t="s">
        <v>18</v>
      </c>
      <c r="J3169" s="2" t="s">
        <v>14027</v>
      </c>
      <c r="K3169" s="2" t="s">
        <v>147</v>
      </c>
      <c r="L3169" s="2" t="s">
        <v>14028</v>
      </c>
      <c r="M3169" s="4">
        <v>3.23</v>
      </c>
      <c r="N3169" t="e">
        <f>OR(LEFT(B3169,3)="frg",(_xlfn.XMATCH(B3169,ZZZ_Part_Id_[[#All],[FGCODE]])))</f>
        <v>#N/A</v>
      </c>
    </row>
    <row r="3170" spans="1:14" x14ac:dyDescent="0.3">
      <c r="A3170" s="2" t="s">
        <v>14001</v>
      </c>
      <c r="B3170" s="2" t="s">
        <v>151</v>
      </c>
      <c r="C3170" s="2" t="s">
        <v>14029</v>
      </c>
      <c r="D3170" s="3">
        <v>20</v>
      </c>
      <c r="E3170" s="3">
        <v>20</v>
      </c>
      <c r="F3170" s="2" t="s">
        <v>16</v>
      </c>
      <c r="G3170" s="2" t="s">
        <v>131</v>
      </c>
      <c r="H3170" s="3">
        <v>0</v>
      </c>
      <c r="I3170" s="2" t="s">
        <v>18</v>
      </c>
      <c r="J3170" s="2" t="s">
        <v>14030</v>
      </c>
      <c r="K3170" s="2" t="s">
        <v>16</v>
      </c>
      <c r="L3170" s="2" t="s">
        <v>14031</v>
      </c>
      <c r="M3170" s="4">
        <v>47.89</v>
      </c>
      <c r="N3170" t="e">
        <f>OR(LEFT(B3170,3)="frg",(_xlfn.XMATCH(B3170,ZZZ_Part_Id_[[#All],[FGCODE]])))</f>
        <v>#N/A</v>
      </c>
    </row>
    <row r="3171" spans="1:14" x14ac:dyDescent="0.3">
      <c r="A3171" s="2" t="s">
        <v>14001</v>
      </c>
      <c r="B3171" s="2" t="s">
        <v>167</v>
      </c>
      <c r="C3171" s="2" t="s">
        <v>14032</v>
      </c>
      <c r="D3171" s="3">
        <v>1.675</v>
      </c>
      <c r="E3171" s="3">
        <v>1.675</v>
      </c>
      <c r="F3171" s="2" t="s">
        <v>23</v>
      </c>
      <c r="G3171" s="2" t="s">
        <v>131</v>
      </c>
      <c r="H3171" s="3">
        <v>0</v>
      </c>
      <c r="I3171" s="2" t="s">
        <v>18</v>
      </c>
      <c r="J3171" s="2" t="s">
        <v>14033</v>
      </c>
      <c r="K3171" s="2" t="s">
        <v>23</v>
      </c>
      <c r="L3171" s="2" t="s">
        <v>14034</v>
      </c>
      <c r="M3171" s="4">
        <v>12.46</v>
      </c>
      <c r="N3171" t="e">
        <f>OR(LEFT(B3171,3)="frg",(_xlfn.XMATCH(B3171,ZZZ_Part_Id_[[#All],[FGCODE]])))</f>
        <v>#N/A</v>
      </c>
    </row>
    <row r="3172" spans="1:14" x14ac:dyDescent="0.3">
      <c r="A3172" s="2" t="s">
        <v>14001</v>
      </c>
      <c r="B3172" s="2" t="s">
        <v>172</v>
      </c>
      <c r="C3172" s="2" t="s">
        <v>14035</v>
      </c>
      <c r="D3172" s="3">
        <v>1.41</v>
      </c>
      <c r="E3172" s="3">
        <v>1.41</v>
      </c>
      <c r="F3172" s="2" t="s">
        <v>23</v>
      </c>
      <c r="G3172" s="2" t="s">
        <v>131</v>
      </c>
      <c r="H3172" s="3">
        <v>0</v>
      </c>
      <c r="I3172" s="2" t="s">
        <v>18</v>
      </c>
      <c r="J3172" s="2" t="s">
        <v>14036</v>
      </c>
      <c r="K3172" s="2" t="s">
        <v>23</v>
      </c>
      <c r="L3172" s="2" t="s">
        <v>14037</v>
      </c>
      <c r="M3172" s="4">
        <v>10.47</v>
      </c>
      <c r="N3172" t="e">
        <f>OR(LEFT(B3172,3)="frg",(_xlfn.XMATCH(B3172,ZZZ_Part_Id_[[#All],[FGCODE]])))</f>
        <v>#N/A</v>
      </c>
    </row>
    <row r="3173" spans="1:14" x14ac:dyDescent="0.3">
      <c r="A3173" s="2" t="s">
        <v>14001</v>
      </c>
      <c r="B3173" s="2" t="s">
        <v>192</v>
      </c>
      <c r="C3173" s="2" t="s">
        <v>14038</v>
      </c>
      <c r="D3173" s="3">
        <v>0.05</v>
      </c>
      <c r="E3173" s="3">
        <v>0.05</v>
      </c>
      <c r="F3173" s="2" t="s">
        <v>194</v>
      </c>
      <c r="G3173" s="2" t="s">
        <v>131</v>
      </c>
      <c r="H3173" s="3">
        <v>0</v>
      </c>
      <c r="I3173" s="2" t="s">
        <v>18</v>
      </c>
      <c r="J3173" s="2" t="s">
        <v>14039</v>
      </c>
      <c r="K3173" s="2" t="s">
        <v>194</v>
      </c>
      <c r="L3173" s="2" t="s">
        <v>14040</v>
      </c>
      <c r="M3173" s="4">
        <v>0.25</v>
      </c>
      <c r="N3173" t="e">
        <f>OR(LEFT(B3173,3)="frg",(_xlfn.XMATCH(B3173,ZZZ_Part_Id_[[#All],[FGCODE]])))</f>
        <v>#N/A</v>
      </c>
    </row>
    <row r="3174" spans="1:14" x14ac:dyDescent="0.3">
      <c r="A3174" s="2" t="s">
        <v>14001</v>
      </c>
      <c r="B3174" s="2" t="s">
        <v>14</v>
      </c>
      <c r="C3174" s="2" t="s">
        <v>14041</v>
      </c>
      <c r="D3174" s="3">
        <v>2</v>
      </c>
      <c r="E3174" s="3">
        <v>2</v>
      </c>
      <c r="F3174" s="2" t="s">
        <v>16</v>
      </c>
      <c r="G3174" s="2" t="s">
        <v>131</v>
      </c>
      <c r="H3174" s="3">
        <v>0</v>
      </c>
      <c r="I3174" s="2" t="s">
        <v>18</v>
      </c>
      <c r="J3174" s="2" t="s">
        <v>14042</v>
      </c>
      <c r="K3174" s="2" t="s">
        <v>16</v>
      </c>
      <c r="L3174" s="2" t="s">
        <v>14043</v>
      </c>
      <c r="M3174" s="4">
        <v>0.15</v>
      </c>
      <c r="N3174" t="e">
        <f>OR(LEFT(B3174,3)="frg",(_xlfn.XMATCH(B3174,ZZZ_Part_Id_[[#All],[FGCODE]])))</f>
        <v>#N/A</v>
      </c>
    </row>
    <row r="3175" spans="1:14" x14ac:dyDescent="0.3">
      <c r="A3175" s="2" t="s">
        <v>14001</v>
      </c>
      <c r="B3175" s="2" t="s">
        <v>161</v>
      </c>
      <c r="C3175" s="2" t="s">
        <v>14044</v>
      </c>
      <c r="D3175" s="3">
        <v>0.2</v>
      </c>
      <c r="E3175" s="3">
        <v>0.2</v>
      </c>
      <c r="F3175" s="2" t="s">
        <v>163</v>
      </c>
      <c r="G3175" s="2" t="s">
        <v>131</v>
      </c>
      <c r="H3175" s="3">
        <v>0</v>
      </c>
      <c r="I3175" s="2" t="s">
        <v>18</v>
      </c>
      <c r="J3175" s="2" t="s">
        <v>14045</v>
      </c>
      <c r="K3175" s="2" t="s">
        <v>163</v>
      </c>
      <c r="L3175" s="2" t="s">
        <v>14046</v>
      </c>
      <c r="M3175" s="4">
        <v>1.2</v>
      </c>
      <c r="N3175" t="e">
        <f>OR(LEFT(B3175,3)="frg",(_xlfn.XMATCH(B3175,ZZZ_Part_Id_[[#All],[FGCODE]])))</f>
        <v>#N/A</v>
      </c>
    </row>
    <row r="3176" spans="1:14" x14ac:dyDescent="0.3">
      <c r="A3176" s="2" t="s">
        <v>14001</v>
      </c>
      <c r="B3176" s="2" t="s">
        <v>264</v>
      </c>
      <c r="C3176" s="2" t="s">
        <v>14047</v>
      </c>
      <c r="D3176" s="3">
        <v>5.0000000000000001E-3</v>
      </c>
      <c r="E3176" s="3">
        <v>5.0000000000000001E-3</v>
      </c>
      <c r="F3176" s="2" t="s">
        <v>16</v>
      </c>
      <c r="G3176" s="2" t="s">
        <v>131</v>
      </c>
      <c r="H3176" s="3">
        <v>0</v>
      </c>
      <c r="I3176" s="2" t="s">
        <v>18</v>
      </c>
      <c r="J3176" s="2" t="s">
        <v>14048</v>
      </c>
      <c r="K3176" s="2" t="s">
        <v>16</v>
      </c>
      <c r="L3176" s="2" t="s">
        <v>14049</v>
      </c>
      <c r="M3176" s="4">
        <v>0.19</v>
      </c>
      <c r="N3176" t="e">
        <f>OR(LEFT(B3176,3)="frg",(_xlfn.XMATCH(B3176,ZZZ_Part_Id_[[#All],[FGCODE]])))</f>
        <v>#N/A</v>
      </c>
    </row>
    <row r="3177" spans="1:14" x14ac:dyDescent="0.3">
      <c r="A3177" s="2" t="s">
        <v>14050</v>
      </c>
      <c r="B3177" s="2" t="s">
        <v>14</v>
      </c>
      <c r="C3177" s="2" t="s">
        <v>14051</v>
      </c>
      <c r="D3177" s="3">
        <v>10</v>
      </c>
      <c r="E3177" s="3">
        <v>10</v>
      </c>
      <c r="F3177" s="2" t="s">
        <v>16</v>
      </c>
      <c r="G3177" s="2" t="s">
        <v>14052</v>
      </c>
      <c r="H3177" s="3">
        <v>0</v>
      </c>
      <c r="I3177" s="2" t="s">
        <v>18</v>
      </c>
      <c r="J3177" s="2" t="s">
        <v>14053</v>
      </c>
      <c r="K3177" s="2" t="s">
        <v>16</v>
      </c>
      <c r="L3177" s="2" t="s">
        <v>14054</v>
      </c>
      <c r="M3177" s="4">
        <v>0.77</v>
      </c>
      <c r="N3177" t="e">
        <f>OR(LEFT(B3177,3)="frg",(_xlfn.XMATCH(B3177,ZZZ_Part_Id_[[#All],[FGCODE]])))</f>
        <v>#N/A</v>
      </c>
    </row>
    <row r="3178" spans="1:14" x14ac:dyDescent="0.3">
      <c r="A3178" s="2" t="s">
        <v>14050</v>
      </c>
      <c r="B3178" s="2" t="s">
        <v>65</v>
      </c>
      <c r="C3178" s="2" t="s">
        <v>14055</v>
      </c>
      <c r="D3178" s="5">
        <v>-1340</v>
      </c>
      <c r="E3178" s="5">
        <v>-1340</v>
      </c>
      <c r="F3178" s="2" t="s">
        <v>23</v>
      </c>
      <c r="G3178" s="2" t="s">
        <v>14056</v>
      </c>
      <c r="H3178" s="3">
        <v>0</v>
      </c>
      <c r="I3178" s="2" t="s">
        <v>18</v>
      </c>
      <c r="J3178" s="2" t="s">
        <v>14057</v>
      </c>
      <c r="K3178" s="2" t="s">
        <v>23</v>
      </c>
      <c r="L3178" s="2" t="s">
        <v>14058</v>
      </c>
      <c r="M3178" s="6">
        <v>-3445.94</v>
      </c>
      <c r="N3178" t="b">
        <f>OR(LEFT(B3178,3)="frg",(_xlfn.XMATCH(B3178,ZZZ_Part_Id_[[#All],[FGCODE]])))</f>
        <v>1</v>
      </c>
    </row>
    <row r="3179" spans="1:14" x14ac:dyDescent="0.3">
      <c r="A3179" s="2" t="s">
        <v>14050</v>
      </c>
      <c r="B3179" s="2" t="s">
        <v>103</v>
      </c>
      <c r="C3179" s="2" t="s">
        <v>14059</v>
      </c>
      <c r="D3179" s="3">
        <v>98140</v>
      </c>
      <c r="E3179" s="3">
        <v>98140</v>
      </c>
      <c r="F3179" s="2" t="s">
        <v>16</v>
      </c>
      <c r="G3179" s="2" t="s">
        <v>14060</v>
      </c>
      <c r="H3179" s="3">
        <v>0</v>
      </c>
      <c r="I3179" s="2" t="s">
        <v>18</v>
      </c>
      <c r="J3179" s="2" t="s">
        <v>14061</v>
      </c>
      <c r="K3179" s="2" t="s">
        <v>16</v>
      </c>
      <c r="L3179" s="2" t="s">
        <v>14062</v>
      </c>
      <c r="M3179" s="4">
        <v>19656.46</v>
      </c>
      <c r="N3179" t="b">
        <f>OR(LEFT(B3179,3)="frg",(_xlfn.XMATCH(B3179,ZZZ_Part_Id_[[#All],[FGCODE]])))</f>
        <v>1</v>
      </c>
    </row>
    <row r="3180" spans="1:14" x14ac:dyDescent="0.3">
      <c r="A3180" s="2" t="s">
        <v>14063</v>
      </c>
      <c r="B3180" s="2" t="s">
        <v>97</v>
      </c>
      <c r="C3180" s="2" t="s">
        <v>14064</v>
      </c>
      <c r="D3180" s="3">
        <v>100800</v>
      </c>
      <c r="E3180" s="3">
        <v>100800</v>
      </c>
      <c r="F3180" s="2" t="s">
        <v>16</v>
      </c>
      <c r="G3180" s="2" t="s">
        <v>14065</v>
      </c>
      <c r="H3180" s="3">
        <v>0</v>
      </c>
      <c r="I3180" s="2" t="s">
        <v>18</v>
      </c>
      <c r="J3180" s="2" t="s">
        <v>14066</v>
      </c>
      <c r="K3180" s="2" t="s">
        <v>16</v>
      </c>
      <c r="L3180" s="2" t="s">
        <v>14067</v>
      </c>
      <c r="M3180" s="4">
        <v>34586.58</v>
      </c>
      <c r="N3180" t="b">
        <f>OR(LEFT(B3180,3)="frg",(_xlfn.XMATCH(B3180,ZZZ_Part_Id_[[#All],[FGCODE]])))</f>
        <v>1</v>
      </c>
    </row>
    <row r="3181" spans="1:14" x14ac:dyDescent="0.3">
      <c r="A3181" s="2" t="s">
        <v>14068</v>
      </c>
      <c r="B3181" s="2" t="s">
        <v>21</v>
      </c>
      <c r="C3181" s="2" t="s">
        <v>14069</v>
      </c>
      <c r="D3181" s="5">
        <v>-323</v>
      </c>
      <c r="E3181" s="5">
        <v>-323</v>
      </c>
      <c r="F3181" s="2" t="s">
        <v>23</v>
      </c>
      <c r="G3181" s="2" t="s">
        <v>14070</v>
      </c>
      <c r="H3181" s="3">
        <v>0</v>
      </c>
      <c r="I3181" s="2" t="s">
        <v>18</v>
      </c>
      <c r="J3181" s="2" t="s">
        <v>14071</v>
      </c>
      <c r="K3181" s="2" t="s">
        <v>23</v>
      </c>
      <c r="L3181" s="2" t="s">
        <v>14072</v>
      </c>
      <c r="M3181" s="6">
        <v>-812.02</v>
      </c>
      <c r="N3181" t="b">
        <f>OR(LEFT(B3181,3)="frg",(_xlfn.XMATCH(B3181,ZZZ_Part_Id_[[#All],[FGCODE]])))</f>
        <v>1</v>
      </c>
    </row>
    <row r="3182" spans="1:14" x14ac:dyDescent="0.3">
      <c r="A3182" s="2" t="s">
        <v>14068</v>
      </c>
      <c r="B3182" s="2" t="s">
        <v>1027</v>
      </c>
      <c r="C3182" s="2" t="s">
        <v>14073</v>
      </c>
      <c r="D3182" s="3">
        <v>488520</v>
      </c>
      <c r="E3182" s="3">
        <v>488520</v>
      </c>
      <c r="F3182" s="2" t="s">
        <v>16</v>
      </c>
      <c r="G3182" s="2" t="s">
        <v>14074</v>
      </c>
      <c r="H3182" s="3">
        <v>0</v>
      </c>
      <c r="I3182" s="2" t="s">
        <v>18</v>
      </c>
      <c r="J3182" s="2" t="s">
        <v>14075</v>
      </c>
      <c r="K3182" s="2" t="s">
        <v>16</v>
      </c>
      <c r="L3182" s="2" t="s">
        <v>14076</v>
      </c>
      <c r="M3182" s="4">
        <v>98417.46</v>
      </c>
      <c r="N3182" t="b">
        <f>OR(LEFT(B3182,3)="frg",(_xlfn.XMATCH(B3182,ZZZ_Part_Id_[[#All],[FGCODE]])))</f>
        <v>1</v>
      </c>
    </row>
    <row r="3183" spans="1:14" x14ac:dyDescent="0.3">
      <c r="A3183" s="2" t="s">
        <v>14077</v>
      </c>
      <c r="B3183" s="2" t="s">
        <v>14</v>
      </c>
      <c r="C3183" s="2" t="s">
        <v>14078</v>
      </c>
      <c r="D3183" s="3">
        <v>4</v>
      </c>
      <c r="E3183" s="3">
        <v>4</v>
      </c>
      <c r="F3183" s="2" t="s">
        <v>16</v>
      </c>
      <c r="G3183" s="2" t="s">
        <v>131</v>
      </c>
      <c r="H3183" s="3">
        <v>0</v>
      </c>
      <c r="I3183" s="2" t="s">
        <v>409</v>
      </c>
      <c r="J3183" s="2" t="s">
        <v>14079</v>
      </c>
      <c r="K3183" s="2" t="s">
        <v>16</v>
      </c>
      <c r="L3183" s="2" t="s">
        <v>14080</v>
      </c>
      <c r="M3183" s="4">
        <v>0.31</v>
      </c>
      <c r="N3183" t="e">
        <f>OR(LEFT(B3183,3)="frg",(_xlfn.XMATCH(B3183,ZZZ_Part_Id_[[#All],[FGCODE]])))</f>
        <v>#N/A</v>
      </c>
    </row>
    <row r="3184" spans="1:14" x14ac:dyDescent="0.3">
      <c r="A3184" s="2" t="s">
        <v>14077</v>
      </c>
      <c r="B3184" s="2" t="s">
        <v>65</v>
      </c>
      <c r="C3184" s="2" t="s">
        <v>14081</v>
      </c>
      <c r="D3184" s="5">
        <v>-170</v>
      </c>
      <c r="E3184" s="5">
        <v>-170</v>
      </c>
      <c r="F3184" s="2" t="s">
        <v>23</v>
      </c>
      <c r="G3184" s="2" t="s">
        <v>131</v>
      </c>
      <c r="H3184" s="3">
        <v>0</v>
      </c>
      <c r="I3184" s="2" t="s">
        <v>409</v>
      </c>
      <c r="J3184" s="2" t="s">
        <v>14082</v>
      </c>
      <c r="K3184" s="2" t="s">
        <v>23</v>
      </c>
      <c r="L3184" s="2" t="s">
        <v>14083</v>
      </c>
      <c r="M3184" s="6">
        <v>-437.17</v>
      </c>
      <c r="N3184" t="b">
        <f>OR(LEFT(B3184,3)="frg",(_xlfn.XMATCH(B3184,ZZZ_Part_Id_[[#All],[FGCODE]])))</f>
        <v>1</v>
      </c>
    </row>
    <row r="3185" spans="1:14" x14ac:dyDescent="0.3">
      <c r="A3185" s="2" t="s">
        <v>14077</v>
      </c>
      <c r="B3185" s="2" t="s">
        <v>13967</v>
      </c>
      <c r="C3185" s="2" t="s">
        <v>14084</v>
      </c>
      <c r="D3185" s="3">
        <v>48768</v>
      </c>
      <c r="E3185" s="3">
        <v>48768</v>
      </c>
      <c r="F3185" s="2" t="s">
        <v>16</v>
      </c>
      <c r="G3185" s="2" t="s">
        <v>131</v>
      </c>
      <c r="H3185" s="3">
        <v>0</v>
      </c>
      <c r="I3185" s="2" t="s">
        <v>409</v>
      </c>
      <c r="J3185" s="2" t="s">
        <v>14085</v>
      </c>
      <c r="K3185" s="2" t="s">
        <v>16</v>
      </c>
      <c r="L3185" s="2" t="s">
        <v>14086</v>
      </c>
      <c r="M3185" s="4">
        <v>5355.2</v>
      </c>
      <c r="N3185" t="b">
        <f>OR(LEFT(B3185,3)="frg",(_xlfn.XMATCH(B3185,ZZZ_Part_Id_[[#All],[FGCODE]])))</f>
        <v>1</v>
      </c>
    </row>
    <row r="3186" spans="1:14" x14ac:dyDescent="0.3">
      <c r="A3186" s="2" t="s">
        <v>14087</v>
      </c>
      <c r="B3186" s="2" t="s">
        <v>14</v>
      </c>
      <c r="C3186" s="2" t="s">
        <v>14088</v>
      </c>
      <c r="D3186" s="3">
        <v>14</v>
      </c>
      <c r="E3186" s="3">
        <v>14</v>
      </c>
      <c r="F3186" s="2" t="s">
        <v>16</v>
      </c>
      <c r="G3186" s="2" t="s">
        <v>14089</v>
      </c>
      <c r="H3186" s="3">
        <v>0</v>
      </c>
      <c r="I3186" s="2" t="s">
        <v>18</v>
      </c>
      <c r="J3186" s="2" t="s">
        <v>14090</v>
      </c>
      <c r="K3186" s="2" t="s">
        <v>16</v>
      </c>
      <c r="L3186" s="2" t="s">
        <v>14091</v>
      </c>
      <c r="M3186" s="4">
        <v>1.08</v>
      </c>
      <c r="N3186" t="e">
        <f>OR(LEFT(B3186,3)="frg",(_xlfn.XMATCH(B3186,ZZZ_Part_Id_[[#All],[FGCODE]])))</f>
        <v>#N/A</v>
      </c>
    </row>
    <row r="3187" spans="1:14" x14ac:dyDescent="0.3">
      <c r="A3187" s="2" t="s">
        <v>14087</v>
      </c>
      <c r="B3187" s="2" t="s">
        <v>97</v>
      </c>
      <c r="C3187" s="2" t="s">
        <v>14092</v>
      </c>
      <c r="D3187" s="3">
        <v>67200</v>
      </c>
      <c r="E3187" s="3">
        <v>67200</v>
      </c>
      <c r="F3187" s="2" t="s">
        <v>16</v>
      </c>
      <c r="G3187" s="2" t="s">
        <v>14093</v>
      </c>
      <c r="H3187" s="3">
        <v>0</v>
      </c>
      <c r="I3187" s="2" t="s">
        <v>18</v>
      </c>
      <c r="J3187" s="2" t="s">
        <v>14094</v>
      </c>
      <c r="K3187" s="2" t="s">
        <v>16</v>
      </c>
      <c r="L3187" s="2" t="s">
        <v>14095</v>
      </c>
      <c r="M3187" s="4">
        <v>23057.72</v>
      </c>
      <c r="N3187" t="b">
        <f>OR(LEFT(B3187,3)="frg",(_xlfn.XMATCH(B3187,ZZZ_Part_Id_[[#All],[FGCODE]])))</f>
        <v>1</v>
      </c>
    </row>
    <row r="3188" spans="1:14" x14ac:dyDescent="0.3">
      <c r="A3188" s="2" t="s">
        <v>14096</v>
      </c>
      <c r="B3188" s="2" t="s">
        <v>14</v>
      </c>
      <c r="C3188" s="2" t="s">
        <v>14097</v>
      </c>
      <c r="D3188" s="3">
        <v>4</v>
      </c>
      <c r="E3188" s="3">
        <v>4</v>
      </c>
      <c r="F3188" s="2" t="s">
        <v>16</v>
      </c>
      <c r="G3188" s="2" t="s">
        <v>14098</v>
      </c>
      <c r="H3188" s="3">
        <v>0</v>
      </c>
      <c r="I3188" s="2" t="s">
        <v>409</v>
      </c>
      <c r="J3188" s="2" t="s">
        <v>14099</v>
      </c>
      <c r="K3188" s="2" t="s">
        <v>16</v>
      </c>
      <c r="L3188" s="2" t="s">
        <v>14100</v>
      </c>
      <c r="M3188" s="4">
        <v>0.31</v>
      </c>
      <c r="N3188" t="e">
        <f>OR(LEFT(B3188,3)="frg",(_xlfn.XMATCH(B3188,ZZZ_Part_Id_[[#All],[FGCODE]])))</f>
        <v>#N/A</v>
      </c>
    </row>
    <row r="3189" spans="1:14" x14ac:dyDescent="0.3">
      <c r="A3189" s="2" t="s">
        <v>14096</v>
      </c>
      <c r="B3189" s="2" t="s">
        <v>14101</v>
      </c>
      <c r="C3189" s="2" t="s">
        <v>14102</v>
      </c>
      <c r="D3189" s="3">
        <v>41760</v>
      </c>
      <c r="E3189" s="3">
        <v>41760</v>
      </c>
      <c r="F3189" s="2" t="s">
        <v>16</v>
      </c>
      <c r="G3189" s="2" t="s">
        <v>14103</v>
      </c>
      <c r="H3189" s="3">
        <v>0</v>
      </c>
      <c r="I3189" s="2" t="s">
        <v>409</v>
      </c>
      <c r="J3189" s="2" t="s">
        <v>14104</v>
      </c>
      <c r="K3189" s="2" t="s">
        <v>16</v>
      </c>
      <c r="L3189" s="2" t="s">
        <v>14105</v>
      </c>
      <c r="M3189" s="4">
        <v>3275.24</v>
      </c>
      <c r="N3189" t="b">
        <f>OR(LEFT(B3189,3)="frg",(_xlfn.XMATCH(B3189,ZZZ_Part_Id_[[#All],[FGCODE]])))</f>
        <v>1</v>
      </c>
    </row>
    <row r="3190" spans="1:14" x14ac:dyDescent="0.3">
      <c r="A3190" s="2" t="s">
        <v>14106</v>
      </c>
      <c r="B3190" s="2" t="s">
        <v>14</v>
      </c>
      <c r="C3190" s="2" t="s">
        <v>14107</v>
      </c>
      <c r="D3190" s="3">
        <v>40</v>
      </c>
      <c r="E3190" s="3">
        <v>40</v>
      </c>
      <c r="F3190" s="2" t="s">
        <v>16</v>
      </c>
      <c r="G3190" s="2" t="s">
        <v>14108</v>
      </c>
      <c r="H3190" s="3">
        <v>0</v>
      </c>
      <c r="I3190" s="2" t="s">
        <v>18</v>
      </c>
      <c r="J3190" s="2" t="s">
        <v>14109</v>
      </c>
      <c r="K3190" s="2" t="s">
        <v>16</v>
      </c>
      <c r="L3190" s="2" t="s">
        <v>14110</v>
      </c>
      <c r="M3190" s="4">
        <v>3.08</v>
      </c>
      <c r="N3190" t="e">
        <f>OR(LEFT(B3190,3)="frg",(_xlfn.XMATCH(B3190,ZZZ_Part_Id_[[#All],[FGCODE]])))</f>
        <v>#N/A</v>
      </c>
    </row>
    <row r="3191" spans="1:14" x14ac:dyDescent="0.3">
      <c r="A3191" s="2" t="s">
        <v>14106</v>
      </c>
      <c r="B3191" s="2" t="s">
        <v>5357</v>
      </c>
      <c r="C3191" s="2" t="s">
        <v>14111</v>
      </c>
      <c r="D3191" s="3">
        <v>291456</v>
      </c>
      <c r="E3191" s="3">
        <v>291456</v>
      </c>
      <c r="F3191" s="2" t="s">
        <v>16</v>
      </c>
      <c r="G3191" s="2" t="s">
        <v>14112</v>
      </c>
      <c r="H3191" s="3">
        <v>0</v>
      </c>
      <c r="I3191" s="2" t="s">
        <v>18</v>
      </c>
      <c r="J3191" s="2" t="s">
        <v>14113</v>
      </c>
      <c r="K3191" s="2" t="s">
        <v>16</v>
      </c>
      <c r="L3191" s="2" t="s">
        <v>14114</v>
      </c>
      <c r="M3191" s="4">
        <v>87081.279999999999</v>
      </c>
      <c r="N3191" t="b">
        <f>OR(LEFT(B3191,3)="frg",(_xlfn.XMATCH(B3191,ZZZ_Part_Id_[[#All],[FGCODE]])))</f>
        <v>1</v>
      </c>
    </row>
    <row r="3192" spans="1:14" x14ac:dyDescent="0.3">
      <c r="A3192" s="2" t="s">
        <v>14115</v>
      </c>
      <c r="B3192" s="2" t="s">
        <v>14</v>
      </c>
      <c r="C3192" s="2" t="s">
        <v>14116</v>
      </c>
      <c r="D3192" s="3">
        <v>4</v>
      </c>
      <c r="E3192" s="3">
        <v>4</v>
      </c>
      <c r="F3192" s="2" t="s">
        <v>16</v>
      </c>
      <c r="G3192" s="2" t="s">
        <v>14117</v>
      </c>
      <c r="H3192" s="3">
        <v>0</v>
      </c>
      <c r="I3192" s="2" t="s">
        <v>18</v>
      </c>
      <c r="J3192" s="2" t="s">
        <v>14118</v>
      </c>
      <c r="K3192" s="2" t="s">
        <v>16</v>
      </c>
      <c r="L3192" s="2" t="s">
        <v>14119</v>
      </c>
      <c r="M3192" s="4">
        <v>0.31</v>
      </c>
      <c r="N3192" t="e">
        <f>OR(LEFT(B3192,3)="frg",(_xlfn.XMATCH(B3192,ZZZ_Part_Id_[[#All],[FGCODE]])))</f>
        <v>#N/A</v>
      </c>
    </row>
    <row r="3193" spans="1:14" x14ac:dyDescent="0.3">
      <c r="A3193" s="2" t="s">
        <v>14115</v>
      </c>
      <c r="B3193" s="2" t="s">
        <v>5477</v>
      </c>
      <c r="C3193" s="2" t="s">
        <v>14120</v>
      </c>
      <c r="D3193" s="3">
        <v>26496</v>
      </c>
      <c r="E3193" s="3">
        <v>26496</v>
      </c>
      <c r="F3193" s="2" t="s">
        <v>16</v>
      </c>
      <c r="G3193" s="2" t="s">
        <v>14121</v>
      </c>
      <c r="H3193" s="3">
        <v>0</v>
      </c>
      <c r="I3193" s="2" t="s">
        <v>18</v>
      </c>
      <c r="J3193" s="2" t="s">
        <v>14122</v>
      </c>
      <c r="K3193" s="2" t="s">
        <v>16</v>
      </c>
      <c r="L3193" s="2" t="s">
        <v>14123</v>
      </c>
      <c r="M3193" s="4">
        <v>7916.48</v>
      </c>
      <c r="N3193" t="b">
        <f>OR(LEFT(B3193,3)="frg",(_xlfn.XMATCH(B3193,ZZZ_Part_Id_[[#All],[FGCODE]])))</f>
        <v>1</v>
      </c>
    </row>
    <row r="3194" spans="1:14" x14ac:dyDescent="0.3">
      <c r="A3194" s="2" t="s">
        <v>14124</v>
      </c>
      <c r="B3194" s="2" t="s">
        <v>14</v>
      </c>
      <c r="C3194" s="2" t="s">
        <v>14125</v>
      </c>
      <c r="D3194" s="3">
        <v>40</v>
      </c>
      <c r="E3194" s="3">
        <v>40</v>
      </c>
      <c r="F3194" s="2" t="s">
        <v>16</v>
      </c>
      <c r="G3194" s="2" t="s">
        <v>14126</v>
      </c>
      <c r="H3194" s="3">
        <v>0</v>
      </c>
      <c r="I3194" s="2" t="s">
        <v>409</v>
      </c>
      <c r="J3194" s="2" t="s">
        <v>14127</v>
      </c>
      <c r="K3194" s="2" t="s">
        <v>16</v>
      </c>
      <c r="L3194" s="2" t="s">
        <v>14128</v>
      </c>
      <c r="M3194" s="4">
        <v>3.08</v>
      </c>
      <c r="N3194" t="e">
        <f>OR(LEFT(B3194,3)="frg",(_xlfn.XMATCH(B3194,ZZZ_Part_Id_[[#All],[FGCODE]])))</f>
        <v>#N/A</v>
      </c>
    </row>
    <row r="3195" spans="1:14" x14ac:dyDescent="0.3">
      <c r="A3195" s="2" t="s">
        <v>14124</v>
      </c>
      <c r="B3195" s="2" t="s">
        <v>86</v>
      </c>
      <c r="C3195" s="2" t="s">
        <v>14129</v>
      </c>
      <c r="D3195" s="5">
        <v>-240</v>
      </c>
      <c r="E3195" s="5">
        <v>-240</v>
      </c>
      <c r="F3195" s="2" t="s">
        <v>23</v>
      </c>
      <c r="G3195" s="2" t="s">
        <v>14130</v>
      </c>
      <c r="H3195" s="3">
        <v>0</v>
      </c>
      <c r="I3195" s="2" t="s">
        <v>409</v>
      </c>
      <c r="J3195" s="2" t="s">
        <v>14131</v>
      </c>
      <c r="K3195" s="2" t="s">
        <v>23</v>
      </c>
      <c r="L3195" s="2" t="s">
        <v>14132</v>
      </c>
      <c r="M3195" s="6">
        <v>-628.27</v>
      </c>
      <c r="N3195" t="b">
        <f>OR(LEFT(B3195,3)="frg",(_xlfn.XMATCH(B3195,ZZZ_Part_Id_[[#All],[FGCODE]])))</f>
        <v>1</v>
      </c>
    </row>
    <row r="3196" spans="1:14" x14ac:dyDescent="0.3">
      <c r="A3196" s="2" t="s">
        <v>14124</v>
      </c>
      <c r="B3196" s="2" t="s">
        <v>1667</v>
      </c>
      <c r="C3196" s="2" t="s">
        <v>14133</v>
      </c>
      <c r="D3196" s="3">
        <v>730800</v>
      </c>
      <c r="E3196" s="3">
        <v>730800</v>
      </c>
      <c r="F3196" s="2" t="s">
        <v>16</v>
      </c>
      <c r="G3196" s="2" t="s">
        <v>14134</v>
      </c>
      <c r="H3196" s="3">
        <v>0</v>
      </c>
      <c r="I3196" s="2" t="s">
        <v>409</v>
      </c>
      <c r="J3196" s="2" t="s">
        <v>14135</v>
      </c>
      <c r="K3196" s="2" t="s">
        <v>16</v>
      </c>
      <c r="L3196" s="2" t="s">
        <v>14136</v>
      </c>
      <c r="M3196" s="4">
        <v>59589.51</v>
      </c>
      <c r="N3196" t="b">
        <f>OR(LEFT(B3196,3)="frg",(_xlfn.XMATCH(B3196,ZZZ_Part_Id_[[#All],[FGCODE]])))</f>
        <v>1</v>
      </c>
    </row>
    <row r="3197" spans="1:14" x14ac:dyDescent="0.3">
      <c r="A3197" s="2" t="s">
        <v>14137</v>
      </c>
      <c r="B3197" s="2" t="s">
        <v>14</v>
      </c>
      <c r="C3197" s="2" t="s">
        <v>14138</v>
      </c>
      <c r="D3197" s="3">
        <v>4</v>
      </c>
      <c r="E3197" s="3">
        <v>4</v>
      </c>
      <c r="F3197" s="2" t="s">
        <v>16</v>
      </c>
      <c r="G3197" s="2" t="s">
        <v>14139</v>
      </c>
      <c r="H3197" s="3">
        <v>0</v>
      </c>
      <c r="I3197" s="2" t="s">
        <v>18</v>
      </c>
      <c r="J3197" s="2" t="s">
        <v>14140</v>
      </c>
      <c r="K3197" s="2" t="s">
        <v>16</v>
      </c>
      <c r="L3197" s="2" t="s">
        <v>14141</v>
      </c>
      <c r="M3197" s="4">
        <v>0.31</v>
      </c>
      <c r="N3197" t="e">
        <f>OR(LEFT(B3197,3)="frg",(_xlfn.XMATCH(B3197,ZZZ_Part_Id_[[#All],[FGCODE]])))</f>
        <v>#N/A</v>
      </c>
    </row>
    <row r="3198" spans="1:14" x14ac:dyDescent="0.3">
      <c r="A3198" s="2" t="s">
        <v>14137</v>
      </c>
      <c r="B3198" s="2" t="s">
        <v>2127</v>
      </c>
      <c r="C3198" s="2" t="s">
        <v>14142</v>
      </c>
      <c r="D3198" s="3">
        <v>9936</v>
      </c>
      <c r="E3198" s="3">
        <v>9936</v>
      </c>
      <c r="F3198" s="2" t="s">
        <v>16</v>
      </c>
      <c r="G3198" s="2" t="s">
        <v>14143</v>
      </c>
      <c r="H3198" s="3">
        <v>0</v>
      </c>
      <c r="I3198" s="2" t="s">
        <v>18</v>
      </c>
      <c r="J3198" s="2" t="s">
        <v>14144</v>
      </c>
      <c r="K3198" s="2" t="s">
        <v>16</v>
      </c>
      <c r="L3198" s="2" t="s">
        <v>14145</v>
      </c>
      <c r="M3198" s="4">
        <v>2190.3000000000002</v>
      </c>
      <c r="N3198" t="b">
        <f>OR(LEFT(B3198,3)="frg",(_xlfn.XMATCH(B3198,ZZZ_Part_Id_[[#All],[FGCODE]])))</f>
        <v>1</v>
      </c>
    </row>
    <row r="3199" spans="1:14" x14ac:dyDescent="0.3">
      <c r="A3199" s="2" t="s">
        <v>14146</v>
      </c>
      <c r="B3199" s="2" t="s">
        <v>14</v>
      </c>
      <c r="C3199" s="2" t="s">
        <v>14147</v>
      </c>
      <c r="D3199" s="3">
        <v>140</v>
      </c>
      <c r="E3199" s="3">
        <v>140</v>
      </c>
      <c r="F3199" s="2" t="s">
        <v>16</v>
      </c>
      <c r="G3199" s="2" t="s">
        <v>14148</v>
      </c>
      <c r="H3199" s="3">
        <v>0</v>
      </c>
      <c r="I3199" s="2" t="s">
        <v>18</v>
      </c>
      <c r="J3199" s="2" t="s">
        <v>14149</v>
      </c>
      <c r="K3199" s="2" t="s">
        <v>16</v>
      </c>
      <c r="L3199" s="2" t="s">
        <v>14150</v>
      </c>
      <c r="M3199" s="4">
        <v>10.77</v>
      </c>
      <c r="N3199" t="e">
        <f>OR(LEFT(B3199,3)="frg",(_xlfn.XMATCH(B3199,ZZZ_Part_Id_[[#All],[FGCODE]])))</f>
        <v>#N/A</v>
      </c>
    </row>
    <row r="3200" spans="1:14" x14ac:dyDescent="0.3">
      <c r="A3200" s="2" t="s">
        <v>14146</v>
      </c>
      <c r="B3200" s="2" t="s">
        <v>97</v>
      </c>
      <c r="C3200" s="2" t="s">
        <v>14151</v>
      </c>
      <c r="D3200" s="3">
        <v>398400</v>
      </c>
      <c r="E3200" s="3">
        <v>398400</v>
      </c>
      <c r="F3200" s="2" t="s">
        <v>16</v>
      </c>
      <c r="G3200" s="2" t="s">
        <v>14152</v>
      </c>
      <c r="H3200" s="3">
        <v>0</v>
      </c>
      <c r="I3200" s="2" t="s">
        <v>18</v>
      </c>
      <c r="J3200" s="2" t="s">
        <v>14153</v>
      </c>
      <c r="K3200" s="2" t="s">
        <v>16</v>
      </c>
      <c r="L3200" s="2" t="s">
        <v>14154</v>
      </c>
      <c r="M3200" s="4">
        <v>136699.34</v>
      </c>
      <c r="N3200" t="b">
        <f>OR(LEFT(B3200,3)="frg",(_xlfn.XMATCH(B3200,ZZZ_Part_Id_[[#All],[FGCODE]])))</f>
        <v>1</v>
      </c>
    </row>
    <row r="3201" spans="1:14" x14ac:dyDescent="0.3">
      <c r="A3201" s="2" t="s">
        <v>14155</v>
      </c>
      <c r="B3201" s="2" t="s">
        <v>14</v>
      </c>
      <c r="C3201" s="2" t="s">
        <v>14156</v>
      </c>
      <c r="D3201" s="3">
        <v>140</v>
      </c>
      <c r="E3201" s="3">
        <v>140</v>
      </c>
      <c r="F3201" s="2" t="s">
        <v>16</v>
      </c>
      <c r="G3201" s="2" t="s">
        <v>14157</v>
      </c>
      <c r="H3201" s="3">
        <v>0</v>
      </c>
      <c r="I3201" s="2" t="s">
        <v>18</v>
      </c>
      <c r="J3201" s="2" t="s">
        <v>14158</v>
      </c>
      <c r="K3201" s="2" t="s">
        <v>16</v>
      </c>
      <c r="L3201" s="2" t="s">
        <v>14159</v>
      </c>
      <c r="M3201" s="4">
        <v>10.77</v>
      </c>
      <c r="N3201" t="e">
        <f>OR(LEFT(B3201,3)="frg",(_xlfn.XMATCH(B3201,ZZZ_Part_Id_[[#All],[FGCODE]])))</f>
        <v>#N/A</v>
      </c>
    </row>
    <row r="3202" spans="1:14" x14ac:dyDescent="0.3">
      <c r="A3202" s="2" t="s">
        <v>14155</v>
      </c>
      <c r="B3202" s="2" t="s">
        <v>21</v>
      </c>
      <c r="C3202" s="2" t="s">
        <v>14160</v>
      </c>
      <c r="D3202" s="5">
        <v>-323</v>
      </c>
      <c r="E3202" s="5">
        <v>-323</v>
      </c>
      <c r="F3202" s="2" t="s">
        <v>23</v>
      </c>
      <c r="G3202" s="2" t="s">
        <v>14161</v>
      </c>
      <c r="H3202" s="3">
        <v>0</v>
      </c>
      <c r="I3202" s="2" t="s">
        <v>18</v>
      </c>
      <c r="J3202" s="2" t="s">
        <v>14162</v>
      </c>
      <c r="K3202" s="2" t="s">
        <v>23</v>
      </c>
      <c r="L3202" s="2" t="s">
        <v>14163</v>
      </c>
      <c r="M3202" s="6">
        <v>-812.02</v>
      </c>
      <c r="N3202" t="b">
        <f>OR(LEFT(B3202,3)="frg",(_xlfn.XMATCH(B3202,ZZZ_Part_Id_[[#All],[FGCODE]])))</f>
        <v>1</v>
      </c>
    </row>
    <row r="3203" spans="1:14" x14ac:dyDescent="0.3">
      <c r="A3203" s="2" t="s">
        <v>14155</v>
      </c>
      <c r="B3203" s="2" t="s">
        <v>1027</v>
      </c>
      <c r="C3203" s="2" t="s">
        <v>14164</v>
      </c>
      <c r="D3203" s="3">
        <v>690300</v>
      </c>
      <c r="E3203" s="3">
        <v>690300</v>
      </c>
      <c r="F3203" s="2" t="s">
        <v>16</v>
      </c>
      <c r="G3203" s="2" t="s">
        <v>14165</v>
      </c>
      <c r="H3203" s="3">
        <v>0</v>
      </c>
      <c r="I3203" s="2" t="s">
        <v>18</v>
      </c>
      <c r="J3203" s="2" t="s">
        <v>14166</v>
      </c>
      <c r="K3203" s="2" t="s">
        <v>16</v>
      </c>
      <c r="L3203" s="2" t="s">
        <v>14167</v>
      </c>
      <c r="M3203" s="4">
        <v>139068.04</v>
      </c>
      <c r="N3203" t="b">
        <f>OR(LEFT(B3203,3)="frg",(_xlfn.XMATCH(B3203,ZZZ_Part_Id_[[#All],[FGCODE]])))</f>
        <v>1</v>
      </c>
    </row>
    <row r="3204" spans="1:14" x14ac:dyDescent="0.3">
      <c r="A3204" s="2" t="s">
        <v>14168</v>
      </c>
      <c r="B3204" s="2" t="s">
        <v>14</v>
      </c>
      <c r="C3204" s="2" t="s">
        <v>14169</v>
      </c>
      <c r="D3204" s="3">
        <v>4</v>
      </c>
      <c r="E3204" s="3">
        <v>4</v>
      </c>
      <c r="F3204" s="2" t="s">
        <v>16</v>
      </c>
      <c r="G3204" s="2" t="s">
        <v>14170</v>
      </c>
      <c r="H3204" s="3">
        <v>0</v>
      </c>
      <c r="I3204" s="2" t="s">
        <v>18</v>
      </c>
      <c r="J3204" s="2" t="s">
        <v>14171</v>
      </c>
      <c r="K3204" s="2" t="s">
        <v>16</v>
      </c>
      <c r="L3204" s="2" t="s">
        <v>14172</v>
      </c>
      <c r="M3204" s="4">
        <v>0.31</v>
      </c>
      <c r="N3204" t="e">
        <f>OR(LEFT(B3204,3)="frg",(_xlfn.XMATCH(B3204,ZZZ_Part_Id_[[#All],[FGCODE]])))</f>
        <v>#N/A</v>
      </c>
    </row>
    <row r="3205" spans="1:14" x14ac:dyDescent="0.3">
      <c r="A3205" s="2" t="s">
        <v>14168</v>
      </c>
      <c r="B3205" s="2" t="s">
        <v>65</v>
      </c>
      <c r="C3205" s="2" t="s">
        <v>14173</v>
      </c>
      <c r="D3205" s="5">
        <v>-140</v>
      </c>
      <c r="E3205" s="5">
        <v>-140</v>
      </c>
      <c r="F3205" s="2" t="s">
        <v>23</v>
      </c>
      <c r="G3205" s="2" t="s">
        <v>14174</v>
      </c>
      <c r="H3205" s="3">
        <v>0</v>
      </c>
      <c r="I3205" s="2" t="s">
        <v>18</v>
      </c>
      <c r="J3205" s="2" t="s">
        <v>14175</v>
      </c>
      <c r="K3205" s="2" t="s">
        <v>23</v>
      </c>
      <c r="L3205" s="2" t="s">
        <v>14176</v>
      </c>
      <c r="M3205" s="6">
        <v>-360.02</v>
      </c>
      <c r="N3205" t="b">
        <f>OR(LEFT(B3205,3)="frg",(_xlfn.XMATCH(B3205,ZZZ_Part_Id_[[#All],[FGCODE]])))</f>
        <v>1</v>
      </c>
    </row>
    <row r="3206" spans="1:14" x14ac:dyDescent="0.3">
      <c r="A3206" s="2" t="s">
        <v>14168</v>
      </c>
      <c r="B3206" s="2" t="s">
        <v>2127</v>
      </c>
      <c r="C3206" s="2" t="s">
        <v>14177</v>
      </c>
      <c r="D3206" s="3">
        <v>24840</v>
      </c>
      <c r="E3206" s="3">
        <v>24840</v>
      </c>
      <c r="F3206" s="2" t="s">
        <v>16</v>
      </c>
      <c r="G3206" s="2" t="s">
        <v>14178</v>
      </c>
      <c r="H3206" s="3">
        <v>0</v>
      </c>
      <c r="I3206" s="2" t="s">
        <v>18</v>
      </c>
      <c r="J3206" s="2" t="s">
        <v>14179</v>
      </c>
      <c r="K3206" s="2" t="s">
        <v>16</v>
      </c>
      <c r="L3206" s="2" t="s">
        <v>14180</v>
      </c>
      <c r="M3206" s="4">
        <v>5475.74</v>
      </c>
      <c r="N3206" t="b">
        <f>OR(LEFT(B3206,3)="frg",(_xlfn.XMATCH(B3206,ZZZ_Part_Id_[[#All],[FGCODE]])))</f>
        <v>1</v>
      </c>
    </row>
    <row r="3207" spans="1:14" x14ac:dyDescent="0.3">
      <c r="A3207" s="2" t="s">
        <v>14181</v>
      </c>
      <c r="B3207" s="2" t="s">
        <v>14</v>
      </c>
      <c r="C3207" s="2" t="s">
        <v>14182</v>
      </c>
      <c r="D3207" s="3">
        <v>4</v>
      </c>
      <c r="E3207" s="3">
        <v>4</v>
      </c>
      <c r="F3207" s="2" t="s">
        <v>16</v>
      </c>
      <c r="G3207" s="2" t="s">
        <v>14183</v>
      </c>
      <c r="H3207" s="3">
        <v>0</v>
      </c>
      <c r="I3207" s="2" t="s">
        <v>18</v>
      </c>
      <c r="J3207" s="2" t="s">
        <v>14184</v>
      </c>
      <c r="K3207" s="2" t="s">
        <v>16</v>
      </c>
      <c r="L3207" s="2" t="s">
        <v>14185</v>
      </c>
      <c r="M3207" s="4">
        <v>0.31</v>
      </c>
      <c r="N3207" t="e">
        <f>OR(LEFT(B3207,3)="frg",(_xlfn.XMATCH(B3207,ZZZ_Part_Id_[[#All],[FGCODE]])))</f>
        <v>#N/A</v>
      </c>
    </row>
    <row r="3208" spans="1:14" x14ac:dyDescent="0.3">
      <c r="A3208" s="2" t="s">
        <v>14181</v>
      </c>
      <c r="B3208" s="2" t="s">
        <v>86</v>
      </c>
      <c r="C3208" s="2" t="s">
        <v>14186</v>
      </c>
      <c r="D3208" s="5">
        <v>-222</v>
      </c>
      <c r="E3208" s="5">
        <v>-222</v>
      </c>
      <c r="F3208" s="2" t="s">
        <v>23</v>
      </c>
      <c r="G3208" s="2" t="s">
        <v>14187</v>
      </c>
      <c r="H3208" s="3">
        <v>0</v>
      </c>
      <c r="I3208" s="2" t="s">
        <v>18</v>
      </c>
      <c r="J3208" s="2" t="s">
        <v>14188</v>
      </c>
      <c r="K3208" s="2" t="s">
        <v>23</v>
      </c>
      <c r="L3208" s="2" t="s">
        <v>14189</v>
      </c>
      <c r="M3208" s="6">
        <v>-581.15</v>
      </c>
      <c r="N3208" t="b">
        <f>OR(LEFT(B3208,3)="frg",(_xlfn.XMATCH(B3208,ZZZ_Part_Id_[[#All],[FGCODE]])))</f>
        <v>1</v>
      </c>
    </row>
    <row r="3209" spans="1:14" x14ac:dyDescent="0.3">
      <c r="A3209" s="2" t="s">
        <v>14181</v>
      </c>
      <c r="B3209" s="2" t="s">
        <v>6182</v>
      </c>
      <c r="C3209" s="2" t="s">
        <v>14190</v>
      </c>
      <c r="D3209" s="3">
        <v>149400</v>
      </c>
      <c r="E3209" s="3">
        <v>149400</v>
      </c>
      <c r="F3209" s="2" t="s">
        <v>16</v>
      </c>
      <c r="G3209" s="2" t="s">
        <v>14191</v>
      </c>
      <c r="H3209" s="3">
        <v>0</v>
      </c>
      <c r="I3209" s="2" t="s">
        <v>18</v>
      </c>
      <c r="J3209" s="2" t="s">
        <v>14192</v>
      </c>
      <c r="K3209" s="2" t="s">
        <v>16</v>
      </c>
      <c r="L3209" s="2" t="s">
        <v>14193</v>
      </c>
      <c r="M3209" s="4">
        <v>8468</v>
      </c>
      <c r="N3209" t="b">
        <f>OR(LEFT(B3209,3)="frg",(_xlfn.XMATCH(B3209,ZZZ_Part_Id_[[#All],[FGCODE]])))</f>
        <v>1</v>
      </c>
    </row>
    <row r="3210" spans="1:14" x14ac:dyDescent="0.3">
      <c r="A3210" s="2" t="s">
        <v>14194</v>
      </c>
      <c r="B3210" s="2" t="s">
        <v>14</v>
      </c>
      <c r="C3210" s="2" t="s">
        <v>14195</v>
      </c>
      <c r="D3210" s="3">
        <v>64</v>
      </c>
      <c r="E3210" s="3">
        <v>64</v>
      </c>
      <c r="F3210" s="2" t="s">
        <v>16</v>
      </c>
      <c r="G3210" s="2" t="s">
        <v>14196</v>
      </c>
      <c r="H3210" s="3">
        <v>0</v>
      </c>
      <c r="I3210" s="2" t="s">
        <v>409</v>
      </c>
      <c r="J3210" s="2" t="s">
        <v>14197</v>
      </c>
      <c r="K3210" s="2" t="s">
        <v>16</v>
      </c>
      <c r="L3210" s="2" t="s">
        <v>14198</v>
      </c>
      <c r="M3210" s="4">
        <v>4.92</v>
      </c>
      <c r="N3210" t="e">
        <f>OR(LEFT(B3210,3)="frg",(_xlfn.XMATCH(B3210,ZZZ_Part_Id_[[#All],[FGCODE]])))</f>
        <v>#N/A</v>
      </c>
    </row>
    <row r="3211" spans="1:14" x14ac:dyDescent="0.3">
      <c r="A3211" s="2" t="s">
        <v>14194</v>
      </c>
      <c r="B3211" s="2" t="s">
        <v>5357</v>
      </c>
      <c r="C3211" s="2" t="s">
        <v>14199</v>
      </c>
      <c r="D3211" s="3">
        <v>317952</v>
      </c>
      <c r="E3211" s="3">
        <v>317952</v>
      </c>
      <c r="F3211" s="2" t="s">
        <v>16</v>
      </c>
      <c r="G3211" s="2" t="s">
        <v>14200</v>
      </c>
      <c r="H3211" s="3">
        <v>0</v>
      </c>
      <c r="I3211" s="2" t="s">
        <v>409</v>
      </c>
      <c r="J3211" s="2" t="s">
        <v>14201</v>
      </c>
      <c r="K3211" s="2" t="s">
        <v>16</v>
      </c>
      <c r="L3211" s="2" t="s">
        <v>14202</v>
      </c>
      <c r="M3211" s="4">
        <v>94997.759999999995</v>
      </c>
      <c r="N3211" t="b">
        <f>OR(LEFT(B3211,3)="frg",(_xlfn.XMATCH(B3211,ZZZ_Part_Id_[[#All],[FGCODE]])))</f>
        <v>1</v>
      </c>
    </row>
    <row r="3212" spans="1:14" x14ac:dyDescent="0.3">
      <c r="A3212" s="2" t="s">
        <v>14203</v>
      </c>
      <c r="B3212" s="2" t="s">
        <v>14</v>
      </c>
      <c r="C3212" s="2" t="s">
        <v>14204</v>
      </c>
      <c r="D3212" s="3">
        <v>20</v>
      </c>
      <c r="E3212" s="3">
        <v>20</v>
      </c>
      <c r="F3212" s="2" t="s">
        <v>16</v>
      </c>
      <c r="G3212" s="2" t="s">
        <v>14205</v>
      </c>
      <c r="H3212" s="3">
        <v>0</v>
      </c>
      <c r="I3212" s="2" t="s">
        <v>409</v>
      </c>
      <c r="J3212" s="2" t="s">
        <v>14206</v>
      </c>
      <c r="K3212" s="2" t="s">
        <v>16</v>
      </c>
      <c r="L3212" s="2" t="s">
        <v>14207</v>
      </c>
      <c r="M3212" s="4">
        <v>1.54</v>
      </c>
      <c r="N3212" t="e">
        <f>OR(LEFT(B3212,3)="frg",(_xlfn.XMATCH(B3212,ZZZ_Part_Id_[[#All],[FGCODE]])))</f>
        <v>#N/A</v>
      </c>
    </row>
    <row r="3213" spans="1:14" x14ac:dyDescent="0.3">
      <c r="A3213" s="2" t="s">
        <v>14203</v>
      </c>
      <c r="B3213" s="2" t="s">
        <v>5357</v>
      </c>
      <c r="C3213" s="2" t="s">
        <v>14208</v>
      </c>
      <c r="D3213" s="3">
        <v>99360</v>
      </c>
      <c r="E3213" s="3">
        <v>99360</v>
      </c>
      <c r="F3213" s="2" t="s">
        <v>16</v>
      </c>
      <c r="G3213" s="2" t="s">
        <v>14209</v>
      </c>
      <c r="H3213" s="3">
        <v>0</v>
      </c>
      <c r="I3213" s="2" t="s">
        <v>409</v>
      </c>
      <c r="J3213" s="2" t="s">
        <v>14210</v>
      </c>
      <c r="K3213" s="2" t="s">
        <v>16</v>
      </c>
      <c r="L3213" s="2" t="s">
        <v>14211</v>
      </c>
      <c r="M3213" s="4">
        <v>29686.799999999999</v>
      </c>
      <c r="N3213" t="b">
        <f>OR(LEFT(B3213,3)="frg",(_xlfn.XMATCH(B3213,ZZZ_Part_Id_[[#All],[FGCODE]])))</f>
        <v>1</v>
      </c>
    </row>
    <row r="3214" spans="1:14" x14ac:dyDescent="0.3">
      <c r="A3214" s="2" t="s">
        <v>14212</v>
      </c>
      <c r="B3214" s="2" t="s">
        <v>14</v>
      </c>
      <c r="C3214" s="2" t="s">
        <v>14213</v>
      </c>
      <c r="D3214" s="3">
        <v>40</v>
      </c>
      <c r="E3214" s="3">
        <v>40</v>
      </c>
      <c r="F3214" s="2" t="s">
        <v>16</v>
      </c>
      <c r="G3214" s="2" t="s">
        <v>14214</v>
      </c>
      <c r="H3214" s="3">
        <v>0</v>
      </c>
      <c r="I3214" s="2" t="s">
        <v>409</v>
      </c>
      <c r="J3214" s="2" t="s">
        <v>14215</v>
      </c>
      <c r="K3214" s="2" t="s">
        <v>16</v>
      </c>
      <c r="L3214" s="2" t="s">
        <v>14216</v>
      </c>
      <c r="M3214" s="4">
        <v>3.08</v>
      </c>
      <c r="N3214" t="e">
        <f>OR(LEFT(B3214,3)="frg",(_xlfn.XMATCH(B3214,ZZZ_Part_Id_[[#All],[FGCODE]])))</f>
        <v>#N/A</v>
      </c>
    </row>
    <row r="3215" spans="1:14" x14ac:dyDescent="0.3">
      <c r="A3215" s="2" t="s">
        <v>14212</v>
      </c>
      <c r="B3215" s="2" t="s">
        <v>86</v>
      </c>
      <c r="C3215" s="2" t="s">
        <v>14217</v>
      </c>
      <c r="D3215" s="5">
        <v>-480</v>
      </c>
      <c r="E3215" s="5">
        <v>-480</v>
      </c>
      <c r="F3215" s="2" t="s">
        <v>23</v>
      </c>
      <c r="G3215" s="2" t="s">
        <v>14218</v>
      </c>
      <c r="H3215" s="3">
        <v>0</v>
      </c>
      <c r="I3215" s="2" t="s">
        <v>409</v>
      </c>
      <c r="J3215" s="2" t="s">
        <v>14219</v>
      </c>
      <c r="K3215" s="2" t="s">
        <v>23</v>
      </c>
      <c r="L3215" s="2" t="s">
        <v>14220</v>
      </c>
      <c r="M3215" s="6">
        <v>-1256.54</v>
      </c>
      <c r="N3215" t="b">
        <f>OR(LEFT(B3215,3)="frg",(_xlfn.XMATCH(B3215,ZZZ_Part_Id_[[#All],[FGCODE]])))</f>
        <v>1</v>
      </c>
    </row>
    <row r="3216" spans="1:14" x14ac:dyDescent="0.3">
      <c r="A3216" s="2" t="s">
        <v>14212</v>
      </c>
      <c r="B3216" s="2" t="s">
        <v>1667</v>
      </c>
      <c r="C3216" s="2" t="s">
        <v>14221</v>
      </c>
      <c r="D3216" s="3">
        <v>1002240</v>
      </c>
      <c r="E3216" s="3">
        <v>1002240</v>
      </c>
      <c r="F3216" s="2" t="s">
        <v>16</v>
      </c>
      <c r="G3216" s="2" t="s">
        <v>14222</v>
      </c>
      <c r="H3216" s="3">
        <v>0</v>
      </c>
      <c r="I3216" s="2" t="s">
        <v>409</v>
      </c>
      <c r="J3216" s="2" t="s">
        <v>14223</v>
      </c>
      <c r="K3216" s="2" t="s">
        <v>16</v>
      </c>
      <c r="L3216" s="2" t="s">
        <v>14224</v>
      </c>
      <c r="M3216" s="4">
        <v>81722.75</v>
      </c>
      <c r="N3216" t="b">
        <f>OR(LEFT(B3216,3)="frg",(_xlfn.XMATCH(B3216,ZZZ_Part_Id_[[#All],[FGCODE]])))</f>
        <v>1</v>
      </c>
    </row>
    <row r="3217" spans="1:14" x14ac:dyDescent="0.3">
      <c r="A3217" s="2" t="s">
        <v>14225</v>
      </c>
      <c r="B3217" s="2" t="s">
        <v>14</v>
      </c>
      <c r="C3217" s="2" t="s">
        <v>14226</v>
      </c>
      <c r="D3217" s="3">
        <v>10</v>
      </c>
      <c r="E3217" s="3">
        <v>10</v>
      </c>
      <c r="F3217" s="2" t="s">
        <v>16</v>
      </c>
      <c r="G3217" s="2" t="s">
        <v>14227</v>
      </c>
      <c r="H3217" s="3">
        <v>0</v>
      </c>
      <c r="I3217" s="2" t="s">
        <v>409</v>
      </c>
      <c r="J3217" s="2" t="s">
        <v>14228</v>
      </c>
      <c r="K3217" s="2" t="s">
        <v>16</v>
      </c>
      <c r="L3217" s="2" t="s">
        <v>14229</v>
      </c>
      <c r="M3217" s="4">
        <v>0.77</v>
      </c>
      <c r="N3217" t="e">
        <f>OR(LEFT(B3217,3)="frg",(_xlfn.XMATCH(B3217,ZZZ_Part_Id_[[#All],[FGCODE]])))</f>
        <v>#N/A</v>
      </c>
    </row>
    <row r="3218" spans="1:14" x14ac:dyDescent="0.3">
      <c r="A3218" s="2" t="s">
        <v>14225</v>
      </c>
      <c r="B3218" s="2" t="s">
        <v>65</v>
      </c>
      <c r="C3218" s="2" t="s">
        <v>14230</v>
      </c>
      <c r="D3218" s="5">
        <v>-366</v>
      </c>
      <c r="E3218" s="5">
        <v>-366</v>
      </c>
      <c r="F3218" s="2" t="s">
        <v>23</v>
      </c>
      <c r="G3218" s="2" t="s">
        <v>14231</v>
      </c>
      <c r="H3218" s="3">
        <v>0</v>
      </c>
      <c r="I3218" s="2" t="s">
        <v>409</v>
      </c>
      <c r="J3218" s="2" t="s">
        <v>14232</v>
      </c>
      <c r="K3218" s="2" t="s">
        <v>23</v>
      </c>
      <c r="L3218" s="2" t="s">
        <v>14233</v>
      </c>
      <c r="M3218" s="6">
        <v>-941.21</v>
      </c>
      <c r="N3218" t="b">
        <f>OR(LEFT(B3218,3)="frg",(_xlfn.XMATCH(B3218,ZZZ_Part_Id_[[#All],[FGCODE]])))</f>
        <v>1</v>
      </c>
    </row>
    <row r="3219" spans="1:14" x14ac:dyDescent="0.3">
      <c r="A3219" s="2" t="s">
        <v>14225</v>
      </c>
      <c r="B3219" s="2" t="s">
        <v>2115</v>
      </c>
      <c r="C3219" s="2" t="s">
        <v>14234</v>
      </c>
      <c r="D3219" s="3">
        <v>25200</v>
      </c>
      <c r="E3219" s="3">
        <v>25200</v>
      </c>
      <c r="F3219" s="2" t="s">
        <v>16</v>
      </c>
      <c r="G3219" s="2" t="s">
        <v>14235</v>
      </c>
      <c r="H3219" s="3">
        <v>0</v>
      </c>
      <c r="I3219" s="2" t="s">
        <v>409</v>
      </c>
      <c r="J3219" s="2" t="s">
        <v>14236</v>
      </c>
      <c r="K3219" s="2" t="s">
        <v>16</v>
      </c>
      <c r="L3219" s="2" t="s">
        <v>14237</v>
      </c>
      <c r="M3219" s="4">
        <v>8379.77</v>
      </c>
      <c r="N3219" t="b">
        <f>OR(LEFT(B3219,3)="frg",(_xlfn.XMATCH(B3219,ZZZ_Part_Id_[[#All],[FGCODE]])))</f>
        <v>1</v>
      </c>
    </row>
    <row r="3220" spans="1:14" x14ac:dyDescent="0.3">
      <c r="A3220" s="2" t="s">
        <v>14238</v>
      </c>
      <c r="B3220" s="2" t="s">
        <v>14</v>
      </c>
      <c r="C3220" s="2" t="s">
        <v>14239</v>
      </c>
      <c r="D3220" s="3">
        <v>4</v>
      </c>
      <c r="E3220" s="3">
        <v>4</v>
      </c>
      <c r="F3220" s="2" t="s">
        <v>16</v>
      </c>
      <c r="G3220" s="2" t="s">
        <v>14240</v>
      </c>
      <c r="H3220" s="3">
        <v>0</v>
      </c>
      <c r="I3220" s="2" t="s">
        <v>18</v>
      </c>
      <c r="J3220" s="2" t="s">
        <v>14241</v>
      </c>
      <c r="K3220" s="2" t="s">
        <v>16</v>
      </c>
      <c r="L3220" s="2" t="s">
        <v>14242</v>
      </c>
      <c r="M3220" s="4">
        <v>0.31</v>
      </c>
      <c r="N3220" t="e">
        <f>OR(LEFT(B3220,3)="frg",(_xlfn.XMATCH(B3220,ZZZ_Part_Id_[[#All],[FGCODE]])))</f>
        <v>#N/A</v>
      </c>
    </row>
    <row r="3221" spans="1:14" x14ac:dyDescent="0.3">
      <c r="A3221" s="2" t="s">
        <v>14238</v>
      </c>
      <c r="B3221" s="2" t="s">
        <v>65</v>
      </c>
      <c r="C3221" s="2" t="s">
        <v>14243</v>
      </c>
      <c r="D3221" s="5">
        <v>-135</v>
      </c>
      <c r="E3221" s="5">
        <v>-135</v>
      </c>
      <c r="F3221" s="2" t="s">
        <v>23</v>
      </c>
      <c r="G3221" s="2" t="s">
        <v>14244</v>
      </c>
      <c r="H3221" s="3">
        <v>0</v>
      </c>
      <c r="I3221" s="2" t="s">
        <v>18</v>
      </c>
      <c r="J3221" s="2" t="s">
        <v>14245</v>
      </c>
      <c r="K3221" s="2" t="s">
        <v>23</v>
      </c>
      <c r="L3221" s="2" t="s">
        <v>14246</v>
      </c>
      <c r="M3221" s="6">
        <v>-347.17</v>
      </c>
      <c r="N3221" t="b">
        <f>OR(LEFT(B3221,3)="frg",(_xlfn.XMATCH(B3221,ZZZ_Part_Id_[[#All],[FGCODE]])))</f>
        <v>1</v>
      </c>
    </row>
    <row r="3222" spans="1:14" x14ac:dyDescent="0.3">
      <c r="A3222" s="2" t="s">
        <v>14238</v>
      </c>
      <c r="B3222" s="2" t="s">
        <v>2611</v>
      </c>
      <c r="C3222" s="2" t="s">
        <v>14247</v>
      </c>
      <c r="D3222" s="3">
        <v>53280</v>
      </c>
      <c r="E3222" s="3">
        <v>53280</v>
      </c>
      <c r="F3222" s="2" t="s">
        <v>16</v>
      </c>
      <c r="G3222" s="2" t="s">
        <v>14248</v>
      </c>
      <c r="H3222" s="3">
        <v>0</v>
      </c>
      <c r="I3222" s="2" t="s">
        <v>18</v>
      </c>
      <c r="J3222" s="2" t="s">
        <v>14249</v>
      </c>
      <c r="K3222" s="2" t="s">
        <v>16</v>
      </c>
      <c r="L3222" s="2" t="s">
        <v>14250</v>
      </c>
      <c r="M3222" s="4">
        <v>4795.2</v>
      </c>
      <c r="N3222" t="b">
        <f>OR(LEFT(B3222,3)="frg",(_xlfn.XMATCH(B3222,ZZZ_Part_Id_[[#All],[FGCODE]])))</f>
        <v>1</v>
      </c>
    </row>
    <row r="3223" spans="1:14" x14ac:dyDescent="0.3">
      <c r="A3223" s="2" t="s">
        <v>14251</v>
      </c>
      <c r="B3223" s="2" t="s">
        <v>14</v>
      </c>
      <c r="C3223" s="2" t="s">
        <v>14252</v>
      </c>
      <c r="D3223" s="3">
        <v>4</v>
      </c>
      <c r="E3223" s="3">
        <v>4</v>
      </c>
      <c r="F3223" s="2" t="s">
        <v>16</v>
      </c>
      <c r="G3223" s="2" t="s">
        <v>14253</v>
      </c>
      <c r="H3223" s="3">
        <v>0</v>
      </c>
      <c r="I3223" s="2" t="s">
        <v>18</v>
      </c>
      <c r="J3223" s="2" t="s">
        <v>14254</v>
      </c>
      <c r="K3223" s="2" t="s">
        <v>16</v>
      </c>
      <c r="L3223" s="2" t="s">
        <v>14255</v>
      </c>
      <c r="M3223" s="4">
        <v>0.31</v>
      </c>
      <c r="N3223" t="e">
        <f>OR(LEFT(B3223,3)="frg",(_xlfn.XMATCH(B3223,ZZZ_Part_Id_[[#All],[FGCODE]])))</f>
        <v>#N/A</v>
      </c>
    </row>
    <row r="3224" spans="1:14" x14ac:dyDescent="0.3">
      <c r="A3224" s="2" t="s">
        <v>14251</v>
      </c>
      <c r="B3224" s="2" t="s">
        <v>293</v>
      </c>
      <c r="C3224" s="2" t="s">
        <v>14256</v>
      </c>
      <c r="D3224" s="3">
        <v>10656</v>
      </c>
      <c r="E3224" s="3">
        <v>10656</v>
      </c>
      <c r="F3224" s="2" t="s">
        <v>16</v>
      </c>
      <c r="G3224" s="2" t="s">
        <v>14257</v>
      </c>
      <c r="H3224" s="3">
        <v>0</v>
      </c>
      <c r="I3224" s="2" t="s">
        <v>18</v>
      </c>
      <c r="J3224" s="2" t="s">
        <v>14258</v>
      </c>
      <c r="K3224" s="2" t="s">
        <v>16</v>
      </c>
      <c r="L3224" s="2" t="s">
        <v>14259</v>
      </c>
      <c r="M3224" s="4">
        <v>977.47</v>
      </c>
      <c r="N3224" t="b">
        <f>OR(LEFT(B3224,3)="frg",(_xlfn.XMATCH(B3224,ZZZ_Part_Id_[[#All],[FGCODE]])))</f>
        <v>1</v>
      </c>
    </row>
    <row r="3225" spans="1:14" x14ac:dyDescent="0.3">
      <c r="A3225" s="2" t="s">
        <v>14260</v>
      </c>
      <c r="B3225" s="2" t="s">
        <v>14</v>
      </c>
      <c r="C3225" s="2" t="s">
        <v>14261</v>
      </c>
      <c r="D3225" s="3">
        <v>16</v>
      </c>
      <c r="E3225" s="3">
        <v>16</v>
      </c>
      <c r="F3225" s="2" t="s">
        <v>16</v>
      </c>
      <c r="G3225" s="2" t="s">
        <v>14262</v>
      </c>
      <c r="H3225" s="3">
        <v>0</v>
      </c>
      <c r="I3225" s="2" t="s">
        <v>409</v>
      </c>
      <c r="J3225" s="2" t="s">
        <v>14263</v>
      </c>
      <c r="K3225" s="2" t="s">
        <v>16</v>
      </c>
      <c r="L3225" s="2" t="s">
        <v>14264</v>
      </c>
      <c r="M3225" s="4">
        <v>1.23</v>
      </c>
      <c r="N3225" t="e">
        <f>OR(LEFT(B3225,3)="frg",(_xlfn.XMATCH(B3225,ZZZ_Part_Id_[[#All],[FGCODE]])))</f>
        <v>#N/A</v>
      </c>
    </row>
    <row r="3226" spans="1:14" x14ac:dyDescent="0.3">
      <c r="A3226" s="2" t="s">
        <v>14260</v>
      </c>
      <c r="B3226" s="2" t="s">
        <v>1667</v>
      </c>
      <c r="C3226" s="2" t="s">
        <v>14265</v>
      </c>
      <c r="D3226" s="3">
        <v>334080</v>
      </c>
      <c r="E3226" s="3">
        <v>334080</v>
      </c>
      <c r="F3226" s="2" t="s">
        <v>16</v>
      </c>
      <c r="G3226" s="2" t="s">
        <v>14266</v>
      </c>
      <c r="H3226" s="3">
        <v>0</v>
      </c>
      <c r="I3226" s="2" t="s">
        <v>409</v>
      </c>
      <c r="J3226" s="2" t="s">
        <v>14267</v>
      </c>
      <c r="K3226" s="2" t="s">
        <v>16</v>
      </c>
      <c r="L3226" s="2" t="s">
        <v>14268</v>
      </c>
      <c r="M3226" s="4">
        <v>27240.91</v>
      </c>
      <c r="N3226" t="b">
        <f>OR(LEFT(B3226,3)="frg",(_xlfn.XMATCH(B3226,ZZZ_Part_Id_[[#All],[FGCODE]])))</f>
        <v>1</v>
      </c>
    </row>
    <row r="3227" spans="1:14" x14ac:dyDescent="0.3">
      <c r="A3227" s="2" t="s">
        <v>14269</v>
      </c>
      <c r="B3227" s="2" t="s">
        <v>341</v>
      </c>
      <c r="C3227" s="2" t="s">
        <v>14270</v>
      </c>
      <c r="D3227" s="3">
        <v>15120</v>
      </c>
      <c r="E3227" s="3">
        <v>15120</v>
      </c>
      <c r="F3227" s="2" t="s">
        <v>16</v>
      </c>
      <c r="G3227" s="2" t="s">
        <v>14271</v>
      </c>
      <c r="H3227" s="3">
        <v>0</v>
      </c>
      <c r="I3227" s="2" t="s">
        <v>18</v>
      </c>
      <c r="J3227" s="2" t="s">
        <v>35</v>
      </c>
      <c r="K3227" s="2" t="s">
        <v>16</v>
      </c>
      <c r="L3227" s="2" t="s">
        <v>14272</v>
      </c>
      <c r="M3227" s="4">
        <v>3110.79</v>
      </c>
      <c r="N3227" t="b">
        <f>OR(LEFT(B3227,3)="frg",(_xlfn.XMATCH(B3227,ZZZ_Part_Id_[[#All],[FGCODE]])))</f>
        <v>1</v>
      </c>
    </row>
    <row r="3228" spans="1:14" x14ac:dyDescent="0.3">
      <c r="A3228" s="2" t="s">
        <v>14273</v>
      </c>
      <c r="B3228" s="2" t="s">
        <v>426</v>
      </c>
      <c r="C3228" s="2" t="s">
        <v>14274</v>
      </c>
      <c r="D3228" s="3">
        <v>6624</v>
      </c>
      <c r="E3228" s="3">
        <v>6624</v>
      </c>
      <c r="F3228" s="2" t="s">
        <v>16</v>
      </c>
      <c r="G3228" s="2" t="s">
        <v>14275</v>
      </c>
      <c r="H3228" s="3">
        <v>0</v>
      </c>
      <c r="I3228" s="2" t="s">
        <v>18</v>
      </c>
      <c r="J3228" s="2" t="s">
        <v>35</v>
      </c>
      <c r="K3228" s="2" t="s">
        <v>16</v>
      </c>
      <c r="L3228" s="2" t="s">
        <v>14276</v>
      </c>
      <c r="M3228" s="4">
        <v>1973.16</v>
      </c>
      <c r="N3228" t="b">
        <f>OR(LEFT(B3228,3)="frg",(_xlfn.XMATCH(B3228,ZZZ_Part_Id_[[#All],[FGCODE]])))</f>
        <v>1</v>
      </c>
    </row>
    <row r="3229" spans="1:14" x14ac:dyDescent="0.3">
      <c r="A3229" s="2" t="s">
        <v>14277</v>
      </c>
      <c r="B3229" s="2" t="s">
        <v>740</v>
      </c>
      <c r="C3229" s="2" t="s">
        <v>14278</v>
      </c>
      <c r="D3229" s="3">
        <v>10620</v>
      </c>
      <c r="E3229" s="3">
        <v>10620</v>
      </c>
      <c r="F3229" s="2" t="s">
        <v>16</v>
      </c>
      <c r="G3229" s="2" t="s">
        <v>14279</v>
      </c>
      <c r="H3229" s="3">
        <v>0</v>
      </c>
      <c r="I3229" s="2" t="s">
        <v>18</v>
      </c>
      <c r="J3229" s="2" t="s">
        <v>35</v>
      </c>
      <c r="K3229" s="2" t="s">
        <v>16</v>
      </c>
      <c r="L3229" s="2" t="s">
        <v>14280</v>
      </c>
      <c r="M3229" s="4">
        <v>2112</v>
      </c>
      <c r="N3229" t="b">
        <f>OR(LEFT(B3229,3)="frg",(_xlfn.XMATCH(B3229,ZZZ_Part_Id_[[#All],[FGCODE]])))</f>
        <v>1</v>
      </c>
    </row>
    <row r="3230" spans="1:14" x14ac:dyDescent="0.3">
      <c r="A3230" s="2" t="s">
        <v>14281</v>
      </c>
      <c r="B3230" s="2" t="s">
        <v>5357</v>
      </c>
      <c r="C3230" s="2" t="s">
        <v>14282</v>
      </c>
      <c r="D3230" s="3">
        <v>6624</v>
      </c>
      <c r="E3230" s="3">
        <v>6624</v>
      </c>
      <c r="F3230" s="2" t="s">
        <v>16</v>
      </c>
      <c r="G3230" s="2" t="s">
        <v>14283</v>
      </c>
      <c r="H3230" s="3">
        <v>0</v>
      </c>
      <c r="I3230" s="2" t="s">
        <v>18</v>
      </c>
      <c r="J3230" s="2" t="s">
        <v>35</v>
      </c>
      <c r="K3230" s="2" t="s">
        <v>16</v>
      </c>
      <c r="L3230" s="2" t="s">
        <v>14284</v>
      </c>
      <c r="M3230" s="4">
        <v>1979.12</v>
      </c>
      <c r="N3230" t="b">
        <f>OR(LEFT(B3230,3)="frg",(_xlfn.XMATCH(B3230,ZZZ_Part_Id_[[#All],[FGCODE]])))</f>
        <v>1</v>
      </c>
    </row>
    <row r="3231" spans="1:14" x14ac:dyDescent="0.3">
      <c r="A3231" s="2" t="s">
        <v>14285</v>
      </c>
      <c r="B3231" s="2" t="s">
        <v>2475</v>
      </c>
      <c r="C3231" s="2" t="s">
        <v>14286</v>
      </c>
      <c r="D3231" s="3">
        <v>6624</v>
      </c>
      <c r="E3231" s="3">
        <v>6624</v>
      </c>
      <c r="F3231" s="2" t="s">
        <v>16</v>
      </c>
      <c r="G3231" s="2" t="s">
        <v>14287</v>
      </c>
      <c r="H3231" s="3">
        <v>0</v>
      </c>
      <c r="I3231" s="2" t="s">
        <v>18</v>
      </c>
      <c r="J3231" s="2" t="s">
        <v>35</v>
      </c>
      <c r="K3231" s="2" t="s">
        <v>16</v>
      </c>
      <c r="L3231" s="2" t="s">
        <v>14288</v>
      </c>
      <c r="M3231" s="4">
        <v>1888.04</v>
      </c>
      <c r="N3231" t="b">
        <f>OR(LEFT(B3231,3)="frg",(_xlfn.XMATCH(B3231,ZZZ_Part_Id_[[#All],[FGCODE]])))</f>
        <v>1</v>
      </c>
    </row>
    <row r="3232" spans="1:14" x14ac:dyDescent="0.3">
      <c r="A3232" s="2" t="s">
        <v>14289</v>
      </c>
      <c r="B3232" s="2" t="s">
        <v>14</v>
      </c>
      <c r="C3232" s="2" t="s">
        <v>14290</v>
      </c>
      <c r="D3232" s="3">
        <v>140</v>
      </c>
      <c r="E3232" s="3">
        <v>140</v>
      </c>
      <c r="F3232" s="2" t="s">
        <v>16</v>
      </c>
      <c r="G3232" s="2" t="s">
        <v>14291</v>
      </c>
      <c r="H3232" s="3">
        <v>0</v>
      </c>
      <c r="I3232" s="2" t="s">
        <v>409</v>
      </c>
      <c r="J3232" s="2" t="s">
        <v>14292</v>
      </c>
      <c r="K3232" s="2" t="s">
        <v>16</v>
      </c>
      <c r="L3232" s="2" t="s">
        <v>14293</v>
      </c>
      <c r="M3232" s="4">
        <v>10.77</v>
      </c>
      <c r="N3232" t="e">
        <f>OR(LEFT(B3232,3)="frg",(_xlfn.XMATCH(B3232,ZZZ_Part_Id_[[#All],[FGCODE]])))</f>
        <v>#N/A</v>
      </c>
    </row>
    <row r="3233" spans="1:14" x14ac:dyDescent="0.3">
      <c r="A3233" s="2" t="s">
        <v>14289</v>
      </c>
      <c r="B3233" s="2" t="s">
        <v>5357</v>
      </c>
      <c r="C3233" s="2" t="s">
        <v>14294</v>
      </c>
      <c r="D3233" s="3">
        <v>635904</v>
      </c>
      <c r="E3233" s="3">
        <v>635904</v>
      </c>
      <c r="F3233" s="2" t="s">
        <v>16</v>
      </c>
      <c r="G3233" s="2" t="s">
        <v>14295</v>
      </c>
      <c r="H3233" s="3">
        <v>0</v>
      </c>
      <c r="I3233" s="2" t="s">
        <v>409</v>
      </c>
      <c r="J3233" s="2" t="s">
        <v>14296</v>
      </c>
      <c r="K3233" s="2" t="s">
        <v>16</v>
      </c>
      <c r="L3233" s="2" t="s">
        <v>14297</v>
      </c>
      <c r="M3233" s="4">
        <v>189995.51999999999</v>
      </c>
      <c r="N3233" t="b">
        <f>OR(LEFT(B3233,3)="frg",(_xlfn.XMATCH(B3233,ZZZ_Part_Id_[[#All],[FGCODE]])))</f>
        <v>1</v>
      </c>
    </row>
    <row r="3234" spans="1:14" x14ac:dyDescent="0.3">
      <c r="A3234" s="2" t="s">
        <v>14298</v>
      </c>
      <c r="B3234" s="2" t="s">
        <v>14</v>
      </c>
      <c r="C3234" s="2" t="s">
        <v>14299</v>
      </c>
      <c r="D3234" s="3">
        <v>40</v>
      </c>
      <c r="E3234" s="3">
        <v>40</v>
      </c>
      <c r="F3234" s="2" t="s">
        <v>16</v>
      </c>
      <c r="G3234" s="2" t="s">
        <v>14300</v>
      </c>
      <c r="H3234" s="3">
        <v>0</v>
      </c>
      <c r="I3234" s="2" t="s">
        <v>409</v>
      </c>
      <c r="J3234" s="2" t="s">
        <v>14301</v>
      </c>
      <c r="K3234" s="2" t="s">
        <v>16</v>
      </c>
      <c r="L3234" s="2" t="s">
        <v>14302</v>
      </c>
      <c r="M3234" s="4">
        <v>3.08</v>
      </c>
      <c r="N3234" t="e">
        <f>OR(LEFT(B3234,3)="frg",(_xlfn.XMATCH(B3234,ZZZ_Part_Id_[[#All],[FGCODE]])))</f>
        <v>#N/A</v>
      </c>
    </row>
    <row r="3235" spans="1:14" x14ac:dyDescent="0.3">
      <c r="A3235" s="2" t="s">
        <v>14298</v>
      </c>
      <c r="B3235" s="2" t="s">
        <v>86</v>
      </c>
      <c r="C3235" s="2" t="s">
        <v>14303</v>
      </c>
      <c r="D3235" s="5">
        <v>-240</v>
      </c>
      <c r="E3235" s="5">
        <v>-240</v>
      </c>
      <c r="F3235" s="2" t="s">
        <v>23</v>
      </c>
      <c r="G3235" s="2" t="s">
        <v>14304</v>
      </c>
      <c r="H3235" s="3">
        <v>0</v>
      </c>
      <c r="I3235" s="2" t="s">
        <v>409</v>
      </c>
      <c r="J3235" s="2" t="s">
        <v>14305</v>
      </c>
      <c r="K3235" s="2" t="s">
        <v>23</v>
      </c>
      <c r="L3235" s="2" t="s">
        <v>14306</v>
      </c>
      <c r="M3235" s="6">
        <v>-628.27</v>
      </c>
      <c r="N3235" t="b">
        <f>OR(LEFT(B3235,3)="frg",(_xlfn.XMATCH(B3235,ZZZ_Part_Id_[[#All],[FGCODE]])))</f>
        <v>1</v>
      </c>
    </row>
    <row r="3236" spans="1:14" x14ac:dyDescent="0.3">
      <c r="A3236" s="2" t="s">
        <v>14298</v>
      </c>
      <c r="B3236" s="2" t="s">
        <v>1667</v>
      </c>
      <c r="C3236" s="2" t="s">
        <v>14307</v>
      </c>
      <c r="D3236" s="3">
        <v>563760</v>
      </c>
      <c r="E3236" s="3">
        <v>563760</v>
      </c>
      <c r="F3236" s="2" t="s">
        <v>16</v>
      </c>
      <c r="G3236" s="2" t="s">
        <v>14308</v>
      </c>
      <c r="H3236" s="3">
        <v>0</v>
      </c>
      <c r="I3236" s="2" t="s">
        <v>409</v>
      </c>
      <c r="J3236" s="2" t="s">
        <v>14309</v>
      </c>
      <c r="K3236" s="2" t="s">
        <v>16</v>
      </c>
      <c r="L3236" s="2" t="s">
        <v>14310</v>
      </c>
      <c r="M3236" s="4">
        <v>45969.03</v>
      </c>
      <c r="N3236" t="b">
        <f>OR(LEFT(B3236,3)="frg",(_xlfn.XMATCH(B3236,ZZZ_Part_Id_[[#All],[FGCODE]])))</f>
        <v>1</v>
      </c>
    </row>
    <row r="3237" spans="1:14" x14ac:dyDescent="0.3">
      <c r="A3237" s="2" t="s">
        <v>14311</v>
      </c>
      <c r="B3237" s="2" t="s">
        <v>14</v>
      </c>
      <c r="C3237" s="2" t="s">
        <v>14312</v>
      </c>
      <c r="D3237" s="3">
        <v>14</v>
      </c>
      <c r="E3237" s="3">
        <v>14</v>
      </c>
      <c r="F3237" s="2" t="s">
        <v>16</v>
      </c>
      <c r="G3237" s="2" t="s">
        <v>14313</v>
      </c>
      <c r="H3237" s="3">
        <v>0</v>
      </c>
      <c r="I3237" s="2" t="s">
        <v>409</v>
      </c>
      <c r="J3237" s="2" t="s">
        <v>14314</v>
      </c>
      <c r="K3237" s="2" t="s">
        <v>16</v>
      </c>
      <c r="L3237" s="2" t="s">
        <v>14315</v>
      </c>
      <c r="M3237" s="4">
        <v>1.08</v>
      </c>
      <c r="N3237" t="e">
        <f>OR(LEFT(B3237,3)="frg",(_xlfn.XMATCH(B3237,ZZZ_Part_Id_[[#All],[FGCODE]])))</f>
        <v>#N/A</v>
      </c>
    </row>
    <row r="3238" spans="1:14" x14ac:dyDescent="0.3">
      <c r="A3238" s="2" t="s">
        <v>14311</v>
      </c>
      <c r="B3238" s="2" t="s">
        <v>86</v>
      </c>
      <c r="C3238" s="2" t="s">
        <v>14316</v>
      </c>
      <c r="D3238" s="5">
        <v>-240</v>
      </c>
      <c r="E3238" s="5">
        <v>-240</v>
      </c>
      <c r="F3238" s="2" t="s">
        <v>23</v>
      </c>
      <c r="G3238" s="2" t="s">
        <v>14317</v>
      </c>
      <c r="H3238" s="3">
        <v>0</v>
      </c>
      <c r="I3238" s="2" t="s">
        <v>409</v>
      </c>
      <c r="J3238" s="2" t="s">
        <v>14318</v>
      </c>
      <c r="K3238" s="2" t="s">
        <v>23</v>
      </c>
      <c r="L3238" s="2" t="s">
        <v>14319</v>
      </c>
      <c r="M3238" s="6">
        <v>-628.27</v>
      </c>
      <c r="N3238" t="b">
        <f>OR(LEFT(B3238,3)="frg",(_xlfn.XMATCH(B3238,ZZZ_Part_Id_[[#All],[FGCODE]])))</f>
        <v>1</v>
      </c>
    </row>
    <row r="3239" spans="1:14" x14ac:dyDescent="0.3">
      <c r="A3239" s="2" t="s">
        <v>14311</v>
      </c>
      <c r="B3239" s="2" t="s">
        <v>1667</v>
      </c>
      <c r="C3239" s="2" t="s">
        <v>14320</v>
      </c>
      <c r="D3239" s="3">
        <v>292320</v>
      </c>
      <c r="E3239" s="3">
        <v>292320</v>
      </c>
      <c r="F3239" s="2" t="s">
        <v>16</v>
      </c>
      <c r="G3239" s="2" t="s">
        <v>14321</v>
      </c>
      <c r="H3239" s="3">
        <v>0</v>
      </c>
      <c r="I3239" s="2" t="s">
        <v>409</v>
      </c>
      <c r="J3239" s="2" t="s">
        <v>14322</v>
      </c>
      <c r="K3239" s="2" t="s">
        <v>16</v>
      </c>
      <c r="L3239" s="2" t="s">
        <v>14323</v>
      </c>
      <c r="M3239" s="4">
        <v>23835.79</v>
      </c>
      <c r="N3239" t="b">
        <f>OR(LEFT(B3239,3)="frg",(_xlfn.XMATCH(B3239,ZZZ_Part_Id_[[#All],[FGCODE]])))</f>
        <v>1</v>
      </c>
    </row>
    <row r="3240" spans="1:14" x14ac:dyDescent="0.3">
      <c r="A3240" s="2" t="s">
        <v>14324</v>
      </c>
      <c r="B3240" s="2" t="s">
        <v>14</v>
      </c>
      <c r="C3240" s="2" t="s">
        <v>14325</v>
      </c>
      <c r="D3240" s="3">
        <v>4</v>
      </c>
      <c r="E3240" s="3">
        <v>4</v>
      </c>
      <c r="F3240" s="2" t="s">
        <v>16</v>
      </c>
      <c r="G3240" s="2" t="s">
        <v>14326</v>
      </c>
      <c r="H3240" s="3">
        <v>0</v>
      </c>
      <c r="I3240" s="2" t="s">
        <v>409</v>
      </c>
      <c r="J3240" s="2" t="s">
        <v>14327</v>
      </c>
      <c r="K3240" s="2" t="s">
        <v>16</v>
      </c>
      <c r="L3240" s="2" t="s">
        <v>14328</v>
      </c>
      <c r="M3240" s="4">
        <v>0.31</v>
      </c>
      <c r="N3240" t="e">
        <f>OR(LEFT(B3240,3)="frg",(_xlfn.XMATCH(B3240,ZZZ_Part_Id_[[#All],[FGCODE]])))</f>
        <v>#N/A</v>
      </c>
    </row>
    <row r="3241" spans="1:14" x14ac:dyDescent="0.3">
      <c r="A3241" s="2" t="s">
        <v>14324</v>
      </c>
      <c r="B3241" s="2" t="s">
        <v>2934</v>
      </c>
      <c r="C3241" s="2" t="s">
        <v>14329</v>
      </c>
      <c r="D3241" s="3">
        <v>32832</v>
      </c>
      <c r="E3241" s="3">
        <v>32832</v>
      </c>
      <c r="F3241" s="2" t="s">
        <v>16</v>
      </c>
      <c r="G3241" s="2" t="s">
        <v>14330</v>
      </c>
      <c r="H3241" s="3">
        <v>0</v>
      </c>
      <c r="I3241" s="2" t="s">
        <v>409</v>
      </c>
      <c r="J3241" s="2" t="s">
        <v>14331</v>
      </c>
      <c r="K3241" s="2" t="s">
        <v>16</v>
      </c>
      <c r="L3241" s="2" t="s">
        <v>14332</v>
      </c>
      <c r="M3241" s="4">
        <v>4082.64</v>
      </c>
      <c r="N3241" t="b">
        <f>OR(LEFT(B3241,3)="frg",(_xlfn.XMATCH(B3241,ZZZ_Part_Id_[[#All],[FGCODE]])))</f>
        <v>1</v>
      </c>
    </row>
    <row r="3242" spans="1:14" x14ac:dyDescent="0.3">
      <c r="A3242" s="2" t="s">
        <v>14333</v>
      </c>
      <c r="B3242" s="2" t="s">
        <v>14</v>
      </c>
      <c r="C3242" s="2" t="s">
        <v>14334</v>
      </c>
      <c r="D3242" s="3">
        <v>4</v>
      </c>
      <c r="E3242" s="3">
        <v>4</v>
      </c>
      <c r="F3242" s="2" t="s">
        <v>16</v>
      </c>
      <c r="G3242" s="2" t="s">
        <v>14335</v>
      </c>
      <c r="H3242" s="3">
        <v>0</v>
      </c>
      <c r="I3242" s="2" t="s">
        <v>409</v>
      </c>
      <c r="J3242" s="2" t="s">
        <v>14336</v>
      </c>
      <c r="K3242" s="2" t="s">
        <v>16</v>
      </c>
      <c r="L3242" s="2" t="s">
        <v>14337</v>
      </c>
      <c r="M3242" s="4">
        <v>0.31</v>
      </c>
      <c r="N3242" t="e">
        <f>OR(LEFT(B3242,3)="frg",(_xlfn.XMATCH(B3242,ZZZ_Part_Id_[[#All],[FGCODE]])))</f>
        <v>#N/A</v>
      </c>
    </row>
    <row r="3243" spans="1:14" x14ac:dyDescent="0.3">
      <c r="A3243" s="2" t="s">
        <v>14333</v>
      </c>
      <c r="B3243" s="2" t="s">
        <v>65</v>
      </c>
      <c r="C3243" s="2" t="s">
        <v>14338</v>
      </c>
      <c r="D3243" s="5">
        <v>-183</v>
      </c>
      <c r="E3243" s="5">
        <v>-183</v>
      </c>
      <c r="F3243" s="2" t="s">
        <v>23</v>
      </c>
      <c r="G3243" s="2" t="s">
        <v>14339</v>
      </c>
      <c r="H3243" s="3">
        <v>0</v>
      </c>
      <c r="I3243" s="2" t="s">
        <v>409</v>
      </c>
      <c r="J3243" s="2" t="s">
        <v>14340</v>
      </c>
      <c r="K3243" s="2" t="s">
        <v>23</v>
      </c>
      <c r="L3243" s="2" t="s">
        <v>14341</v>
      </c>
      <c r="M3243" s="6">
        <v>-470.6</v>
      </c>
      <c r="N3243" t="b">
        <f>OR(LEFT(B3243,3)="frg",(_xlfn.XMATCH(B3243,ZZZ_Part_Id_[[#All],[FGCODE]])))</f>
        <v>1</v>
      </c>
    </row>
    <row r="3244" spans="1:14" x14ac:dyDescent="0.3">
      <c r="A3244" s="2" t="s">
        <v>14333</v>
      </c>
      <c r="B3244" s="2" t="s">
        <v>2115</v>
      </c>
      <c r="C3244" s="2" t="s">
        <v>14342</v>
      </c>
      <c r="D3244" s="3">
        <v>14400</v>
      </c>
      <c r="E3244" s="3">
        <v>14400</v>
      </c>
      <c r="F3244" s="2" t="s">
        <v>16</v>
      </c>
      <c r="G3244" s="2" t="s">
        <v>14343</v>
      </c>
      <c r="H3244" s="3">
        <v>0</v>
      </c>
      <c r="I3244" s="2" t="s">
        <v>409</v>
      </c>
      <c r="J3244" s="2" t="s">
        <v>14344</v>
      </c>
      <c r="K3244" s="2" t="s">
        <v>16</v>
      </c>
      <c r="L3244" s="2" t="s">
        <v>14345</v>
      </c>
      <c r="M3244" s="4">
        <v>4788.4399999999996</v>
      </c>
      <c r="N3244" t="b">
        <f>OR(LEFT(B3244,3)="frg",(_xlfn.XMATCH(B3244,ZZZ_Part_Id_[[#All],[FGCODE]])))</f>
        <v>1</v>
      </c>
    </row>
    <row r="3245" spans="1:14" x14ac:dyDescent="0.3">
      <c r="A3245" s="2" t="s">
        <v>14346</v>
      </c>
      <c r="B3245" s="2" t="s">
        <v>14</v>
      </c>
      <c r="C3245" s="2" t="s">
        <v>14347</v>
      </c>
      <c r="D3245" s="3">
        <v>20</v>
      </c>
      <c r="E3245" s="3">
        <v>20</v>
      </c>
      <c r="F3245" s="2" t="s">
        <v>16</v>
      </c>
      <c r="G3245" s="2" t="s">
        <v>14348</v>
      </c>
      <c r="H3245" s="3">
        <v>0</v>
      </c>
      <c r="I3245" s="2" t="s">
        <v>18</v>
      </c>
      <c r="J3245" s="2" t="s">
        <v>14349</v>
      </c>
      <c r="K3245" s="2" t="s">
        <v>16</v>
      </c>
      <c r="L3245" s="2" t="s">
        <v>14350</v>
      </c>
      <c r="M3245" s="4">
        <v>1.54</v>
      </c>
      <c r="N3245" t="e">
        <f>OR(LEFT(B3245,3)="frg",(_xlfn.XMATCH(B3245,ZZZ_Part_Id_[[#All],[FGCODE]])))</f>
        <v>#N/A</v>
      </c>
    </row>
    <row r="3246" spans="1:14" x14ac:dyDescent="0.3">
      <c r="A3246" s="2" t="s">
        <v>14346</v>
      </c>
      <c r="B3246" s="2" t="s">
        <v>11068</v>
      </c>
      <c r="C3246" s="2" t="s">
        <v>14351</v>
      </c>
      <c r="D3246" s="3">
        <v>180540</v>
      </c>
      <c r="E3246" s="3">
        <v>180540</v>
      </c>
      <c r="F3246" s="2" t="s">
        <v>16</v>
      </c>
      <c r="G3246" s="2" t="s">
        <v>14352</v>
      </c>
      <c r="H3246" s="3">
        <v>0</v>
      </c>
      <c r="I3246" s="2" t="s">
        <v>18</v>
      </c>
      <c r="J3246" s="2" t="s">
        <v>14353</v>
      </c>
      <c r="K3246" s="2" t="s">
        <v>16</v>
      </c>
      <c r="L3246" s="2" t="s">
        <v>14354</v>
      </c>
      <c r="M3246" s="4">
        <v>34221.339999999997</v>
      </c>
      <c r="N3246" t="b">
        <f>OR(LEFT(B3246,3)="frg",(_xlfn.XMATCH(B3246,ZZZ_Part_Id_[[#All],[FGCODE]])))</f>
        <v>1</v>
      </c>
    </row>
    <row r="3247" spans="1:14" x14ac:dyDescent="0.3">
      <c r="A3247" s="2" t="s">
        <v>14355</v>
      </c>
      <c r="B3247" s="2" t="s">
        <v>14</v>
      </c>
      <c r="C3247" s="2" t="s">
        <v>14356</v>
      </c>
      <c r="D3247" s="3">
        <v>40</v>
      </c>
      <c r="E3247" s="3">
        <v>40</v>
      </c>
      <c r="F3247" s="2" t="s">
        <v>16</v>
      </c>
      <c r="G3247" s="2" t="s">
        <v>14357</v>
      </c>
      <c r="H3247" s="3">
        <v>0</v>
      </c>
      <c r="I3247" s="2" t="s">
        <v>409</v>
      </c>
      <c r="J3247" s="2" t="s">
        <v>14358</v>
      </c>
      <c r="K3247" s="2" t="s">
        <v>16</v>
      </c>
      <c r="L3247" s="2" t="s">
        <v>14359</v>
      </c>
      <c r="M3247" s="4">
        <v>3.08</v>
      </c>
      <c r="N3247" t="e">
        <f>OR(LEFT(B3247,3)="frg",(_xlfn.XMATCH(B3247,ZZZ_Part_Id_[[#All],[FGCODE]])))</f>
        <v>#N/A</v>
      </c>
    </row>
    <row r="3248" spans="1:14" x14ac:dyDescent="0.3">
      <c r="A3248" s="2" t="s">
        <v>14355</v>
      </c>
      <c r="B3248" s="2" t="s">
        <v>5357</v>
      </c>
      <c r="C3248" s="2" t="s">
        <v>14360</v>
      </c>
      <c r="D3248" s="3">
        <v>231840</v>
      </c>
      <c r="E3248" s="3">
        <v>231840</v>
      </c>
      <c r="F3248" s="2" t="s">
        <v>16</v>
      </c>
      <c r="G3248" s="2" t="s">
        <v>14361</v>
      </c>
      <c r="H3248" s="3">
        <v>0</v>
      </c>
      <c r="I3248" s="2" t="s">
        <v>409</v>
      </c>
      <c r="J3248" s="2" t="s">
        <v>14362</v>
      </c>
      <c r="K3248" s="2" t="s">
        <v>16</v>
      </c>
      <c r="L3248" s="2" t="s">
        <v>14363</v>
      </c>
      <c r="M3248" s="4">
        <v>69269.2</v>
      </c>
      <c r="N3248" t="b">
        <f>OR(LEFT(B3248,3)="frg",(_xlfn.XMATCH(B3248,ZZZ_Part_Id_[[#All],[FGCODE]])))</f>
        <v>1</v>
      </c>
    </row>
    <row r="3249" spans="1:14" x14ac:dyDescent="0.3">
      <c r="A3249" s="2" t="s">
        <v>14364</v>
      </c>
      <c r="B3249" s="2" t="s">
        <v>14</v>
      </c>
      <c r="C3249" s="2" t="s">
        <v>14365</v>
      </c>
      <c r="D3249" s="3">
        <v>64</v>
      </c>
      <c r="E3249" s="3">
        <v>64</v>
      </c>
      <c r="F3249" s="2" t="s">
        <v>16</v>
      </c>
      <c r="G3249" s="2" t="s">
        <v>14366</v>
      </c>
      <c r="H3249" s="3">
        <v>0</v>
      </c>
      <c r="I3249" s="2" t="s">
        <v>18</v>
      </c>
      <c r="J3249" s="2" t="s">
        <v>14367</v>
      </c>
      <c r="K3249" s="2" t="s">
        <v>16</v>
      </c>
      <c r="L3249" s="2" t="s">
        <v>14368</v>
      </c>
      <c r="M3249" s="4">
        <v>4.92</v>
      </c>
      <c r="N3249" t="e">
        <f>OR(LEFT(B3249,3)="frg",(_xlfn.XMATCH(B3249,ZZZ_Part_Id_[[#All],[FGCODE]])))</f>
        <v>#N/A</v>
      </c>
    </row>
    <row r="3250" spans="1:14" x14ac:dyDescent="0.3">
      <c r="A3250" s="2" t="s">
        <v>14364</v>
      </c>
      <c r="B3250" s="2" t="s">
        <v>1027</v>
      </c>
      <c r="C3250" s="2" t="s">
        <v>14369</v>
      </c>
      <c r="D3250" s="3">
        <v>361080</v>
      </c>
      <c r="E3250" s="3">
        <v>361080</v>
      </c>
      <c r="F3250" s="2" t="s">
        <v>16</v>
      </c>
      <c r="G3250" s="2" t="s">
        <v>14370</v>
      </c>
      <c r="H3250" s="3">
        <v>0</v>
      </c>
      <c r="I3250" s="2" t="s">
        <v>18</v>
      </c>
      <c r="J3250" s="2" t="s">
        <v>14371</v>
      </c>
      <c r="K3250" s="2" t="s">
        <v>16</v>
      </c>
      <c r="L3250" s="2" t="s">
        <v>14372</v>
      </c>
      <c r="M3250" s="4">
        <v>72743.320000000007</v>
      </c>
      <c r="N3250" t="b">
        <f>OR(LEFT(B3250,3)="frg",(_xlfn.XMATCH(B3250,ZZZ_Part_Id_[[#All],[FGCODE]])))</f>
        <v>1</v>
      </c>
    </row>
    <row r="3251" spans="1:14" x14ac:dyDescent="0.3">
      <c r="A3251" s="2" t="s">
        <v>14373</v>
      </c>
      <c r="B3251" s="2" t="s">
        <v>14</v>
      </c>
      <c r="C3251" s="2" t="s">
        <v>14374</v>
      </c>
      <c r="D3251" s="3">
        <v>140</v>
      </c>
      <c r="E3251" s="3">
        <v>140</v>
      </c>
      <c r="F3251" s="2" t="s">
        <v>16</v>
      </c>
      <c r="G3251" s="2" t="s">
        <v>14375</v>
      </c>
      <c r="H3251" s="3">
        <v>0</v>
      </c>
      <c r="I3251" s="2" t="s">
        <v>18</v>
      </c>
      <c r="J3251" s="2" t="s">
        <v>14376</v>
      </c>
      <c r="K3251" s="2" t="s">
        <v>16</v>
      </c>
      <c r="L3251" s="2" t="s">
        <v>14377</v>
      </c>
      <c r="M3251" s="4">
        <v>10.77</v>
      </c>
      <c r="N3251" t="e">
        <f>OR(LEFT(B3251,3)="frg",(_xlfn.XMATCH(B3251,ZZZ_Part_Id_[[#All],[FGCODE]])))</f>
        <v>#N/A</v>
      </c>
    </row>
    <row r="3252" spans="1:14" x14ac:dyDescent="0.3">
      <c r="A3252" s="2" t="s">
        <v>14373</v>
      </c>
      <c r="B3252" s="2" t="s">
        <v>1093</v>
      </c>
      <c r="C3252" s="2" t="s">
        <v>14378</v>
      </c>
      <c r="D3252" s="3">
        <v>2004480</v>
      </c>
      <c r="E3252" s="3">
        <v>2004480</v>
      </c>
      <c r="F3252" s="2" t="s">
        <v>16</v>
      </c>
      <c r="G3252" s="2" t="s">
        <v>14379</v>
      </c>
      <c r="H3252" s="3">
        <v>0</v>
      </c>
      <c r="I3252" s="2" t="s">
        <v>18</v>
      </c>
      <c r="J3252" s="2" t="s">
        <v>14380</v>
      </c>
      <c r="K3252" s="2" t="s">
        <v>16</v>
      </c>
      <c r="L3252" s="2" t="s">
        <v>14381</v>
      </c>
      <c r="M3252" s="4">
        <v>171242.88</v>
      </c>
      <c r="N3252" t="b">
        <f>OR(LEFT(B3252,3)="frg",(_xlfn.XMATCH(B3252,ZZZ_Part_Id_[[#All],[FGCODE]])))</f>
        <v>1</v>
      </c>
    </row>
    <row r="3253" spans="1:14" x14ac:dyDescent="0.3">
      <c r="A3253" s="2" t="s">
        <v>14382</v>
      </c>
      <c r="B3253" s="2" t="s">
        <v>1093</v>
      </c>
      <c r="C3253" s="2" t="s">
        <v>14383</v>
      </c>
      <c r="D3253" s="3">
        <v>20880</v>
      </c>
      <c r="E3253" s="3">
        <v>20880</v>
      </c>
      <c r="F3253" s="2" t="s">
        <v>16</v>
      </c>
      <c r="G3253" s="2" t="s">
        <v>14384</v>
      </c>
      <c r="H3253" s="3">
        <v>0</v>
      </c>
      <c r="I3253" s="2" t="s">
        <v>409</v>
      </c>
      <c r="J3253" s="2" t="s">
        <v>14385</v>
      </c>
      <c r="K3253" s="2" t="s">
        <v>16</v>
      </c>
      <c r="L3253" s="2" t="s">
        <v>14386</v>
      </c>
      <c r="M3253" s="4">
        <v>1783.78</v>
      </c>
      <c r="N3253" t="b">
        <f>OR(LEFT(B3253,3)="frg",(_xlfn.XMATCH(B3253,ZZZ_Part_Id_[[#All],[FGCODE]])))</f>
        <v>1</v>
      </c>
    </row>
    <row r="3254" spans="1:14" x14ac:dyDescent="0.3">
      <c r="A3254" s="2" t="s">
        <v>14387</v>
      </c>
      <c r="B3254" s="2" t="s">
        <v>517</v>
      </c>
      <c r="C3254" s="2" t="s">
        <v>14388</v>
      </c>
      <c r="D3254" s="3">
        <v>171360</v>
      </c>
      <c r="E3254" s="3">
        <v>171360</v>
      </c>
      <c r="F3254" s="2" t="s">
        <v>16</v>
      </c>
      <c r="G3254" s="2" t="s">
        <v>14389</v>
      </c>
      <c r="H3254" s="3">
        <v>0</v>
      </c>
      <c r="I3254" s="2" t="s">
        <v>409</v>
      </c>
      <c r="J3254" s="2" t="s">
        <v>14390</v>
      </c>
      <c r="K3254" s="2" t="s">
        <v>16</v>
      </c>
      <c r="L3254" s="2" t="s">
        <v>14391</v>
      </c>
      <c r="M3254" s="4">
        <v>31187.52</v>
      </c>
      <c r="N3254" t="b">
        <f>OR(LEFT(B3254,3)="frg",(_xlfn.XMATCH(B3254,ZZZ_Part_Id_[[#All],[FGCODE]])))</f>
        <v>1</v>
      </c>
    </row>
    <row r="3255" spans="1:14" x14ac:dyDescent="0.3">
      <c r="A3255" s="2" t="s">
        <v>14392</v>
      </c>
      <c r="B3255" s="2" t="s">
        <v>1027</v>
      </c>
      <c r="C3255" s="2" t="s">
        <v>14393</v>
      </c>
      <c r="D3255" s="3">
        <v>700920</v>
      </c>
      <c r="E3255" s="3">
        <v>700920</v>
      </c>
      <c r="F3255" s="2" t="s">
        <v>16</v>
      </c>
      <c r="G3255" s="2" t="s">
        <v>14394</v>
      </c>
      <c r="H3255" s="3">
        <v>0</v>
      </c>
      <c r="I3255" s="2" t="s">
        <v>409</v>
      </c>
      <c r="J3255" s="2" t="s">
        <v>14395</v>
      </c>
      <c r="K3255" s="2" t="s">
        <v>16</v>
      </c>
      <c r="L3255" s="2" t="s">
        <v>14396</v>
      </c>
      <c r="M3255" s="4">
        <v>141207.64000000001</v>
      </c>
      <c r="N3255" t="b">
        <f>OR(LEFT(B3255,3)="frg",(_xlfn.XMATCH(B3255,ZZZ_Part_Id_[[#All],[FGCODE]])))</f>
        <v>1</v>
      </c>
    </row>
    <row r="3256" spans="1:14" x14ac:dyDescent="0.3">
      <c r="A3256" s="2" t="s">
        <v>14397</v>
      </c>
      <c r="B3256" s="2" t="s">
        <v>5357</v>
      </c>
      <c r="C3256" s="2" t="s">
        <v>14398</v>
      </c>
      <c r="D3256" s="3">
        <v>423936</v>
      </c>
      <c r="E3256" s="3">
        <v>423936</v>
      </c>
      <c r="F3256" s="2" t="s">
        <v>16</v>
      </c>
      <c r="G3256" s="2" t="s">
        <v>14399</v>
      </c>
      <c r="H3256" s="3">
        <v>0</v>
      </c>
      <c r="I3256" s="2" t="s">
        <v>409</v>
      </c>
      <c r="J3256" s="2" t="s">
        <v>14400</v>
      </c>
      <c r="K3256" s="2" t="s">
        <v>16</v>
      </c>
      <c r="L3256" s="2" t="s">
        <v>14401</v>
      </c>
      <c r="M3256" s="4">
        <v>126663.67999999999</v>
      </c>
      <c r="N3256" t="b">
        <f>OR(LEFT(B3256,3)="frg",(_xlfn.XMATCH(B3256,ZZZ_Part_Id_[[#All],[FGCODE]])))</f>
        <v>1</v>
      </c>
    </row>
    <row r="3257" spans="1:14" x14ac:dyDescent="0.3">
      <c r="A3257" s="2" t="s">
        <v>14402</v>
      </c>
      <c r="B3257" s="2" t="s">
        <v>2086</v>
      </c>
      <c r="C3257" s="2" t="s">
        <v>14403</v>
      </c>
      <c r="D3257" s="3">
        <v>25344</v>
      </c>
      <c r="E3257" s="3">
        <v>25344</v>
      </c>
      <c r="F3257" s="2" t="s">
        <v>16</v>
      </c>
      <c r="G3257" s="2" t="s">
        <v>14404</v>
      </c>
      <c r="H3257" s="3">
        <v>0</v>
      </c>
      <c r="I3257" s="2" t="s">
        <v>409</v>
      </c>
      <c r="J3257" s="2" t="s">
        <v>14405</v>
      </c>
      <c r="K3257" s="2" t="s">
        <v>16</v>
      </c>
      <c r="L3257" s="2" t="s">
        <v>14406</v>
      </c>
      <c r="M3257" s="4">
        <v>5952.06</v>
      </c>
      <c r="N3257" t="b">
        <f>OR(LEFT(B3257,3)="frg",(_xlfn.XMATCH(B3257,ZZZ_Part_Id_[[#All],[FGCODE]])))</f>
        <v>1</v>
      </c>
    </row>
    <row r="3258" spans="1:14" x14ac:dyDescent="0.3">
      <c r="A3258" s="2" t="s">
        <v>14407</v>
      </c>
      <c r="B3258" s="2" t="s">
        <v>517</v>
      </c>
      <c r="C3258" s="2" t="s">
        <v>14408</v>
      </c>
      <c r="D3258" s="3">
        <v>493920</v>
      </c>
      <c r="E3258" s="3">
        <v>493920</v>
      </c>
      <c r="F3258" s="2" t="s">
        <v>16</v>
      </c>
      <c r="G3258" s="2" t="s">
        <v>14409</v>
      </c>
      <c r="H3258" s="3">
        <v>0</v>
      </c>
      <c r="I3258" s="2" t="s">
        <v>18</v>
      </c>
      <c r="J3258" s="2" t="s">
        <v>14410</v>
      </c>
      <c r="K3258" s="2" t="s">
        <v>16</v>
      </c>
      <c r="L3258" s="2" t="s">
        <v>14411</v>
      </c>
      <c r="M3258" s="4">
        <v>89893.440000000002</v>
      </c>
      <c r="N3258" t="b">
        <f>OR(LEFT(B3258,3)="frg",(_xlfn.XMATCH(B3258,ZZZ_Part_Id_[[#All],[FGCODE]])))</f>
        <v>1</v>
      </c>
    </row>
    <row r="3259" spans="1:14" x14ac:dyDescent="0.3">
      <c r="A3259" s="2" t="s">
        <v>14412</v>
      </c>
      <c r="B3259" s="2" t="s">
        <v>1027</v>
      </c>
      <c r="C3259" s="2" t="s">
        <v>14413</v>
      </c>
      <c r="D3259" s="3">
        <v>658440</v>
      </c>
      <c r="E3259" s="3">
        <v>658440</v>
      </c>
      <c r="F3259" s="2" t="s">
        <v>16</v>
      </c>
      <c r="G3259" s="2" t="s">
        <v>14414</v>
      </c>
      <c r="H3259" s="3">
        <v>0</v>
      </c>
      <c r="I3259" s="2" t="s">
        <v>409</v>
      </c>
      <c r="J3259" s="2" t="s">
        <v>14415</v>
      </c>
      <c r="K3259" s="2" t="s">
        <v>16</v>
      </c>
      <c r="L3259" s="2" t="s">
        <v>14416</v>
      </c>
      <c r="M3259" s="4">
        <v>132649.62</v>
      </c>
      <c r="N3259" t="b">
        <f>OR(LEFT(B3259,3)="frg",(_xlfn.XMATCH(B3259,ZZZ_Part_Id_[[#All],[FGCODE]])))</f>
        <v>1</v>
      </c>
    </row>
    <row r="3260" spans="1:14" x14ac:dyDescent="0.3">
      <c r="A3260" s="2" t="s">
        <v>14412</v>
      </c>
      <c r="B3260" s="2" t="s">
        <v>14</v>
      </c>
      <c r="C3260" s="2" t="s">
        <v>14417</v>
      </c>
      <c r="D3260" s="3">
        <v>124</v>
      </c>
      <c r="E3260" s="3">
        <v>124</v>
      </c>
      <c r="F3260" s="2" t="s">
        <v>16</v>
      </c>
      <c r="G3260" s="2" t="s">
        <v>14418</v>
      </c>
      <c r="H3260" s="3">
        <v>0</v>
      </c>
      <c r="I3260" s="2" t="s">
        <v>409</v>
      </c>
      <c r="J3260" s="2" t="s">
        <v>14419</v>
      </c>
      <c r="K3260" s="2" t="s">
        <v>16</v>
      </c>
      <c r="L3260" s="2" t="s">
        <v>14420</v>
      </c>
      <c r="M3260" s="4">
        <v>9.5399999999999991</v>
      </c>
      <c r="N3260" t="e">
        <f>OR(LEFT(B3260,3)="frg",(_xlfn.XMATCH(B3260,ZZZ_Part_Id_[[#All],[FGCODE]])))</f>
        <v>#N/A</v>
      </c>
    </row>
    <row r="3261" spans="1:14" x14ac:dyDescent="0.3">
      <c r="A3261" s="2" t="s">
        <v>14412</v>
      </c>
      <c r="B3261" s="2" t="s">
        <v>140</v>
      </c>
      <c r="C3261" s="2" t="s">
        <v>14421</v>
      </c>
      <c r="D3261" s="3">
        <v>2.48</v>
      </c>
      <c r="E3261" s="3">
        <v>2.48</v>
      </c>
      <c r="F3261" s="2" t="s">
        <v>16</v>
      </c>
      <c r="G3261" s="2" t="s">
        <v>14422</v>
      </c>
      <c r="H3261" s="3">
        <v>0</v>
      </c>
      <c r="I3261" s="2" t="s">
        <v>409</v>
      </c>
      <c r="J3261" s="2" t="s">
        <v>14423</v>
      </c>
      <c r="K3261" s="2" t="s">
        <v>16</v>
      </c>
      <c r="L3261" s="2" t="s">
        <v>14424</v>
      </c>
      <c r="M3261" s="4">
        <v>5.18</v>
      </c>
      <c r="N3261" t="e">
        <f>OR(LEFT(B3261,3)="frg",(_xlfn.XMATCH(B3261,ZZZ_Part_Id_[[#All],[FGCODE]])))</f>
        <v>#N/A</v>
      </c>
    </row>
    <row r="3262" spans="1:14" x14ac:dyDescent="0.3">
      <c r="A3262" s="2" t="s">
        <v>14412</v>
      </c>
      <c r="B3262" s="2" t="s">
        <v>192</v>
      </c>
      <c r="C3262" s="2" t="s">
        <v>14425</v>
      </c>
      <c r="D3262" s="3">
        <v>0.62</v>
      </c>
      <c r="E3262" s="3">
        <v>0.62</v>
      </c>
      <c r="F3262" s="2" t="s">
        <v>194</v>
      </c>
      <c r="G3262" s="2" t="s">
        <v>14426</v>
      </c>
      <c r="H3262" s="3">
        <v>0</v>
      </c>
      <c r="I3262" s="2" t="s">
        <v>409</v>
      </c>
      <c r="J3262" s="2" t="s">
        <v>14427</v>
      </c>
      <c r="K3262" s="2" t="s">
        <v>194</v>
      </c>
      <c r="L3262" s="2" t="s">
        <v>14428</v>
      </c>
      <c r="M3262" s="4">
        <v>3.12</v>
      </c>
      <c r="N3262" t="e">
        <f>OR(LEFT(B3262,3)="frg",(_xlfn.XMATCH(B3262,ZZZ_Part_Id_[[#All],[FGCODE]])))</f>
        <v>#N/A</v>
      </c>
    </row>
    <row r="3263" spans="1:14" x14ac:dyDescent="0.3">
      <c r="A3263" s="2" t="s">
        <v>14429</v>
      </c>
      <c r="B3263" s="2" t="s">
        <v>5357</v>
      </c>
      <c r="C3263" s="2" t="s">
        <v>14430</v>
      </c>
      <c r="D3263" s="3">
        <v>417312</v>
      </c>
      <c r="E3263" s="3">
        <v>417312</v>
      </c>
      <c r="F3263" s="2" t="s">
        <v>16</v>
      </c>
      <c r="G3263" s="2" t="s">
        <v>14431</v>
      </c>
      <c r="H3263" s="3">
        <v>0</v>
      </c>
      <c r="I3263" s="2" t="s">
        <v>409</v>
      </c>
      <c r="J3263" s="2" t="s">
        <v>14432</v>
      </c>
      <c r="K3263" s="2" t="s">
        <v>16</v>
      </c>
      <c r="L3263" s="2" t="s">
        <v>14433</v>
      </c>
      <c r="M3263" s="4">
        <v>124684.56</v>
      </c>
      <c r="N3263" t="b">
        <f>OR(LEFT(B3263,3)="frg",(_xlfn.XMATCH(B3263,ZZZ_Part_Id_[[#All],[FGCODE]])))</f>
        <v>1</v>
      </c>
    </row>
    <row r="3264" spans="1:14" x14ac:dyDescent="0.3">
      <c r="A3264" s="2" t="s">
        <v>14429</v>
      </c>
      <c r="B3264" s="2" t="s">
        <v>14</v>
      </c>
      <c r="C3264" s="2" t="s">
        <v>14434</v>
      </c>
      <c r="D3264" s="3">
        <v>126</v>
      </c>
      <c r="E3264" s="3">
        <v>126</v>
      </c>
      <c r="F3264" s="2" t="s">
        <v>16</v>
      </c>
      <c r="G3264" s="2" t="s">
        <v>14435</v>
      </c>
      <c r="H3264" s="3">
        <v>0</v>
      </c>
      <c r="I3264" s="2" t="s">
        <v>409</v>
      </c>
      <c r="J3264" s="2" t="s">
        <v>14436</v>
      </c>
      <c r="K3264" s="2" t="s">
        <v>16</v>
      </c>
      <c r="L3264" s="2" t="s">
        <v>14437</v>
      </c>
      <c r="M3264" s="4">
        <v>9.6999999999999993</v>
      </c>
      <c r="N3264" t="e">
        <f>OR(LEFT(B3264,3)="frg",(_xlfn.XMATCH(B3264,ZZZ_Part_Id_[[#All],[FGCODE]])))</f>
        <v>#N/A</v>
      </c>
    </row>
    <row r="3265" spans="1:14" x14ac:dyDescent="0.3">
      <c r="A3265" s="2" t="s">
        <v>14429</v>
      </c>
      <c r="B3265" s="2" t="s">
        <v>140</v>
      </c>
      <c r="C3265" s="2" t="s">
        <v>14438</v>
      </c>
      <c r="D3265" s="3">
        <v>2.52</v>
      </c>
      <c r="E3265" s="3">
        <v>2.52</v>
      </c>
      <c r="F3265" s="2" t="s">
        <v>16</v>
      </c>
      <c r="G3265" s="2" t="s">
        <v>14439</v>
      </c>
      <c r="H3265" s="3">
        <v>0</v>
      </c>
      <c r="I3265" s="2" t="s">
        <v>409</v>
      </c>
      <c r="J3265" s="2" t="s">
        <v>14440</v>
      </c>
      <c r="K3265" s="2" t="s">
        <v>16</v>
      </c>
      <c r="L3265" s="2" t="s">
        <v>14441</v>
      </c>
      <c r="M3265" s="4">
        <v>5.26</v>
      </c>
      <c r="N3265" t="e">
        <f>OR(LEFT(B3265,3)="frg",(_xlfn.XMATCH(B3265,ZZZ_Part_Id_[[#All],[FGCODE]])))</f>
        <v>#N/A</v>
      </c>
    </row>
    <row r="3266" spans="1:14" x14ac:dyDescent="0.3">
      <c r="A3266" s="2" t="s">
        <v>14429</v>
      </c>
      <c r="B3266" s="2" t="s">
        <v>192</v>
      </c>
      <c r="C3266" s="2" t="s">
        <v>14442</v>
      </c>
      <c r="D3266" s="3">
        <v>0.63</v>
      </c>
      <c r="E3266" s="3">
        <v>0.63</v>
      </c>
      <c r="F3266" s="2" t="s">
        <v>194</v>
      </c>
      <c r="G3266" s="2" t="s">
        <v>14443</v>
      </c>
      <c r="H3266" s="3">
        <v>0</v>
      </c>
      <c r="I3266" s="2" t="s">
        <v>409</v>
      </c>
      <c r="J3266" s="2" t="s">
        <v>14444</v>
      </c>
      <c r="K3266" s="2" t="s">
        <v>194</v>
      </c>
      <c r="L3266" s="2" t="s">
        <v>14445</v>
      </c>
      <c r="M3266" s="4">
        <v>3.17</v>
      </c>
      <c r="N3266" t="e">
        <f>OR(LEFT(B3266,3)="frg",(_xlfn.XMATCH(B3266,ZZZ_Part_Id_[[#All],[FGCODE]])))</f>
        <v>#N/A</v>
      </c>
    </row>
    <row r="3267" spans="1:14" x14ac:dyDescent="0.3">
      <c r="A3267" s="2" t="s">
        <v>14446</v>
      </c>
      <c r="B3267" s="2" t="s">
        <v>1027</v>
      </c>
      <c r="C3267" s="2" t="s">
        <v>14447</v>
      </c>
      <c r="D3267" s="3">
        <v>148680</v>
      </c>
      <c r="E3267" s="3">
        <v>148680</v>
      </c>
      <c r="F3267" s="2" t="s">
        <v>16</v>
      </c>
      <c r="G3267" s="2" t="s">
        <v>14448</v>
      </c>
      <c r="H3267" s="3">
        <v>0</v>
      </c>
      <c r="I3267" s="2" t="s">
        <v>409</v>
      </c>
      <c r="J3267" s="2" t="s">
        <v>14449</v>
      </c>
      <c r="K3267" s="2" t="s">
        <v>16</v>
      </c>
      <c r="L3267" s="2" t="s">
        <v>14450</v>
      </c>
      <c r="M3267" s="4">
        <v>29953.14</v>
      </c>
      <c r="N3267" t="b">
        <f>OR(LEFT(B3267,3)="frg",(_xlfn.XMATCH(B3267,ZZZ_Part_Id_[[#All],[FGCODE]])))</f>
        <v>1</v>
      </c>
    </row>
    <row r="3268" spans="1:14" x14ac:dyDescent="0.3">
      <c r="A3268" s="2" t="s">
        <v>14446</v>
      </c>
      <c r="B3268" s="2" t="s">
        <v>14</v>
      </c>
      <c r="C3268" s="2" t="s">
        <v>14451</v>
      </c>
      <c r="D3268" s="3">
        <v>30</v>
      </c>
      <c r="E3268" s="3">
        <v>30</v>
      </c>
      <c r="F3268" s="2" t="s">
        <v>16</v>
      </c>
      <c r="G3268" s="2" t="s">
        <v>14452</v>
      </c>
      <c r="H3268" s="3">
        <v>0</v>
      </c>
      <c r="I3268" s="2" t="s">
        <v>409</v>
      </c>
      <c r="J3268" s="2" t="s">
        <v>14453</v>
      </c>
      <c r="K3268" s="2" t="s">
        <v>16</v>
      </c>
      <c r="L3268" s="2" t="s">
        <v>14454</v>
      </c>
      <c r="M3268" s="4">
        <v>2.31</v>
      </c>
      <c r="N3268" t="e">
        <f>OR(LEFT(B3268,3)="frg",(_xlfn.XMATCH(B3268,ZZZ_Part_Id_[[#All],[FGCODE]])))</f>
        <v>#N/A</v>
      </c>
    </row>
    <row r="3269" spans="1:14" x14ac:dyDescent="0.3">
      <c r="A3269" s="2" t="s">
        <v>14446</v>
      </c>
      <c r="B3269" s="2" t="s">
        <v>140</v>
      </c>
      <c r="C3269" s="2" t="s">
        <v>14455</v>
      </c>
      <c r="D3269" s="3">
        <v>0.56000000000000005</v>
      </c>
      <c r="E3269" s="3">
        <v>0.56000000000000005</v>
      </c>
      <c r="F3269" s="2" t="s">
        <v>16</v>
      </c>
      <c r="G3269" s="2" t="s">
        <v>14456</v>
      </c>
      <c r="H3269" s="3">
        <v>0</v>
      </c>
      <c r="I3269" s="2" t="s">
        <v>409</v>
      </c>
      <c r="J3269" s="2" t="s">
        <v>14457</v>
      </c>
      <c r="K3269" s="2" t="s">
        <v>16</v>
      </c>
      <c r="L3269" s="2" t="s">
        <v>14458</v>
      </c>
      <c r="M3269" s="4">
        <v>1.17</v>
      </c>
      <c r="N3269" t="e">
        <f>OR(LEFT(B3269,3)="frg",(_xlfn.XMATCH(B3269,ZZZ_Part_Id_[[#All],[FGCODE]])))</f>
        <v>#N/A</v>
      </c>
    </row>
    <row r="3270" spans="1:14" x14ac:dyDescent="0.3">
      <c r="A3270" s="2" t="s">
        <v>14446</v>
      </c>
      <c r="B3270" s="2" t="s">
        <v>192</v>
      </c>
      <c r="C3270" s="2" t="s">
        <v>14459</v>
      </c>
      <c r="D3270" s="3">
        <v>0.14000000000000001</v>
      </c>
      <c r="E3270" s="3">
        <v>0.14000000000000001</v>
      </c>
      <c r="F3270" s="2" t="s">
        <v>194</v>
      </c>
      <c r="G3270" s="2" t="s">
        <v>14460</v>
      </c>
      <c r="H3270" s="3">
        <v>0</v>
      </c>
      <c r="I3270" s="2" t="s">
        <v>409</v>
      </c>
      <c r="J3270" s="2" t="s">
        <v>14461</v>
      </c>
      <c r="K3270" s="2" t="s">
        <v>194</v>
      </c>
      <c r="L3270" s="2" t="s">
        <v>14462</v>
      </c>
      <c r="M3270" s="4">
        <v>0.7</v>
      </c>
      <c r="N3270" t="e">
        <f>OR(LEFT(B3270,3)="frg",(_xlfn.XMATCH(B3270,ZZZ_Part_Id_[[#All],[FGCODE]])))</f>
        <v>#N/A</v>
      </c>
    </row>
    <row r="3271" spans="1:14" x14ac:dyDescent="0.3">
      <c r="A3271" s="2" t="s">
        <v>14463</v>
      </c>
      <c r="B3271" s="2" t="s">
        <v>740</v>
      </c>
      <c r="C3271" s="2" t="s">
        <v>14464</v>
      </c>
      <c r="D3271" s="3">
        <v>509760</v>
      </c>
      <c r="E3271" s="3">
        <v>509760</v>
      </c>
      <c r="F3271" s="2" t="s">
        <v>16</v>
      </c>
      <c r="G3271" s="2" t="s">
        <v>14465</v>
      </c>
      <c r="H3271" s="3">
        <v>0</v>
      </c>
      <c r="I3271" s="2" t="s">
        <v>409</v>
      </c>
      <c r="J3271" s="2" t="s">
        <v>14466</v>
      </c>
      <c r="K3271" s="2" t="s">
        <v>16</v>
      </c>
      <c r="L3271" s="2" t="s">
        <v>14467</v>
      </c>
      <c r="M3271" s="4">
        <v>101376</v>
      </c>
      <c r="N3271" t="b">
        <f>OR(LEFT(B3271,3)="frg",(_xlfn.XMATCH(B3271,ZZZ_Part_Id_[[#All],[FGCODE]])))</f>
        <v>1</v>
      </c>
    </row>
    <row r="3272" spans="1:14" x14ac:dyDescent="0.3">
      <c r="A3272" s="2" t="s">
        <v>14468</v>
      </c>
      <c r="B3272" s="2" t="s">
        <v>1027</v>
      </c>
      <c r="C3272" s="2" t="s">
        <v>14469</v>
      </c>
      <c r="D3272" s="3">
        <v>541620</v>
      </c>
      <c r="E3272" s="3">
        <v>541620</v>
      </c>
      <c r="F3272" s="2" t="s">
        <v>16</v>
      </c>
      <c r="G3272" s="2" t="s">
        <v>14470</v>
      </c>
      <c r="H3272" s="3">
        <v>0</v>
      </c>
      <c r="I3272" s="2" t="s">
        <v>409</v>
      </c>
      <c r="J3272" s="2" t="s">
        <v>14471</v>
      </c>
      <c r="K3272" s="2" t="s">
        <v>16</v>
      </c>
      <c r="L3272" s="2" t="s">
        <v>14472</v>
      </c>
      <c r="M3272" s="4">
        <v>109115</v>
      </c>
      <c r="N3272" t="b">
        <f>OR(LEFT(B3272,3)="frg",(_xlfn.XMATCH(B3272,ZZZ_Part_Id_[[#All],[FGCODE]])))</f>
        <v>1</v>
      </c>
    </row>
    <row r="3273" spans="1:14" x14ac:dyDescent="0.3">
      <c r="A3273" s="2" t="s">
        <v>14473</v>
      </c>
      <c r="B3273" s="2" t="s">
        <v>517</v>
      </c>
      <c r="C3273" s="2" t="s">
        <v>14474</v>
      </c>
      <c r="D3273" s="3">
        <v>413280</v>
      </c>
      <c r="E3273" s="3">
        <v>413280</v>
      </c>
      <c r="F3273" s="2" t="s">
        <v>16</v>
      </c>
      <c r="G3273" s="2" t="s">
        <v>14475</v>
      </c>
      <c r="H3273" s="3">
        <v>0</v>
      </c>
      <c r="I3273" s="2" t="s">
        <v>409</v>
      </c>
      <c r="J3273" s="2" t="s">
        <v>14476</v>
      </c>
      <c r="K3273" s="2" t="s">
        <v>16</v>
      </c>
      <c r="L3273" s="2" t="s">
        <v>14477</v>
      </c>
      <c r="M3273" s="4">
        <v>75216.960000000006</v>
      </c>
      <c r="N3273" t="b">
        <f>OR(LEFT(B3273,3)="frg",(_xlfn.XMATCH(B3273,ZZZ_Part_Id_[[#All],[FGCODE]])))</f>
        <v>1</v>
      </c>
    </row>
    <row r="3274" spans="1:14" x14ac:dyDescent="0.3">
      <c r="A3274" s="2" t="s">
        <v>14478</v>
      </c>
      <c r="B3274" s="2" t="s">
        <v>5357</v>
      </c>
      <c r="C3274" s="2" t="s">
        <v>14479</v>
      </c>
      <c r="D3274" s="3">
        <v>86112</v>
      </c>
      <c r="E3274" s="3">
        <v>86112</v>
      </c>
      <c r="F3274" s="2" t="s">
        <v>16</v>
      </c>
      <c r="G3274" s="2" t="s">
        <v>14480</v>
      </c>
      <c r="H3274" s="3">
        <v>0</v>
      </c>
      <c r="I3274" s="2" t="s">
        <v>409</v>
      </c>
      <c r="J3274" s="2" t="s">
        <v>14481</v>
      </c>
      <c r="K3274" s="2" t="s">
        <v>16</v>
      </c>
      <c r="L3274" s="2" t="s">
        <v>14482</v>
      </c>
      <c r="M3274" s="4">
        <v>25728.560000000001</v>
      </c>
      <c r="N3274" t="b">
        <f>OR(LEFT(B3274,3)="frg",(_xlfn.XMATCH(B3274,ZZZ_Part_Id_[[#All],[FGCODE]])))</f>
        <v>1</v>
      </c>
    </row>
    <row r="3275" spans="1:14" x14ac:dyDescent="0.3">
      <c r="A3275" s="2" t="s">
        <v>14478</v>
      </c>
      <c r="B3275" s="2" t="s">
        <v>14</v>
      </c>
      <c r="C3275" s="2" t="s">
        <v>14483</v>
      </c>
      <c r="D3275" s="3">
        <v>26</v>
      </c>
      <c r="E3275" s="3">
        <v>26</v>
      </c>
      <c r="F3275" s="2" t="s">
        <v>16</v>
      </c>
      <c r="G3275" s="2" t="s">
        <v>14484</v>
      </c>
      <c r="H3275" s="3">
        <v>0</v>
      </c>
      <c r="I3275" s="2" t="s">
        <v>409</v>
      </c>
      <c r="J3275" s="2" t="s">
        <v>14485</v>
      </c>
      <c r="K3275" s="2" t="s">
        <v>16</v>
      </c>
      <c r="L3275" s="2" t="s">
        <v>14486</v>
      </c>
      <c r="M3275" s="4">
        <v>2</v>
      </c>
      <c r="N3275" t="e">
        <f>OR(LEFT(B3275,3)="frg",(_xlfn.XMATCH(B3275,ZZZ_Part_Id_[[#All],[FGCODE]])))</f>
        <v>#N/A</v>
      </c>
    </row>
    <row r="3276" spans="1:14" x14ac:dyDescent="0.3">
      <c r="A3276" s="2" t="s">
        <v>14478</v>
      </c>
      <c r="B3276" s="2" t="s">
        <v>140</v>
      </c>
      <c r="C3276" s="2" t="s">
        <v>14487</v>
      </c>
      <c r="D3276" s="3">
        <v>0.52</v>
      </c>
      <c r="E3276" s="3">
        <v>0.52</v>
      </c>
      <c r="F3276" s="2" t="s">
        <v>16</v>
      </c>
      <c r="G3276" s="2" t="s">
        <v>14488</v>
      </c>
      <c r="H3276" s="3">
        <v>0</v>
      </c>
      <c r="I3276" s="2" t="s">
        <v>409</v>
      </c>
      <c r="J3276" s="2" t="s">
        <v>14489</v>
      </c>
      <c r="K3276" s="2" t="s">
        <v>16</v>
      </c>
      <c r="L3276" s="2" t="s">
        <v>14490</v>
      </c>
      <c r="M3276" s="4">
        <v>1.0900000000000001</v>
      </c>
      <c r="N3276" t="e">
        <f>OR(LEFT(B3276,3)="frg",(_xlfn.XMATCH(B3276,ZZZ_Part_Id_[[#All],[FGCODE]])))</f>
        <v>#N/A</v>
      </c>
    </row>
    <row r="3277" spans="1:14" x14ac:dyDescent="0.3">
      <c r="A3277" s="2" t="s">
        <v>14478</v>
      </c>
      <c r="B3277" s="2" t="s">
        <v>192</v>
      </c>
      <c r="C3277" s="2" t="s">
        <v>14491</v>
      </c>
      <c r="D3277" s="3">
        <v>0.13</v>
      </c>
      <c r="E3277" s="3">
        <v>0.13</v>
      </c>
      <c r="F3277" s="2" t="s">
        <v>194</v>
      </c>
      <c r="G3277" s="2" t="s">
        <v>14492</v>
      </c>
      <c r="H3277" s="3">
        <v>0</v>
      </c>
      <c r="I3277" s="2" t="s">
        <v>409</v>
      </c>
      <c r="J3277" s="2" t="s">
        <v>14493</v>
      </c>
      <c r="K3277" s="2" t="s">
        <v>194</v>
      </c>
      <c r="L3277" s="2" t="s">
        <v>14494</v>
      </c>
      <c r="M3277" s="4">
        <v>0.65</v>
      </c>
      <c r="N3277" t="e">
        <f>OR(LEFT(B3277,3)="frg",(_xlfn.XMATCH(B3277,ZZZ_Part_Id_[[#All],[FGCODE]])))</f>
        <v>#N/A</v>
      </c>
    </row>
    <row r="3278" spans="1:14" x14ac:dyDescent="0.3">
      <c r="A3278" s="2" t="s">
        <v>14495</v>
      </c>
      <c r="B3278" s="2" t="s">
        <v>97</v>
      </c>
      <c r="C3278" s="2" t="s">
        <v>14496</v>
      </c>
      <c r="D3278" s="3">
        <v>264000</v>
      </c>
      <c r="E3278" s="3">
        <v>264000</v>
      </c>
      <c r="F3278" s="2" t="s">
        <v>16</v>
      </c>
      <c r="G3278" s="2" t="s">
        <v>14497</v>
      </c>
      <c r="H3278" s="3">
        <v>0</v>
      </c>
      <c r="I3278" s="2" t="s">
        <v>409</v>
      </c>
      <c r="J3278" s="2" t="s">
        <v>14498</v>
      </c>
      <c r="K3278" s="2" t="s">
        <v>16</v>
      </c>
      <c r="L3278" s="2" t="s">
        <v>14499</v>
      </c>
      <c r="M3278" s="4">
        <v>90583.9</v>
      </c>
      <c r="N3278" t="b">
        <f>OR(LEFT(B3278,3)="frg",(_xlfn.XMATCH(B3278,ZZZ_Part_Id_[[#All],[FGCODE]])))</f>
        <v>1</v>
      </c>
    </row>
    <row r="3279" spans="1:14" x14ac:dyDescent="0.3">
      <c r="A3279" s="2" t="s">
        <v>14495</v>
      </c>
      <c r="B3279" s="2" t="s">
        <v>14</v>
      </c>
      <c r="C3279" s="2" t="s">
        <v>14500</v>
      </c>
      <c r="D3279" s="3">
        <v>55</v>
      </c>
      <c r="E3279" s="3">
        <v>55</v>
      </c>
      <c r="F3279" s="2" t="s">
        <v>16</v>
      </c>
      <c r="G3279" s="2" t="s">
        <v>131</v>
      </c>
      <c r="H3279" s="3">
        <v>0</v>
      </c>
      <c r="I3279" s="2" t="s">
        <v>409</v>
      </c>
      <c r="J3279" s="2" t="s">
        <v>14501</v>
      </c>
      <c r="K3279" s="2" t="s">
        <v>16</v>
      </c>
      <c r="L3279" s="2" t="s">
        <v>14502</v>
      </c>
      <c r="M3279" s="4">
        <v>4.2300000000000004</v>
      </c>
      <c r="N3279" t="e">
        <f>OR(LEFT(B3279,3)="frg",(_xlfn.XMATCH(B3279,ZZZ_Part_Id_[[#All],[FGCODE]])))</f>
        <v>#N/A</v>
      </c>
    </row>
    <row r="3280" spans="1:14" x14ac:dyDescent="0.3">
      <c r="A3280" s="2" t="s">
        <v>14495</v>
      </c>
      <c r="B3280" s="2" t="s">
        <v>140</v>
      </c>
      <c r="C3280" s="2" t="s">
        <v>14503</v>
      </c>
      <c r="D3280" s="3">
        <v>2.2000000000000002</v>
      </c>
      <c r="E3280" s="3">
        <v>2.2000000000000002</v>
      </c>
      <c r="F3280" s="2" t="s">
        <v>16</v>
      </c>
      <c r="G3280" s="2" t="s">
        <v>131</v>
      </c>
      <c r="H3280" s="3">
        <v>0</v>
      </c>
      <c r="I3280" s="2" t="s">
        <v>409</v>
      </c>
      <c r="J3280" s="2" t="s">
        <v>14504</v>
      </c>
      <c r="K3280" s="2" t="s">
        <v>16</v>
      </c>
      <c r="L3280" s="2" t="s">
        <v>14505</v>
      </c>
      <c r="M3280" s="4">
        <v>4.59</v>
      </c>
      <c r="N3280" t="e">
        <f>OR(LEFT(B3280,3)="frg",(_xlfn.XMATCH(B3280,ZZZ_Part_Id_[[#All],[FGCODE]])))</f>
        <v>#N/A</v>
      </c>
    </row>
    <row r="3281" spans="1:14" x14ac:dyDescent="0.3">
      <c r="A3281" s="2" t="s">
        <v>14495</v>
      </c>
      <c r="B3281" s="2" t="s">
        <v>192</v>
      </c>
      <c r="C3281" s="2" t="s">
        <v>14506</v>
      </c>
      <c r="D3281" s="3">
        <v>0.55000000000000004</v>
      </c>
      <c r="E3281" s="3">
        <v>0.55000000000000004</v>
      </c>
      <c r="F3281" s="2" t="s">
        <v>194</v>
      </c>
      <c r="G3281" s="2" t="s">
        <v>131</v>
      </c>
      <c r="H3281" s="3">
        <v>0</v>
      </c>
      <c r="I3281" s="2" t="s">
        <v>409</v>
      </c>
      <c r="J3281" s="2" t="s">
        <v>14507</v>
      </c>
      <c r="K3281" s="2" t="s">
        <v>194</v>
      </c>
      <c r="L3281" s="2" t="s">
        <v>14508</v>
      </c>
      <c r="M3281" s="4">
        <v>2.77</v>
      </c>
      <c r="N3281" t="e">
        <f>OR(LEFT(B3281,3)="frg",(_xlfn.XMATCH(B3281,ZZZ_Part_Id_[[#All],[FGCODE]])))</f>
        <v>#N/A</v>
      </c>
    </row>
    <row r="3282" spans="1:14" x14ac:dyDescent="0.3">
      <c r="A3282" s="2" t="s">
        <v>14509</v>
      </c>
      <c r="B3282" s="2" t="s">
        <v>1027</v>
      </c>
      <c r="C3282" s="2" t="s">
        <v>14510</v>
      </c>
      <c r="D3282" s="3">
        <v>669060</v>
      </c>
      <c r="E3282" s="3">
        <v>669060</v>
      </c>
      <c r="F3282" s="2" t="s">
        <v>16</v>
      </c>
      <c r="G3282" s="2" t="s">
        <v>14511</v>
      </c>
      <c r="H3282" s="3">
        <v>0</v>
      </c>
      <c r="I3282" s="2" t="s">
        <v>409</v>
      </c>
      <c r="J3282" s="2" t="s">
        <v>14512</v>
      </c>
      <c r="K3282" s="2" t="s">
        <v>16</v>
      </c>
      <c r="L3282" s="2" t="s">
        <v>14513</v>
      </c>
      <c r="M3282" s="4">
        <v>134789.13</v>
      </c>
      <c r="N3282" t="b">
        <f>OR(LEFT(B3282,3)="frg",(_xlfn.XMATCH(B3282,ZZZ_Part_Id_[[#All],[FGCODE]])))</f>
        <v>1</v>
      </c>
    </row>
    <row r="3283" spans="1:14" x14ac:dyDescent="0.3">
      <c r="A3283" s="2" t="s">
        <v>14514</v>
      </c>
      <c r="B3283" s="2" t="s">
        <v>517</v>
      </c>
      <c r="C3283" s="2" t="s">
        <v>14515</v>
      </c>
      <c r="D3283" s="3">
        <v>393120</v>
      </c>
      <c r="E3283" s="3">
        <v>393120</v>
      </c>
      <c r="F3283" s="2" t="s">
        <v>16</v>
      </c>
      <c r="G3283" s="2" t="s">
        <v>14516</v>
      </c>
      <c r="H3283" s="3">
        <v>0</v>
      </c>
      <c r="I3283" s="2" t="s">
        <v>409</v>
      </c>
      <c r="J3283" s="2" t="s">
        <v>14517</v>
      </c>
      <c r="K3283" s="2" t="s">
        <v>16</v>
      </c>
      <c r="L3283" s="2" t="s">
        <v>14518</v>
      </c>
      <c r="M3283" s="4">
        <v>71547.839999999997</v>
      </c>
      <c r="N3283" t="b">
        <f>OR(LEFT(B3283,3)="frg",(_xlfn.XMATCH(B3283,ZZZ_Part_Id_[[#All],[FGCODE]])))</f>
        <v>1</v>
      </c>
    </row>
    <row r="3284" spans="1:14" x14ac:dyDescent="0.3">
      <c r="A3284" s="2" t="s">
        <v>14519</v>
      </c>
      <c r="B3284" s="2" t="s">
        <v>740</v>
      </c>
      <c r="C3284" s="2" t="s">
        <v>14520</v>
      </c>
      <c r="D3284" s="3">
        <v>807120</v>
      </c>
      <c r="E3284" s="3">
        <v>807120</v>
      </c>
      <c r="F3284" s="2" t="s">
        <v>16</v>
      </c>
      <c r="G3284" s="2" t="s">
        <v>14521</v>
      </c>
      <c r="H3284" s="3">
        <v>0</v>
      </c>
      <c r="I3284" s="2" t="s">
        <v>409</v>
      </c>
      <c r="J3284" s="2" t="s">
        <v>14522</v>
      </c>
      <c r="K3284" s="2" t="s">
        <v>16</v>
      </c>
      <c r="L3284" s="2" t="s">
        <v>14523</v>
      </c>
      <c r="M3284" s="4">
        <v>160512</v>
      </c>
      <c r="N3284" t="b">
        <f>OR(LEFT(B3284,3)="frg",(_xlfn.XMATCH(B3284,ZZZ_Part_Id_[[#All],[FGCODE]])))</f>
        <v>1</v>
      </c>
    </row>
    <row r="3285" spans="1:14" x14ac:dyDescent="0.3">
      <c r="A3285" s="2" t="s">
        <v>14524</v>
      </c>
      <c r="B3285" s="2" t="s">
        <v>97</v>
      </c>
      <c r="C3285" s="2" t="s">
        <v>14525</v>
      </c>
      <c r="D3285" s="3">
        <v>384000</v>
      </c>
      <c r="E3285" s="3">
        <v>384000</v>
      </c>
      <c r="F3285" s="2" t="s">
        <v>16</v>
      </c>
      <c r="G3285" s="2" t="s">
        <v>14526</v>
      </c>
      <c r="H3285" s="3">
        <v>0</v>
      </c>
      <c r="I3285" s="2" t="s">
        <v>14527</v>
      </c>
      <c r="J3285" s="2" t="s">
        <v>14528</v>
      </c>
      <c r="K3285" s="2" t="s">
        <v>16</v>
      </c>
      <c r="L3285" s="2" t="s">
        <v>14529</v>
      </c>
      <c r="M3285" s="4">
        <v>131758.39999999999</v>
      </c>
      <c r="N3285" t="b">
        <f>OR(LEFT(B3285,3)="frg",(_xlfn.XMATCH(B3285,ZZZ_Part_Id_[[#All],[FGCODE]])))</f>
        <v>1</v>
      </c>
    </row>
    <row r="3286" spans="1:14" x14ac:dyDescent="0.3">
      <c r="A3286" s="2" t="s">
        <v>14524</v>
      </c>
      <c r="B3286" s="2" t="s">
        <v>14</v>
      </c>
      <c r="C3286" s="2" t="s">
        <v>14530</v>
      </c>
      <c r="D3286" s="3">
        <v>80</v>
      </c>
      <c r="E3286" s="3">
        <v>80</v>
      </c>
      <c r="F3286" s="2" t="s">
        <v>16</v>
      </c>
      <c r="G3286" s="2" t="s">
        <v>14531</v>
      </c>
      <c r="H3286" s="3">
        <v>0</v>
      </c>
      <c r="I3286" s="2" t="s">
        <v>14527</v>
      </c>
      <c r="J3286" s="2" t="s">
        <v>14532</v>
      </c>
      <c r="K3286" s="2" t="s">
        <v>16</v>
      </c>
      <c r="L3286" s="2" t="s">
        <v>14533</v>
      </c>
      <c r="M3286" s="4">
        <v>6.16</v>
      </c>
      <c r="N3286" t="e">
        <f>OR(LEFT(B3286,3)="frg",(_xlfn.XMATCH(B3286,ZZZ_Part_Id_[[#All],[FGCODE]])))</f>
        <v>#N/A</v>
      </c>
    </row>
    <row r="3287" spans="1:14" x14ac:dyDescent="0.3">
      <c r="A3287" s="2" t="s">
        <v>14524</v>
      </c>
      <c r="B3287" s="2" t="s">
        <v>140</v>
      </c>
      <c r="C3287" s="2" t="s">
        <v>14534</v>
      </c>
      <c r="D3287" s="3">
        <v>3.2</v>
      </c>
      <c r="E3287" s="3">
        <v>3.2</v>
      </c>
      <c r="F3287" s="2" t="s">
        <v>16</v>
      </c>
      <c r="G3287" s="2" t="s">
        <v>14535</v>
      </c>
      <c r="H3287" s="3">
        <v>0</v>
      </c>
      <c r="I3287" s="2" t="s">
        <v>14527</v>
      </c>
      <c r="J3287" s="2" t="s">
        <v>14536</v>
      </c>
      <c r="K3287" s="2" t="s">
        <v>16</v>
      </c>
      <c r="L3287" s="2" t="s">
        <v>14537</v>
      </c>
      <c r="M3287" s="4">
        <v>6.68</v>
      </c>
      <c r="N3287" t="e">
        <f>OR(LEFT(B3287,3)="frg",(_xlfn.XMATCH(B3287,ZZZ_Part_Id_[[#All],[FGCODE]])))</f>
        <v>#N/A</v>
      </c>
    </row>
    <row r="3288" spans="1:14" x14ac:dyDescent="0.3">
      <c r="A3288" s="2" t="s">
        <v>14524</v>
      </c>
      <c r="B3288" s="2" t="s">
        <v>192</v>
      </c>
      <c r="C3288" s="2" t="s">
        <v>14538</v>
      </c>
      <c r="D3288" s="3">
        <v>0.8</v>
      </c>
      <c r="E3288" s="3">
        <v>0.8</v>
      </c>
      <c r="F3288" s="2" t="s">
        <v>194</v>
      </c>
      <c r="G3288" s="2" t="s">
        <v>14539</v>
      </c>
      <c r="H3288" s="3">
        <v>0</v>
      </c>
      <c r="I3288" s="2" t="s">
        <v>14527</v>
      </c>
      <c r="J3288" s="2" t="s">
        <v>14540</v>
      </c>
      <c r="K3288" s="2" t="s">
        <v>194</v>
      </c>
      <c r="L3288" s="2" t="s">
        <v>14541</v>
      </c>
      <c r="M3288" s="4">
        <v>4.03</v>
      </c>
      <c r="N3288" t="e">
        <f>OR(LEFT(B3288,3)="frg",(_xlfn.XMATCH(B3288,ZZZ_Part_Id_[[#All],[FGCODE]])))</f>
        <v>#N/A</v>
      </c>
    </row>
    <row r="3289" spans="1:14" x14ac:dyDescent="0.3">
      <c r="A3289" s="2" t="s">
        <v>14542</v>
      </c>
      <c r="B3289" s="2" t="s">
        <v>1027</v>
      </c>
      <c r="C3289" s="2" t="s">
        <v>14543</v>
      </c>
      <c r="D3289" s="3">
        <v>584100</v>
      </c>
      <c r="E3289" s="3">
        <v>584100</v>
      </c>
      <c r="F3289" s="2" t="s">
        <v>16</v>
      </c>
      <c r="G3289" s="2" t="s">
        <v>14544</v>
      </c>
      <c r="H3289" s="3">
        <v>0</v>
      </c>
      <c r="I3289" s="2" t="s">
        <v>409</v>
      </c>
      <c r="J3289" s="2" t="s">
        <v>14545</v>
      </c>
      <c r="K3289" s="2" t="s">
        <v>16</v>
      </c>
      <c r="L3289" s="2" t="s">
        <v>14546</v>
      </c>
      <c r="M3289" s="4">
        <v>117673.05</v>
      </c>
      <c r="N3289" t="b">
        <f>OR(LEFT(B3289,3)="frg",(_xlfn.XMATCH(B3289,ZZZ_Part_Id_[[#All],[FGCODE]])))</f>
        <v>1</v>
      </c>
    </row>
    <row r="3290" spans="1:14" x14ac:dyDescent="0.3">
      <c r="A3290" s="2" t="s">
        <v>14542</v>
      </c>
      <c r="B3290" s="2" t="s">
        <v>14</v>
      </c>
      <c r="C3290" s="2" t="s">
        <v>14547</v>
      </c>
      <c r="D3290" s="3">
        <v>45</v>
      </c>
      <c r="E3290" s="3">
        <v>45</v>
      </c>
      <c r="F3290" s="2" t="s">
        <v>16</v>
      </c>
      <c r="G3290" s="2" t="s">
        <v>14548</v>
      </c>
      <c r="H3290" s="3">
        <v>0</v>
      </c>
      <c r="I3290" s="2" t="s">
        <v>409</v>
      </c>
      <c r="J3290" s="2" t="s">
        <v>14549</v>
      </c>
      <c r="K3290" s="2" t="s">
        <v>16</v>
      </c>
      <c r="L3290" s="2" t="s">
        <v>14550</v>
      </c>
      <c r="M3290" s="4">
        <v>3.46</v>
      </c>
      <c r="N3290" t="e">
        <f>OR(LEFT(B3290,3)="frg",(_xlfn.XMATCH(B3290,ZZZ_Part_Id_[[#All],[FGCODE]])))</f>
        <v>#N/A</v>
      </c>
    </row>
    <row r="3291" spans="1:14" x14ac:dyDescent="0.3">
      <c r="A3291" s="2" t="s">
        <v>14542</v>
      </c>
      <c r="B3291" s="2" t="s">
        <v>140</v>
      </c>
      <c r="C3291" s="2" t="s">
        <v>14551</v>
      </c>
      <c r="D3291" s="3">
        <v>1.8</v>
      </c>
      <c r="E3291" s="3">
        <v>1.8</v>
      </c>
      <c r="F3291" s="2" t="s">
        <v>16</v>
      </c>
      <c r="G3291" s="2" t="s">
        <v>14552</v>
      </c>
      <c r="H3291" s="3">
        <v>0</v>
      </c>
      <c r="I3291" s="2" t="s">
        <v>409</v>
      </c>
      <c r="J3291" s="2" t="s">
        <v>14553</v>
      </c>
      <c r="K3291" s="2" t="s">
        <v>16</v>
      </c>
      <c r="L3291" s="2" t="s">
        <v>14554</v>
      </c>
      <c r="M3291" s="4">
        <v>3.76</v>
      </c>
      <c r="N3291" t="e">
        <f>OR(LEFT(B3291,3)="frg",(_xlfn.XMATCH(B3291,ZZZ_Part_Id_[[#All],[FGCODE]])))</f>
        <v>#N/A</v>
      </c>
    </row>
    <row r="3292" spans="1:14" x14ac:dyDescent="0.3">
      <c r="A3292" s="2" t="s">
        <v>14542</v>
      </c>
      <c r="B3292" s="2" t="s">
        <v>192</v>
      </c>
      <c r="C3292" s="2" t="s">
        <v>14555</v>
      </c>
      <c r="D3292" s="3">
        <v>0.45</v>
      </c>
      <c r="E3292" s="3">
        <v>0.45</v>
      </c>
      <c r="F3292" s="2" t="s">
        <v>194</v>
      </c>
      <c r="G3292" s="2" t="s">
        <v>14556</v>
      </c>
      <c r="H3292" s="3">
        <v>0</v>
      </c>
      <c r="I3292" s="2" t="s">
        <v>409</v>
      </c>
      <c r="J3292" s="2" t="s">
        <v>14557</v>
      </c>
      <c r="K3292" s="2" t="s">
        <v>194</v>
      </c>
      <c r="L3292" s="2" t="s">
        <v>14558</v>
      </c>
      <c r="M3292" s="4">
        <v>2.2599999999999998</v>
      </c>
      <c r="N3292" t="e">
        <f>OR(LEFT(B3292,3)="frg",(_xlfn.XMATCH(B3292,ZZZ_Part_Id_[[#All],[FGCODE]])))</f>
        <v>#N/A</v>
      </c>
    </row>
    <row r="3293" spans="1:14" x14ac:dyDescent="0.3">
      <c r="A3293" s="2" t="s">
        <v>14542</v>
      </c>
      <c r="B3293" s="2" t="s">
        <v>21</v>
      </c>
      <c r="C3293" s="2" t="s">
        <v>14559</v>
      </c>
      <c r="D3293" s="5">
        <v>-3230</v>
      </c>
      <c r="E3293" s="5">
        <v>-3230</v>
      </c>
      <c r="F3293" s="2" t="s">
        <v>23</v>
      </c>
      <c r="G3293" s="2" t="s">
        <v>14560</v>
      </c>
      <c r="H3293" s="3">
        <v>0</v>
      </c>
      <c r="I3293" s="2" t="s">
        <v>409</v>
      </c>
      <c r="J3293" s="2" t="s">
        <v>14561</v>
      </c>
      <c r="K3293" s="2" t="s">
        <v>23</v>
      </c>
      <c r="L3293" s="2" t="s">
        <v>14562</v>
      </c>
      <c r="M3293" s="6">
        <v>-8120.22</v>
      </c>
      <c r="N3293" t="b">
        <f>OR(LEFT(B3293,3)="frg",(_xlfn.XMATCH(B3293,ZZZ_Part_Id_[[#All],[FGCODE]])))</f>
        <v>1</v>
      </c>
    </row>
    <row r="3294" spans="1:14" x14ac:dyDescent="0.3">
      <c r="A3294" s="2" t="s">
        <v>14563</v>
      </c>
      <c r="B3294" s="2" t="s">
        <v>740</v>
      </c>
      <c r="C3294" s="2" t="s">
        <v>14564</v>
      </c>
      <c r="D3294" s="3">
        <v>870840</v>
      </c>
      <c r="E3294" s="3">
        <v>870840</v>
      </c>
      <c r="F3294" s="2" t="s">
        <v>16</v>
      </c>
      <c r="G3294" s="2" t="s">
        <v>14565</v>
      </c>
      <c r="H3294" s="3">
        <v>0</v>
      </c>
      <c r="I3294" s="2" t="s">
        <v>409</v>
      </c>
      <c r="J3294" s="2" t="s">
        <v>14566</v>
      </c>
      <c r="K3294" s="2" t="s">
        <v>16</v>
      </c>
      <c r="L3294" s="2" t="s">
        <v>14567</v>
      </c>
      <c r="M3294" s="4">
        <v>173184</v>
      </c>
      <c r="N3294" t="b">
        <f>OR(LEFT(B3294,3)="frg",(_xlfn.XMATCH(B3294,ZZZ_Part_Id_[[#All],[FGCODE]])))</f>
        <v>1</v>
      </c>
    </row>
    <row r="3295" spans="1:14" x14ac:dyDescent="0.3">
      <c r="A3295" s="2" t="s">
        <v>14568</v>
      </c>
      <c r="B3295" s="2" t="s">
        <v>97</v>
      </c>
      <c r="C3295" s="2" t="s">
        <v>14569</v>
      </c>
      <c r="D3295" s="3">
        <v>374400</v>
      </c>
      <c r="E3295" s="3">
        <v>374400</v>
      </c>
      <c r="F3295" s="2" t="s">
        <v>16</v>
      </c>
      <c r="G3295" s="2" t="s">
        <v>14570</v>
      </c>
      <c r="H3295" s="3">
        <v>0</v>
      </c>
      <c r="I3295" s="2" t="s">
        <v>409</v>
      </c>
      <c r="J3295" s="2" t="s">
        <v>14571</v>
      </c>
      <c r="K3295" s="2" t="s">
        <v>16</v>
      </c>
      <c r="L3295" s="2" t="s">
        <v>14572</v>
      </c>
      <c r="M3295" s="4">
        <v>128464.44</v>
      </c>
      <c r="N3295" t="b">
        <f>OR(LEFT(B3295,3)="frg",(_xlfn.XMATCH(B3295,ZZZ_Part_Id_[[#All],[FGCODE]])))</f>
        <v>1</v>
      </c>
    </row>
    <row r="3296" spans="1:14" x14ac:dyDescent="0.3">
      <c r="A3296" s="2" t="s">
        <v>14568</v>
      </c>
      <c r="B3296" s="2" t="s">
        <v>14</v>
      </c>
      <c r="C3296" s="2" t="s">
        <v>14573</v>
      </c>
      <c r="D3296" s="3">
        <v>78</v>
      </c>
      <c r="E3296" s="3">
        <v>78</v>
      </c>
      <c r="F3296" s="2" t="s">
        <v>16</v>
      </c>
      <c r="G3296" s="2" t="s">
        <v>14574</v>
      </c>
      <c r="H3296" s="3">
        <v>0</v>
      </c>
      <c r="I3296" s="2" t="s">
        <v>409</v>
      </c>
      <c r="J3296" s="2" t="s">
        <v>14575</v>
      </c>
      <c r="K3296" s="2" t="s">
        <v>16</v>
      </c>
      <c r="L3296" s="2" t="s">
        <v>14576</v>
      </c>
      <c r="M3296" s="4">
        <v>6</v>
      </c>
      <c r="N3296" t="e">
        <f>OR(LEFT(B3296,3)="frg",(_xlfn.XMATCH(B3296,ZZZ_Part_Id_[[#All],[FGCODE]])))</f>
        <v>#N/A</v>
      </c>
    </row>
    <row r="3297" spans="1:14" x14ac:dyDescent="0.3">
      <c r="A3297" s="2" t="s">
        <v>14568</v>
      </c>
      <c r="B3297" s="2" t="s">
        <v>140</v>
      </c>
      <c r="C3297" s="2" t="s">
        <v>14577</v>
      </c>
      <c r="D3297" s="3">
        <v>3.12</v>
      </c>
      <c r="E3297" s="3">
        <v>3.12</v>
      </c>
      <c r="F3297" s="2" t="s">
        <v>16</v>
      </c>
      <c r="G3297" s="2" t="s">
        <v>14578</v>
      </c>
      <c r="H3297" s="3">
        <v>0</v>
      </c>
      <c r="I3297" s="2" t="s">
        <v>409</v>
      </c>
      <c r="J3297" s="2" t="s">
        <v>14579</v>
      </c>
      <c r="K3297" s="2" t="s">
        <v>16</v>
      </c>
      <c r="L3297" s="2" t="s">
        <v>14580</v>
      </c>
      <c r="M3297" s="4">
        <v>6.51</v>
      </c>
      <c r="N3297" t="e">
        <f>OR(LEFT(B3297,3)="frg",(_xlfn.XMATCH(B3297,ZZZ_Part_Id_[[#All],[FGCODE]])))</f>
        <v>#N/A</v>
      </c>
    </row>
    <row r="3298" spans="1:14" x14ac:dyDescent="0.3">
      <c r="A3298" s="2" t="s">
        <v>14568</v>
      </c>
      <c r="B3298" s="2" t="s">
        <v>192</v>
      </c>
      <c r="C3298" s="2" t="s">
        <v>14581</v>
      </c>
      <c r="D3298" s="3">
        <v>0.78</v>
      </c>
      <c r="E3298" s="3">
        <v>0.78</v>
      </c>
      <c r="F3298" s="2" t="s">
        <v>194</v>
      </c>
      <c r="G3298" s="2" t="s">
        <v>14582</v>
      </c>
      <c r="H3298" s="3">
        <v>0</v>
      </c>
      <c r="I3298" s="2" t="s">
        <v>409</v>
      </c>
      <c r="J3298" s="2" t="s">
        <v>14583</v>
      </c>
      <c r="K3298" s="2" t="s">
        <v>194</v>
      </c>
      <c r="L3298" s="2" t="s">
        <v>14584</v>
      </c>
      <c r="M3298" s="4">
        <v>3.93</v>
      </c>
      <c r="N3298" t="e">
        <f>OR(LEFT(B3298,3)="frg",(_xlfn.XMATCH(B3298,ZZZ_Part_Id_[[#All],[FGCODE]])))</f>
        <v>#N/A</v>
      </c>
    </row>
    <row r="3299" spans="1:14" x14ac:dyDescent="0.3">
      <c r="A3299" s="2" t="s">
        <v>14585</v>
      </c>
      <c r="B3299" s="2" t="s">
        <v>14</v>
      </c>
      <c r="C3299" s="2" t="s">
        <v>14586</v>
      </c>
      <c r="D3299" s="3">
        <v>140</v>
      </c>
      <c r="E3299" s="3">
        <v>140</v>
      </c>
      <c r="F3299" s="2" t="s">
        <v>16</v>
      </c>
      <c r="G3299" s="2" t="s">
        <v>14587</v>
      </c>
      <c r="H3299" s="3">
        <v>0</v>
      </c>
      <c r="I3299" s="2" t="s">
        <v>409</v>
      </c>
      <c r="J3299" s="2" t="s">
        <v>14588</v>
      </c>
      <c r="K3299" s="2" t="s">
        <v>16</v>
      </c>
      <c r="L3299" s="2" t="s">
        <v>14589</v>
      </c>
      <c r="M3299" s="4">
        <v>10.77</v>
      </c>
      <c r="N3299" t="e">
        <f>OR(LEFT(B3299,3)="frg",(_xlfn.XMATCH(B3299,ZZZ_Part_Id_[[#All],[FGCODE]])))</f>
        <v>#N/A</v>
      </c>
    </row>
    <row r="3300" spans="1:14" x14ac:dyDescent="0.3">
      <c r="A3300" s="2" t="s">
        <v>14585</v>
      </c>
      <c r="B3300" s="2" t="s">
        <v>187</v>
      </c>
      <c r="C3300" s="2" t="s">
        <v>14590</v>
      </c>
      <c r="D3300" s="3">
        <v>20</v>
      </c>
      <c r="E3300" s="3">
        <v>20</v>
      </c>
      <c r="F3300" s="2" t="s">
        <v>16</v>
      </c>
      <c r="G3300" s="2" t="s">
        <v>14591</v>
      </c>
      <c r="H3300" s="3">
        <v>0</v>
      </c>
      <c r="I3300" s="2" t="s">
        <v>409</v>
      </c>
      <c r="J3300" s="2" t="s">
        <v>14592</v>
      </c>
      <c r="K3300" s="2" t="s">
        <v>16</v>
      </c>
      <c r="L3300" s="2" t="s">
        <v>14593</v>
      </c>
      <c r="M3300" s="4">
        <v>88.53</v>
      </c>
      <c r="N3300" t="e">
        <f>OR(LEFT(B3300,3)="frg",(_xlfn.XMATCH(B3300,ZZZ_Part_Id_[[#All],[FGCODE]])))</f>
        <v>#N/A</v>
      </c>
    </row>
    <row r="3301" spans="1:14" x14ac:dyDescent="0.3">
      <c r="A3301" s="2" t="s">
        <v>14585</v>
      </c>
      <c r="B3301" s="2" t="s">
        <v>172</v>
      </c>
      <c r="C3301" s="2" t="s">
        <v>14594</v>
      </c>
      <c r="D3301" s="3">
        <v>20</v>
      </c>
      <c r="E3301" s="3">
        <v>20</v>
      </c>
      <c r="F3301" s="2" t="s">
        <v>23</v>
      </c>
      <c r="G3301" s="2" t="s">
        <v>14595</v>
      </c>
      <c r="H3301" s="3">
        <v>0</v>
      </c>
      <c r="I3301" s="2" t="s">
        <v>409</v>
      </c>
      <c r="J3301" s="2" t="s">
        <v>14596</v>
      </c>
      <c r="K3301" s="2" t="s">
        <v>23</v>
      </c>
      <c r="L3301" s="2" t="s">
        <v>14597</v>
      </c>
      <c r="M3301" s="4">
        <v>149.12</v>
      </c>
      <c r="N3301" t="e">
        <f>OR(LEFT(B3301,3)="frg",(_xlfn.XMATCH(B3301,ZZZ_Part_Id_[[#All],[FGCODE]])))</f>
        <v>#N/A</v>
      </c>
    </row>
    <row r="3302" spans="1:14" x14ac:dyDescent="0.3">
      <c r="A3302" s="2" t="s">
        <v>14585</v>
      </c>
      <c r="B3302" s="2" t="s">
        <v>5357</v>
      </c>
      <c r="C3302" s="2" t="s">
        <v>14598</v>
      </c>
      <c r="D3302" s="3">
        <v>635904</v>
      </c>
      <c r="E3302" s="3">
        <v>635904</v>
      </c>
      <c r="F3302" s="2" t="s">
        <v>16</v>
      </c>
      <c r="G3302" s="2" t="s">
        <v>14599</v>
      </c>
      <c r="H3302" s="3">
        <v>0</v>
      </c>
      <c r="I3302" s="2" t="s">
        <v>409</v>
      </c>
      <c r="J3302" s="2" t="s">
        <v>14600</v>
      </c>
      <c r="K3302" s="2" t="s">
        <v>16</v>
      </c>
      <c r="L3302" s="2" t="s">
        <v>14601</v>
      </c>
      <c r="M3302" s="4">
        <v>189995.51999999999</v>
      </c>
      <c r="N3302" t="b">
        <f>OR(LEFT(B3302,3)="frg",(_xlfn.XMATCH(B3302,ZZZ_Part_Id_[[#All],[FGCODE]])))</f>
        <v>1</v>
      </c>
    </row>
    <row r="3303" spans="1:14" x14ac:dyDescent="0.3">
      <c r="A3303" s="2" t="s">
        <v>14602</v>
      </c>
      <c r="B3303" s="2" t="s">
        <v>14</v>
      </c>
      <c r="C3303" s="2" t="s">
        <v>14603</v>
      </c>
      <c r="D3303" s="3">
        <v>64</v>
      </c>
      <c r="E3303" s="3">
        <v>64</v>
      </c>
      <c r="F3303" s="2" t="s">
        <v>16</v>
      </c>
      <c r="G3303" s="2" t="s">
        <v>14604</v>
      </c>
      <c r="H3303" s="3">
        <v>0</v>
      </c>
      <c r="I3303" s="2" t="s">
        <v>18</v>
      </c>
      <c r="J3303" s="2" t="s">
        <v>14605</v>
      </c>
      <c r="K3303" s="2" t="s">
        <v>16</v>
      </c>
      <c r="L3303" s="2" t="s">
        <v>14606</v>
      </c>
      <c r="M3303" s="4">
        <v>4.92</v>
      </c>
      <c r="N3303" t="e">
        <f>OR(LEFT(B3303,3)="frg",(_xlfn.XMATCH(B3303,ZZZ_Part_Id_[[#All],[FGCODE]])))</f>
        <v>#N/A</v>
      </c>
    </row>
    <row r="3304" spans="1:14" x14ac:dyDescent="0.3">
      <c r="A3304" s="2" t="s">
        <v>14602</v>
      </c>
      <c r="B3304" s="2" t="s">
        <v>97</v>
      </c>
      <c r="C3304" s="2" t="s">
        <v>14607</v>
      </c>
      <c r="D3304" s="3">
        <v>292800</v>
      </c>
      <c r="E3304" s="3">
        <v>292800</v>
      </c>
      <c r="F3304" s="2" t="s">
        <v>16</v>
      </c>
      <c r="G3304" s="2" t="s">
        <v>14608</v>
      </c>
      <c r="H3304" s="3">
        <v>0</v>
      </c>
      <c r="I3304" s="2" t="s">
        <v>18</v>
      </c>
      <c r="J3304" s="2" t="s">
        <v>14609</v>
      </c>
      <c r="K3304" s="2" t="s">
        <v>16</v>
      </c>
      <c r="L3304" s="2" t="s">
        <v>14610</v>
      </c>
      <c r="M3304" s="4">
        <v>100465.78</v>
      </c>
      <c r="N3304" t="b">
        <f>OR(LEFT(B3304,3)="frg",(_xlfn.XMATCH(B3304,ZZZ_Part_Id_[[#All],[FGCODE]])))</f>
        <v>1</v>
      </c>
    </row>
    <row r="3305" spans="1:14" x14ac:dyDescent="0.3">
      <c r="A3305" s="2" t="s">
        <v>14611</v>
      </c>
      <c r="B3305" s="2" t="s">
        <v>14</v>
      </c>
      <c r="C3305" s="2" t="s">
        <v>14612</v>
      </c>
      <c r="D3305" s="3">
        <v>64</v>
      </c>
      <c r="E3305" s="3">
        <v>64</v>
      </c>
      <c r="F3305" s="2" t="s">
        <v>16</v>
      </c>
      <c r="G3305" s="2" t="s">
        <v>14613</v>
      </c>
      <c r="H3305" s="3">
        <v>0</v>
      </c>
      <c r="I3305" s="2" t="s">
        <v>409</v>
      </c>
      <c r="J3305" s="2" t="s">
        <v>14614</v>
      </c>
      <c r="K3305" s="2" t="s">
        <v>16</v>
      </c>
      <c r="L3305" s="2" t="s">
        <v>14615</v>
      </c>
      <c r="M3305" s="4">
        <v>4.92</v>
      </c>
      <c r="N3305" t="e">
        <f>OR(LEFT(B3305,3)="frg",(_xlfn.XMATCH(B3305,ZZZ_Part_Id_[[#All],[FGCODE]])))</f>
        <v>#N/A</v>
      </c>
    </row>
    <row r="3306" spans="1:14" x14ac:dyDescent="0.3">
      <c r="A3306" s="2" t="s">
        <v>14611</v>
      </c>
      <c r="B3306" s="2" t="s">
        <v>5477</v>
      </c>
      <c r="C3306" s="2" t="s">
        <v>14616</v>
      </c>
      <c r="D3306" s="3">
        <v>423936</v>
      </c>
      <c r="E3306" s="3">
        <v>423936</v>
      </c>
      <c r="F3306" s="2" t="s">
        <v>16</v>
      </c>
      <c r="G3306" s="2" t="s">
        <v>14617</v>
      </c>
      <c r="H3306" s="3">
        <v>0</v>
      </c>
      <c r="I3306" s="2" t="s">
        <v>409</v>
      </c>
      <c r="J3306" s="2" t="s">
        <v>14618</v>
      </c>
      <c r="K3306" s="2" t="s">
        <v>16</v>
      </c>
      <c r="L3306" s="2" t="s">
        <v>14619</v>
      </c>
      <c r="M3306" s="4">
        <v>126663.67999999999</v>
      </c>
      <c r="N3306" t="b">
        <f>OR(LEFT(B3306,3)="frg",(_xlfn.XMATCH(B3306,ZZZ_Part_Id_[[#All],[FGCODE]])))</f>
        <v>1</v>
      </c>
    </row>
    <row r="3307" spans="1:14" x14ac:dyDescent="0.3">
      <c r="A3307" s="2" t="s">
        <v>14620</v>
      </c>
      <c r="B3307" s="2" t="s">
        <v>14</v>
      </c>
      <c r="C3307" s="2" t="s">
        <v>14621</v>
      </c>
      <c r="D3307" s="3">
        <v>2</v>
      </c>
      <c r="E3307" s="3">
        <v>2</v>
      </c>
      <c r="F3307" s="2" t="s">
        <v>16</v>
      </c>
      <c r="G3307" s="2" t="s">
        <v>14622</v>
      </c>
      <c r="H3307" s="3">
        <v>0</v>
      </c>
      <c r="I3307" s="2" t="s">
        <v>409</v>
      </c>
      <c r="J3307" s="2" t="s">
        <v>14623</v>
      </c>
      <c r="K3307" s="2" t="s">
        <v>16</v>
      </c>
      <c r="L3307" s="2" t="s">
        <v>14624</v>
      </c>
      <c r="M3307" s="4">
        <v>0.15</v>
      </c>
      <c r="N3307" t="e">
        <f>OR(LEFT(B3307,3)="frg",(_xlfn.XMATCH(B3307,ZZZ_Part_Id_[[#All],[FGCODE]])))</f>
        <v>#N/A</v>
      </c>
    </row>
    <row r="3308" spans="1:14" x14ac:dyDescent="0.3">
      <c r="A3308" s="2" t="s">
        <v>14620</v>
      </c>
      <c r="B3308" s="2" t="s">
        <v>5357</v>
      </c>
      <c r="C3308" s="2" t="s">
        <v>14625</v>
      </c>
      <c r="D3308" s="3">
        <v>6624</v>
      </c>
      <c r="E3308" s="3">
        <v>6624</v>
      </c>
      <c r="F3308" s="2" t="s">
        <v>16</v>
      </c>
      <c r="G3308" s="2" t="s">
        <v>14626</v>
      </c>
      <c r="H3308" s="3">
        <v>0</v>
      </c>
      <c r="I3308" s="2" t="s">
        <v>409</v>
      </c>
      <c r="J3308" s="2" t="s">
        <v>14627</v>
      </c>
      <c r="K3308" s="2" t="s">
        <v>16</v>
      </c>
      <c r="L3308" s="2" t="s">
        <v>14628</v>
      </c>
      <c r="M3308" s="4">
        <v>1979.12</v>
      </c>
      <c r="N3308" t="b">
        <f>OR(LEFT(B3308,3)="frg",(_xlfn.XMATCH(B3308,ZZZ_Part_Id_[[#All],[FGCODE]])))</f>
        <v>1</v>
      </c>
    </row>
    <row r="3309" spans="1:14" x14ac:dyDescent="0.3">
      <c r="A3309" s="2" t="s">
        <v>14629</v>
      </c>
      <c r="B3309" s="2" t="s">
        <v>14</v>
      </c>
      <c r="C3309" s="2" t="s">
        <v>14630</v>
      </c>
      <c r="D3309" s="3">
        <v>2</v>
      </c>
      <c r="E3309" s="3">
        <v>2</v>
      </c>
      <c r="F3309" s="2" t="s">
        <v>16</v>
      </c>
      <c r="G3309" s="2" t="s">
        <v>14631</v>
      </c>
      <c r="H3309" s="3">
        <v>0</v>
      </c>
      <c r="I3309" s="2" t="s">
        <v>409</v>
      </c>
      <c r="J3309" s="2" t="s">
        <v>14632</v>
      </c>
      <c r="K3309" s="2" t="s">
        <v>16</v>
      </c>
      <c r="L3309" s="2" t="s">
        <v>14633</v>
      </c>
      <c r="M3309" s="4">
        <v>0.15</v>
      </c>
      <c r="N3309" t="e">
        <f>OR(LEFT(B3309,3)="frg",(_xlfn.XMATCH(B3309,ZZZ_Part_Id_[[#All],[FGCODE]])))</f>
        <v>#N/A</v>
      </c>
    </row>
    <row r="3310" spans="1:14" x14ac:dyDescent="0.3">
      <c r="A3310" s="2" t="s">
        <v>14629</v>
      </c>
      <c r="B3310" s="2" t="s">
        <v>5357</v>
      </c>
      <c r="C3310" s="2" t="s">
        <v>14634</v>
      </c>
      <c r="D3310" s="3">
        <v>6624</v>
      </c>
      <c r="E3310" s="3">
        <v>6624</v>
      </c>
      <c r="F3310" s="2" t="s">
        <v>16</v>
      </c>
      <c r="G3310" s="2" t="s">
        <v>14635</v>
      </c>
      <c r="H3310" s="3">
        <v>0</v>
      </c>
      <c r="I3310" s="2" t="s">
        <v>409</v>
      </c>
      <c r="J3310" s="2" t="s">
        <v>14636</v>
      </c>
      <c r="K3310" s="2" t="s">
        <v>16</v>
      </c>
      <c r="L3310" s="2" t="s">
        <v>14637</v>
      </c>
      <c r="M3310" s="4">
        <v>1979.12</v>
      </c>
      <c r="N3310" t="b">
        <f>OR(LEFT(B3310,3)="frg",(_xlfn.XMATCH(B3310,ZZZ_Part_Id_[[#All],[FGCODE]])))</f>
        <v>1</v>
      </c>
    </row>
    <row r="3311" spans="1:14" x14ac:dyDescent="0.3">
      <c r="A3311" s="2" t="s">
        <v>14638</v>
      </c>
      <c r="B3311" s="2" t="s">
        <v>14</v>
      </c>
      <c r="C3311" s="2" t="s">
        <v>14639</v>
      </c>
      <c r="D3311" s="3">
        <v>4</v>
      </c>
      <c r="E3311" s="3">
        <v>4</v>
      </c>
      <c r="F3311" s="2" t="s">
        <v>16</v>
      </c>
      <c r="G3311" s="2" t="s">
        <v>14640</v>
      </c>
      <c r="H3311" s="3">
        <v>0</v>
      </c>
      <c r="I3311" s="2" t="s">
        <v>18</v>
      </c>
      <c r="J3311" s="2" t="s">
        <v>14641</v>
      </c>
      <c r="K3311" s="2" t="s">
        <v>16</v>
      </c>
      <c r="L3311" s="2" t="s">
        <v>14642</v>
      </c>
      <c r="M3311" s="4">
        <v>0.31</v>
      </c>
      <c r="N3311" t="e">
        <f>OR(LEFT(B3311,3)="frg",(_xlfn.XMATCH(B3311,ZZZ_Part_Id_[[#All],[FGCODE]])))</f>
        <v>#N/A</v>
      </c>
    </row>
    <row r="3312" spans="1:14" x14ac:dyDescent="0.3">
      <c r="A3312" s="2" t="s">
        <v>14638</v>
      </c>
      <c r="B3312" s="2" t="s">
        <v>740</v>
      </c>
      <c r="C3312" s="2" t="s">
        <v>14643</v>
      </c>
      <c r="D3312" s="3">
        <v>21240</v>
      </c>
      <c r="E3312" s="3">
        <v>21240</v>
      </c>
      <c r="F3312" s="2" t="s">
        <v>16</v>
      </c>
      <c r="G3312" s="2" t="s">
        <v>14644</v>
      </c>
      <c r="H3312" s="3">
        <v>0</v>
      </c>
      <c r="I3312" s="2" t="s">
        <v>18</v>
      </c>
      <c r="J3312" s="2" t="s">
        <v>14645</v>
      </c>
      <c r="K3312" s="2" t="s">
        <v>16</v>
      </c>
      <c r="L3312" s="2" t="s">
        <v>14646</v>
      </c>
      <c r="M3312" s="4">
        <v>4224</v>
      </c>
      <c r="N3312" t="b">
        <f>OR(LEFT(B3312,3)="frg",(_xlfn.XMATCH(B3312,ZZZ_Part_Id_[[#All],[FGCODE]])))</f>
        <v>1</v>
      </c>
    </row>
    <row r="3313" spans="1:14" x14ac:dyDescent="0.3">
      <c r="A3313" s="2" t="s">
        <v>14647</v>
      </c>
      <c r="B3313" s="2" t="s">
        <v>14</v>
      </c>
      <c r="C3313" s="2" t="s">
        <v>14648</v>
      </c>
      <c r="D3313" s="3">
        <v>64</v>
      </c>
      <c r="E3313" s="3">
        <v>64</v>
      </c>
      <c r="F3313" s="2" t="s">
        <v>16</v>
      </c>
      <c r="G3313" s="2" t="s">
        <v>14649</v>
      </c>
      <c r="H3313" s="3">
        <v>0</v>
      </c>
      <c r="I3313" s="2" t="s">
        <v>18</v>
      </c>
      <c r="J3313" s="2" t="s">
        <v>14650</v>
      </c>
      <c r="K3313" s="2" t="s">
        <v>16</v>
      </c>
      <c r="L3313" s="2" t="s">
        <v>14651</v>
      </c>
      <c r="M3313" s="4">
        <v>4.92</v>
      </c>
      <c r="N3313" t="e">
        <f>OR(LEFT(B3313,3)="frg",(_xlfn.XMATCH(B3313,ZZZ_Part_Id_[[#All],[FGCODE]])))</f>
        <v>#N/A</v>
      </c>
    </row>
    <row r="3314" spans="1:14" x14ac:dyDescent="0.3">
      <c r="A3314" s="2" t="s">
        <v>14647</v>
      </c>
      <c r="B3314" s="2" t="s">
        <v>1027</v>
      </c>
      <c r="C3314" s="2" t="s">
        <v>14652</v>
      </c>
      <c r="D3314" s="3">
        <v>350460</v>
      </c>
      <c r="E3314" s="3">
        <v>350460</v>
      </c>
      <c r="F3314" s="2" t="s">
        <v>16</v>
      </c>
      <c r="G3314" s="2" t="s">
        <v>14653</v>
      </c>
      <c r="H3314" s="3">
        <v>0</v>
      </c>
      <c r="I3314" s="2" t="s">
        <v>18</v>
      </c>
      <c r="J3314" s="2" t="s">
        <v>14654</v>
      </c>
      <c r="K3314" s="2" t="s">
        <v>16</v>
      </c>
      <c r="L3314" s="2" t="s">
        <v>14655</v>
      </c>
      <c r="M3314" s="4">
        <v>70603.83</v>
      </c>
      <c r="N3314" t="b">
        <f>OR(LEFT(B3314,3)="frg",(_xlfn.XMATCH(B3314,ZZZ_Part_Id_[[#All],[FGCODE]])))</f>
        <v>1</v>
      </c>
    </row>
    <row r="3315" spans="1:14" x14ac:dyDescent="0.3">
      <c r="A3315" s="2" t="s">
        <v>14656</v>
      </c>
      <c r="B3315" s="2" t="s">
        <v>14</v>
      </c>
      <c r="C3315" s="2" t="s">
        <v>14657</v>
      </c>
      <c r="D3315" s="3">
        <v>4</v>
      </c>
      <c r="E3315" s="3">
        <v>4</v>
      </c>
      <c r="F3315" s="2" t="s">
        <v>16</v>
      </c>
      <c r="G3315" s="2" t="s">
        <v>14658</v>
      </c>
      <c r="H3315" s="3">
        <v>0</v>
      </c>
      <c r="I3315" s="2" t="s">
        <v>18</v>
      </c>
      <c r="J3315" s="2" t="s">
        <v>14659</v>
      </c>
      <c r="K3315" s="2" t="s">
        <v>16</v>
      </c>
      <c r="L3315" s="2" t="s">
        <v>14660</v>
      </c>
      <c r="M3315" s="4">
        <v>0.31</v>
      </c>
      <c r="N3315" t="e">
        <f>OR(LEFT(B3315,3)="frg",(_xlfn.XMATCH(B3315,ZZZ_Part_Id_[[#All],[FGCODE]])))</f>
        <v>#N/A</v>
      </c>
    </row>
    <row r="3316" spans="1:14" x14ac:dyDescent="0.3">
      <c r="A3316" s="2" t="s">
        <v>14656</v>
      </c>
      <c r="B3316" s="2" t="s">
        <v>2023</v>
      </c>
      <c r="C3316" s="2" t="s">
        <v>14661</v>
      </c>
      <c r="D3316" s="3">
        <v>61920</v>
      </c>
      <c r="E3316" s="3">
        <v>61920</v>
      </c>
      <c r="F3316" s="2" t="s">
        <v>16</v>
      </c>
      <c r="G3316" s="2" t="s">
        <v>14662</v>
      </c>
      <c r="H3316" s="3">
        <v>0</v>
      </c>
      <c r="I3316" s="2" t="s">
        <v>18</v>
      </c>
      <c r="J3316" s="2" t="s">
        <v>14663</v>
      </c>
      <c r="K3316" s="2" t="s">
        <v>16</v>
      </c>
      <c r="L3316" s="2" t="s">
        <v>14664</v>
      </c>
      <c r="M3316" s="4">
        <v>6136.89</v>
      </c>
      <c r="N3316" t="b">
        <f>OR(LEFT(B3316,3)="frg",(_xlfn.XMATCH(B3316,ZZZ_Part_Id_[[#All],[FGCODE]])))</f>
        <v>1</v>
      </c>
    </row>
    <row r="3317" spans="1:14" x14ac:dyDescent="0.3">
      <c r="A3317" s="2" t="s">
        <v>14665</v>
      </c>
      <c r="B3317" s="2" t="s">
        <v>14</v>
      </c>
      <c r="C3317" s="2" t="s">
        <v>14666</v>
      </c>
      <c r="D3317" s="3">
        <v>64</v>
      </c>
      <c r="E3317" s="3">
        <v>64</v>
      </c>
      <c r="F3317" s="2" t="s">
        <v>16</v>
      </c>
      <c r="G3317" s="2" t="s">
        <v>14667</v>
      </c>
      <c r="H3317" s="3">
        <v>0</v>
      </c>
      <c r="I3317" s="2" t="s">
        <v>409</v>
      </c>
      <c r="J3317" s="2" t="s">
        <v>14668</v>
      </c>
      <c r="K3317" s="2" t="s">
        <v>16</v>
      </c>
      <c r="L3317" s="2" t="s">
        <v>14669</v>
      </c>
      <c r="M3317" s="4">
        <v>4.92</v>
      </c>
      <c r="N3317" t="e">
        <f>OR(LEFT(B3317,3)="frg",(_xlfn.XMATCH(B3317,ZZZ_Part_Id_[[#All],[FGCODE]])))</f>
        <v>#N/A</v>
      </c>
    </row>
    <row r="3318" spans="1:14" x14ac:dyDescent="0.3">
      <c r="A3318" s="2" t="s">
        <v>14665</v>
      </c>
      <c r="B3318" s="2" t="s">
        <v>5477</v>
      </c>
      <c r="C3318" s="2" t="s">
        <v>14670</v>
      </c>
      <c r="D3318" s="3">
        <v>457056</v>
      </c>
      <c r="E3318" s="3">
        <v>457056</v>
      </c>
      <c r="F3318" s="2" t="s">
        <v>16</v>
      </c>
      <c r="G3318" s="2" t="s">
        <v>14671</v>
      </c>
      <c r="H3318" s="3">
        <v>0</v>
      </c>
      <c r="I3318" s="2" t="s">
        <v>409</v>
      </c>
      <c r="J3318" s="2" t="s">
        <v>14672</v>
      </c>
      <c r="K3318" s="2" t="s">
        <v>16</v>
      </c>
      <c r="L3318" s="2" t="s">
        <v>14673</v>
      </c>
      <c r="M3318" s="4">
        <v>136559.28</v>
      </c>
      <c r="N3318" t="b">
        <f>OR(LEFT(B3318,3)="frg",(_xlfn.XMATCH(B3318,ZZZ_Part_Id_[[#All],[FGCODE]])))</f>
        <v>1</v>
      </c>
    </row>
    <row r="3319" spans="1:14" x14ac:dyDescent="0.3">
      <c r="A3319" s="2" t="s">
        <v>14674</v>
      </c>
      <c r="B3319" s="2" t="s">
        <v>14</v>
      </c>
      <c r="C3319" s="2" t="s">
        <v>14675</v>
      </c>
      <c r="D3319" s="3">
        <v>10</v>
      </c>
      <c r="E3319" s="3">
        <v>10</v>
      </c>
      <c r="F3319" s="2" t="s">
        <v>16</v>
      </c>
      <c r="G3319" s="2" t="s">
        <v>14676</v>
      </c>
      <c r="H3319" s="3">
        <v>0</v>
      </c>
      <c r="I3319" s="2" t="s">
        <v>409</v>
      </c>
      <c r="J3319" s="2" t="s">
        <v>14677</v>
      </c>
      <c r="K3319" s="2" t="s">
        <v>16</v>
      </c>
      <c r="L3319" s="2" t="s">
        <v>14678</v>
      </c>
      <c r="M3319" s="4">
        <v>0.77</v>
      </c>
      <c r="N3319" t="e">
        <f>OR(LEFT(B3319,3)="frg",(_xlfn.XMATCH(B3319,ZZZ_Part_Id_[[#All],[FGCODE]])))</f>
        <v>#N/A</v>
      </c>
    </row>
    <row r="3320" spans="1:14" x14ac:dyDescent="0.3">
      <c r="A3320" s="2" t="s">
        <v>14674</v>
      </c>
      <c r="B3320" s="2" t="s">
        <v>21</v>
      </c>
      <c r="C3320" s="2" t="s">
        <v>14679</v>
      </c>
      <c r="D3320" s="5">
        <v>-288</v>
      </c>
      <c r="E3320" s="5">
        <v>-288</v>
      </c>
      <c r="F3320" s="2" t="s">
        <v>23</v>
      </c>
      <c r="G3320" s="2" t="s">
        <v>14680</v>
      </c>
      <c r="H3320" s="3">
        <v>0</v>
      </c>
      <c r="I3320" s="2" t="s">
        <v>409</v>
      </c>
      <c r="J3320" s="2" t="s">
        <v>14681</v>
      </c>
      <c r="K3320" s="2" t="s">
        <v>23</v>
      </c>
      <c r="L3320" s="2" t="s">
        <v>14682</v>
      </c>
      <c r="M3320" s="6">
        <v>-724.03</v>
      </c>
      <c r="N3320" t="b">
        <f>OR(LEFT(B3320,3)="frg",(_xlfn.XMATCH(B3320,ZZZ_Part_Id_[[#All],[FGCODE]])))</f>
        <v>1</v>
      </c>
    </row>
    <row r="3321" spans="1:14" x14ac:dyDescent="0.3">
      <c r="A3321" s="2" t="s">
        <v>14674</v>
      </c>
      <c r="B3321" s="2" t="s">
        <v>2023</v>
      </c>
      <c r="C3321" s="2" t="s">
        <v>14683</v>
      </c>
      <c r="D3321" s="3">
        <v>123840</v>
      </c>
      <c r="E3321" s="3">
        <v>123840</v>
      </c>
      <c r="F3321" s="2" t="s">
        <v>16</v>
      </c>
      <c r="G3321" s="2" t="s">
        <v>14684</v>
      </c>
      <c r="H3321" s="3">
        <v>0</v>
      </c>
      <c r="I3321" s="2" t="s">
        <v>409</v>
      </c>
      <c r="J3321" s="2" t="s">
        <v>14685</v>
      </c>
      <c r="K3321" s="2" t="s">
        <v>16</v>
      </c>
      <c r="L3321" s="2" t="s">
        <v>14686</v>
      </c>
      <c r="M3321" s="4">
        <v>12273.78</v>
      </c>
      <c r="N3321" t="b">
        <f>OR(LEFT(B3321,3)="frg",(_xlfn.XMATCH(B3321,ZZZ_Part_Id_[[#All],[FGCODE]])))</f>
        <v>1</v>
      </c>
    </row>
    <row r="3322" spans="1:14" x14ac:dyDescent="0.3">
      <c r="A3322" s="2" t="s">
        <v>14687</v>
      </c>
      <c r="B3322" s="2" t="s">
        <v>14</v>
      </c>
      <c r="C3322" s="2" t="s">
        <v>14688</v>
      </c>
      <c r="D3322" s="3">
        <v>140</v>
      </c>
      <c r="E3322" s="3">
        <v>140</v>
      </c>
      <c r="F3322" s="2" t="s">
        <v>16</v>
      </c>
      <c r="G3322" s="2" t="s">
        <v>14689</v>
      </c>
      <c r="H3322" s="3">
        <v>0</v>
      </c>
      <c r="I3322" s="2" t="s">
        <v>18</v>
      </c>
      <c r="J3322" s="2" t="s">
        <v>14690</v>
      </c>
      <c r="K3322" s="2" t="s">
        <v>16</v>
      </c>
      <c r="L3322" s="2" t="s">
        <v>14691</v>
      </c>
      <c r="M3322" s="4">
        <v>10.77</v>
      </c>
      <c r="N3322" t="e">
        <f>OR(LEFT(B3322,3)="frg",(_xlfn.XMATCH(B3322,ZZZ_Part_Id_[[#All],[FGCODE]])))</f>
        <v>#N/A</v>
      </c>
    </row>
    <row r="3323" spans="1:14" x14ac:dyDescent="0.3">
      <c r="A3323" s="2" t="s">
        <v>14687</v>
      </c>
      <c r="B3323" s="2" t="s">
        <v>1027</v>
      </c>
      <c r="C3323" s="2" t="s">
        <v>14692</v>
      </c>
      <c r="D3323" s="3">
        <v>1019520</v>
      </c>
      <c r="E3323" s="3">
        <v>1019520</v>
      </c>
      <c r="F3323" s="2" t="s">
        <v>16</v>
      </c>
      <c r="G3323" s="2" t="s">
        <v>14693</v>
      </c>
      <c r="H3323" s="3">
        <v>0</v>
      </c>
      <c r="I3323" s="2" t="s">
        <v>18</v>
      </c>
      <c r="J3323" s="2" t="s">
        <v>14694</v>
      </c>
      <c r="K3323" s="2" t="s">
        <v>16</v>
      </c>
      <c r="L3323" s="2" t="s">
        <v>14695</v>
      </c>
      <c r="M3323" s="4">
        <v>205392.96</v>
      </c>
      <c r="N3323" t="b">
        <f>OR(LEFT(B3323,3)="frg",(_xlfn.XMATCH(B3323,ZZZ_Part_Id_[[#All],[FGCODE]])))</f>
        <v>1</v>
      </c>
    </row>
    <row r="3324" spans="1:14" x14ac:dyDescent="0.3">
      <c r="A3324" s="2" t="s">
        <v>14696</v>
      </c>
      <c r="B3324" s="2" t="s">
        <v>14</v>
      </c>
      <c r="C3324" s="2" t="s">
        <v>14697</v>
      </c>
      <c r="D3324" s="3">
        <v>14</v>
      </c>
      <c r="E3324" s="3">
        <v>14</v>
      </c>
      <c r="F3324" s="2" t="s">
        <v>16</v>
      </c>
      <c r="G3324" s="2" t="s">
        <v>14698</v>
      </c>
      <c r="H3324" s="3">
        <v>0</v>
      </c>
      <c r="I3324" s="2" t="s">
        <v>409</v>
      </c>
      <c r="J3324" s="2" t="s">
        <v>14699</v>
      </c>
      <c r="K3324" s="2" t="s">
        <v>16</v>
      </c>
      <c r="L3324" s="2" t="s">
        <v>14700</v>
      </c>
      <c r="M3324" s="4">
        <v>1.08</v>
      </c>
      <c r="N3324" t="e">
        <f>OR(LEFT(B3324,3)="frg",(_xlfn.XMATCH(B3324,ZZZ_Part_Id_[[#All],[FGCODE]])))</f>
        <v>#N/A</v>
      </c>
    </row>
    <row r="3325" spans="1:14" x14ac:dyDescent="0.3">
      <c r="A3325" s="2" t="s">
        <v>14696</v>
      </c>
      <c r="B3325" s="2" t="s">
        <v>65</v>
      </c>
      <c r="C3325" s="2" t="s">
        <v>14701</v>
      </c>
      <c r="D3325" s="5">
        <v>-140</v>
      </c>
      <c r="E3325" s="5">
        <v>-140</v>
      </c>
      <c r="F3325" s="2" t="s">
        <v>23</v>
      </c>
      <c r="G3325" s="2" t="s">
        <v>14702</v>
      </c>
      <c r="H3325" s="3">
        <v>0</v>
      </c>
      <c r="I3325" s="2" t="s">
        <v>409</v>
      </c>
      <c r="J3325" s="2" t="s">
        <v>14703</v>
      </c>
      <c r="K3325" s="2" t="s">
        <v>23</v>
      </c>
      <c r="L3325" s="2" t="s">
        <v>14704</v>
      </c>
      <c r="M3325" s="6">
        <v>-360.02</v>
      </c>
      <c r="N3325" t="b">
        <f>OR(LEFT(B3325,3)="frg",(_xlfn.XMATCH(B3325,ZZZ_Part_Id_[[#All],[FGCODE]])))</f>
        <v>1</v>
      </c>
    </row>
    <row r="3326" spans="1:14" x14ac:dyDescent="0.3">
      <c r="A3326" s="2" t="s">
        <v>14696</v>
      </c>
      <c r="B3326" s="2" t="s">
        <v>2115</v>
      </c>
      <c r="C3326" s="2" t="s">
        <v>14705</v>
      </c>
      <c r="D3326" s="3">
        <v>54000</v>
      </c>
      <c r="E3326" s="3">
        <v>54000</v>
      </c>
      <c r="F3326" s="2" t="s">
        <v>16</v>
      </c>
      <c r="G3326" s="2" t="s">
        <v>14706</v>
      </c>
      <c r="H3326" s="3">
        <v>0</v>
      </c>
      <c r="I3326" s="2" t="s">
        <v>409</v>
      </c>
      <c r="J3326" s="2" t="s">
        <v>14707</v>
      </c>
      <c r="K3326" s="2" t="s">
        <v>16</v>
      </c>
      <c r="L3326" s="2" t="s">
        <v>14708</v>
      </c>
      <c r="M3326" s="4">
        <v>17956.650000000001</v>
      </c>
      <c r="N3326" t="b">
        <f>OR(LEFT(B3326,3)="frg",(_xlfn.XMATCH(B3326,ZZZ_Part_Id_[[#All],[FGCODE]])))</f>
        <v>1</v>
      </c>
    </row>
    <row r="3327" spans="1:14" x14ac:dyDescent="0.3">
      <c r="A3327" s="2" t="s">
        <v>14709</v>
      </c>
      <c r="B3327" s="2" t="s">
        <v>5477</v>
      </c>
      <c r="C3327" s="2" t="s">
        <v>14710</v>
      </c>
      <c r="D3327" s="3">
        <v>72864</v>
      </c>
      <c r="E3327" s="3">
        <v>72864</v>
      </c>
      <c r="F3327" s="2" t="s">
        <v>16</v>
      </c>
      <c r="G3327" s="2" t="s">
        <v>14711</v>
      </c>
      <c r="H3327" s="3">
        <v>0</v>
      </c>
      <c r="I3327" s="2" t="s">
        <v>409</v>
      </c>
      <c r="J3327" s="2" t="s">
        <v>14712</v>
      </c>
      <c r="K3327" s="2" t="s">
        <v>16</v>
      </c>
      <c r="L3327" s="2" t="s">
        <v>14713</v>
      </c>
      <c r="M3327" s="4">
        <v>21770.32</v>
      </c>
      <c r="N3327" t="b">
        <f>OR(LEFT(B3327,3)="frg",(_xlfn.XMATCH(B3327,ZZZ_Part_Id_[[#All],[FGCODE]])))</f>
        <v>1</v>
      </c>
    </row>
    <row r="3328" spans="1:14" x14ac:dyDescent="0.3">
      <c r="A3328" s="2" t="s">
        <v>14709</v>
      </c>
      <c r="B3328" s="2" t="s">
        <v>14</v>
      </c>
      <c r="C3328" s="2" t="s">
        <v>14714</v>
      </c>
      <c r="D3328" s="3">
        <v>10</v>
      </c>
      <c r="E3328" s="3">
        <v>10</v>
      </c>
      <c r="F3328" s="2" t="s">
        <v>16</v>
      </c>
      <c r="G3328" s="2" t="s">
        <v>14715</v>
      </c>
      <c r="H3328" s="3">
        <v>0</v>
      </c>
      <c r="I3328" s="2" t="s">
        <v>409</v>
      </c>
      <c r="J3328" s="2" t="s">
        <v>14716</v>
      </c>
      <c r="K3328" s="2" t="s">
        <v>16</v>
      </c>
      <c r="L3328" s="2" t="s">
        <v>14717</v>
      </c>
      <c r="M3328" s="4">
        <v>0.77</v>
      </c>
      <c r="N3328" t="e">
        <f>OR(LEFT(B3328,3)="frg",(_xlfn.XMATCH(B3328,ZZZ_Part_Id_[[#All],[FGCODE]])))</f>
        <v>#N/A</v>
      </c>
    </row>
    <row r="3329" spans="1:14" x14ac:dyDescent="0.3">
      <c r="A3329" s="2" t="s">
        <v>14709</v>
      </c>
      <c r="B3329" s="2" t="s">
        <v>140</v>
      </c>
      <c r="C3329" s="2" t="s">
        <v>14718</v>
      </c>
      <c r="D3329" s="3">
        <v>0.4</v>
      </c>
      <c r="E3329" s="3">
        <v>0.4</v>
      </c>
      <c r="F3329" s="2" t="s">
        <v>16</v>
      </c>
      <c r="G3329" s="2" t="s">
        <v>14719</v>
      </c>
      <c r="H3329" s="3">
        <v>0</v>
      </c>
      <c r="I3329" s="2" t="s">
        <v>409</v>
      </c>
      <c r="J3329" s="2" t="s">
        <v>14720</v>
      </c>
      <c r="K3329" s="2" t="s">
        <v>16</v>
      </c>
      <c r="L3329" s="2" t="s">
        <v>14721</v>
      </c>
      <c r="M3329" s="4">
        <v>0.84</v>
      </c>
      <c r="N3329" t="e">
        <f>OR(LEFT(B3329,3)="frg",(_xlfn.XMATCH(B3329,ZZZ_Part_Id_[[#All],[FGCODE]])))</f>
        <v>#N/A</v>
      </c>
    </row>
    <row r="3330" spans="1:14" x14ac:dyDescent="0.3">
      <c r="A3330" s="2" t="s">
        <v>14709</v>
      </c>
      <c r="B3330" s="2" t="s">
        <v>192</v>
      </c>
      <c r="C3330" s="2" t="s">
        <v>14722</v>
      </c>
      <c r="D3330" s="3">
        <v>0.1</v>
      </c>
      <c r="E3330" s="3">
        <v>0.1</v>
      </c>
      <c r="F3330" s="2" t="s">
        <v>194</v>
      </c>
      <c r="G3330" s="2" t="s">
        <v>14723</v>
      </c>
      <c r="H3330" s="3">
        <v>0</v>
      </c>
      <c r="I3330" s="2" t="s">
        <v>409</v>
      </c>
      <c r="J3330" s="2" t="s">
        <v>14724</v>
      </c>
      <c r="K3330" s="2" t="s">
        <v>194</v>
      </c>
      <c r="L3330" s="2" t="s">
        <v>14725</v>
      </c>
      <c r="M3330" s="4">
        <v>0.5</v>
      </c>
      <c r="N3330" t="e">
        <f>OR(LEFT(B3330,3)="frg",(_xlfn.XMATCH(B3330,ZZZ_Part_Id_[[#All],[FGCODE]])))</f>
        <v>#N/A</v>
      </c>
    </row>
    <row r="3331" spans="1:14" x14ac:dyDescent="0.3">
      <c r="A3331" s="2" t="s">
        <v>14726</v>
      </c>
      <c r="B3331" s="2" t="s">
        <v>14</v>
      </c>
      <c r="C3331" s="2" t="s">
        <v>14727</v>
      </c>
      <c r="D3331" s="3">
        <v>48</v>
      </c>
      <c r="E3331" s="3">
        <v>48</v>
      </c>
      <c r="F3331" s="2" t="s">
        <v>16</v>
      </c>
      <c r="G3331" s="2" t="s">
        <v>14728</v>
      </c>
      <c r="H3331" s="3">
        <v>0</v>
      </c>
      <c r="I3331" s="2" t="s">
        <v>18</v>
      </c>
      <c r="J3331" s="2" t="s">
        <v>14729</v>
      </c>
      <c r="K3331" s="2" t="s">
        <v>16</v>
      </c>
      <c r="L3331" s="2" t="s">
        <v>14730</v>
      </c>
      <c r="M3331" s="4">
        <v>3.69</v>
      </c>
      <c r="N3331" t="e">
        <f>OR(LEFT(B3331,3)="frg",(_xlfn.XMATCH(B3331,ZZZ_Part_Id_[[#All],[FGCODE]])))</f>
        <v>#N/A</v>
      </c>
    </row>
    <row r="3332" spans="1:14" x14ac:dyDescent="0.3">
      <c r="A3332" s="2" t="s">
        <v>14726</v>
      </c>
      <c r="B3332" s="2" t="s">
        <v>264</v>
      </c>
      <c r="C3332" s="2" t="s">
        <v>14731</v>
      </c>
      <c r="D3332" s="3">
        <v>4.8000000000000001E-2</v>
      </c>
      <c r="E3332" s="3">
        <v>0</v>
      </c>
      <c r="F3332" s="2" t="s">
        <v>16</v>
      </c>
      <c r="G3332" s="2" t="s">
        <v>14732</v>
      </c>
      <c r="H3332" s="3">
        <v>0</v>
      </c>
      <c r="I3332" s="2" t="s">
        <v>18</v>
      </c>
      <c r="J3332" s="2" t="s">
        <v>14733</v>
      </c>
      <c r="K3332" s="2" t="s">
        <v>16</v>
      </c>
      <c r="L3332" s="2" t="s">
        <v>14734</v>
      </c>
      <c r="M3332" s="4">
        <v>0</v>
      </c>
      <c r="N3332" t="e">
        <f>OR(LEFT(B3332,3)="frg",(_xlfn.XMATCH(B3332,ZZZ_Part_Id_[[#All],[FGCODE]])))</f>
        <v>#N/A</v>
      </c>
    </row>
    <row r="3333" spans="1:14" x14ac:dyDescent="0.3">
      <c r="A3333" s="2" t="s">
        <v>14726</v>
      </c>
      <c r="B3333" s="2" t="s">
        <v>797</v>
      </c>
      <c r="C3333" s="2" t="s">
        <v>14735</v>
      </c>
      <c r="D3333" s="3">
        <v>1434240</v>
      </c>
      <c r="E3333" s="3">
        <v>1434240</v>
      </c>
      <c r="F3333" s="2" t="s">
        <v>16</v>
      </c>
      <c r="G3333" s="2" t="s">
        <v>14736</v>
      </c>
      <c r="H3333" s="3">
        <v>0</v>
      </c>
      <c r="I3333" s="2" t="s">
        <v>18</v>
      </c>
      <c r="J3333" s="2" t="s">
        <v>14737</v>
      </c>
      <c r="K3333" s="2" t="s">
        <v>16</v>
      </c>
      <c r="L3333" s="2" t="s">
        <v>14738</v>
      </c>
      <c r="M3333" s="4">
        <v>77534.89</v>
      </c>
      <c r="N3333" t="b">
        <f>OR(LEFT(B3333,3)="frg",(_xlfn.XMATCH(B3333,ZZZ_Part_Id_[[#All],[FGCODE]])))</f>
        <v>1</v>
      </c>
    </row>
    <row r="3334" spans="1:14" x14ac:dyDescent="0.3">
      <c r="A3334" s="2" t="s">
        <v>14739</v>
      </c>
      <c r="B3334" s="2" t="s">
        <v>14</v>
      </c>
      <c r="C3334" s="2" t="s">
        <v>14740</v>
      </c>
      <c r="D3334" s="3">
        <v>64</v>
      </c>
      <c r="E3334" s="3">
        <v>64</v>
      </c>
      <c r="F3334" s="2" t="s">
        <v>16</v>
      </c>
      <c r="G3334" s="2" t="s">
        <v>14741</v>
      </c>
      <c r="H3334" s="3">
        <v>0</v>
      </c>
      <c r="I3334" s="2" t="s">
        <v>409</v>
      </c>
      <c r="J3334" s="2" t="s">
        <v>14742</v>
      </c>
      <c r="K3334" s="2" t="s">
        <v>16</v>
      </c>
      <c r="L3334" s="2" t="s">
        <v>14743</v>
      </c>
      <c r="M3334" s="4">
        <v>4.92</v>
      </c>
      <c r="N3334" t="e">
        <f>OR(LEFT(B3334,3)="frg",(_xlfn.XMATCH(B3334,ZZZ_Part_Id_[[#All],[FGCODE]])))</f>
        <v>#N/A</v>
      </c>
    </row>
    <row r="3335" spans="1:14" x14ac:dyDescent="0.3">
      <c r="A3335" s="2" t="s">
        <v>14739</v>
      </c>
      <c r="B3335" s="2" t="s">
        <v>5357</v>
      </c>
      <c r="C3335" s="2" t="s">
        <v>14744</v>
      </c>
      <c r="D3335" s="3">
        <v>390816</v>
      </c>
      <c r="E3335" s="3">
        <v>390816</v>
      </c>
      <c r="F3335" s="2" t="s">
        <v>16</v>
      </c>
      <c r="G3335" s="2" t="s">
        <v>14745</v>
      </c>
      <c r="H3335" s="3">
        <v>0</v>
      </c>
      <c r="I3335" s="2" t="s">
        <v>409</v>
      </c>
      <c r="J3335" s="2" t="s">
        <v>14746</v>
      </c>
      <c r="K3335" s="2" t="s">
        <v>16</v>
      </c>
      <c r="L3335" s="2" t="s">
        <v>14747</v>
      </c>
      <c r="M3335" s="4">
        <v>116768.05</v>
      </c>
      <c r="N3335" t="b">
        <f>OR(LEFT(B3335,3)="frg",(_xlfn.XMATCH(B3335,ZZZ_Part_Id_[[#All],[FGCODE]])))</f>
        <v>1</v>
      </c>
    </row>
    <row r="3336" spans="1:14" x14ac:dyDescent="0.3">
      <c r="A3336" s="2" t="s">
        <v>14748</v>
      </c>
      <c r="B3336" s="2" t="s">
        <v>14</v>
      </c>
      <c r="C3336" s="2" t="s">
        <v>14749</v>
      </c>
      <c r="D3336" s="3">
        <v>140</v>
      </c>
      <c r="E3336" s="3">
        <v>140</v>
      </c>
      <c r="F3336" s="2" t="s">
        <v>16</v>
      </c>
      <c r="G3336" s="2" t="s">
        <v>14750</v>
      </c>
      <c r="H3336" s="3">
        <v>0</v>
      </c>
      <c r="I3336" s="2" t="s">
        <v>18</v>
      </c>
      <c r="J3336" s="2" t="s">
        <v>14751</v>
      </c>
      <c r="K3336" s="2" t="s">
        <v>16</v>
      </c>
      <c r="L3336" s="2" t="s">
        <v>14752</v>
      </c>
      <c r="M3336" s="4">
        <v>10.77</v>
      </c>
      <c r="N3336" t="e">
        <f>OR(LEFT(B3336,3)="frg",(_xlfn.XMATCH(B3336,ZZZ_Part_Id_[[#All],[FGCODE]])))</f>
        <v>#N/A</v>
      </c>
    </row>
    <row r="3337" spans="1:14" x14ac:dyDescent="0.3">
      <c r="A3337" s="2" t="s">
        <v>14748</v>
      </c>
      <c r="B3337" s="2" t="s">
        <v>740</v>
      </c>
      <c r="C3337" s="2" t="s">
        <v>14753</v>
      </c>
      <c r="D3337" s="3">
        <v>849600</v>
      </c>
      <c r="E3337" s="3">
        <v>849600</v>
      </c>
      <c r="F3337" s="2" t="s">
        <v>16</v>
      </c>
      <c r="G3337" s="2" t="s">
        <v>14754</v>
      </c>
      <c r="H3337" s="3">
        <v>0</v>
      </c>
      <c r="I3337" s="2" t="s">
        <v>18</v>
      </c>
      <c r="J3337" s="2" t="s">
        <v>14755</v>
      </c>
      <c r="K3337" s="2" t="s">
        <v>16</v>
      </c>
      <c r="L3337" s="2" t="s">
        <v>14756</v>
      </c>
      <c r="M3337" s="4">
        <v>168960</v>
      </c>
      <c r="N3337" t="b">
        <f>OR(LEFT(B3337,3)="frg",(_xlfn.XMATCH(B3337,ZZZ_Part_Id_[[#All],[FGCODE]])))</f>
        <v>1</v>
      </c>
    </row>
    <row r="3338" spans="1:14" x14ac:dyDescent="0.3">
      <c r="A3338" s="2" t="s">
        <v>14757</v>
      </c>
      <c r="B3338" s="2" t="s">
        <v>14</v>
      </c>
      <c r="C3338" s="2" t="s">
        <v>14758</v>
      </c>
      <c r="D3338" s="3">
        <v>14</v>
      </c>
      <c r="E3338" s="3">
        <v>14</v>
      </c>
      <c r="F3338" s="2" t="s">
        <v>16</v>
      </c>
      <c r="G3338" s="2" t="s">
        <v>14759</v>
      </c>
      <c r="H3338" s="3">
        <v>0</v>
      </c>
      <c r="I3338" s="2" t="s">
        <v>18</v>
      </c>
      <c r="J3338" s="2" t="s">
        <v>14760</v>
      </c>
      <c r="K3338" s="2" t="s">
        <v>16</v>
      </c>
      <c r="L3338" s="2" t="s">
        <v>14761</v>
      </c>
      <c r="M3338" s="4">
        <v>1.08</v>
      </c>
      <c r="N3338" t="e">
        <f>OR(LEFT(B3338,3)="frg",(_xlfn.XMATCH(B3338,ZZZ_Part_Id_[[#All],[FGCODE]])))</f>
        <v>#N/A</v>
      </c>
    </row>
    <row r="3339" spans="1:14" x14ac:dyDescent="0.3">
      <c r="A3339" s="2" t="s">
        <v>14757</v>
      </c>
      <c r="B3339" s="2" t="s">
        <v>86</v>
      </c>
      <c r="C3339" s="2" t="s">
        <v>14762</v>
      </c>
      <c r="D3339" s="5">
        <v>-239</v>
      </c>
      <c r="E3339" s="5">
        <v>-239</v>
      </c>
      <c r="F3339" s="2" t="s">
        <v>23</v>
      </c>
      <c r="G3339" s="2" t="s">
        <v>14763</v>
      </c>
      <c r="H3339" s="3">
        <v>0</v>
      </c>
      <c r="I3339" s="2" t="s">
        <v>18</v>
      </c>
      <c r="J3339" s="2" t="s">
        <v>14764</v>
      </c>
      <c r="K3339" s="2" t="s">
        <v>23</v>
      </c>
      <c r="L3339" s="2" t="s">
        <v>14765</v>
      </c>
      <c r="M3339" s="6">
        <v>-625.65</v>
      </c>
      <c r="N3339" t="b">
        <f>OR(LEFT(B3339,3)="frg",(_xlfn.XMATCH(B3339,ZZZ_Part_Id_[[#All],[FGCODE]])))</f>
        <v>1</v>
      </c>
    </row>
    <row r="3340" spans="1:14" x14ac:dyDescent="0.3">
      <c r="A3340" s="2" t="s">
        <v>14757</v>
      </c>
      <c r="B3340" s="2" t="s">
        <v>11241</v>
      </c>
      <c r="C3340" s="2" t="s">
        <v>14766</v>
      </c>
      <c r="D3340" s="3">
        <v>355320</v>
      </c>
      <c r="E3340" s="3">
        <v>355320</v>
      </c>
      <c r="F3340" s="2" t="s">
        <v>16</v>
      </c>
      <c r="G3340" s="2" t="s">
        <v>14767</v>
      </c>
      <c r="H3340" s="3">
        <v>0</v>
      </c>
      <c r="I3340" s="2" t="s">
        <v>18</v>
      </c>
      <c r="J3340" s="2" t="s">
        <v>14768</v>
      </c>
      <c r="K3340" s="2" t="s">
        <v>16</v>
      </c>
      <c r="L3340" s="2" t="s">
        <v>14769</v>
      </c>
      <c r="M3340" s="4">
        <v>22019.200000000001</v>
      </c>
      <c r="N3340" t="b">
        <f>OR(LEFT(B3340,3)="frg",(_xlfn.XMATCH(B3340,ZZZ_Part_Id_[[#All],[FGCODE]])))</f>
        <v>1</v>
      </c>
    </row>
    <row r="3341" spans="1:14" x14ac:dyDescent="0.3">
      <c r="A3341" s="2" t="s">
        <v>14770</v>
      </c>
      <c r="B3341" s="2" t="s">
        <v>14</v>
      </c>
      <c r="C3341" s="2" t="s">
        <v>14771</v>
      </c>
      <c r="D3341" s="3">
        <v>4</v>
      </c>
      <c r="E3341" s="3">
        <v>4</v>
      </c>
      <c r="F3341" s="2" t="s">
        <v>16</v>
      </c>
      <c r="G3341" s="2" t="s">
        <v>14772</v>
      </c>
      <c r="H3341" s="3">
        <v>0</v>
      </c>
      <c r="I3341" s="2" t="s">
        <v>18</v>
      </c>
      <c r="J3341" s="2" t="s">
        <v>14773</v>
      </c>
      <c r="K3341" s="2" t="s">
        <v>16</v>
      </c>
      <c r="L3341" s="2" t="s">
        <v>14774</v>
      </c>
      <c r="M3341" s="4">
        <v>0.31</v>
      </c>
      <c r="N3341" t="e">
        <f>OR(LEFT(B3341,3)="frg",(_xlfn.XMATCH(B3341,ZZZ_Part_Id_[[#All],[FGCODE]])))</f>
        <v>#N/A</v>
      </c>
    </row>
    <row r="3342" spans="1:14" x14ac:dyDescent="0.3">
      <c r="A3342" s="2" t="s">
        <v>14770</v>
      </c>
      <c r="B3342" s="2" t="s">
        <v>6977</v>
      </c>
      <c r="C3342" s="2" t="s">
        <v>14775</v>
      </c>
      <c r="D3342" s="3">
        <v>76140</v>
      </c>
      <c r="E3342" s="3">
        <v>76140</v>
      </c>
      <c r="F3342" s="2" t="s">
        <v>16</v>
      </c>
      <c r="G3342" s="2" t="s">
        <v>14776</v>
      </c>
      <c r="H3342" s="3">
        <v>0</v>
      </c>
      <c r="I3342" s="2" t="s">
        <v>18</v>
      </c>
      <c r="J3342" s="2" t="s">
        <v>14777</v>
      </c>
      <c r="K3342" s="2" t="s">
        <v>16</v>
      </c>
      <c r="L3342" s="2" t="s">
        <v>14778</v>
      </c>
      <c r="M3342" s="4">
        <v>712.68</v>
      </c>
      <c r="N3342" t="b">
        <f>OR(LEFT(B3342,3)="frg",(_xlfn.XMATCH(B3342,ZZZ_Part_Id_[[#All],[FGCODE]])))</f>
        <v>1</v>
      </c>
    </row>
    <row r="3343" spans="1:14" x14ac:dyDescent="0.3">
      <c r="A3343" s="2" t="s">
        <v>14779</v>
      </c>
      <c r="B3343" s="2" t="s">
        <v>14</v>
      </c>
      <c r="C3343" s="2" t="s">
        <v>14780</v>
      </c>
      <c r="D3343" s="3">
        <v>20</v>
      </c>
      <c r="E3343" s="3">
        <v>20</v>
      </c>
      <c r="F3343" s="2" t="s">
        <v>16</v>
      </c>
      <c r="G3343" s="2" t="s">
        <v>14781</v>
      </c>
      <c r="H3343" s="3">
        <v>0</v>
      </c>
      <c r="I3343" s="2" t="s">
        <v>18</v>
      </c>
      <c r="J3343" s="2" t="s">
        <v>14782</v>
      </c>
      <c r="K3343" s="2" t="s">
        <v>16</v>
      </c>
      <c r="L3343" s="2" t="s">
        <v>14783</v>
      </c>
      <c r="M3343" s="4">
        <v>1.54</v>
      </c>
      <c r="N3343" t="e">
        <f>OR(LEFT(B3343,3)="frg",(_xlfn.XMATCH(B3343,ZZZ_Part_Id_[[#All],[FGCODE]])))</f>
        <v>#N/A</v>
      </c>
    </row>
    <row r="3344" spans="1:14" x14ac:dyDescent="0.3">
      <c r="A3344" s="2" t="s">
        <v>14779</v>
      </c>
      <c r="B3344" s="2" t="s">
        <v>86</v>
      </c>
      <c r="C3344" s="2" t="s">
        <v>14784</v>
      </c>
      <c r="D3344" s="5">
        <v>-536</v>
      </c>
      <c r="E3344" s="5">
        <v>-536</v>
      </c>
      <c r="F3344" s="2" t="s">
        <v>23</v>
      </c>
      <c r="G3344" s="2" t="s">
        <v>14785</v>
      </c>
      <c r="H3344" s="3">
        <v>0</v>
      </c>
      <c r="I3344" s="2" t="s">
        <v>18</v>
      </c>
      <c r="J3344" s="2" t="s">
        <v>14786</v>
      </c>
      <c r="K3344" s="2" t="s">
        <v>23</v>
      </c>
      <c r="L3344" s="2" t="s">
        <v>14787</v>
      </c>
      <c r="M3344" s="6">
        <v>-1403.14</v>
      </c>
      <c r="N3344" t="b">
        <f>OR(LEFT(B3344,3)="frg",(_xlfn.XMATCH(B3344,ZZZ_Part_Id_[[#All],[FGCODE]])))</f>
        <v>1</v>
      </c>
    </row>
    <row r="3345" spans="1:14" x14ac:dyDescent="0.3">
      <c r="A3345" s="2" t="s">
        <v>14779</v>
      </c>
      <c r="B3345" s="2" t="s">
        <v>11210</v>
      </c>
      <c r="C3345" s="2" t="s">
        <v>14788</v>
      </c>
      <c r="D3345" s="3">
        <v>171360</v>
      </c>
      <c r="E3345" s="3">
        <v>171360</v>
      </c>
      <c r="F3345" s="2" t="s">
        <v>16</v>
      </c>
      <c r="G3345" s="2" t="s">
        <v>14789</v>
      </c>
      <c r="H3345" s="3">
        <v>0</v>
      </c>
      <c r="I3345" s="2" t="s">
        <v>18</v>
      </c>
      <c r="J3345" s="2" t="s">
        <v>14790</v>
      </c>
      <c r="K3345" s="2" t="s">
        <v>16</v>
      </c>
      <c r="L3345" s="2" t="s">
        <v>14791</v>
      </c>
      <c r="M3345" s="4">
        <v>29499.59</v>
      </c>
      <c r="N3345" t="b">
        <f>OR(LEFT(B3345,3)="frg",(_xlfn.XMATCH(B3345,ZZZ_Part_Id_[[#All],[FGCODE]])))</f>
        <v>1</v>
      </c>
    </row>
    <row r="3346" spans="1:14" x14ac:dyDescent="0.3">
      <c r="A3346" s="2" t="s">
        <v>14792</v>
      </c>
      <c r="B3346" s="2" t="s">
        <v>14</v>
      </c>
      <c r="C3346" s="2" t="s">
        <v>14793</v>
      </c>
      <c r="D3346" s="3">
        <v>4</v>
      </c>
      <c r="E3346" s="3">
        <v>4</v>
      </c>
      <c r="F3346" s="2" t="s">
        <v>16</v>
      </c>
      <c r="G3346" s="2" t="s">
        <v>14794</v>
      </c>
      <c r="H3346" s="3">
        <v>0</v>
      </c>
      <c r="I3346" s="2" t="s">
        <v>409</v>
      </c>
      <c r="J3346" s="2" t="s">
        <v>14795</v>
      </c>
      <c r="K3346" s="2" t="s">
        <v>16</v>
      </c>
      <c r="L3346" s="2" t="s">
        <v>14796</v>
      </c>
      <c r="M3346" s="4">
        <v>0.31</v>
      </c>
      <c r="N3346" t="e">
        <f>OR(LEFT(B3346,3)="frg",(_xlfn.XMATCH(B3346,ZZZ_Part_Id_[[#All],[FGCODE]])))</f>
        <v>#N/A</v>
      </c>
    </row>
    <row r="3347" spans="1:14" x14ac:dyDescent="0.3">
      <c r="A3347" s="2" t="s">
        <v>14792</v>
      </c>
      <c r="B3347" s="2" t="s">
        <v>65</v>
      </c>
      <c r="C3347" s="2" t="s">
        <v>14797</v>
      </c>
      <c r="D3347" s="5">
        <v>-183</v>
      </c>
      <c r="E3347" s="5">
        <v>-183</v>
      </c>
      <c r="F3347" s="2" t="s">
        <v>23</v>
      </c>
      <c r="G3347" s="2" t="s">
        <v>14798</v>
      </c>
      <c r="H3347" s="3">
        <v>0</v>
      </c>
      <c r="I3347" s="2" t="s">
        <v>409</v>
      </c>
      <c r="J3347" s="2" t="s">
        <v>14799</v>
      </c>
      <c r="K3347" s="2" t="s">
        <v>23</v>
      </c>
      <c r="L3347" s="2" t="s">
        <v>14800</v>
      </c>
      <c r="M3347" s="6">
        <v>-470.6</v>
      </c>
      <c r="N3347" t="b">
        <f>OR(LEFT(B3347,3)="frg",(_xlfn.XMATCH(B3347,ZZZ_Part_Id_[[#All],[FGCODE]])))</f>
        <v>1</v>
      </c>
    </row>
    <row r="3348" spans="1:14" x14ac:dyDescent="0.3">
      <c r="A3348" s="2" t="s">
        <v>14792</v>
      </c>
      <c r="B3348" s="2" t="s">
        <v>2115</v>
      </c>
      <c r="C3348" s="2" t="s">
        <v>14801</v>
      </c>
      <c r="D3348" s="3">
        <v>18000</v>
      </c>
      <c r="E3348" s="3">
        <v>18000</v>
      </c>
      <c r="F3348" s="2" t="s">
        <v>16</v>
      </c>
      <c r="G3348" s="2" t="s">
        <v>14802</v>
      </c>
      <c r="H3348" s="3">
        <v>0</v>
      </c>
      <c r="I3348" s="2" t="s">
        <v>409</v>
      </c>
      <c r="J3348" s="2" t="s">
        <v>14803</v>
      </c>
      <c r="K3348" s="2" t="s">
        <v>16</v>
      </c>
      <c r="L3348" s="2" t="s">
        <v>14804</v>
      </c>
      <c r="M3348" s="4">
        <v>5985.55</v>
      </c>
      <c r="N3348" t="b">
        <f>OR(LEFT(B3348,3)="frg",(_xlfn.XMATCH(B3348,ZZZ_Part_Id_[[#All],[FGCODE]])))</f>
        <v>1</v>
      </c>
    </row>
    <row r="3349" spans="1:14" x14ac:dyDescent="0.3">
      <c r="A3349" s="2" t="s">
        <v>14805</v>
      </c>
      <c r="B3349" s="2" t="s">
        <v>14</v>
      </c>
      <c r="C3349" s="2" t="s">
        <v>14806</v>
      </c>
      <c r="D3349" s="3">
        <v>4</v>
      </c>
      <c r="E3349" s="3">
        <v>4</v>
      </c>
      <c r="F3349" s="2" t="s">
        <v>16</v>
      </c>
      <c r="G3349" s="2" t="s">
        <v>14807</v>
      </c>
      <c r="H3349" s="3">
        <v>0</v>
      </c>
      <c r="I3349" s="2" t="s">
        <v>18</v>
      </c>
      <c r="J3349" s="2" t="s">
        <v>14808</v>
      </c>
      <c r="K3349" s="2" t="s">
        <v>16</v>
      </c>
      <c r="L3349" s="2" t="s">
        <v>14809</v>
      </c>
      <c r="M3349" s="4">
        <v>0.31</v>
      </c>
      <c r="N3349" t="e">
        <f>OR(LEFT(B3349,3)="frg",(_xlfn.XMATCH(B3349,ZZZ_Part_Id_[[#All],[FGCODE]])))</f>
        <v>#N/A</v>
      </c>
    </row>
    <row r="3350" spans="1:14" x14ac:dyDescent="0.3">
      <c r="A3350" s="2" t="s">
        <v>14805</v>
      </c>
      <c r="B3350" s="2" t="s">
        <v>14810</v>
      </c>
      <c r="C3350" s="2" t="s">
        <v>14811</v>
      </c>
      <c r="D3350" s="3">
        <v>19008</v>
      </c>
      <c r="E3350" s="3">
        <v>19008</v>
      </c>
      <c r="F3350" s="2" t="s">
        <v>16</v>
      </c>
      <c r="G3350" s="2" t="s">
        <v>14812</v>
      </c>
      <c r="H3350" s="3">
        <v>0</v>
      </c>
      <c r="I3350" s="2" t="s">
        <v>18</v>
      </c>
      <c r="J3350" s="2" t="s">
        <v>14813</v>
      </c>
      <c r="K3350" s="2" t="s">
        <v>16</v>
      </c>
      <c r="L3350" s="2" t="s">
        <v>14814</v>
      </c>
      <c r="M3350" s="4">
        <v>3532.08</v>
      </c>
      <c r="N3350" t="b">
        <f>OR(LEFT(B3350,3)="frg",(_xlfn.XMATCH(B3350,ZZZ_Part_Id_[[#All],[FGCODE]])))</f>
        <v>1</v>
      </c>
    </row>
    <row r="3351" spans="1:14" x14ac:dyDescent="0.3">
      <c r="A3351" s="2" t="s">
        <v>14815</v>
      </c>
      <c r="B3351" s="2" t="s">
        <v>70</v>
      </c>
      <c r="C3351" s="2" t="s">
        <v>14816</v>
      </c>
      <c r="D3351" s="3">
        <v>6336</v>
      </c>
      <c r="E3351" s="3">
        <v>6336</v>
      </c>
      <c r="F3351" s="2" t="s">
        <v>16</v>
      </c>
      <c r="G3351" s="2" t="s">
        <v>14817</v>
      </c>
      <c r="H3351" s="3">
        <v>0</v>
      </c>
      <c r="I3351" s="2" t="s">
        <v>18</v>
      </c>
      <c r="J3351" s="2" t="s">
        <v>14818</v>
      </c>
      <c r="K3351" s="2" t="s">
        <v>16</v>
      </c>
      <c r="L3351" s="2" t="s">
        <v>14819</v>
      </c>
      <c r="M3351" s="4">
        <v>1559.99</v>
      </c>
      <c r="N3351" t="b">
        <f>OR(LEFT(B3351,3)="frg",(_xlfn.XMATCH(B3351,ZZZ_Part_Id_[[#All],[FGCODE]])))</f>
        <v>1</v>
      </c>
    </row>
    <row r="3352" spans="1:14" x14ac:dyDescent="0.3">
      <c r="A3352" s="2" t="s">
        <v>14820</v>
      </c>
      <c r="B3352" s="2" t="s">
        <v>13651</v>
      </c>
      <c r="C3352" s="2" t="s">
        <v>14821</v>
      </c>
      <c r="D3352" s="3">
        <v>7640</v>
      </c>
      <c r="E3352" s="3">
        <v>7640</v>
      </c>
      <c r="F3352" s="2" t="s">
        <v>16</v>
      </c>
      <c r="G3352" s="2" t="s">
        <v>14822</v>
      </c>
      <c r="H3352" s="3">
        <v>0</v>
      </c>
      <c r="I3352" s="2" t="s">
        <v>409</v>
      </c>
      <c r="J3352" s="2" t="s">
        <v>14823</v>
      </c>
      <c r="K3352" s="2" t="s">
        <v>16</v>
      </c>
      <c r="L3352" s="2" t="s">
        <v>14824</v>
      </c>
      <c r="M3352" s="4">
        <v>125.13</v>
      </c>
      <c r="N3352" t="e">
        <f>OR(LEFT(B3352,3)="frg",(_xlfn.XMATCH(B3352,ZZZ_Part_Id_[[#All],[FGCODE]])))</f>
        <v>#N/A</v>
      </c>
    </row>
    <row r="3353" spans="1:14" x14ac:dyDescent="0.3">
      <c r="A3353" s="2" t="s">
        <v>14820</v>
      </c>
      <c r="B3353" s="2" t="s">
        <v>8278</v>
      </c>
      <c r="C3353" s="2" t="s">
        <v>14825</v>
      </c>
      <c r="D3353" s="3">
        <v>5.9320000000000004</v>
      </c>
      <c r="E3353" s="3">
        <v>5.9320000000000004</v>
      </c>
      <c r="F3353" s="2" t="s">
        <v>23</v>
      </c>
      <c r="G3353" s="2" t="s">
        <v>14826</v>
      </c>
      <c r="H3353" s="3">
        <v>0</v>
      </c>
      <c r="I3353" s="2" t="s">
        <v>409</v>
      </c>
      <c r="J3353" s="2" t="s">
        <v>14827</v>
      </c>
      <c r="K3353" s="2" t="s">
        <v>23</v>
      </c>
      <c r="L3353" s="2" t="s">
        <v>14828</v>
      </c>
      <c r="M3353" s="4">
        <v>44.32</v>
      </c>
      <c r="N3353" t="e">
        <f>OR(LEFT(B3353,3)="frg",(_xlfn.XMATCH(B3353,ZZZ_Part_Id_[[#All],[FGCODE]])))</f>
        <v>#N/A</v>
      </c>
    </row>
    <row r="3354" spans="1:14" x14ac:dyDescent="0.3">
      <c r="A3354" s="2" t="s">
        <v>14820</v>
      </c>
      <c r="B3354" s="2" t="s">
        <v>14</v>
      </c>
      <c r="C3354" s="2" t="s">
        <v>14829</v>
      </c>
      <c r="D3354" s="3">
        <v>4</v>
      </c>
      <c r="E3354" s="3">
        <v>4</v>
      </c>
      <c r="F3354" s="2" t="s">
        <v>16</v>
      </c>
      <c r="G3354" s="2" t="s">
        <v>14830</v>
      </c>
      <c r="H3354" s="3">
        <v>0</v>
      </c>
      <c r="I3354" s="2" t="s">
        <v>409</v>
      </c>
      <c r="J3354" s="2" t="s">
        <v>14831</v>
      </c>
      <c r="K3354" s="2" t="s">
        <v>16</v>
      </c>
      <c r="L3354" s="2" t="s">
        <v>14832</v>
      </c>
      <c r="M3354" s="4">
        <v>0.31</v>
      </c>
      <c r="N3354" t="e">
        <f>OR(LEFT(B3354,3)="frg",(_xlfn.XMATCH(B3354,ZZZ_Part_Id_[[#All],[FGCODE]])))</f>
        <v>#N/A</v>
      </c>
    </row>
    <row r="3355" spans="1:14" x14ac:dyDescent="0.3">
      <c r="A3355" s="2" t="s">
        <v>14820</v>
      </c>
      <c r="B3355" s="2" t="s">
        <v>8291</v>
      </c>
      <c r="C3355" s="2" t="s">
        <v>14833</v>
      </c>
      <c r="D3355" s="3">
        <v>0.25600000000000001</v>
      </c>
      <c r="E3355" s="3">
        <v>0.25600000000000001</v>
      </c>
      <c r="F3355" s="2" t="s">
        <v>23</v>
      </c>
      <c r="G3355" s="2" t="s">
        <v>14834</v>
      </c>
      <c r="H3355" s="3">
        <v>0</v>
      </c>
      <c r="I3355" s="2" t="s">
        <v>409</v>
      </c>
      <c r="J3355" s="2" t="s">
        <v>14835</v>
      </c>
      <c r="K3355" s="2" t="s">
        <v>23</v>
      </c>
      <c r="L3355" s="2" t="s">
        <v>14836</v>
      </c>
      <c r="M3355" s="4">
        <v>4.67</v>
      </c>
      <c r="N3355" t="e">
        <f>OR(LEFT(B3355,3)="frg",(_xlfn.XMATCH(B3355,ZZZ_Part_Id_[[#All],[FGCODE]])))</f>
        <v>#N/A</v>
      </c>
    </row>
    <row r="3356" spans="1:14" x14ac:dyDescent="0.3">
      <c r="A3356" s="2" t="s">
        <v>14820</v>
      </c>
      <c r="B3356" s="2" t="s">
        <v>45</v>
      </c>
      <c r="C3356" s="2" t="s">
        <v>14837</v>
      </c>
      <c r="D3356" s="3">
        <v>0.33600000000000002</v>
      </c>
      <c r="E3356" s="3">
        <v>0.33600000000000002</v>
      </c>
      <c r="F3356" s="2" t="s">
        <v>47</v>
      </c>
      <c r="G3356" s="2" t="s">
        <v>14838</v>
      </c>
      <c r="H3356" s="3">
        <v>0</v>
      </c>
      <c r="I3356" s="2" t="s">
        <v>409</v>
      </c>
      <c r="J3356" s="2" t="s">
        <v>14839</v>
      </c>
      <c r="K3356" s="2" t="s">
        <v>47</v>
      </c>
      <c r="L3356" s="2" t="s">
        <v>14840</v>
      </c>
      <c r="M3356" s="4">
        <v>27.19</v>
      </c>
      <c r="N3356" t="e">
        <f>OR(LEFT(B3356,3)="frg",(_xlfn.XMATCH(B3356,ZZZ_Part_Id_[[#All],[FGCODE]])))</f>
        <v>#N/A</v>
      </c>
    </row>
    <row r="3357" spans="1:14" x14ac:dyDescent="0.3">
      <c r="A3357" s="2" t="s">
        <v>14820</v>
      </c>
      <c r="B3357" s="2" t="s">
        <v>4365</v>
      </c>
      <c r="C3357" s="2" t="s">
        <v>14841</v>
      </c>
      <c r="D3357" s="3">
        <v>7560</v>
      </c>
      <c r="E3357" s="3">
        <v>7560</v>
      </c>
      <c r="F3357" s="2" t="s">
        <v>16</v>
      </c>
      <c r="G3357" s="2" t="s">
        <v>14842</v>
      </c>
      <c r="H3357" s="3">
        <v>0</v>
      </c>
      <c r="I3357" s="2" t="s">
        <v>409</v>
      </c>
      <c r="J3357" s="2" t="s">
        <v>14843</v>
      </c>
      <c r="K3357" s="2" t="s">
        <v>16</v>
      </c>
      <c r="L3357" s="2" t="s">
        <v>14844</v>
      </c>
      <c r="M3357" s="4">
        <v>2849.29</v>
      </c>
      <c r="N3357" t="b">
        <f>OR(LEFT(B3357,3)="frg",(_xlfn.XMATCH(B3357,ZZZ_Part_Id_[[#All],[FGCODE]])))</f>
        <v>1</v>
      </c>
    </row>
    <row r="3358" spans="1:14" x14ac:dyDescent="0.3">
      <c r="A3358" s="2" t="s">
        <v>14845</v>
      </c>
      <c r="B3358" s="2" t="s">
        <v>14</v>
      </c>
      <c r="C3358" s="2" t="s">
        <v>14846</v>
      </c>
      <c r="D3358" s="3">
        <v>95</v>
      </c>
      <c r="E3358" s="3">
        <v>95</v>
      </c>
      <c r="F3358" s="2" t="s">
        <v>16</v>
      </c>
      <c r="G3358" s="2" t="s">
        <v>14847</v>
      </c>
      <c r="H3358" s="3">
        <v>0</v>
      </c>
      <c r="I3358" s="2" t="s">
        <v>409</v>
      </c>
      <c r="J3358" s="2" t="s">
        <v>14848</v>
      </c>
      <c r="K3358" s="2" t="s">
        <v>16</v>
      </c>
      <c r="L3358" s="2" t="s">
        <v>14849</v>
      </c>
      <c r="M3358" s="4">
        <v>7.31</v>
      </c>
      <c r="N3358" t="e">
        <f>OR(LEFT(B3358,3)="frg",(_xlfn.XMATCH(B3358,ZZZ_Part_Id_[[#All],[FGCODE]])))</f>
        <v>#N/A</v>
      </c>
    </row>
    <row r="3359" spans="1:14" x14ac:dyDescent="0.3">
      <c r="A3359" s="2" t="s">
        <v>14845</v>
      </c>
      <c r="B3359" s="2" t="s">
        <v>5357</v>
      </c>
      <c r="C3359" s="2" t="s">
        <v>14850</v>
      </c>
      <c r="D3359" s="3">
        <v>563040</v>
      </c>
      <c r="E3359" s="3">
        <v>563040</v>
      </c>
      <c r="F3359" s="2" t="s">
        <v>16</v>
      </c>
      <c r="G3359" s="2" t="s">
        <v>14851</v>
      </c>
      <c r="H3359" s="3">
        <v>0</v>
      </c>
      <c r="I3359" s="2" t="s">
        <v>409</v>
      </c>
      <c r="J3359" s="2" t="s">
        <v>14852</v>
      </c>
      <c r="K3359" s="2" t="s">
        <v>16</v>
      </c>
      <c r="L3359" s="2" t="s">
        <v>14853</v>
      </c>
      <c r="M3359" s="4">
        <v>168225.11</v>
      </c>
      <c r="N3359" t="b">
        <f>OR(LEFT(B3359,3)="frg",(_xlfn.XMATCH(B3359,ZZZ_Part_Id_[[#All],[FGCODE]])))</f>
        <v>1</v>
      </c>
    </row>
    <row r="3360" spans="1:14" x14ac:dyDescent="0.3">
      <c r="A3360" s="2" t="s">
        <v>14854</v>
      </c>
      <c r="B3360" s="2" t="s">
        <v>14</v>
      </c>
      <c r="C3360" s="2" t="s">
        <v>14855</v>
      </c>
      <c r="D3360" s="3">
        <v>40</v>
      </c>
      <c r="E3360" s="3">
        <v>40</v>
      </c>
      <c r="F3360" s="2" t="s">
        <v>16</v>
      </c>
      <c r="G3360" s="2" t="s">
        <v>14856</v>
      </c>
      <c r="H3360" s="3">
        <v>0</v>
      </c>
      <c r="I3360" s="2" t="s">
        <v>18</v>
      </c>
      <c r="J3360" s="2" t="s">
        <v>14857</v>
      </c>
      <c r="K3360" s="2" t="s">
        <v>16</v>
      </c>
      <c r="L3360" s="2" t="s">
        <v>14858</v>
      </c>
      <c r="M3360" s="4">
        <v>3.08</v>
      </c>
      <c r="N3360" t="e">
        <f>OR(LEFT(B3360,3)="frg",(_xlfn.XMATCH(B3360,ZZZ_Part_Id_[[#All],[FGCODE]])))</f>
        <v>#N/A</v>
      </c>
    </row>
    <row r="3361" spans="1:14" x14ac:dyDescent="0.3">
      <c r="A3361" s="2" t="s">
        <v>14854</v>
      </c>
      <c r="B3361" s="2" t="s">
        <v>86</v>
      </c>
      <c r="C3361" s="2" t="s">
        <v>14859</v>
      </c>
      <c r="D3361" s="5">
        <v>-522</v>
      </c>
      <c r="E3361" s="5">
        <v>-522</v>
      </c>
      <c r="F3361" s="2" t="s">
        <v>23</v>
      </c>
      <c r="G3361" s="2" t="s">
        <v>14860</v>
      </c>
      <c r="H3361" s="3">
        <v>0</v>
      </c>
      <c r="I3361" s="2" t="s">
        <v>18</v>
      </c>
      <c r="J3361" s="2" t="s">
        <v>14861</v>
      </c>
      <c r="K3361" s="2" t="s">
        <v>23</v>
      </c>
      <c r="L3361" s="2" t="s">
        <v>14862</v>
      </c>
      <c r="M3361" s="6">
        <v>-1366.49</v>
      </c>
      <c r="N3361" t="b">
        <f>OR(LEFT(B3361,3)="frg",(_xlfn.XMATCH(B3361,ZZZ_Part_Id_[[#All],[FGCODE]])))</f>
        <v>1</v>
      </c>
    </row>
    <row r="3362" spans="1:14" x14ac:dyDescent="0.3">
      <c r="A3362" s="2" t="s">
        <v>14854</v>
      </c>
      <c r="B3362" s="2" t="s">
        <v>11332</v>
      </c>
      <c r="C3362" s="2" t="s">
        <v>14863</v>
      </c>
      <c r="D3362" s="3">
        <v>438480</v>
      </c>
      <c r="E3362" s="3">
        <v>438480</v>
      </c>
      <c r="F3362" s="2" t="s">
        <v>16</v>
      </c>
      <c r="G3362" s="2" t="s">
        <v>14864</v>
      </c>
      <c r="H3362" s="3">
        <v>0</v>
      </c>
      <c r="I3362" s="2" t="s">
        <v>18</v>
      </c>
      <c r="J3362" s="2" t="s">
        <v>14865</v>
      </c>
      <c r="K3362" s="2" t="s">
        <v>16</v>
      </c>
      <c r="L3362" s="2" t="s">
        <v>14866</v>
      </c>
      <c r="M3362" s="4">
        <v>30592.77</v>
      </c>
      <c r="N3362" t="b">
        <f>OR(LEFT(B3362,3)="frg",(_xlfn.XMATCH(B3362,ZZZ_Part_Id_[[#All],[FGCODE]])))</f>
        <v>1</v>
      </c>
    </row>
    <row r="3363" spans="1:14" x14ac:dyDescent="0.3">
      <c r="A3363" s="2" t="s">
        <v>14867</v>
      </c>
      <c r="B3363" s="2" t="s">
        <v>14</v>
      </c>
      <c r="C3363" s="2" t="s">
        <v>14868</v>
      </c>
      <c r="D3363" s="3">
        <v>140</v>
      </c>
      <c r="E3363" s="3">
        <v>140</v>
      </c>
      <c r="F3363" s="2" t="s">
        <v>16</v>
      </c>
      <c r="G3363" s="2" t="s">
        <v>14869</v>
      </c>
      <c r="H3363" s="3">
        <v>0</v>
      </c>
      <c r="I3363" s="2" t="s">
        <v>18</v>
      </c>
      <c r="J3363" s="2" t="s">
        <v>14870</v>
      </c>
      <c r="K3363" s="2" t="s">
        <v>16</v>
      </c>
      <c r="L3363" s="2" t="s">
        <v>14871</v>
      </c>
      <c r="M3363" s="4">
        <v>10.77</v>
      </c>
      <c r="N3363" t="e">
        <f>OR(LEFT(B3363,3)="frg",(_xlfn.XMATCH(B3363,ZZZ_Part_Id_[[#All],[FGCODE]])))</f>
        <v>#N/A</v>
      </c>
    </row>
    <row r="3364" spans="1:14" x14ac:dyDescent="0.3">
      <c r="A3364" s="2" t="s">
        <v>14867</v>
      </c>
      <c r="B3364" s="2" t="s">
        <v>740</v>
      </c>
      <c r="C3364" s="2" t="s">
        <v>14872</v>
      </c>
      <c r="D3364" s="3">
        <v>509760</v>
      </c>
      <c r="E3364" s="3">
        <v>509760</v>
      </c>
      <c r="F3364" s="2" t="s">
        <v>16</v>
      </c>
      <c r="G3364" s="2" t="s">
        <v>14873</v>
      </c>
      <c r="H3364" s="3">
        <v>0</v>
      </c>
      <c r="I3364" s="2" t="s">
        <v>18</v>
      </c>
      <c r="J3364" s="2" t="s">
        <v>14874</v>
      </c>
      <c r="K3364" s="2" t="s">
        <v>16</v>
      </c>
      <c r="L3364" s="2" t="s">
        <v>14875</v>
      </c>
      <c r="M3364" s="4">
        <v>101375.98</v>
      </c>
      <c r="N3364" t="b">
        <f>OR(LEFT(B3364,3)="frg",(_xlfn.XMATCH(B3364,ZZZ_Part_Id_[[#All],[FGCODE]])))</f>
        <v>1</v>
      </c>
    </row>
    <row r="3365" spans="1:14" x14ac:dyDescent="0.3">
      <c r="A3365" s="2" t="s">
        <v>14876</v>
      </c>
      <c r="B3365" s="2" t="s">
        <v>14</v>
      </c>
      <c r="C3365" s="2" t="s">
        <v>14877</v>
      </c>
      <c r="D3365" s="3">
        <v>40</v>
      </c>
      <c r="E3365" s="3">
        <v>40</v>
      </c>
      <c r="F3365" s="2" t="s">
        <v>16</v>
      </c>
      <c r="G3365" s="2" t="s">
        <v>14878</v>
      </c>
      <c r="H3365" s="3">
        <v>0</v>
      </c>
      <c r="I3365" s="2" t="s">
        <v>18</v>
      </c>
      <c r="J3365" s="2" t="s">
        <v>14879</v>
      </c>
      <c r="K3365" s="2" t="s">
        <v>16</v>
      </c>
      <c r="L3365" s="2" t="s">
        <v>14880</v>
      </c>
      <c r="M3365" s="4">
        <v>3.08</v>
      </c>
      <c r="N3365" t="e">
        <f>OR(LEFT(B3365,3)="frg",(_xlfn.XMATCH(B3365,ZZZ_Part_Id_[[#All],[FGCODE]])))</f>
        <v>#N/A</v>
      </c>
    </row>
    <row r="3366" spans="1:14" x14ac:dyDescent="0.3">
      <c r="A3366" s="2" t="s">
        <v>14876</v>
      </c>
      <c r="B3366" s="2" t="s">
        <v>65</v>
      </c>
      <c r="C3366" s="2" t="s">
        <v>14881</v>
      </c>
      <c r="D3366" s="5">
        <v>-268</v>
      </c>
      <c r="E3366" s="5">
        <v>-268</v>
      </c>
      <c r="F3366" s="2" t="s">
        <v>23</v>
      </c>
      <c r="G3366" s="2" t="s">
        <v>14882</v>
      </c>
      <c r="H3366" s="3">
        <v>0</v>
      </c>
      <c r="I3366" s="2" t="s">
        <v>18</v>
      </c>
      <c r="J3366" s="2" t="s">
        <v>14883</v>
      </c>
      <c r="K3366" s="2" t="s">
        <v>23</v>
      </c>
      <c r="L3366" s="2" t="s">
        <v>14884</v>
      </c>
      <c r="M3366" s="6">
        <v>-689.19</v>
      </c>
      <c r="N3366" t="b">
        <f>OR(LEFT(B3366,3)="frg",(_xlfn.XMATCH(B3366,ZZZ_Part_Id_[[#All],[FGCODE]])))</f>
        <v>1</v>
      </c>
    </row>
    <row r="3367" spans="1:14" x14ac:dyDescent="0.3">
      <c r="A3367" s="2" t="s">
        <v>14876</v>
      </c>
      <c r="B3367" s="2" t="s">
        <v>517</v>
      </c>
      <c r="C3367" s="2" t="s">
        <v>14885</v>
      </c>
      <c r="D3367" s="3">
        <v>221760</v>
      </c>
      <c r="E3367" s="3">
        <v>221760</v>
      </c>
      <c r="F3367" s="2" t="s">
        <v>16</v>
      </c>
      <c r="G3367" s="2" t="s">
        <v>14886</v>
      </c>
      <c r="H3367" s="3">
        <v>0</v>
      </c>
      <c r="I3367" s="2" t="s">
        <v>18</v>
      </c>
      <c r="J3367" s="2" t="s">
        <v>14887</v>
      </c>
      <c r="K3367" s="2" t="s">
        <v>16</v>
      </c>
      <c r="L3367" s="2" t="s">
        <v>14888</v>
      </c>
      <c r="M3367" s="4">
        <v>40360.32</v>
      </c>
      <c r="N3367" t="b">
        <f>OR(LEFT(B3367,3)="frg",(_xlfn.XMATCH(B3367,ZZZ_Part_Id_[[#All],[FGCODE]])))</f>
        <v>1</v>
      </c>
    </row>
    <row r="3368" spans="1:14" x14ac:dyDescent="0.3">
      <c r="A3368" s="2" t="s">
        <v>14889</v>
      </c>
      <c r="B3368" s="2" t="s">
        <v>14</v>
      </c>
      <c r="C3368" s="2" t="s">
        <v>14890</v>
      </c>
      <c r="D3368" s="3">
        <v>64</v>
      </c>
      <c r="E3368" s="3">
        <v>64</v>
      </c>
      <c r="F3368" s="2" t="s">
        <v>16</v>
      </c>
      <c r="G3368" s="2" t="s">
        <v>14891</v>
      </c>
      <c r="H3368" s="3">
        <v>0</v>
      </c>
      <c r="I3368" s="2" t="s">
        <v>409</v>
      </c>
      <c r="J3368" s="2" t="s">
        <v>14892</v>
      </c>
      <c r="K3368" s="2" t="s">
        <v>16</v>
      </c>
      <c r="L3368" s="2" t="s">
        <v>14893</v>
      </c>
      <c r="M3368" s="4">
        <v>4.92</v>
      </c>
      <c r="N3368" t="e">
        <f>OR(LEFT(B3368,3)="frg",(_xlfn.XMATCH(B3368,ZZZ_Part_Id_[[#All],[FGCODE]])))</f>
        <v>#N/A</v>
      </c>
    </row>
    <row r="3369" spans="1:14" x14ac:dyDescent="0.3">
      <c r="A3369" s="2" t="s">
        <v>14889</v>
      </c>
      <c r="B3369" s="2" t="s">
        <v>5477</v>
      </c>
      <c r="C3369" s="2" t="s">
        <v>14894</v>
      </c>
      <c r="D3369" s="3">
        <v>357696</v>
      </c>
      <c r="E3369" s="3">
        <v>357696</v>
      </c>
      <c r="F3369" s="2" t="s">
        <v>16</v>
      </c>
      <c r="G3369" s="2" t="s">
        <v>14895</v>
      </c>
      <c r="H3369" s="3">
        <v>0</v>
      </c>
      <c r="I3369" s="2" t="s">
        <v>409</v>
      </c>
      <c r="J3369" s="2" t="s">
        <v>14896</v>
      </c>
      <c r="K3369" s="2" t="s">
        <v>16</v>
      </c>
      <c r="L3369" s="2" t="s">
        <v>14897</v>
      </c>
      <c r="M3369" s="4">
        <v>106872.43</v>
      </c>
      <c r="N3369" t="b">
        <f>OR(LEFT(B3369,3)="frg",(_xlfn.XMATCH(B3369,ZZZ_Part_Id_[[#All],[FGCODE]])))</f>
        <v>1</v>
      </c>
    </row>
    <row r="3370" spans="1:14" x14ac:dyDescent="0.3">
      <c r="A3370" s="2" t="s">
        <v>14898</v>
      </c>
      <c r="B3370" s="2" t="s">
        <v>14</v>
      </c>
      <c r="C3370" s="2" t="s">
        <v>14899</v>
      </c>
      <c r="D3370" s="3">
        <v>64</v>
      </c>
      <c r="E3370" s="3">
        <v>64</v>
      </c>
      <c r="F3370" s="2" t="s">
        <v>16</v>
      </c>
      <c r="G3370" s="2" t="s">
        <v>14900</v>
      </c>
      <c r="H3370" s="3">
        <v>0</v>
      </c>
      <c r="I3370" s="2" t="s">
        <v>18</v>
      </c>
      <c r="J3370" s="2" t="s">
        <v>14901</v>
      </c>
      <c r="K3370" s="2" t="s">
        <v>16</v>
      </c>
      <c r="L3370" s="2" t="s">
        <v>14902</v>
      </c>
      <c r="M3370" s="4">
        <v>4.92</v>
      </c>
      <c r="N3370" t="e">
        <f>OR(LEFT(B3370,3)="frg",(_xlfn.XMATCH(B3370,ZZZ_Part_Id_[[#All],[FGCODE]])))</f>
        <v>#N/A</v>
      </c>
    </row>
    <row r="3371" spans="1:14" x14ac:dyDescent="0.3">
      <c r="A3371" s="2" t="s">
        <v>14898</v>
      </c>
      <c r="B3371" s="2" t="s">
        <v>517</v>
      </c>
      <c r="C3371" s="2" t="s">
        <v>14903</v>
      </c>
      <c r="D3371" s="3">
        <v>544320</v>
      </c>
      <c r="E3371" s="3">
        <v>544320</v>
      </c>
      <c r="F3371" s="2" t="s">
        <v>16</v>
      </c>
      <c r="G3371" s="2" t="s">
        <v>14904</v>
      </c>
      <c r="H3371" s="3">
        <v>0</v>
      </c>
      <c r="I3371" s="2" t="s">
        <v>18</v>
      </c>
      <c r="J3371" s="2" t="s">
        <v>14905</v>
      </c>
      <c r="K3371" s="2" t="s">
        <v>16</v>
      </c>
      <c r="L3371" s="2" t="s">
        <v>14906</v>
      </c>
      <c r="M3371" s="4">
        <v>99066.23</v>
      </c>
      <c r="N3371" t="b">
        <f>OR(LEFT(B3371,3)="frg",(_xlfn.XMATCH(B3371,ZZZ_Part_Id_[[#All],[FGCODE]])))</f>
        <v>1</v>
      </c>
    </row>
    <row r="3372" spans="1:14" x14ac:dyDescent="0.3">
      <c r="A3372" s="2" t="s">
        <v>14907</v>
      </c>
      <c r="B3372" s="2" t="s">
        <v>14</v>
      </c>
      <c r="C3372" s="2" t="s">
        <v>14908</v>
      </c>
      <c r="D3372" s="3">
        <v>40</v>
      </c>
      <c r="E3372" s="3">
        <v>40</v>
      </c>
      <c r="F3372" s="2" t="s">
        <v>16</v>
      </c>
      <c r="G3372" s="2" t="s">
        <v>14909</v>
      </c>
      <c r="H3372" s="3">
        <v>0</v>
      </c>
      <c r="I3372" s="2" t="s">
        <v>18</v>
      </c>
      <c r="J3372" s="2" t="s">
        <v>14910</v>
      </c>
      <c r="K3372" s="2" t="s">
        <v>16</v>
      </c>
      <c r="L3372" s="2" t="s">
        <v>14911</v>
      </c>
      <c r="M3372" s="4">
        <v>3.08</v>
      </c>
      <c r="N3372" t="e">
        <f>OR(LEFT(B3372,3)="frg",(_xlfn.XMATCH(B3372,ZZZ_Part_Id_[[#All],[FGCODE]])))</f>
        <v>#N/A</v>
      </c>
    </row>
    <row r="3373" spans="1:14" x14ac:dyDescent="0.3">
      <c r="A3373" s="2" t="s">
        <v>14907</v>
      </c>
      <c r="B3373" s="2" t="s">
        <v>140</v>
      </c>
      <c r="C3373" s="2" t="s">
        <v>14912</v>
      </c>
      <c r="D3373" s="3">
        <v>2</v>
      </c>
      <c r="E3373" s="3">
        <v>2</v>
      </c>
      <c r="F3373" s="2" t="s">
        <v>16</v>
      </c>
      <c r="G3373" s="2" t="s">
        <v>14913</v>
      </c>
      <c r="H3373" s="3">
        <v>0</v>
      </c>
      <c r="I3373" s="2" t="s">
        <v>18</v>
      </c>
      <c r="J3373" s="2" t="s">
        <v>14914</v>
      </c>
      <c r="K3373" s="2" t="s">
        <v>16</v>
      </c>
      <c r="L3373" s="2" t="s">
        <v>14915</v>
      </c>
      <c r="M3373" s="4">
        <v>4.18</v>
      </c>
      <c r="N3373" t="e">
        <f>OR(LEFT(B3373,3)="frg",(_xlfn.XMATCH(B3373,ZZZ_Part_Id_[[#All],[FGCODE]])))</f>
        <v>#N/A</v>
      </c>
    </row>
    <row r="3374" spans="1:14" x14ac:dyDescent="0.3">
      <c r="A3374" s="2" t="s">
        <v>14907</v>
      </c>
      <c r="B3374" s="2" t="s">
        <v>65</v>
      </c>
      <c r="C3374" s="2" t="s">
        <v>14916</v>
      </c>
      <c r="D3374" s="5">
        <v>-534</v>
      </c>
      <c r="E3374" s="5">
        <v>-534</v>
      </c>
      <c r="F3374" s="2" t="s">
        <v>23</v>
      </c>
      <c r="G3374" s="2" t="s">
        <v>14917</v>
      </c>
      <c r="H3374" s="3">
        <v>0</v>
      </c>
      <c r="I3374" s="2" t="s">
        <v>18</v>
      </c>
      <c r="J3374" s="2" t="s">
        <v>14918</v>
      </c>
      <c r="K3374" s="2" t="s">
        <v>23</v>
      </c>
      <c r="L3374" s="2" t="s">
        <v>14919</v>
      </c>
      <c r="M3374" s="6">
        <v>-1373.23</v>
      </c>
      <c r="N3374" t="b">
        <f>OR(LEFT(B3374,3)="frg",(_xlfn.XMATCH(B3374,ZZZ_Part_Id_[[#All],[FGCODE]])))</f>
        <v>1</v>
      </c>
    </row>
    <row r="3375" spans="1:14" x14ac:dyDescent="0.3">
      <c r="A3375" s="2" t="s">
        <v>14907</v>
      </c>
      <c r="B3375" s="2" t="s">
        <v>517</v>
      </c>
      <c r="C3375" s="2" t="s">
        <v>14920</v>
      </c>
      <c r="D3375" s="3">
        <v>321567</v>
      </c>
      <c r="E3375" s="3">
        <v>321567</v>
      </c>
      <c r="F3375" s="2" t="s">
        <v>16</v>
      </c>
      <c r="G3375" s="2" t="s">
        <v>14921</v>
      </c>
      <c r="H3375" s="3">
        <v>0</v>
      </c>
      <c r="I3375" s="2" t="s">
        <v>18</v>
      </c>
      <c r="J3375" s="2" t="s">
        <v>14922</v>
      </c>
      <c r="K3375" s="2" t="s">
        <v>16</v>
      </c>
      <c r="L3375" s="2" t="s">
        <v>14923</v>
      </c>
      <c r="M3375" s="4">
        <v>58525.19</v>
      </c>
      <c r="N3375" t="b">
        <f>OR(LEFT(B3375,3)="frg",(_xlfn.XMATCH(B3375,ZZZ_Part_Id_[[#All],[FGCODE]])))</f>
        <v>1</v>
      </c>
    </row>
    <row r="3376" spans="1:14" x14ac:dyDescent="0.3">
      <c r="A3376" s="2" t="s">
        <v>14924</v>
      </c>
      <c r="B3376" s="2" t="s">
        <v>14</v>
      </c>
      <c r="C3376" s="2" t="s">
        <v>14925</v>
      </c>
      <c r="D3376" s="3">
        <v>10</v>
      </c>
      <c r="E3376" s="3">
        <v>10</v>
      </c>
      <c r="F3376" s="2" t="s">
        <v>16</v>
      </c>
      <c r="G3376" s="2" t="s">
        <v>14926</v>
      </c>
      <c r="H3376" s="3">
        <v>0</v>
      </c>
      <c r="I3376" s="2" t="s">
        <v>18</v>
      </c>
      <c r="J3376" s="2" t="s">
        <v>14927</v>
      </c>
      <c r="K3376" s="2" t="s">
        <v>16</v>
      </c>
      <c r="L3376" s="2" t="s">
        <v>14928</v>
      </c>
      <c r="M3376" s="4">
        <v>0.77</v>
      </c>
      <c r="N3376" t="e">
        <f>OR(LEFT(B3376,3)="frg",(_xlfn.XMATCH(B3376,ZZZ_Part_Id_[[#All],[FGCODE]])))</f>
        <v>#N/A</v>
      </c>
    </row>
    <row r="3377" spans="1:14" x14ac:dyDescent="0.3">
      <c r="A3377" s="2" t="s">
        <v>14924</v>
      </c>
      <c r="B3377" s="2" t="s">
        <v>140</v>
      </c>
      <c r="C3377" s="2" t="s">
        <v>14929</v>
      </c>
      <c r="D3377" s="3">
        <v>2</v>
      </c>
      <c r="E3377" s="3">
        <v>2</v>
      </c>
      <c r="F3377" s="2" t="s">
        <v>16</v>
      </c>
      <c r="G3377" s="2" t="s">
        <v>14930</v>
      </c>
      <c r="H3377" s="3">
        <v>0</v>
      </c>
      <c r="I3377" s="2" t="s">
        <v>18</v>
      </c>
      <c r="J3377" s="2" t="s">
        <v>14931</v>
      </c>
      <c r="K3377" s="2" t="s">
        <v>16</v>
      </c>
      <c r="L3377" s="2" t="s">
        <v>14932</v>
      </c>
      <c r="M3377" s="4">
        <v>4.18</v>
      </c>
      <c r="N3377" t="e">
        <f>OR(LEFT(B3377,3)="frg",(_xlfn.XMATCH(B3377,ZZZ_Part_Id_[[#All],[FGCODE]])))</f>
        <v>#N/A</v>
      </c>
    </row>
    <row r="3378" spans="1:14" x14ac:dyDescent="0.3">
      <c r="A3378" s="2" t="s">
        <v>14924</v>
      </c>
      <c r="B3378" s="2" t="s">
        <v>65</v>
      </c>
      <c r="C3378" s="2" t="s">
        <v>14933</v>
      </c>
      <c r="D3378" s="5">
        <v>-804</v>
      </c>
      <c r="E3378" s="5">
        <v>-804</v>
      </c>
      <c r="F3378" s="2" t="s">
        <v>23</v>
      </c>
      <c r="G3378" s="2" t="s">
        <v>14934</v>
      </c>
      <c r="H3378" s="3">
        <v>0</v>
      </c>
      <c r="I3378" s="2" t="s">
        <v>18</v>
      </c>
      <c r="J3378" s="2" t="s">
        <v>14935</v>
      </c>
      <c r="K3378" s="2" t="s">
        <v>23</v>
      </c>
      <c r="L3378" s="2" t="s">
        <v>14936</v>
      </c>
      <c r="M3378" s="6">
        <v>-2067.5700000000002</v>
      </c>
      <c r="N3378" t="b">
        <f>OR(LEFT(B3378,3)="frg",(_xlfn.XMATCH(B3378,ZZZ_Part_Id_[[#All],[FGCODE]])))</f>
        <v>1</v>
      </c>
    </row>
    <row r="3379" spans="1:14" x14ac:dyDescent="0.3">
      <c r="A3379" s="2" t="s">
        <v>14924</v>
      </c>
      <c r="B3379" s="2" t="s">
        <v>2008</v>
      </c>
      <c r="C3379" s="2" t="s">
        <v>14937</v>
      </c>
      <c r="D3379" s="3">
        <v>110880</v>
      </c>
      <c r="E3379" s="3">
        <v>80640</v>
      </c>
      <c r="F3379" s="2" t="s">
        <v>16</v>
      </c>
      <c r="G3379" s="2" t="s">
        <v>14938</v>
      </c>
      <c r="H3379" s="3">
        <v>30240</v>
      </c>
      <c r="I3379" s="2" t="s">
        <v>18</v>
      </c>
      <c r="J3379" s="2" t="s">
        <v>14939</v>
      </c>
      <c r="K3379" s="2" t="s">
        <v>16</v>
      </c>
      <c r="L3379" s="2" t="s">
        <v>14940</v>
      </c>
      <c r="M3379" s="4">
        <v>14753.91</v>
      </c>
      <c r="N3379" t="b">
        <f>OR(LEFT(B3379,3)="frg",(_xlfn.XMATCH(B3379,ZZZ_Part_Id_[[#All],[FGCODE]])))</f>
        <v>1</v>
      </c>
    </row>
    <row r="3380" spans="1:14" x14ac:dyDescent="0.3">
      <c r="A3380" s="2" t="s">
        <v>14941</v>
      </c>
      <c r="B3380" s="2" t="s">
        <v>14</v>
      </c>
      <c r="C3380" s="2" t="s">
        <v>14942</v>
      </c>
      <c r="D3380" s="3">
        <v>40</v>
      </c>
      <c r="E3380" s="3">
        <v>40</v>
      </c>
      <c r="F3380" s="2" t="s">
        <v>16</v>
      </c>
      <c r="G3380" s="2" t="s">
        <v>14943</v>
      </c>
      <c r="H3380" s="3">
        <v>0</v>
      </c>
      <c r="I3380" s="2" t="s">
        <v>409</v>
      </c>
      <c r="J3380" s="2" t="s">
        <v>14944</v>
      </c>
      <c r="K3380" s="2" t="s">
        <v>16</v>
      </c>
      <c r="L3380" s="2" t="s">
        <v>14945</v>
      </c>
      <c r="M3380" s="4">
        <v>3.08</v>
      </c>
      <c r="N3380" t="e">
        <f>OR(LEFT(B3380,3)="frg",(_xlfn.XMATCH(B3380,ZZZ_Part_Id_[[#All],[FGCODE]])))</f>
        <v>#N/A</v>
      </c>
    </row>
    <row r="3381" spans="1:14" x14ac:dyDescent="0.3">
      <c r="A3381" s="2" t="s">
        <v>14941</v>
      </c>
      <c r="B3381" s="2" t="s">
        <v>140</v>
      </c>
      <c r="C3381" s="2" t="s">
        <v>14946</v>
      </c>
      <c r="D3381" s="3">
        <v>2</v>
      </c>
      <c r="E3381" s="3">
        <v>2</v>
      </c>
      <c r="F3381" s="2" t="s">
        <v>16</v>
      </c>
      <c r="G3381" s="2" t="s">
        <v>14947</v>
      </c>
      <c r="H3381" s="3">
        <v>0</v>
      </c>
      <c r="I3381" s="2" t="s">
        <v>409</v>
      </c>
      <c r="J3381" s="2" t="s">
        <v>14948</v>
      </c>
      <c r="K3381" s="2" t="s">
        <v>16</v>
      </c>
      <c r="L3381" s="2" t="s">
        <v>14949</v>
      </c>
      <c r="M3381" s="4">
        <v>4.18</v>
      </c>
      <c r="N3381" t="e">
        <f>OR(LEFT(B3381,3)="frg",(_xlfn.XMATCH(B3381,ZZZ_Part_Id_[[#All],[FGCODE]])))</f>
        <v>#N/A</v>
      </c>
    </row>
    <row r="3382" spans="1:14" x14ac:dyDescent="0.3">
      <c r="A3382" s="2" t="s">
        <v>14941</v>
      </c>
      <c r="B3382" s="2" t="s">
        <v>5477</v>
      </c>
      <c r="C3382" s="2" t="s">
        <v>14950</v>
      </c>
      <c r="D3382" s="3">
        <v>258336</v>
      </c>
      <c r="E3382" s="3">
        <v>258336</v>
      </c>
      <c r="F3382" s="2" t="s">
        <v>16</v>
      </c>
      <c r="G3382" s="2" t="s">
        <v>14951</v>
      </c>
      <c r="H3382" s="3">
        <v>0</v>
      </c>
      <c r="I3382" s="2" t="s">
        <v>409</v>
      </c>
      <c r="J3382" s="2" t="s">
        <v>14952</v>
      </c>
      <c r="K3382" s="2" t="s">
        <v>16</v>
      </c>
      <c r="L3382" s="2" t="s">
        <v>14953</v>
      </c>
      <c r="M3382" s="4">
        <v>77185.63</v>
      </c>
      <c r="N3382" t="b">
        <f>OR(LEFT(B3382,3)="frg",(_xlfn.XMATCH(B3382,ZZZ_Part_Id_[[#All],[FGCODE]])))</f>
        <v>1</v>
      </c>
    </row>
    <row r="3383" spans="1:14" x14ac:dyDescent="0.3">
      <c r="A3383" s="2" t="s">
        <v>14954</v>
      </c>
      <c r="B3383" s="2" t="s">
        <v>14</v>
      </c>
      <c r="C3383" s="2" t="s">
        <v>14955</v>
      </c>
      <c r="D3383" s="3">
        <v>40</v>
      </c>
      <c r="E3383" s="3">
        <v>40</v>
      </c>
      <c r="F3383" s="2" t="s">
        <v>16</v>
      </c>
      <c r="G3383" s="2" t="s">
        <v>14956</v>
      </c>
      <c r="H3383" s="3">
        <v>0</v>
      </c>
      <c r="I3383" s="2" t="s">
        <v>18</v>
      </c>
      <c r="J3383" s="2" t="s">
        <v>14957</v>
      </c>
      <c r="K3383" s="2" t="s">
        <v>16</v>
      </c>
      <c r="L3383" s="2" t="s">
        <v>14958</v>
      </c>
      <c r="M3383" s="4">
        <v>3.08</v>
      </c>
      <c r="N3383" t="e">
        <f>OR(LEFT(B3383,3)="frg",(_xlfn.XMATCH(B3383,ZZZ_Part_Id_[[#All],[FGCODE]])))</f>
        <v>#N/A</v>
      </c>
    </row>
    <row r="3384" spans="1:14" x14ac:dyDescent="0.3">
      <c r="A3384" s="2" t="s">
        <v>14954</v>
      </c>
      <c r="B3384" s="2" t="s">
        <v>140</v>
      </c>
      <c r="C3384" s="2" t="s">
        <v>14959</v>
      </c>
      <c r="D3384" s="3">
        <v>2</v>
      </c>
      <c r="E3384" s="3">
        <v>2</v>
      </c>
      <c r="F3384" s="2" t="s">
        <v>16</v>
      </c>
      <c r="G3384" s="2" t="s">
        <v>14960</v>
      </c>
      <c r="H3384" s="3">
        <v>0</v>
      </c>
      <c r="I3384" s="2" t="s">
        <v>18</v>
      </c>
      <c r="J3384" s="2" t="s">
        <v>14961</v>
      </c>
      <c r="K3384" s="2" t="s">
        <v>16</v>
      </c>
      <c r="L3384" s="2" t="s">
        <v>14962</v>
      </c>
      <c r="M3384" s="4">
        <v>4.18</v>
      </c>
      <c r="N3384" t="e">
        <f>OR(LEFT(B3384,3)="frg",(_xlfn.XMATCH(B3384,ZZZ_Part_Id_[[#All],[FGCODE]])))</f>
        <v>#N/A</v>
      </c>
    </row>
    <row r="3385" spans="1:14" x14ac:dyDescent="0.3">
      <c r="A3385" s="2" t="s">
        <v>14954</v>
      </c>
      <c r="B3385" s="2" t="s">
        <v>5477</v>
      </c>
      <c r="C3385" s="2" t="s">
        <v>14963</v>
      </c>
      <c r="D3385" s="3">
        <v>264960</v>
      </c>
      <c r="E3385" s="3">
        <v>264960</v>
      </c>
      <c r="F3385" s="2" t="s">
        <v>16</v>
      </c>
      <c r="G3385" s="2" t="s">
        <v>14964</v>
      </c>
      <c r="H3385" s="3">
        <v>0</v>
      </c>
      <c r="I3385" s="2" t="s">
        <v>18</v>
      </c>
      <c r="J3385" s="2" t="s">
        <v>14965</v>
      </c>
      <c r="K3385" s="2" t="s">
        <v>16</v>
      </c>
      <c r="L3385" s="2" t="s">
        <v>14966</v>
      </c>
      <c r="M3385" s="4">
        <v>79164.740000000005</v>
      </c>
      <c r="N3385" t="b">
        <f>OR(LEFT(B3385,3)="frg",(_xlfn.XMATCH(B3385,ZZZ_Part_Id_[[#All],[FGCODE]])))</f>
        <v>1</v>
      </c>
    </row>
    <row r="3386" spans="1:14" x14ac:dyDescent="0.3">
      <c r="A3386" s="2" t="s">
        <v>14967</v>
      </c>
      <c r="B3386" s="2" t="s">
        <v>14</v>
      </c>
      <c r="C3386" s="2" t="s">
        <v>14968</v>
      </c>
      <c r="D3386" s="3">
        <v>64</v>
      </c>
      <c r="E3386" s="3">
        <v>64</v>
      </c>
      <c r="F3386" s="2" t="s">
        <v>16</v>
      </c>
      <c r="G3386" s="2" t="s">
        <v>14969</v>
      </c>
      <c r="H3386" s="3">
        <v>0</v>
      </c>
      <c r="I3386" s="2" t="s">
        <v>18</v>
      </c>
      <c r="J3386" s="2" t="s">
        <v>14970</v>
      </c>
      <c r="K3386" s="2" t="s">
        <v>16</v>
      </c>
      <c r="L3386" s="2" t="s">
        <v>14971</v>
      </c>
      <c r="M3386" s="4">
        <v>4.92</v>
      </c>
      <c r="N3386" t="e">
        <f>OR(LEFT(B3386,3)="frg",(_xlfn.XMATCH(B3386,ZZZ_Part_Id_[[#All],[FGCODE]])))</f>
        <v>#N/A</v>
      </c>
    </row>
    <row r="3387" spans="1:14" x14ac:dyDescent="0.3">
      <c r="A3387" s="2" t="s">
        <v>14967</v>
      </c>
      <c r="B3387" s="2" t="s">
        <v>11068</v>
      </c>
      <c r="C3387" s="2" t="s">
        <v>14972</v>
      </c>
      <c r="D3387" s="3">
        <v>509760</v>
      </c>
      <c r="E3387" s="3">
        <v>509760</v>
      </c>
      <c r="F3387" s="2" t="s">
        <v>16</v>
      </c>
      <c r="G3387" s="2" t="s">
        <v>14973</v>
      </c>
      <c r="H3387" s="3">
        <v>0</v>
      </c>
      <c r="I3387" s="2" t="s">
        <v>18</v>
      </c>
      <c r="J3387" s="2" t="s">
        <v>14974</v>
      </c>
      <c r="K3387" s="2" t="s">
        <v>16</v>
      </c>
      <c r="L3387" s="2" t="s">
        <v>14975</v>
      </c>
      <c r="M3387" s="4">
        <v>96624.960000000006</v>
      </c>
      <c r="N3387" t="b">
        <f>OR(LEFT(B3387,3)="frg",(_xlfn.XMATCH(B3387,ZZZ_Part_Id_[[#All],[FGCODE]])))</f>
        <v>1</v>
      </c>
    </row>
    <row r="3388" spans="1:14" x14ac:dyDescent="0.3">
      <c r="A3388" s="2" t="s">
        <v>14976</v>
      </c>
      <c r="B3388" s="2" t="s">
        <v>14</v>
      </c>
      <c r="C3388" s="2" t="s">
        <v>14977</v>
      </c>
      <c r="D3388" s="3">
        <v>10</v>
      </c>
      <c r="E3388" s="3">
        <v>10</v>
      </c>
      <c r="F3388" s="2" t="s">
        <v>16</v>
      </c>
      <c r="G3388" s="2" t="s">
        <v>14978</v>
      </c>
      <c r="H3388" s="3">
        <v>0</v>
      </c>
      <c r="I3388" s="2" t="s">
        <v>18</v>
      </c>
      <c r="J3388" s="2" t="s">
        <v>14979</v>
      </c>
      <c r="K3388" s="2" t="s">
        <v>16</v>
      </c>
      <c r="L3388" s="2" t="s">
        <v>14980</v>
      </c>
      <c r="M3388" s="4">
        <v>0.77</v>
      </c>
      <c r="N3388" t="e">
        <f>OR(LEFT(B3388,3)="frg",(_xlfn.XMATCH(B3388,ZZZ_Part_Id_[[#All],[FGCODE]])))</f>
        <v>#N/A</v>
      </c>
    </row>
    <row r="3389" spans="1:14" x14ac:dyDescent="0.3">
      <c r="A3389" s="2" t="s">
        <v>14976</v>
      </c>
      <c r="B3389" s="2" t="s">
        <v>65</v>
      </c>
      <c r="C3389" s="2" t="s">
        <v>14981</v>
      </c>
      <c r="D3389" s="5">
        <v>-63</v>
      </c>
      <c r="E3389" s="5">
        <v>-63</v>
      </c>
      <c r="F3389" s="2" t="s">
        <v>23</v>
      </c>
      <c r="G3389" s="2" t="s">
        <v>14982</v>
      </c>
      <c r="H3389" s="3">
        <v>0</v>
      </c>
      <c r="I3389" s="2" t="s">
        <v>18</v>
      </c>
      <c r="J3389" s="2" t="s">
        <v>14983</v>
      </c>
      <c r="K3389" s="2" t="s">
        <v>23</v>
      </c>
      <c r="L3389" s="2" t="s">
        <v>14984</v>
      </c>
      <c r="M3389" s="6">
        <v>-162.01</v>
      </c>
      <c r="N3389" t="b">
        <f>OR(LEFT(B3389,3)="frg",(_xlfn.XMATCH(B3389,ZZZ_Part_Id_[[#All],[FGCODE]])))</f>
        <v>1</v>
      </c>
    </row>
    <row r="3390" spans="1:14" x14ac:dyDescent="0.3">
      <c r="A3390" s="2" t="s">
        <v>14976</v>
      </c>
      <c r="B3390" s="2" t="s">
        <v>2611</v>
      </c>
      <c r="C3390" s="2" t="s">
        <v>14985</v>
      </c>
      <c r="D3390" s="3">
        <v>63936</v>
      </c>
      <c r="E3390" s="3">
        <v>63936</v>
      </c>
      <c r="F3390" s="2" t="s">
        <v>16</v>
      </c>
      <c r="G3390" s="2" t="s">
        <v>14986</v>
      </c>
      <c r="H3390" s="3">
        <v>0</v>
      </c>
      <c r="I3390" s="2" t="s">
        <v>18</v>
      </c>
      <c r="J3390" s="2" t="s">
        <v>14987</v>
      </c>
      <c r="K3390" s="2" t="s">
        <v>16</v>
      </c>
      <c r="L3390" s="2" t="s">
        <v>14988</v>
      </c>
      <c r="M3390" s="4">
        <v>5754.9</v>
      </c>
      <c r="N3390" t="b">
        <f>OR(LEFT(B3390,3)="frg",(_xlfn.XMATCH(B3390,ZZZ_Part_Id_[[#All],[FGCODE]])))</f>
        <v>1</v>
      </c>
    </row>
    <row r="3391" spans="1:14" x14ac:dyDescent="0.3">
      <c r="A3391" s="2" t="s">
        <v>14989</v>
      </c>
      <c r="B3391" s="2" t="s">
        <v>14</v>
      </c>
      <c r="C3391" s="2" t="s">
        <v>14990</v>
      </c>
      <c r="D3391" s="3">
        <v>10</v>
      </c>
      <c r="E3391" s="3">
        <v>10</v>
      </c>
      <c r="F3391" s="2" t="s">
        <v>16</v>
      </c>
      <c r="G3391" s="2" t="s">
        <v>14991</v>
      </c>
      <c r="H3391" s="3">
        <v>0</v>
      </c>
      <c r="I3391" s="2" t="s">
        <v>18</v>
      </c>
      <c r="J3391" s="2" t="s">
        <v>14992</v>
      </c>
      <c r="K3391" s="2" t="s">
        <v>16</v>
      </c>
      <c r="L3391" s="2" t="s">
        <v>14993</v>
      </c>
      <c r="M3391" s="4">
        <v>0.77</v>
      </c>
      <c r="N3391" t="e">
        <f>OR(LEFT(B3391,3)="frg",(_xlfn.XMATCH(B3391,ZZZ_Part_Id_[[#All],[FGCODE]])))</f>
        <v>#N/A</v>
      </c>
    </row>
    <row r="3392" spans="1:14" x14ac:dyDescent="0.3">
      <c r="A3392" s="2" t="s">
        <v>14989</v>
      </c>
      <c r="B3392" s="2" t="s">
        <v>140</v>
      </c>
      <c r="C3392" s="2" t="s">
        <v>14994</v>
      </c>
      <c r="D3392" s="3">
        <v>2</v>
      </c>
      <c r="E3392" s="3">
        <v>2</v>
      </c>
      <c r="F3392" s="2" t="s">
        <v>16</v>
      </c>
      <c r="G3392" s="2" t="s">
        <v>14995</v>
      </c>
      <c r="H3392" s="3">
        <v>0</v>
      </c>
      <c r="I3392" s="2" t="s">
        <v>18</v>
      </c>
      <c r="J3392" s="2" t="s">
        <v>14996</v>
      </c>
      <c r="K3392" s="2" t="s">
        <v>16</v>
      </c>
      <c r="L3392" s="2" t="s">
        <v>14997</v>
      </c>
      <c r="M3392" s="4">
        <v>4.18</v>
      </c>
      <c r="N3392" t="e">
        <f>OR(LEFT(B3392,3)="frg",(_xlfn.XMATCH(B3392,ZZZ_Part_Id_[[#All],[FGCODE]])))</f>
        <v>#N/A</v>
      </c>
    </row>
    <row r="3393" spans="1:14" x14ac:dyDescent="0.3">
      <c r="A3393" s="2" t="s">
        <v>14989</v>
      </c>
      <c r="B3393" s="2" t="s">
        <v>86</v>
      </c>
      <c r="C3393" s="2" t="s">
        <v>14998</v>
      </c>
      <c r="D3393" s="5">
        <v>-252</v>
      </c>
      <c r="E3393" s="5">
        <v>-252</v>
      </c>
      <c r="F3393" s="2" t="s">
        <v>23</v>
      </c>
      <c r="G3393" s="2" t="s">
        <v>14999</v>
      </c>
      <c r="H3393" s="3">
        <v>0</v>
      </c>
      <c r="I3393" s="2" t="s">
        <v>18</v>
      </c>
      <c r="J3393" s="2" t="s">
        <v>15000</v>
      </c>
      <c r="K3393" s="2" t="s">
        <v>23</v>
      </c>
      <c r="L3393" s="2" t="s">
        <v>15001</v>
      </c>
      <c r="M3393" s="6">
        <v>-659.69</v>
      </c>
      <c r="N3393" t="b">
        <f>OR(LEFT(B3393,3)="frg",(_xlfn.XMATCH(B3393,ZZZ_Part_Id_[[#All],[FGCODE]])))</f>
        <v>1</v>
      </c>
    </row>
    <row r="3394" spans="1:14" x14ac:dyDescent="0.3">
      <c r="A3394" s="2" t="s">
        <v>14989</v>
      </c>
      <c r="B3394" s="2" t="s">
        <v>2803</v>
      </c>
      <c r="C3394" s="2" t="s">
        <v>15002</v>
      </c>
      <c r="D3394" s="3">
        <v>40320</v>
      </c>
      <c r="E3394" s="3">
        <v>40320</v>
      </c>
      <c r="F3394" s="2" t="s">
        <v>16</v>
      </c>
      <c r="G3394" s="2" t="s">
        <v>15003</v>
      </c>
      <c r="H3394" s="3">
        <v>0</v>
      </c>
      <c r="I3394" s="2" t="s">
        <v>18</v>
      </c>
      <c r="J3394" s="2" t="s">
        <v>15004</v>
      </c>
      <c r="K3394" s="2" t="s">
        <v>16</v>
      </c>
      <c r="L3394" s="2" t="s">
        <v>15005</v>
      </c>
      <c r="M3394" s="4">
        <v>7522.91</v>
      </c>
      <c r="N3394" t="b">
        <f>OR(LEFT(B3394,3)="frg",(_xlfn.XMATCH(B3394,ZZZ_Part_Id_[[#All],[FGCODE]])))</f>
        <v>1</v>
      </c>
    </row>
    <row r="3395" spans="1:14" x14ac:dyDescent="0.3">
      <c r="A3395" s="2" t="s">
        <v>15006</v>
      </c>
      <c r="B3395" s="2" t="s">
        <v>5357</v>
      </c>
      <c r="C3395" s="2" t="s">
        <v>15007</v>
      </c>
      <c r="D3395" s="3">
        <v>46368</v>
      </c>
      <c r="E3395" s="3">
        <v>46368</v>
      </c>
      <c r="F3395" s="2" t="s">
        <v>16</v>
      </c>
      <c r="G3395" s="2" t="s">
        <v>15008</v>
      </c>
      <c r="H3395" s="3">
        <v>0</v>
      </c>
      <c r="I3395" s="2" t="s">
        <v>409</v>
      </c>
      <c r="J3395" s="2" t="s">
        <v>15009</v>
      </c>
      <c r="K3395" s="2" t="s">
        <v>16</v>
      </c>
      <c r="L3395" s="2" t="s">
        <v>15010</v>
      </c>
      <c r="M3395" s="4">
        <v>13853.83</v>
      </c>
      <c r="N3395" t="b">
        <f>OR(LEFT(B3395,3)="frg",(_xlfn.XMATCH(B3395,ZZZ_Part_Id_[[#All],[FGCODE]])))</f>
        <v>1</v>
      </c>
    </row>
    <row r="3396" spans="1:14" x14ac:dyDescent="0.3">
      <c r="A3396" s="2" t="s">
        <v>15006</v>
      </c>
      <c r="B3396" s="2" t="s">
        <v>14</v>
      </c>
      <c r="C3396" s="2" t="s">
        <v>15011</v>
      </c>
      <c r="D3396" s="3">
        <v>7</v>
      </c>
      <c r="E3396" s="3">
        <v>0</v>
      </c>
      <c r="F3396" s="2" t="s">
        <v>16</v>
      </c>
      <c r="G3396" s="2" t="s">
        <v>15012</v>
      </c>
      <c r="H3396" s="3">
        <v>0</v>
      </c>
      <c r="I3396" s="2" t="s">
        <v>409</v>
      </c>
      <c r="J3396" s="2" t="s">
        <v>15013</v>
      </c>
      <c r="K3396" s="2" t="s">
        <v>16</v>
      </c>
      <c r="L3396" s="2" t="s">
        <v>15014</v>
      </c>
      <c r="M3396" s="4">
        <v>0</v>
      </c>
      <c r="N3396" t="e">
        <f>OR(LEFT(B3396,3)="frg",(_xlfn.XMATCH(B3396,ZZZ_Part_Id_[[#All],[FGCODE]])))</f>
        <v>#N/A</v>
      </c>
    </row>
    <row r="3397" spans="1:14" x14ac:dyDescent="0.3">
      <c r="A3397" s="2" t="s">
        <v>15006</v>
      </c>
      <c r="B3397" s="2" t="s">
        <v>140</v>
      </c>
      <c r="C3397" s="2" t="s">
        <v>15015</v>
      </c>
      <c r="D3397" s="3">
        <v>0.28000000000000003</v>
      </c>
      <c r="E3397" s="3">
        <v>0</v>
      </c>
      <c r="F3397" s="2" t="s">
        <v>16</v>
      </c>
      <c r="G3397" s="2" t="s">
        <v>15016</v>
      </c>
      <c r="H3397" s="3">
        <v>0</v>
      </c>
      <c r="I3397" s="2" t="s">
        <v>409</v>
      </c>
      <c r="J3397" s="2" t="s">
        <v>15017</v>
      </c>
      <c r="K3397" s="2" t="s">
        <v>16</v>
      </c>
      <c r="L3397" s="2" t="s">
        <v>15018</v>
      </c>
      <c r="M3397" s="4">
        <v>0</v>
      </c>
      <c r="N3397" t="e">
        <f>OR(LEFT(B3397,3)="frg",(_xlfn.XMATCH(B3397,ZZZ_Part_Id_[[#All],[FGCODE]])))</f>
        <v>#N/A</v>
      </c>
    </row>
    <row r="3398" spans="1:14" x14ac:dyDescent="0.3">
      <c r="A3398" s="2" t="s">
        <v>15006</v>
      </c>
      <c r="B3398" s="2" t="s">
        <v>192</v>
      </c>
      <c r="C3398" s="2" t="s">
        <v>15019</v>
      </c>
      <c r="D3398" s="3">
        <v>7.0000000000000007E-2</v>
      </c>
      <c r="E3398" s="3">
        <v>0</v>
      </c>
      <c r="F3398" s="2" t="s">
        <v>194</v>
      </c>
      <c r="G3398" s="2" t="s">
        <v>15020</v>
      </c>
      <c r="H3398" s="3">
        <v>0</v>
      </c>
      <c r="I3398" s="2" t="s">
        <v>409</v>
      </c>
      <c r="J3398" s="2" t="s">
        <v>15021</v>
      </c>
      <c r="K3398" s="2" t="s">
        <v>194</v>
      </c>
      <c r="L3398" s="2" t="s">
        <v>15022</v>
      </c>
      <c r="M3398" s="4">
        <v>0</v>
      </c>
      <c r="N3398" t="e">
        <f>OR(LEFT(B3398,3)="frg",(_xlfn.XMATCH(B3398,ZZZ_Part_Id_[[#All],[FGCODE]])))</f>
        <v>#N/A</v>
      </c>
    </row>
    <row r="3399" spans="1:14" x14ac:dyDescent="0.3">
      <c r="A3399" s="2" t="s">
        <v>15023</v>
      </c>
      <c r="B3399" s="2" t="s">
        <v>14</v>
      </c>
      <c r="C3399" s="2" t="s">
        <v>15024</v>
      </c>
      <c r="D3399" s="3">
        <v>64</v>
      </c>
      <c r="E3399" s="3">
        <v>64</v>
      </c>
      <c r="F3399" s="2" t="s">
        <v>16</v>
      </c>
      <c r="G3399" s="2" t="s">
        <v>15025</v>
      </c>
      <c r="H3399" s="3">
        <v>0</v>
      </c>
      <c r="I3399" s="2" t="s">
        <v>18</v>
      </c>
      <c r="J3399" s="2" t="s">
        <v>15026</v>
      </c>
      <c r="K3399" s="2" t="s">
        <v>16</v>
      </c>
      <c r="L3399" s="2" t="s">
        <v>15027</v>
      </c>
      <c r="M3399" s="4">
        <v>4.92</v>
      </c>
      <c r="N3399" t="e">
        <f>OR(LEFT(B3399,3)="frg",(_xlfn.XMATCH(B3399,ZZZ_Part_Id_[[#All],[FGCODE]])))</f>
        <v>#N/A</v>
      </c>
    </row>
    <row r="3400" spans="1:14" x14ac:dyDescent="0.3">
      <c r="A3400" s="2" t="s">
        <v>15023</v>
      </c>
      <c r="B3400" s="2" t="s">
        <v>11068</v>
      </c>
      <c r="C3400" s="2" t="s">
        <v>15028</v>
      </c>
      <c r="D3400" s="3">
        <v>509760</v>
      </c>
      <c r="E3400" s="3">
        <v>509760</v>
      </c>
      <c r="F3400" s="2" t="s">
        <v>16</v>
      </c>
      <c r="G3400" s="2" t="s">
        <v>15029</v>
      </c>
      <c r="H3400" s="3">
        <v>0</v>
      </c>
      <c r="I3400" s="2" t="s">
        <v>18</v>
      </c>
      <c r="J3400" s="2" t="s">
        <v>15030</v>
      </c>
      <c r="K3400" s="2" t="s">
        <v>16</v>
      </c>
      <c r="L3400" s="2" t="s">
        <v>15031</v>
      </c>
      <c r="M3400" s="4">
        <v>96624.960000000006</v>
      </c>
      <c r="N3400" t="b">
        <f>OR(LEFT(B3400,3)="frg",(_xlfn.XMATCH(B3400,ZZZ_Part_Id_[[#All],[FGCODE]])))</f>
        <v>1</v>
      </c>
    </row>
    <row r="3401" spans="1:14" x14ac:dyDescent="0.3">
      <c r="A3401" s="2" t="s">
        <v>15032</v>
      </c>
      <c r="B3401" s="2" t="s">
        <v>14</v>
      </c>
      <c r="C3401" s="2" t="s">
        <v>15033</v>
      </c>
      <c r="D3401" s="3">
        <v>64</v>
      </c>
      <c r="E3401" s="3">
        <v>64</v>
      </c>
      <c r="F3401" s="2" t="s">
        <v>16</v>
      </c>
      <c r="G3401" s="2" t="s">
        <v>15034</v>
      </c>
      <c r="H3401" s="3">
        <v>0</v>
      </c>
      <c r="I3401" s="2" t="s">
        <v>18</v>
      </c>
      <c r="J3401" s="2" t="s">
        <v>15035</v>
      </c>
      <c r="K3401" s="2" t="s">
        <v>16</v>
      </c>
      <c r="L3401" s="2" t="s">
        <v>15036</v>
      </c>
      <c r="M3401" s="4">
        <v>4.92</v>
      </c>
      <c r="N3401" t="e">
        <f>OR(LEFT(B3401,3)="frg",(_xlfn.XMATCH(B3401,ZZZ_Part_Id_[[#All],[FGCODE]])))</f>
        <v>#N/A</v>
      </c>
    </row>
    <row r="3402" spans="1:14" x14ac:dyDescent="0.3">
      <c r="A3402" s="2" t="s">
        <v>15032</v>
      </c>
      <c r="B3402" s="2" t="s">
        <v>140</v>
      </c>
      <c r="C3402" s="2" t="s">
        <v>15037</v>
      </c>
      <c r="D3402" s="3">
        <v>2</v>
      </c>
      <c r="E3402" s="3">
        <v>2</v>
      </c>
      <c r="F3402" s="2" t="s">
        <v>16</v>
      </c>
      <c r="G3402" s="2" t="s">
        <v>15038</v>
      </c>
      <c r="H3402" s="3">
        <v>0</v>
      </c>
      <c r="I3402" s="2" t="s">
        <v>18</v>
      </c>
      <c r="J3402" s="2" t="s">
        <v>15039</v>
      </c>
      <c r="K3402" s="2" t="s">
        <v>16</v>
      </c>
      <c r="L3402" s="2" t="s">
        <v>15040</v>
      </c>
      <c r="M3402" s="4">
        <v>4.18</v>
      </c>
      <c r="N3402" t="e">
        <f>OR(LEFT(B3402,3)="frg",(_xlfn.XMATCH(B3402,ZZZ_Part_Id_[[#All],[FGCODE]])))</f>
        <v>#N/A</v>
      </c>
    </row>
    <row r="3403" spans="1:14" x14ac:dyDescent="0.3">
      <c r="A3403" s="2" t="s">
        <v>15032</v>
      </c>
      <c r="B3403" s="2" t="s">
        <v>97</v>
      </c>
      <c r="C3403" s="2" t="s">
        <v>15041</v>
      </c>
      <c r="D3403" s="3">
        <v>249600</v>
      </c>
      <c r="E3403" s="3">
        <v>249600</v>
      </c>
      <c r="F3403" s="2" t="s">
        <v>16</v>
      </c>
      <c r="G3403" s="2" t="s">
        <v>15042</v>
      </c>
      <c r="H3403" s="3">
        <v>0</v>
      </c>
      <c r="I3403" s="2" t="s">
        <v>18</v>
      </c>
      <c r="J3403" s="2" t="s">
        <v>15043</v>
      </c>
      <c r="K3403" s="2" t="s">
        <v>16</v>
      </c>
      <c r="L3403" s="2" t="s">
        <v>15044</v>
      </c>
      <c r="M3403" s="4">
        <v>85645.17</v>
      </c>
      <c r="N3403" t="b">
        <f>OR(LEFT(B3403,3)="frg",(_xlfn.XMATCH(B3403,ZZZ_Part_Id_[[#All],[FGCODE]])))</f>
        <v>1</v>
      </c>
    </row>
    <row r="3404" spans="1:14" x14ac:dyDescent="0.3">
      <c r="A3404" s="2" t="s">
        <v>15045</v>
      </c>
      <c r="B3404" s="2" t="s">
        <v>140</v>
      </c>
      <c r="C3404" s="2" t="s">
        <v>15046</v>
      </c>
      <c r="D3404" s="3">
        <v>4</v>
      </c>
      <c r="E3404" s="3">
        <v>4</v>
      </c>
      <c r="F3404" s="2" t="s">
        <v>16</v>
      </c>
      <c r="G3404" s="2" t="s">
        <v>15047</v>
      </c>
      <c r="H3404" s="3">
        <v>0</v>
      </c>
      <c r="I3404" s="2" t="s">
        <v>18</v>
      </c>
      <c r="J3404" s="2" t="s">
        <v>15048</v>
      </c>
      <c r="K3404" s="2" t="s">
        <v>16</v>
      </c>
      <c r="L3404" s="2" t="s">
        <v>15049</v>
      </c>
      <c r="M3404" s="4">
        <v>8.2200000000000006</v>
      </c>
      <c r="N3404" t="e">
        <f>OR(LEFT(B3404,3)="frg",(_xlfn.XMATCH(B3404,ZZZ_Part_Id_[[#All],[FGCODE]])))</f>
        <v>#N/A</v>
      </c>
    </row>
    <row r="3405" spans="1:14" x14ac:dyDescent="0.3">
      <c r="A3405" s="2" t="s">
        <v>15045</v>
      </c>
      <c r="B3405" s="2" t="s">
        <v>11068</v>
      </c>
      <c r="C3405" s="2" t="s">
        <v>15050</v>
      </c>
      <c r="D3405" s="3">
        <v>1019520</v>
      </c>
      <c r="E3405" s="3">
        <v>1019520</v>
      </c>
      <c r="F3405" s="2" t="s">
        <v>16</v>
      </c>
      <c r="G3405" s="2" t="s">
        <v>15051</v>
      </c>
      <c r="H3405" s="3">
        <v>0</v>
      </c>
      <c r="I3405" s="2" t="s">
        <v>18</v>
      </c>
      <c r="J3405" s="2" t="s">
        <v>15052</v>
      </c>
      <c r="K3405" s="2" t="s">
        <v>16</v>
      </c>
      <c r="L3405" s="2" t="s">
        <v>15053</v>
      </c>
      <c r="M3405" s="4">
        <v>193249.92000000001</v>
      </c>
      <c r="N3405" t="b">
        <f>OR(LEFT(B3405,3)="frg",(_xlfn.XMATCH(B3405,ZZZ_Part_Id_[[#All],[FGCODE]])))</f>
        <v>1</v>
      </c>
    </row>
    <row r="3406" spans="1:14" x14ac:dyDescent="0.3">
      <c r="A3406" s="2" t="s">
        <v>15054</v>
      </c>
      <c r="B3406" s="2" t="s">
        <v>14</v>
      </c>
      <c r="C3406" s="2" t="s">
        <v>15055</v>
      </c>
      <c r="D3406" s="3">
        <v>140</v>
      </c>
      <c r="E3406" s="3">
        <v>140</v>
      </c>
      <c r="F3406" s="2" t="s">
        <v>16</v>
      </c>
      <c r="G3406" s="2" t="s">
        <v>15056</v>
      </c>
      <c r="H3406" s="3">
        <v>0</v>
      </c>
      <c r="I3406" s="2" t="s">
        <v>18</v>
      </c>
      <c r="J3406" s="2" t="s">
        <v>15057</v>
      </c>
      <c r="K3406" s="2" t="s">
        <v>16</v>
      </c>
      <c r="L3406" s="2" t="s">
        <v>15058</v>
      </c>
      <c r="M3406" s="4">
        <v>10.77</v>
      </c>
      <c r="N3406" t="e">
        <f>OR(LEFT(B3406,3)="frg",(_xlfn.XMATCH(B3406,ZZZ_Part_Id_[[#All],[FGCODE]])))</f>
        <v>#N/A</v>
      </c>
    </row>
    <row r="3407" spans="1:14" x14ac:dyDescent="0.3">
      <c r="A3407" s="2" t="s">
        <v>15054</v>
      </c>
      <c r="B3407" s="2" t="s">
        <v>140</v>
      </c>
      <c r="C3407" s="2" t="s">
        <v>15059</v>
      </c>
      <c r="D3407" s="3">
        <v>4</v>
      </c>
      <c r="E3407" s="3">
        <v>4</v>
      </c>
      <c r="F3407" s="2" t="s">
        <v>16</v>
      </c>
      <c r="G3407" s="2" t="s">
        <v>15060</v>
      </c>
      <c r="H3407" s="3">
        <v>0</v>
      </c>
      <c r="I3407" s="2" t="s">
        <v>18</v>
      </c>
      <c r="J3407" s="2" t="s">
        <v>15061</v>
      </c>
      <c r="K3407" s="2" t="s">
        <v>16</v>
      </c>
      <c r="L3407" s="2" t="s">
        <v>15062</v>
      </c>
      <c r="M3407" s="4">
        <v>8.2200000000000006</v>
      </c>
      <c r="N3407" t="e">
        <f>OR(LEFT(B3407,3)="frg",(_xlfn.XMATCH(B3407,ZZZ_Part_Id_[[#All],[FGCODE]])))</f>
        <v>#N/A</v>
      </c>
    </row>
    <row r="3408" spans="1:14" x14ac:dyDescent="0.3">
      <c r="A3408" s="2" t="s">
        <v>15054</v>
      </c>
      <c r="B3408" s="2" t="s">
        <v>97</v>
      </c>
      <c r="C3408" s="2" t="s">
        <v>15063</v>
      </c>
      <c r="D3408" s="3">
        <v>549600</v>
      </c>
      <c r="E3408" s="3">
        <v>549600</v>
      </c>
      <c r="F3408" s="2" t="s">
        <v>16</v>
      </c>
      <c r="G3408" s="2" t="s">
        <v>15064</v>
      </c>
      <c r="H3408" s="3">
        <v>0</v>
      </c>
      <c r="I3408" s="2" t="s">
        <v>18</v>
      </c>
      <c r="J3408" s="2" t="s">
        <v>15065</v>
      </c>
      <c r="K3408" s="2" t="s">
        <v>16</v>
      </c>
      <c r="L3408" s="2" t="s">
        <v>15066</v>
      </c>
      <c r="M3408" s="4">
        <v>188583.95</v>
      </c>
      <c r="N3408" t="b">
        <f>OR(LEFT(B3408,3)="frg",(_xlfn.XMATCH(B3408,ZZZ_Part_Id_[[#All],[FGCODE]])))</f>
        <v>1</v>
      </c>
    </row>
    <row r="3409" spans="1:14" x14ac:dyDescent="0.3">
      <c r="A3409" s="2" t="s">
        <v>15067</v>
      </c>
      <c r="B3409" s="2" t="s">
        <v>14</v>
      </c>
      <c r="C3409" s="2" t="s">
        <v>15068</v>
      </c>
      <c r="D3409" s="3">
        <v>140</v>
      </c>
      <c r="E3409" s="3">
        <v>140</v>
      </c>
      <c r="F3409" s="2" t="s">
        <v>16</v>
      </c>
      <c r="G3409" s="2" t="s">
        <v>15069</v>
      </c>
      <c r="H3409" s="3">
        <v>0</v>
      </c>
      <c r="I3409" s="2" t="s">
        <v>18</v>
      </c>
      <c r="J3409" s="2" t="s">
        <v>15070</v>
      </c>
      <c r="K3409" s="2" t="s">
        <v>16</v>
      </c>
      <c r="L3409" s="2" t="s">
        <v>15071</v>
      </c>
      <c r="M3409" s="4">
        <v>10.77</v>
      </c>
      <c r="N3409" t="e">
        <f>OR(LEFT(B3409,3)="frg",(_xlfn.XMATCH(B3409,ZZZ_Part_Id_[[#All],[FGCODE]])))</f>
        <v>#N/A</v>
      </c>
    </row>
    <row r="3410" spans="1:14" x14ac:dyDescent="0.3">
      <c r="A3410" s="2" t="s">
        <v>15067</v>
      </c>
      <c r="B3410" s="2" t="s">
        <v>97</v>
      </c>
      <c r="C3410" s="2" t="s">
        <v>15072</v>
      </c>
      <c r="D3410" s="3">
        <v>549600</v>
      </c>
      <c r="E3410" s="3">
        <v>549600</v>
      </c>
      <c r="F3410" s="2" t="s">
        <v>16</v>
      </c>
      <c r="G3410" s="2" t="s">
        <v>15073</v>
      </c>
      <c r="H3410" s="3">
        <v>0</v>
      </c>
      <c r="I3410" s="2" t="s">
        <v>18</v>
      </c>
      <c r="J3410" s="2" t="s">
        <v>15074</v>
      </c>
      <c r="K3410" s="2" t="s">
        <v>16</v>
      </c>
      <c r="L3410" s="2" t="s">
        <v>15075</v>
      </c>
      <c r="M3410" s="4">
        <v>188583.95</v>
      </c>
      <c r="N3410" t="b">
        <f>OR(LEFT(B3410,3)="frg",(_xlfn.XMATCH(B3410,ZZZ_Part_Id_[[#All],[FGCODE]])))</f>
        <v>1</v>
      </c>
    </row>
    <row r="3411" spans="1:14" x14ac:dyDescent="0.3">
      <c r="A3411" s="2" t="s">
        <v>15076</v>
      </c>
      <c r="B3411" s="2" t="s">
        <v>97</v>
      </c>
      <c r="C3411" s="2" t="s">
        <v>15077</v>
      </c>
      <c r="D3411" s="3">
        <v>4800</v>
      </c>
      <c r="E3411" s="3">
        <v>0</v>
      </c>
      <c r="F3411" s="2" t="s">
        <v>16</v>
      </c>
      <c r="G3411" s="2" t="s">
        <v>15078</v>
      </c>
      <c r="H3411" s="3">
        <v>4800</v>
      </c>
      <c r="I3411" s="2" t="s">
        <v>409</v>
      </c>
      <c r="J3411" s="2" t="s">
        <v>15079</v>
      </c>
      <c r="K3411" s="2" t="s">
        <v>16</v>
      </c>
      <c r="L3411" s="2" t="s">
        <v>15080</v>
      </c>
      <c r="M3411" s="4">
        <v>0</v>
      </c>
      <c r="N3411" t="b">
        <f>OR(LEFT(B3411,3)="frg",(_xlfn.XMATCH(B3411,ZZZ_Part_Id_[[#All],[FGCODE]])))</f>
        <v>1</v>
      </c>
    </row>
    <row r="3412" spans="1:14" x14ac:dyDescent="0.3">
      <c r="A3412" s="2" t="s">
        <v>15081</v>
      </c>
      <c r="B3412" s="2" t="s">
        <v>1027</v>
      </c>
      <c r="C3412" s="2" t="s">
        <v>15082</v>
      </c>
      <c r="D3412" s="3">
        <v>9500</v>
      </c>
      <c r="E3412" s="3">
        <v>9500</v>
      </c>
      <c r="F3412" s="2" t="s">
        <v>16</v>
      </c>
      <c r="G3412" s="2" t="s">
        <v>15083</v>
      </c>
      <c r="H3412" s="3">
        <v>0</v>
      </c>
      <c r="I3412" s="2" t="s">
        <v>18</v>
      </c>
      <c r="J3412" s="2" t="s">
        <v>35</v>
      </c>
      <c r="K3412" s="2" t="s">
        <v>16</v>
      </c>
      <c r="L3412" s="2" t="s">
        <v>15084</v>
      </c>
      <c r="M3412" s="4">
        <v>1913.87</v>
      </c>
      <c r="N3412" t="b">
        <f>OR(LEFT(B3412,3)="frg",(_xlfn.XMATCH(B3412,ZZZ_Part_Id_[[#All],[FGCODE]])))</f>
        <v>1</v>
      </c>
    </row>
    <row r="3413" spans="1:14" x14ac:dyDescent="0.3">
      <c r="A3413" s="2" t="s">
        <v>15085</v>
      </c>
      <c r="B3413" s="2" t="s">
        <v>97</v>
      </c>
      <c r="C3413" s="2" t="s">
        <v>15086</v>
      </c>
      <c r="D3413" s="3">
        <v>748800</v>
      </c>
      <c r="E3413" s="3">
        <v>748800</v>
      </c>
      <c r="F3413" s="2" t="s">
        <v>16</v>
      </c>
      <c r="G3413" s="2" t="s">
        <v>15087</v>
      </c>
      <c r="H3413" s="3">
        <v>0</v>
      </c>
      <c r="I3413" s="2" t="s">
        <v>18</v>
      </c>
      <c r="J3413" s="2" t="s">
        <v>15088</v>
      </c>
      <c r="K3413" s="2" t="s">
        <v>16</v>
      </c>
      <c r="L3413" s="2" t="s">
        <v>15089</v>
      </c>
      <c r="M3413" s="4">
        <v>256935.28</v>
      </c>
      <c r="N3413" t="b">
        <f>OR(LEFT(B3413,3)="frg",(_xlfn.XMATCH(B3413,ZZZ_Part_Id_[[#All],[FGCODE]])))</f>
        <v>1</v>
      </c>
    </row>
    <row r="3414" spans="1:14" x14ac:dyDescent="0.3">
      <c r="A3414" s="2" t="s">
        <v>15085</v>
      </c>
      <c r="B3414" s="2" t="s">
        <v>14</v>
      </c>
      <c r="C3414" s="2" t="s">
        <v>15090</v>
      </c>
      <c r="D3414" s="3">
        <v>156</v>
      </c>
      <c r="E3414" s="3">
        <v>156</v>
      </c>
      <c r="F3414" s="2" t="s">
        <v>16</v>
      </c>
      <c r="G3414" s="2" t="s">
        <v>15091</v>
      </c>
      <c r="H3414" s="3">
        <v>0</v>
      </c>
      <c r="I3414" s="2" t="s">
        <v>18</v>
      </c>
      <c r="J3414" s="2" t="s">
        <v>15092</v>
      </c>
      <c r="K3414" s="2" t="s">
        <v>16</v>
      </c>
      <c r="L3414" s="2" t="s">
        <v>15093</v>
      </c>
      <c r="M3414" s="4">
        <v>12</v>
      </c>
      <c r="N3414" t="e">
        <f>OR(LEFT(B3414,3)="frg",(_xlfn.XMATCH(B3414,ZZZ_Part_Id_[[#All],[FGCODE]])))</f>
        <v>#N/A</v>
      </c>
    </row>
    <row r="3415" spans="1:14" x14ac:dyDescent="0.3">
      <c r="A3415" s="2" t="s">
        <v>15085</v>
      </c>
      <c r="B3415" s="2" t="s">
        <v>140</v>
      </c>
      <c r="C3415" s="2" t="s">
        <v>15094</v>
      </c>
      <c r="D3415" s="3">
        <v>6.24</v>
      </c>
      <c r="E3415" s="3">
        <v>6.24</v>
      </c>
      <c r="F3415" s="2" t="s">
        <v>16</v>
      </c>
      <c r="G3415" s="2" t="s">
        <v>15095</v>
      </c>
      <c r="H3415" s="3">
        <v>0</v>
      </c>
      <c r="I3415" s="2" t="s">
        <v>18</v>
      </c>
      <c r="J3415" s="2" t="s">
        <v>15096</v>
      </c>
      <c r="K3415" s="2" t="s">
        <v>16</v>
      </c>
      <c r="L3415" s="2" t="s">
        <v>15097</v>
      </c>
      <c r="M3415" s="4">
        <v>12.82</v>
      </c>
      <c r="N3415" t="e">
        <f>OR(LEFT(B3415,3)="frg",(_xlfn.XMATCH(B3415,ZZZ_Part_Id_[[#All],[FGCODE]])))</f>
        <v>#N/A</v>
      </c>
    </row>
    <row r="3416" spans="1:14" x14ac:dyDescent="0.3">
      <c r="A3416" s="2" t="s">
        <v>15085</v>
      </c>
      <c r="B3416" s="2" t="s">
        <v>192</v>
      </c>
      <c r="C3416" s="2" t="s">
        <v>15098</v>
      </c>
      <c r="D3416" s="3">
        <v>1.56</v>
      </c>
      <c r="E3416" s="3">
        <v>1.56</v>
      </c>
      <c r="F3416" s="2" t="s">
        <v>194</v>
      </c>
      <c r="G3416" s="2" t="s">
        <v>15099</v>
      </c>
      <c r="H3416" s="3">
        <v>0</v>
      </c>
      <c r="I3416" s="2" t="s">
        <v>18</v>
      </c>
      <c r="J3416" s="2" t="s">
        <v>15100</v>
      </c>
      <c r="K3416" s="2" t="s">
        <v>194</v>
      </c>
      <c r="L3416" s="2" t="s">
        <v>15101</v>
      </c>
      <c r="M3416" s="4">
        <v>7.85</v>
      </c>
      <c r="N3416" t="e">
        <f>OR(LEFT(B3416,3)="frg",(_xlfn.XMATCH(B3416,ZZZ_Part_Id_[[#All],[FGCODE]])))</f>
        <v>#N/A</v>
      </c>
    </row>
    <row r="3417" spans="1:14" x14ac:dyDescent="0.3">
      <c r="A3417" s="2" t="s">
        <v>15102</v>
      </c>
      <c r="B3417" s="2" t="s">
        <v>2086</v>
      </c>
      <c r="C3417" s="2" t="s">
        <v>15103</v>
      </c>
      <c r="D3417" s="3">
        <v>92928</v>
      </c>
      <c r="E3417" s="3">
        <v>92928</v>
      </c>
      <c r="F3417" s="2" t="s">
        <v>16</v>
      </c>
      <c r="G3417" s="2" t="s">
        <v>15104</v>
      </c>
      <c r="H3417" s="3">
        <v>0</v>
      </c>
      <c r="I3417" s="2" t="s">
        <v>18</v>
      </c>
      <c r="J3417" s="2" t="s">
        <v>15105</v>
      </c>
      <c r="K3417" s="2" t="s">
        <v>16</v>
      </c>
      <c r="L3417" s="2" t="s">
        <v>15106</v>
      </c>
      <c r="M3417" s="4">
        <v>21824.21</v>
      </c>
      <c r="N3417" t="b">
        <f>OR(LEFT(B3417,3)="frg",(_xlfn.XMATCH(B3417,ZZZ_Part_Id_[[#All],[FGCODE]])))</f>
        <v>1</v>
      </c>
    </row>
    <row r="3418" spans="1:14" x14ac:dyDescent="0.3">
      <c r="A3418" s="2" t="s">
        <v>15102</v>
      </c>
      <c r="B3418" s="2" t="s">
        <v>65</v>
      </c>
      <c r="C3418" s="2" t="s">
        <v>15107</v>
      </c>
      <c r="D3418" s="5">
        <v>-152</v>
      </c>
      <c r="E3418" s="5">
        <v>-152</v>
      </c>
      <c r="F3418" s="2" t="s">
        <v>23</v>
      </c>
      <c r="G3418" s="2" t="s">
        <v>15108</v>
      </c>
      <c r="H3418" s="3">
        <v>0</v>
      </c>
      <c r="I3418" s="2" t="s">
        <v>18</v>
      </c>
      <c r="J3418" s="2" t="s">
        <v>15109</v>
      </c>
      <c r="K3418" s="2" t="s">
        <v>23</v>
      </c>
      <c r="L3418" s="2" t="s">
        <v>15110</v>
      </c>
      <c r="M3418" s="6">
        <v>-390.88</v>
      </c>
      <c r="N3418" t="b">
        <f>OR(LEFT(B3418,3)="frg",(_xlfn.XMATCH(B3418,ZZZ_Part_Id_[[#All],[FGCODE]])))</f>
        <v>1</v>
      </c>
    </row>
    <row r="3419" spans="1:14" x14ac:dyDescent="0.3">
      <c r="A3419" s="2" t="s">
        <v>15102</v>
      </c>
      <c r="B3419" s="2" t="s">
        <v>14</v>
      </c>
      <c r="C3419" s="2" t="s">
        <v>15111</v>
      </c>
      <c r="D3419" s="3">
        <v>20</v>
      </c>
      <c r="E3419" s="3">
        <v>20</v>
      </c>
      <c r="F3419" s="2" t="s">
        <v>16</v>
      </c>
      <c r="G3419" s="2" t="s">
        <v>15112</v>
      </c>
      <c r="H3419" s="3">
        <v>0</v>
      </c>
      <c r="I3419" s="2" t="s">
        <v>18</v>
      </c>
      <c r="J3419" s="2" t="s">
        <v>15113</v>
      </c>
      <c r="K3419" s="2" t="s">
        <v>16</v>
      </c>
      <c r="L3419" s="2" t="s">
        <v>15114</v>
      </c>
      <c r="M3419" s="4">
        <v>1.54</v>
      </c>
      <c r="N3419" t="e">
        <f>OR(LEFT(B3419,3)="frg",(_xlfn.XMATCH(B3419,ZZZ_Part_Id_[[#All],[FGCODE]])))</f>
        <v>#N/A</v>
      </c>
    </row>
    <row r="3420" spans="1:14" x14ac:dyDescent="0.3">
      <c r="A3420" s="2" t="s">
        <v>15102</v>
      </c>
      <c r="B3420" s="2" t="s">
        <v>140</v>
      </c>
      <c r="C3420" s="2" t="s">
        <v>15115</v>
      </c>
      <c r="D3420" s="3">
        <v>0.83699999999999997</v>
      </c>
      <c r="E3420" s="3">
        <v>0.83699999999999997</v>
      </c>
      <c r="F3420" s="2" t="s">
        <v>16</v>
      </c>
      <c r="G3420" s="2" t="s">
        <v>15116</v>
      </c>
      <c r="H3420" s="3">
        <v>0</v>
      </c>
      <c r="I3420" s="2" t="s">
        <v>18</v>
      </c>
      <c r="J3420" s="2" t="s">
        <v>15117</v>
      </c>
      <c r="K3420" s="2" t="s">
        <v>16</v>
      </c>
      <c r="L3420" s="2" t="s">
        <v>15118</v>
      </c>
      <c r="M3420" s="4">
        <v>1.72</v>
      </c>
      <c r="N3420" t="e">
        <f>OR(LEFT(B3420,3)="frg",(_xlfn.XMATCH(B3420,ZZZ_Part_Id_[[#All],[FGCODE]])))</f>
        <v>#N/A</v>
      </c>
    </row>
    <row r="3421" spans="1:14" x14ac:dyDescent="0.3">
      <c r="A3421" s="2" t="s">
        <v>15102</v>
      </c>
      <c r="B3421" s="2" t="s">
        <v>192</v>
      </c>
      <c r="C3421" s="2" t="s">
        <v>15119</v>
      </c>
      <c r="D3421" s="3">
        <v>0.21</v>
      </c>
      <c r="E3421" s="3">
        <v>0.21</v>
      </c>
      <c r="F3421" s="2" t="s">
        <v>194</v>
      </c>
      <c r="G3421" s="2" t="s">
        <v>15120</v>
      </c>
      <c r="H3421" s="3">
        <v>0</v>
      </c>
      <c r="I3421" s="2" t="s">
        <v>18</v>
      </c>
      <c r="J3421" s="2" t="s">
        <v>15121</v>
      </c>
      <c r="K3421" s="2" t="s">
        <v>194</v>
      </c>
      <c r="L3421" s="2" t="s">
        <v>15122</v>
      </c>
      <c r="M3421" s="4">
        <v>1.06</v>
      </c>
      <c r="N3421" t="e">
        <f>OR(LEFT(B3421,3)="frg",(_xlfn.XMATCH(B3421,ZZZ_Part_Id_[[#All],[FGCODE]])))</f>
        <v>#N/A</v>
      </c>
    </row>
    <row r="3422" spans="1:14" x14ac:dyDescent="0.3">
      <c r="A3422" s="2" t="s">
        <v>15123</v>
      </c>
      <c r="B3422" s="2" t="s">
        <v>11068</v>
      </c>
      <c r="C3422" s="2" t="s">
        <v>15124</v>
      </c>
      <c r="D3422" s="3">
        <v>509760</v>
      </c>
      <c r="E3422" s="3">
        <v>509760</v>
      </c>
      <c r="F3422" s="2" t="s">
        <v>16</v>
      </c>
      <c r="G3422" s="2" t="s">
        <v>15125</v>
      </c>
      <c r="H3422" s="3">
        <v>0</v>
      </c>
      <c r="I3422" s="2" t="s">
        <v>409</v>
      </c>
      <c r="J3422" s="2" t="s">
        <v>15126</v>
      </c>
      <c r="K3422" s="2" t="s">
        <v>16</v>
      </c>
      <c r="L3422" s="2" t="s">
        <v>15127</v>
      </c>
      <c r="M3422" s="4">
        <v>104969.77</v>
      </c>
      <c r="N3422" t="b">
        <f>OR(LEFT(B3422,3)="frg",(_xlfn.XMATCH(B3422,ZZZ_Part_Id_[[#All],[FGCODE]])))</f>
        <v>1</v>
      </c>
    </row>
    <row r="3423" spans="1:14" x14ac:dyDescent="0.3">
      <c r="A3423" s="2" t="s">
        <v>15123</v>
      </c>
      <c r="B3423" s="2" t="s">
        <v>14</v>
      </c>
      <c r="C3423" s="2" t="s">
        <v>15128</v>
      </c>
      <c r="D3423" s="3">
        <v>48</v>
      </c>
      <c r="E3423" s="3">
        <v>48</v>
      </c>
      <c r="F3423" s="2" t="s">
        <v>16</v>
      </c>
      <c r="G3423" s="2" t="s">
        <v>15129</v>
      </c>
      <c r="H3423" s="3">
        <v>0</v>
      </c>
      <c r="I3423" s="2" t="s">
        <v>409</v>
      </c>
      <c r="J3423" s="2" t="s">
        <v>15130</v>
      </c>
      <c r="K3423" s="2" t="s">
        <v>16</v>
      </c>
      <c r="L3423" s="2" t="s">
        <v>15131</v>
      </c>
      <c r="M3423" s="4">
        <v>3.69</v>
      </c>
      <c r="N3423" t="e">
        <f>OR(LEFT(B3423,3)="frg",(_xlfn.XMATCH(B3423,ZZZ_Part_Id_[[#All],[FGCODE]])))</f>
        <v>#N/A</v>
      </c>
    </row>
    <row r="3424" spans="1:14" x14ac:dyDescent="0.3">
      <c r="A3424" s="2" t="s">
        <v>15123</v>
      </c>
      <c r="B3424" s="2" t="s">
        <v>140</v>
      </c>
      <c r="C3424" s="2" t="s">
        <v>15132</v>
      </c>
      <c r="D3424" s="3">
        <v>1.92</v>
      </c>
      <c r="E3424" s="3">
        <v>1.92</v>
      </c>
      <c r="F3424" s="2" t="s">
        <v>16</v>
      </c>
      <c r="G3424" s="2" t="s">
        <v>15133</v>
      </c>
      <c r="H3424" s="3">
        <v>0</v>
      </c>
      <c r="I3424" s="2" t="s">
        <v>409</v>
      </c>
      <c r="J3424" s="2" t="s">
        <v>15134</v>
      </c>
      <c r="K3424" s="2" t="s">
        <v>16</v>
      </c>
      <c r="L3424" s="2" t="s">
        <v>15135</v>
      </c>
      <c r="M3424" s="4">
        <v>3.94</v>
      </c>
      <c r="N3424" t="e">
        <f>OR(LEFT(B3424,3)="frg",(_xlfn.XMATCH(B3424,ZZZ_Part_Id_[[#All],[FGCODE]])))</f>
        <v>#N/A</v>
      </c>
    </row>
    <row r="3425" spans="1:14" x14ac:dyDescent="0.3">
      <c r="A3425" s="2" t="s">
        <v>15123</v>
      </c>
      <c r="B3425" s="2" t="s">
        <v>192</v>
      </c>
      <c r="C3425" s="2" t="s">
        <v>15136</v>
      </c>
      <c r="D3425" s="3">
        <v>0.48</v>
      </c>
      <c r="E3425" s="3">
        <v>0.48</v>
      </c>
      <c r="F3425" s="2" t="s">
        <v>194</v>
      </c>
      <c r="G3425" s="2" t="s">
        <v>15137</v>
      </c>
      <c r="H3425" s="3">
        <v>0</v>
      </c>
      <c r="I3425" s="2" t="s">
        <v>409</v>
      </c>
      <c r="J3425" s="2" t="s">
        <v>15138</v>
      </c>
      <c r="K3425" s="2" t="s">
        <v>194</v>
      </c>
      <c r="L3425" s="2" t="s">
        <v>15139</v>
      </c>
      <c r="M3425" s="4">
        <v>2.42</v>
      </c>
      <c r="N3425" t="e">
        <f>OR(LEFT(B3425,3)="frg",(_xlfn.XMATCH(B3425,ZZZ_Part_Id_[[#All],[FGCODE]])))</f>
        <v>#N/A</v>
      </c>
    </row>
    <row r="3426" spans="1:14" x14ac:dyDescent="0.3">
      <c r="A3426" s="2" t="s">
        <v>15140</v>
      </c>
      <c r="B3426" s="2" t="s">
        <v>14</v>
      </c>
      <c r="C3426" s="2" t="s">
        <v>15141</v>
      </c>
      <c r="D3426" s="3">
        <v>64</v>
      </c>
      <c r="E3426" s="3">
        <v>64</v>
      </c>
      <c r="F3426" s="2" t="s">
        <v>16</v>
      </c>
      <c r="G3426" s="2" t="s">
        <v>15142</v>
      </c>
      <c r="H3426" s="3">
        <v>0</v>
      </c>
      <c r="I3426" s="2" t="s">
        <v>18</v>
      </c>
      <c r="J3426" s="2" t="s">
        <v>15143</v>
      </c>
      <c r="K3426" s="2" t="s">
        <v>16</v>
      </c>
      <c r="L3426" s="2" t="s">
        <v>15144</v>
      </c>
      <c r="M3426" s="4">
        <v>4.92</v>
      </c>
      <c r="N3426" t="e">
        <f>OR(LEFT(B3426,3)="frg",(_xlfn.XMATCH(B3426,ZZZ_Part_Id_[[#All],[FGCODE]])))</f>
        <v>#N/A</v>
      </c>
    </row>
    <row r="3427" spans="1:14" x14ac:dyDescent="0.3">
      <c r="A3427" s="2" t="s">
        <v>15140</v>
      </c>
      <c r="B3427" s="2" t="s">
        <v>11068</v>
      </c>
      <c r="C3427" s="2" t="s">
        <v>15145</v>
      </c>
      <c r="D3427" s="3">
        <v>509760</v>
      </c>
      <c r="E3427" s="3">
        <v>509760</v>
      </c>
      <c r="F3427" s="2" t="s">
        <v>16</v>
      </c>
      <c r="G3427" s="2" t="s">
        <v>15146</v>
      </c>
      <c r="H3427" s="3">
        <v>0</v>
      </c>
      <c r="I3427" s="2" t="s">
        <v>18</v>
      </c>
      <c r="J3427" s="2" t="s">
        <v>15147</v>
      </c>
      <c r="K3427" s="2" t="s">
        <v>16</v>
      </c>
      <c r="L3427" s="2" t="s">
        <v>15148</v>
      </c>
      <c r="M3427" s="4">
        <v>104969.78</v>
      </c>
      <c r="N3427" t="b">
        <f>OR(LEFT(B3427,3)="frg",(_xlfn.XMATCH(B3427,ZZZ_Part_Id_[[#All],[FGCODE]])))</f>
        <v>1</v>
      </c>
    </row>
    <row r="3428" spans="1:14" x14ac:dyDescent="0.3">
      <c r="A3428" s="2" t="s">
        <v>15149</v>
      </c>
      <c r="B3428" s="2" t="s">
        <v>14</v>
      </c>
      <c r="C3428" s="2" t="s">
        <v>15150</v>
      </c>
      <c r="D3428" s="3">
        <v>64</v>
      </c>
      <c r="E3428" s="3">
        <v>64</v>
      </c>
      <c r="F3428" s="2" t="s">
        <v>16</v>
      </c>
      <c r="G3428" s="2" t="s">
        <v>15151</v>
      </c>
      <c r="H3428" s="3">
        <v>0</v>
      </c>
      <c r="I3428" s="2" t="s">
        <v>409</v>
      </c>
      <c r="J3428" s="2" t="s">
        <v>15152</v>
      </c>
      <c r="K3428" s="2" t="s">
        <v>16</v>
      </c>
      <c r="L3428" s="2" t="s">
        <v>15153</v>
      </c>
      <c r="M3428" s="4">
        <v>4.92</v>
      </c>
      <c r="N3428" t="e">
        <f>OR(LEFT(B3428,3)="frg",(_xlfn.XMATCH(B3428,ZZZ_Part_Id_[[#All],[FGCODE]])))</f>
        <v>#N/A</v>
      </c>
    </row>
    <row r="3429" spans="1:14" x14ac:dyDescent="0.3">
      <c r="A3429" s="2" t="s">
        <v>15149</v>
      </c>
      <c r="B3429" s="2" t="s">
        <v>140</v>
      </c>
      <c r="C3429" s="2" t="s">
        <v>15154</v>
      </c>
      <c r="D3429" s="3">
        <v>2</v>
      </c>
      <c r="E3429" s="3">
        <v>2</v>
      </c>
      <c r="F3429" s="2" t="s">
        <v>16</v>
      </c>
      <c r="G3429" s="2" t="s">
        <v>15155</v>
      </c>
      <c r="H3429" s="3">
        <v>0</v>
      </c>
      <c r="I3429" s="2" t="s">
        <v>409</v>
      </c>
      <c r="J3429" s="2" t="s">
        <v>15156</v>
      </c>
      <c r="K3429" s="2" t="s">
        <v>16</v>
      </c>
      <c r="L3429" s="2" t="s">
        <v>15157</v>
      </c>
      <c r="M3429" s="4">
        <v>4.1100000000000003</v>
      </c>
      <c r="N3429" t="e">
        <f>OR(LEFT(B3429,3)="frg",(_xlfn.XMATCH(B3429,ZZZ_Part_Id_[[#All],[FGCODE]])))</f>
        <v>#N/A</v>
      </c>
    </row>
    <row r="3430" spans="1:14" x14ac:dyDescent="0.3">
      <c r="A3430" s="2" t="s">
        <v>15149</v>
      </c>
      <c r="B3430" s="2" t="s">
        <v>4791</v>
      </c>
      <c r="C3430" s="2" t="s">
        <v>15158</v>
      </c>
      <c r="D3430" s="3">
        <v>317952</v>
      </c>
      <c r="E3430" s="3">
        <v>317952</v>
      </c>
      <c r="F3430" s="2" t="s">
        <v>16</v>
      </c>
      <c r="G3430" s="2" t="s">
        <v>15159</v>
      </c>
      <c r="H3430" s="3">
        <v>0</v>
      </c>
      <c r="I3430" s="2" t="s">
        <v>409</v>
      </c>
      <c r="J3430" s="2" t="s">
        <v>15160</v>
      </c>
      <c r="K3430" s="2" t="s">
        <v>16</v>
      </c>
      <c r="L3430" s="2" t="s">
        <v>15161</v>
      </c>
      <c r="M3430" s="4">
        <v>93395.16</v>
      </c>
      <c r="N3430" t="b">
        <f>OR(LEFT(B3430,3)="frg",(_xlfn.XMATCH(B3430,ZZZ_Part_Id_[[#All],[FGCODE]])))</f>
        <v>1</v>
      </c>
    </row>
  </sheetData>
  <autoFilter ref="A1:N3430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E0B-B169-46C3-8939-59966B5132A4}">
  <dimension ref="A1:F1782"/>
  <sheetViews>
    <sheetView workbookViewId="0"/>
  </sheetViews>
  <sheetFormatPr defaultRowHeight="14.4" x14ac:dyDescent="0.3"/>
  <cols>
    <col min="1" max="1" width="20.5546875" bestFit="1" customWidth="1"/>
    <col min="2" max="2" width="8.77734375" bestFit="1" customWidth="1"/>
    <col min="3" max="3" width="9.5546875" bestFit="1" customWidth="1"/>
    <col min="4" max="4" width="11.88671875" bestFit="1" customWidth="1"/>
    <col min="5" max="5" width="41.6640625" bestFit="1" customWidth="1"/>
    <col min="6" max="6" width="10.44140625" bestFit="1" customWidth="1"/>
  </cols>
  <sheetData>
    <row r="1" spans="1:6" x14ac:dyDescent="0.3">
      <c r="A1" t="s">
        <v>15162</v>
      </c>
      <c r="B1" t="s">
        <v>15163</v>
      </c>
      <c r="C1" t="s">
        <v>15164</v>
      </c>
      <c r="D1" t="s">
        <v>15165</v>
      </c>
      <c r="E1" t="s">
        <v>15166</v>
      </c>
      <c r="F1" t="s">
        <v>15167</v>
      </c>
    </row>
    <row r="2" spans="1:6" x14ac:dyDescent="0.3">
      <c r="A2" t="s">
        <v>15168</v>
      </c>
      <c r="B2">
        <v>25380</v>
      </c>
      <c r="C2" t="s">
        <v>15169</v>
      </c>
      <c r="D2">
        <v>1.04E-2</v>
      </c>
      <c r="E2" t="s">
        <v>15170</v>
      </c>
      <c r="F2" t="s">
        <v>15171</v>
      </c>
    </row>
    <row r="3" spans="1:6" x14ac:dyDescent="0.3">
      <c r="A3" t="s">
        <v>15172</v>
      </c>
      <c r="B3">
        <v>25380</v>
      </c>
      <c r="C3" t="s">
        <v>15169</v>
      </c>
      <c r="D3">
        <v>1.04E-2</v>
      </c>
      <c r="E3" t="s">
        <v>15173</v>
      </c>
      <c r="F3" t="s">
        <v>15174</v>
      </c>
    </row>
    <row r="4" spans="1:6" x14ac:dyDescent="0.3">
      <c r="A4" t="s">
        <v>10669</v>
      </c>
      <c r="B4">
        <v>25344</v>
      </c>
      <c r="C4" t="s">
        <v>15169</v>
      </c>
      <c r="D4">
        <v>1.04E-2</v>
      </c>
      <c r="E4" t="s">
        <v>10670</v>
      </c>
      <c r="F4" t="s">
        <v>15171</v>
      </c>
    </row>
    <row r="5" spans="1:6" x14ac:dyDescent="0.3">
      <c r="A5" t="s">
        <v>15175</v>
      </c>
      <c r="B5">
        <v>16512</v>
      </c>
      <c r="C5" t="s">
        <v>15169</v>
      </c>
      <c r="D5">
        <v>1.7999999999999999E-2</v>
      </c>
      <c r="E5" t="s">
        <v>15176</v>
      </c>
      <c r="F5" t="s">
        <v>15177</v>
      </c>
    </row>
    <row r="6" spans="1:6" x14ac:dyDescent="0.3">
      <c r="A6" t="s">
        <v>15178</v>
      </c>
      <c r="B6">
        <v>16380</v>
      </c>
      <c r="C6" t="s">
        <v>15169</v>
      </c>
      <c r="D6">
        <v>2.23E-2</v>
      </c>
      <c r="E6" t="s">
        <v>15179</v>
      </c>
      <c r="F6" t="s">
        <v>15177</v>
      </c>
    </row>
    <row r="7" spans="1:6" x14ac:dyDescent="0.3">
      <c r="A7" t="s">
        <v>15180</v>
      </c>
      <c r="B7">
        <v>16380</v>
      </c>
      <c r="C7" t="s">
        <v>15169</v>
      </c>
      <c r="D7">
        <v>2.23E-2</v>
      </c>
      <c r="E7" t="s">
        <v>15181</v>
      </c>
      <c r="F7" t="s">
        <v>15177</v>
      </c>
    </row>
    <row r="8" spans="1:6" x14ac:dyDescent="0.3">
      <c r="A8" t="s">
        <v>15182</v>
      </c>
      <c r="B8">
        <v>10080</v>
      </c>
      <c r="C8" t="s">
        <v>15169</v>
      </c>
      <c r="D8">
        <v>2.93E-2</v>
      </c>
      <c r="E8" t="s">
        <v>15183</v>
      </c>
      <c r="F8" t="s">
        <v>15171</v>
      </c>
    </row>
    <row r="9" spans="1:6" x14ac:dyDescent="0.3">
      <c r="A9" t="s">
        <v>15184</v>
      </c>
      <c r="B9">
        <v>10080</v>
      </c>
      <c r="C9" t="s">
        <v>15169</v>
      </c>
      <c r="D9">
        <v>2.93E-2</v>
      </c>
      <c r="E9" t="s">
        <v>15185</v>
      </c>
      <c r="F9" t="s">
        <v>15171</v>
      </c>
    </row>
    <row r="10" spans="1:6" x14ac:dyDescent="0.3">
      <c r="A10" t="s">
        <v>15186</v>
      </c>
      <c r="B10">
        <v>10620</v>
      </c>
      <c r="C10" t="s">
        <v>15169</v>
      </c>
      <c r="D10">
        <v>3.0499999999999999E-2</v>
      </c>
      <c r="E10" t="s">
        <v>15187</v>
      </c>
      <c r="F10" t="s">
        <v>15177</v>
      </c>
    </row>
    <row r="11" spans="1:6" x14ac:dyDescent="0.3">
      <c r="A11" t="s">
        <v>15188</v>
      </c>
      <c r="B11">
        <v>10620</v>
      </c>
      <c r="C11" t="s">
        <v>15169</v>
      </c>
      <c r="D11">
        <v>3.0499999999999999E-2</v>
      </c>
      <c r="E11" t="s">
        <v>15189</v>
      </c>
      <c r="F11" t="s">
        <v>15177</v>
      </c>
    </row>
    <row r="12" spans="1:6" x14ac:dyDescent="0.3">
      <c r="A12" t="s">
        <v>2086</v>
      </c>
      <c r="B12">
        <v>4224</v>
      </c>
      <c r="C12" t="s">
        <v>15169</v>
      </c>
      <c r="D12">
        <v>3.5999999999999997E-2</v>
      </c>
      <c r="E12" t="s">
        <v>2087</v>
      </c>
      <c r="F12" t="s">
        <v>15190</v>
      </c>
    </row>
    <row r="13" spans="1:6" x14ac:dyDescent="0.3">
      <c r="A13" t="s">
        <v>15191</v>
      </c>
      <c r="B13">
        <v>6624</v>
      </c>
      <c r="C13" t="s">
        <v>15169</v>
      </c>
      <c r="D13">
        <v>4.4999999999999998E-2</v>
      </c>
      <c r="E13" t="s">
        <v>15192</v>
      </c>
      <c r="F13" t="s">
        <v>15177</v>
      </c>
    </row>
    <row r="14" spans="1:6" x14ac:dyDescent="0.3">
      <c r="A14" t="s">
        <v>15193</v>
      </c>
      <c r="B14">
        <v>6624</v>
      </c>
      <c r="C14" t="s">
        <v>15169</v>
      </c>
      <c r="D14">
        <v>4.4999999999999998E-2</v>
      </c>
      <c r="E14" t="s">
        <v>15194</v>
      </c>
      <c r="F14" t="s">
        <v>15177</v>
      </c>
    </row>
    <row r="15" spans="1:6" x14ac:dyDescent="0.3">
      <c r="A15" t="s">
        <v>1924</v>
      </c>
      <c r="B15">
        <v>6624</v>
      </c>
      <c r="C15" t="s">
        <v>15169</v>
      </c>
      <c r="D15">
        <v>5.0099999999999999E-2</v>
      </c>
      <c r="E15" t="s">
        <v>1925</v>
      </c>
      <c r="F15" t="s">
        <v>15177</v>
      </c>
    </row>
    <row r="16" spans="1:6" x14ac:dyDescent="0.3">
      <c r="A16" t="s">
        <v>2475</v>
      </c>
      <c r="B16">
        <v>6624</v>
      </c>
      <c r="C16" t="s">
        <v>15169</v>
      </c>
      <c r="D16">
        <v>5.0099999999999999E-2</v>
      </c>
      <c r="E16" t="s">
        <v>2476</v>
      </c>
      <c r="F16" t="s">
        <v>15177</v>
      </c>
    </row>
    <row r="17" spans="1:6" x14ac:dyDescent="0.3">
      <c r="A17" t="s">
        <v>97</v>
      </c>
      <c r="B17">
        <v>4800</v>
      </c>
      <c r="C17" t="s">
        <v>15169</v>
      </c>
      <c r="D17">
        <v>5.1999999999999998E-2</v>
      </c>
      <c r="E17" t="s">
        <v>98</v>
      </c>
      <c r="F17" t="s">
        <v>15195</v>
      </c>
    </row>
    <row r="18" spans="1:6" x14ac:dyDescent="0.3">
      <c r="A18" t="s">
        <v>6977</v>
      </c>
      <c r="B18">
        <v>25380</v>
      </c>
      <c r="C18" t="s">
        <v>15169</v>
      </c>
      <c r="D18">
        <v>9.4000000000000004E-3</v>
      </c>
      <c r="E18" t="s">
        <v>6978</v>
      </c>
      <c r="F18" t="s">
        <v>15171</v>
      </c>
    </row>
    <row r="19" spans="1:6" x14ac:dyDescent="0.3">
      <c r="A19" t="s">
        <v>15196</v>
      </c>
      <c r="B19">
        <v>25380</v>
      </c>
      <c r="C19" t="s">
        <v>15169</v>
      </c>
      <c r="D19">
        <v>9.4000000000000004E-3</v>
      </c>
      <c r="E19" t="s">
        <v>15197</v>
      </c>
      <c r="F19" t="s">
        <v>15171</v>
      </c>
    </row>
    <row r="20" spans="1:6" x14ac:dyDescent="0.3">
      <c r="A20" t="s">
        <v>15198</v>
      </c>
      <c r="B20">
        <v>25380</v>
      </c>
      <c r="C20" t="s">
        <v>15169</v>
      </c>
      <c r="D20">
        <v>1.04E-2</v>
      </c>
      <c r="E20" t="s">
        <v>15199</v>
      </c>
      <c r="F20" t="s">
        <v>15171</v>
      </c>
    </row>
    <row r="21" spans="1:6" x14ac:dyDescent="0.3">
      <c r="A21" t="s">
        <v>15200</v>
      </c>
      <c r="B21">
        <v>10080</v>
      </c>
      <c r="C21" t="s">
        <v>15169</v>
      </c>
      <c r="D21">
        <v>2.93E-2</v>
      </c>
      <c r="E21" t="s">
        <v>15201</v>
      </c>
      <c r="F21" t="s">
        <v>15171</v>
      </c>
    </row>
    <row r="22" spans="1:6" x14ac:dyDescent="0.3">
      <c r="A22" t="s">
        <v>15202</v>
      </c>
      <c r="B22">
        <v>25380</v>
      </c>
      <c r="C22" t="s">
        <v>15169</v>
      </c>
      <c r="D22">
        <v>9.4000000000000004E-3</v>
      </c>
      <c r="E22" t="s">
        <v>15203</v>
      </c>
      <c r="F22" t="s">
        <v>15171</v>
      </c>
    </row>
    <row r="23" spans="1:6" x14ac:dyDescent="0.3">
      <c r="A23" t="s">
        <v>15204</v>
      </c>
      <c r="B23">
        <v>25380</v>
      </c>
      <c r="C23" t="s">
        <v>15169</v>
      </c>
      <c r="D23">
        <v>9.4000000000000004E-3</v>
      </c>
      <c r="E23" t="s">
        <v>15205</v>
      </c>
      <c r="F23" t="s">
        <v>15171</v>
      </c>
    </row>
    <row r="24" spans="1:6" x14ac:dyDescent="0.3">
      <c r="A24" t="s">
        <v>15206</v>
      </c>
      <c r="B24">
        <v>25344</v>
      </c>
      <c r="C24" t="s">
        <v>15169</v>
      </c>
      <c r="D24">
        <v>1.04E-2</v>
      </c>
      <c r="E24" t="s">
        <v>15207</v>
      </c>
      <c r="F24" t="s">
        <v>15171</v>
      </c>
    </row>
    <row r="25" spans="1:6" x14ac:dyDescent="0.3">
      <c r="A25" t="s">
        <v>15208</v>
      </c>
      <c r="B25">
        <v>19200</v>
      </c>
      <c r="C25" t="s">
        <v>15169</v>
      </c>
      <c r="D25">
        <v>1.4E-2</v>
      </c>
      <c r="E25" t="s">
        <v>15209</v>
      </c>
      <c r="F25" t="s">
        <v>15171</v>
      </c>
    </row>
    <row r="26" spans="1:6" x14ac:dyDescent="0.3">
      <c r="A26" t="s">
        <v>5241</v>
      </c>
      <c r="B26">
        <v>19200</v>
      </c>
      <c r="C26" t="s">
        <v>15169</v>
      </c>
      <c r="D26">
        <v>1.35E-2</v>
      </c>
      <c r="E26" t="s">
        <v>15210</v>
      </c>
      <c r="F26" t="s">
        <v>15171</v>
      </c>
    </row>
    <row r="27" spans="1:6" x14ac:dyDescent="0.3">
      <c r="A27" t="s">
        <v>624</v>
      </c>
      <c r="B27">
        <v>19200</v>
      </c>
      <c r="C27" t="s">
        <v>15169</v>
      </c>
      <c r="D27">
        <v>1.4E-2</v>
      </c>
      <c r="E27" t="s">
        <v>625</v>
      </c>
      <c r="F27" t="s">
        <v>15171</v>
      </c>
    </row>
    <row r="28" spans="1:6" x14ac:dyDescent="0.3">
      <c r="A28" t="s">
        <v>15211</v>
      </c>
      <c r="B28">
        <v>19200</v>
      </c>
      <c r="C28" t="s">
        <v>15169</v>
      </c>
      <c r="D28">
        <v>1.35E-2</v>
      </c>
      <c r="E28" t="s">
        <v>15212</v>
      </c>
      <c r="F28" t="s">
        <v>15171</v>
      </c>
    </row>
    <row r="29" spans="1:6" x14ac:dyDescent="0.3">
      <c r="A29" t="s">
        <v>1119</v>
      </c>
      <c r="B29">
        <v>25380</v>
      </c>
      <c r="C29" t="s">
        <v>15169</v>
      </c>
      <c r="D29">
        <v>9.4000000000000004E-3</v>
      </c>
      <c r="E29" t="s">
        <v>15213</v>
      </c>
      <c r="F29" t="s">
        <v>15214</v>
      </c>
    </row>
    <row r="30" spans="1:6" x14ac:dyDescent="0.3">
      <c r="A30" t="s">
        <v>9363</v>
      </c>
      <c r="B30">
        <v>25380</v>
      </c>
      <c r="C30" t="s">
        <v>15169</v>
      </c>
      <c r="D30">
        <v>9.4000000000000004E-3</v>
      </c>
      <c r="E30" t="s">
        <v>9364</v>
      </c>
      <c r="F30" t="s">
        <v>15171</v>
      </c>
    </row>
    <row r="31" spans="1:6" x14ac:dyDescent="0.3">
      <c r="A31" t="s">
        <v>1107</v>
      </c>
      <c r="B31">
        <v>19200</v>
      </c>
      <c r="C31" t="s">
        <v>15169</v>
      </c>
      <c r="D31">
        <v>1.35E-2</v>
      </c>
      <c r="E31" t="s">
        <v>15215</v>
      </c>
      <c r="F31" t="s">
        <v>15171</v>
      </c>
    </row>
    <row r="32" spans="1:6" x14ac:dyDescent="0.3">
      <c r="A32" t="s">
        <v>15216</v>
      </c>
      <c r="B32">
        <v>10080</v>
      </c>
      <c r="C32" t="s">
        <v>15169</v>
      </c>
      <c r="D32">
        <v>2.93E-2</v>
      </c>
      <c r="E32" t="s">
        <v>15217</v>
      </c>
      <c r="F32" t="s">
        <v>15171</v>
      </c>
    </row>
    <row r="33" spans="1:6" x14ac:dyDescent="0.3">
      <c r="A33" t="s">
        <v>15218</v>
      </c>
      <c r="B33">
        <v>20880</v>
      </c>
      <c r="C33" t="s">
        <v>15169</v>
      </c>
      <c r="D33">
        <v>1.2500000000000001E-2</v>
      </c>
      <c r="E33" t="s">
        <v>15219</v>
      </c>
      <c r="F33" t="s">
        <v>15171</v>
      </c>
    </row>
    <row r="34" spans="1:6" x14ac:dyDescent="0.3">
      <c r="A34" t="s">
        <v>15220</v>
      </c>
      <c r="B34">
        <v>20880</v>
      </c>
      <c r="C34" t="s">
        <v>15169</v>
      </c>
      <c r="D34">
        <v>1.2500000000000001E-2</v>
      </c>
      <c r="E34" t="s">
        <v>15221</v>
      </c>
      <c r="F34" t="s">
        <v>15171</v>
      </c>
    </row>
    <row r="35" spans="1:6" x14ac:dyDescent="0.3">
      <c r="A35" t="s">
        <v>15222</v>
      </c>
      <c r="B35">
        <v>10080</v>
      </c>
      <c r="C35" t="s">
        <v>15169</v>
      </c>
      <c r="D35">
        <v>2.6599999999999999E-2</v>
      </c>
      <c r="E35" t="s">
        <v>15223</v>
      </c>
      <c r="F35" t="s">
        <v>15171</v>
      </c>
    </row>
    <row r="36" spans="1:6" x14ac:dyDescent="0.3">
      <c r="A36" t="s">
        <v>7090</v>
      </c>
      <c r="B36">
        <v>10080</v>
      </c>
      <c r="C36" t="s">
        <v>15169</v>
      </c>
      <c r="D36">
        <v>2.6599999999999999E-2</v>
      </c>
      <c r="E36" t="s">
        <v>7091</v>
      </c>
      <c r="F36" t="s">
        <v>15171</v>
      </c>
    </row>
    <row r="37" spans="1:6" x14ac:dyDescent="0.3">
      <c r="A37" t="s">
        <v>11332</v>
      </c>
      <c r="B37">
        <v>20880</v>
      </c>
      <c r="C37" t="s">
        <v>15169</v>
      </c>
      <c r="D37">
        <v>1.2500000000000001E-2</v>
      </c>
      <c r="E37" t="s">
        <v>11333</v>
      </c>
      <c r="F37" t="s">
        <v>15214</v>
      </c>
    </row>
    <row r="38" spans="1:6" x14ac:dyDescent="0.3">
      <c r="A38" t="s">
        <v>11210</v>
      </c>
      <c r="B38">
        <v>10080</v>
      </c>
      <c r="C38" t="s">
        <v>15169</v>
      </c>
      <c r="D38">
        <v>2.6599999999999999E-2</v>
      </c>
      <c r="E38" t="s">
        <v>11211</v>
      </c>
      <c r="F38" t="s">
        <v>15214</v>
      </c>
    </row>
    <row r="39" spans="1:6" x14ac:dyDescent="0.3">
      <c r="A39" t="s">
        <v>11241</v>
      </c>
      <c r="B39">
        <v>25380</v>
      </c>
      <c r="C39" t="s">
        <v>15169</v>
      </c>
      <c r="D39">
        <v>9.4000000000000004E-3</v>
      </c>
      <c r="E39" t="s">
        <v>11242</v>
      </c>
      <c r="F39" t="s">
        <v>15214</v>
      </c>
    </row>
    <row r="40" spans="1:6" x14ac:dyDescent="0.3">
      <c r="A40" t="s">
        <v>13967</v>
      </c>
      <c r="B40">
        <v>12192</v>
      </c>
      <c r="C40" t="s">
        <v>15169</v>
      </c>
      <c r="D40">
        <v>1.4E-2</v>
      </c>
      <c r="E40" t="s">
        <v>15224</v>
      </c>
      <c r="F40" t="s">
        <v>15214</v>
      </c>
    </row>
    <row r="41" spans="1:6" x14ac:dyDescent="0.3">
      <c r="A41" t="s">
        <v>15225</v>
      </c>
      <c r="B41">
        <v>20880</v>
      </c>
      <c r="C41" t="s">
        <v>15169</v>
      </c>
      <c r="D41">
        <v>1.2500000000000001E-2</v>
      </c>
      <c r="E41" t="s">
        <v>15221</v>
      </c>
      <c r="F41" t="s">
        <v>15171</v>
      </c>
    </row>
    <row r="42" spans="1:6" x14ac:dyDescent="0.3">
      <c r="A42" t="s">
        <v>15226</v>
      </c>
      <c r="B42">
        <v>0</v>
      </c>
      <c r="C42" t="s">
        <v>15169</v>
      </c>
      <c r="D42">
        <v>0</v>
      </c>
      <c r="E42" t="s">
        <v>15226</v>
      </c>
      <c r="F42" t="s">
        <v>15214</v>
      </c>
    </row>
    <row r="43" spans="1:6" x14ac:dyDescent="0.3">
      <c r="A43" t="s">
        <v>15227</v>
      </c>
      <c r="B43">
        <v>25380</v>
      </c>
      <c r="C43" t="s">
        <v>15169</v>
      </c>
      <c r="D43">
        <v>0.01</v>
      </c>
      <c r="E43" t="s">
        <v>15228</v>
      </c>
      <c r="F43" t="s">
        <v>15214</v>
      </c>
    </row>
    <row r="44" spans="1:6" x14ac:dyDescent="0.3">
      <c r="A44" t="s">
        <v>15229</v>
      </c>
      <c r="B44">
        <v>25380</v>
      </c>
      <c r="C44" t="s">
        <v>15169</v>
      </c>
      <c r="D44">
        <v>1.04E-2</v>
      </c>
      <c r="E44" t="s">
        <v>15230</v>
      </c>
      <c r="F44" t="s">
        <v>15214</v>
      </c>
    </row>
    <row r="45" spans="1:6" x14ac:dyDescent="0.3">
      <c r="A45" t="s">
        <v>15231</v>
      </c>
      <c r="B45">
        <v>25380</v>
      </c>
      <c r="C45" t="s">
        <v>15169</v>
      </c>
      <c r="D45">
        <v>1.04E-2</v>
      </c>
      <c r="E45" t="s">
        <v>15232</v>
      </c>
      <c r="F45" t="s">
        <v>15214</v>
      </c>
    </row>
    <row r="46" spans="1:6" x14ac:dyDescent="0.3">
      <c r="A46" t="s">
        <v>15233</v>
      </c>
      <c r="B46">
        <v>25344</v>
      </c>
      <c r="C46" t="s">
        <v>15169</v>
      </c>
      <c r="D46">
        <v>1.04E-2</v>
      </c>
      <c r="E46" t="s">
        <v>15234</v>
      </c>
      <c r="F46" t="s">
        <v>15214</v>
      </c>
    </row>
    <row r="47" spans="1:6" x14ac:dyDescent="0.3">
      <c r="A47" t="s">
        <v>15235</v>
      </c>
      <c r="B47">
        <v>24768</v>
      </c>
      <c r="C47" t="s">
        <v>15169</v>
      </c>
      <c r="D47">
        <v>1.04E-2</v>
      </c>
      <c r="E47" t="s">
        <v>15236</v>
      </c>
      <c r="F47" t="s">
        <v>15214</v>
      </c>
    </row>
    <row r="48" spans="1:6" x14ac:dyDescent="0.3">
      <c r="A48" t="s">
        <v>15237</v>
      </c>
      <c r="B48">
        <v>25344</v>
      </c>
      <c r="C48" t="s">
        <v>15169</v>
      </c>
      <c r="D48">
        <v>1.04E-2</v>
      </c>
      <c r="E48" t="s">
        <v>15238</v>
      </c>
      <c r="F48" t="s">
        <v>15214</v>
      </c>
    </row>
    <row r="49" spans="1:6" x14ac:dyDescent="0.3">
      <c r="A49" t="s">
        <v>15239</v>
      </c>
      <c r="B49">
        <v>25380</v>
      </c>
      <c r="C49" t="s">
        <v>15169</v>
      </c>
      <c r="D49">
        <v>1.04E-2</v>
      </c>
      <c r="E49" t="s">
        <v>15240</v>
      </c>
      <c r="F49" t="s">
        <v>15214</v>
      </c>
    </row>
    <row r="50" spans="1:6" x14ac:dyDescent="0.3">
      <c r="A50" t="s">
        <v>15241</v>
      </c>
      <c r="B50">
        <v>25380</v>
      </c>
      <c r="C50" t="s">
        <v>15169</v>
      </c>
      <c r="D50">
        <v>1.04E-2</v>
      </c>
      <c r="E50" t="s">
        <v>15242</v>
      </c>
      <c r="F50" t="s">
        <v>15214</v>
      </c>
    </row>
    <row r="51" spans="1:6" x14ac:dyDescent="0.3">
      <c r="A51" t="s">
        <v>15243</v>
      </c>
      <c r="B51">
        <v>25380</v>
      </c>
      <c r="C51" t="s">
        <v>15169</v>
      </c>
      <c r="D51">
        <v>1.04E-2</v>
      </c>
      <c r="E51" t="s">
        <v>15244</v>
      </c>
      <c r="F51" t="s">
        <v>15214</v>
      </c>
    </row>
    <row r="52" spans="1:6" x14ac:dyDescent="0.3">
      <c r="A52" t="s">
        <v>15245</v>
      </c>
      <c r="B52">
        <v>25380</v>
      </c>
      <c r="C52" t="s">
        <v>15169</v>
      </c>
      <c r="D52">
        <v>1.04E-2</v>
      </c>
      <c r="E52" t="s">
        <v>15246</v>
      </c>
      <c r="F52" t="s">
        <v>15214</v>
      </c>
    </row>
    <row r="53" spans="1:6" x14ac:dyDescent="0.3">
      <c r="A53" t="s">
        <v>15247</v>
      </c>
      <c r="B53">
        <v>25380</v>
      </c>
      <c r="C53" t="s">
        <v>15169</v>
      </c>
      <c r="D53">
        <v>1.04E-2</v>
      </c>
      <c r="E53" t="s">
        <v>15248</v>
      </c>
      <c r="F53" t="s">
        <v>15214</v>
      </c>
    </row>
    <row r="54" spans="1:6" x14ac:dyDescent="0.3">
      <c r="A54" t="s">
        <v>15249</v>
      </c>
      <c r="B54">
        <v>25380</v>
      </c>
      <c r="C54" t="s">
        <v>15169</v>
      </c>
      <c r="D54">
        <v>1.04E-2</v>
      </c>
      <c r="E54" t="s">
        <v>15250</v>
      </c>
      <c r="F54" t="s">
        <v>15214</v>
      </c>
    </row>
    <row r="55" spans="1:6" x14ac:dyDescent="0.3">
      <c r="A55" t="s">
        <v>15251</v>
      </c>
      <c r="B55">
        <v>23940</v>
      </c>
      <c r="C55" t="s">
        <v>15169</v>
      </c>
      <c r="D55">
        <v>1.04E-2</v>
      </c>
      <c r="E55" t="s">
        <v>15252</v>
      </c>
      <c r="F55" t="s">
        <v>15214</v>
      </c>
    </row>
    <row r="56" spans="1:6" x14ac:dyDescent="0.3">
      <c r="A56" t="s">
        <v>15253</v>
      </c>
      <c r="B56">
        <v>25380</v>
      </c>
      <c r="C56" t="s">
        <v>15169</v>
      </c>
      <c r="D56">
        <v>1.04E-2</v>
      </c>
      <c r="E56" t="s">
        <v>15254</v>
      </c>
      <c r="F56" t="s">
        <v>15214</v>
      </c>
    </row>
    <row r="57" spans="1:6" x14ac:dyDescent="0.3">
      <c r="A57" t="s">
        <v>15255</v>
      </c>
      <c r="B57">
        <v>25380</v>
      </c>
      <c r="C57" t="s">
        <v>15169</v>
      </c>
      <c r="D57">
        <v>1.04E-2</v>
      </c>
      <c r="E57" t="s">
        <v>15256</v>
      </c>
      <c r="F57" t="s">
        <v>15214</v>
      </c>
    </row>
    <row r="58" spans="1:6" x14ac:dyDescent="0.3">
      <c r="A58" t="s">
        <v>15257</v>
      </c>
      <c r="B58">
        <v>25380</v>
      </c>
      <c r="C58" t="s">
        <v>15169</v>
      </c>
      <c r="D58">
        <v>1.04E-2</v>
      </c>
      <c r="E58" t="s">
        <v>15258</v>
      </c>
      <c r="F58" t="s">
        <v>15214</v>
      </c>
    </row>
    <row r="59" spans="1:6" x14ac:dyDescent="0.3">
      <c r="A59" t="s">
        <v>15259</v>
      </c>
      <c r="B59">
        <v>24768</v>
      </c>
      <c r="C59" t="s">
        <v>15169</v>
      </c>
      <c r="D59">
        <v>1.04E-2</v>
      </c>
      <c r="E59" t="s">
        <v>15260</v>
      </c>
      <c r="F59" t="s">
        <v>15214</v>
      </c>
    </row>
    <row r="60" spans="1:6" x14ac:dyDescent="0.3">
      <c r="A60" t="s">
        <v>15261</v>
      </c>
      <c r="B60">
        <v>25380</v>
      </c>
      <c r="C60" t="s">
        <v>15169</v>
      </c>
      <c r="D60">
        <v>1.04E-2</v>
      </c>
      <c r="E60" t="s">
        <v>15262</v>
      </c>
      <c r="F60" t="s">
        <v>15214</v>
      </c>
    </row>
    <row r="61" spans="1:6" x14ac:dyDescent="0.3">
      <c r="A61" t="s">
        <v>15263</v>
      </c>
      <c r="B61">
        <v>25380</v>
      </c>
      <c r="C61" t="s">
        <v>15169</v>
      </c>
      <c r="D61">
        <v>1.04E-2</v>
      </c>
      <c r="E61" t="s">
        <v>15264</v>
      </c>
      <c r="F61" t="s">
        <v>15214</v>
      </c>
    </row>
    <row r="62" spans="1:6" x14ac:dyDescent="0.3">
      <c r="A62" t="s">
        <v>15265</v>
      </c>
      <c r="B62">
        <v>25380</v>
      </c>
      <c r="C62" t="s">
        <v>15169</v>
      </c>
      <c r="D62">
        <v>1.04E-2</v>
      </c>
      <c r="E62" t="s">
        <v>15266</v>
      </c>
      <c r="F62" t="s">
        <v>15214</v>
      </c>
    </row>
    <row r="63" spans="1:6" x14ac:dyDescent="0.3">
      <c r="A63" t="s">
        <v>2305</v>
      </c>
      <c r="B63">
        <v>25344</v>
      </c>
      <c r="C63" t="s">
        <v>15169</v>
      </c>
      <c r="D63">
        <v>1.04E-2</v>
      </c>
      <c r="E63" t="s">
        <v>2306</v>
      </c>
      <c r="F63" t="s">
        <v>15214</v>
      </c>
    </row>
    <row r="64" spans="1:6" x14ac:dyDescent="0.3">
      <c r="A64" t="s">
        <v>15267</v>
      </c>
      <c r="B64">
        <v>25344</v>
      </c>
      <c r="C64" t="s">
        <v>15169</v>
      </c>
      <c r="D64">
        <v>1.04E-2</v>
      </c>
      <c r="E64" t="s">
        <v>15268</v>
      </c>
      <c r="F64" t="s">
        <v>15214</v>
      </c>
    </row>
    <row r="65" spans="1:6" x14ac:dyDescent="0.3">
      <c r="A65" t="s">
        <v>15269</v>
      </c>
      <c r="B65">
        <v>25344</v>
      </c>
      <c r="C65" t="s">
        <v>15169</v>
      </c>
      <c r="D65">
        <v>1.04E-2</v>
      </c>
      <c r="E65" t="s">
        <v>15270</v>
      </c>
      <c r="F65" t="s">
        <v>15214</v>
      </c>
    </row>
    <row r="66" spans="1:6" x14ac:dyDescent="0.3">
      <c r="A66" t="s">
        <v>15271</v>
      </c>
      <c r="B66">
        <v>25344</v>
      </c>
      <c r="C66" t="s">
        <v>15169</v>
      </c>
      <c r="D66">
        <v>1.04E-2</v>
      </c>
      <c r="E66" t="s">
        <v>15272</v>
      </c>
      <c r="F66" t="s">
        <v>15214</v>
      </c>
    </row>
    <row r="67" spans="1:6" x14ac:dyDescent="0.3">
      <c r="A67" t="s">
        <v>15273</v>
      </c>
      <c r="B67">
        <v>24325</v>
      </c>
      <c r="C67" t="s">
        <v>15169</v>
      </c>
      <c r="D67">
        <v>1.04E-2</v>
      </c>
      <c r="E67" t="s">
        <v>15274</v>
      </c>
      <c r="F67" t="s">
        <v>15214</v>
      </c>
    </row>
    <row r="68" spans="1:6" x14ac:dyDescent="0.3">
      <c r="A68" t="s">
        <v>2319</v>
      </c>
      <c r="B68">
        <v>25344</v>
      </c>
      <c r="C68" t="s">
        <v>15169</v>
      </c>
      <c r="D68">
        <v>1.04E-2</v>
      </c>
      <c r="E68" t="s">
        <v>2320</v>
      </c>
      <c r="F68" t="s">
        <v>15214</v>
      </c>
    </row>
    <row r="69" spans="1:6" x14ac:dyDescent="0.3">
      <c r="A69" t="s">
        <v>15275</v>
      </c>
      <c r="B69">
        <v>25344</v>
      </c>
      <c r="C69" t="s">
        <v>15169</v>
      </c>
      <c r="D69">
        <v>1.04E-2</v>
      </c>
      <c r="E69" t="s">
        <v>15276</v>
      </c>
      <c r="F69" t="s">
        <v>15214</v>
      </c>
    </row>
    <row r="70" spans="1:6" x14ac:dyDescent="0.3">
      <c r="A70" t="s">
        <v>15277</v>
      </c>
      <c r="B70">
        <v>25344</v>
      </c>
      <c r="C70" t="s">
        <v>15169</v>
      </c>
      <c r="D70">
        <v>1.04E-2</v>
      </c>
      <c r="E70" t="s">
        <v>15278</v>
      </c>
      <c r="F70" t="s">
        <v>15214</v>
      </c>
    </row>
    <row r="71" spans="1:6" x14ac:dyDescent="0.3">
      <c r="A71" t="s">
        <v>3349</v>
      </c>
      <c r="B71">
        <v>25380</v>
      </c>
      <c r="C71" t="s">
        <v>15169</v>
      </c>
      <c r="D71">
        <v>1.04E-2</v>
      </c>
      <c r="E71" t="s">
        <v>2306</v>
      </c>
      <c r="F71" t="s">
        <v>15214</v>
      </c>
    </row>
    <row r="72" spans="1:6" x14ac:dyDescent="0.3">
      <c r="A72" t="s">
        <v>15279</v>
      </c>
      <c r="B72">
        <v>25380</v>
      </c>
      <c r="C72" t="s">
        <v>15169</v>
      </c>
      <c r="D72">
        <v>1.04E-2</v>
      </c>
      <c r="E72" t="s">
        <v>15280</v>
      </c>
      <c r="F72" t="s">
        <v>15214</v>
      </c>
    </row>
    <row r="73" spans="1:6" x14ac:dyDescent="0.3">
      <c r="A73" t="s">
        <v>15281</v>
      </c>
      <c r="B73">
        <v>57600</v>
      </c>
      <c r="C73" t="s">
        <v>15169</v>
      </c>
      <c r="D73">
        <v>1.04E-2</v>
      </c>
      <c r="E73" t="s">
        <v>15282</v>
      </c>
      <c r="F73" t="s">
        <v>15214</v>
      </c>
    </row>
    <row r="74" spans="1:6" x14ac:dyDescent="0.3">
      <c r="A74" t="s">
        <v>15283</v>
      </c>
      <c r="B74">
        <v>25380</v>
      </c>
      <c r="C74" t="s">
        <v>15169</v>
      </c>
      <c r="D74">
        <v>1.04E-2</v>
      </c>
      <c r="E74" t="s">
        <v>15284</v>
      </c>
      <c r="F74" t="s">
        <v>15214</v>
      </c>
    </row>
    <row r="75" spans="1:6" x14ac:dyDescent="0.3">
      <c r="A75" t="s">
        <v>15285</v>
      </c>
      <c r="B75">
        <v>25344</v>
      </c>
      <c r="C75" t="s">
        <v>15169</v>
      </c>
      <c r="D75">
        <v>1.04E-2</v>
      </c>
      <c r="E75" t="s">
        <v>15286</v>
      </c>
      <c r="F75" t="s">
        <v>15214</v>
      </c>
    </row>
    <row r="76" spans="1:6" x14ac:dyDescent="0.3">
      <c r="A76" t="s">
        <v>15287</v>
      </c>
      <c r="B76">
        <v>16272</v>
      </c>
      <c r="C76" t="s">
        <v>15169</v>
      </c>
      <c r="D76">
        <v>1.04E-2</v>
      </c>
      <c r="E76" t="s">
        <v>15288</v>
      </c>
      <c r="F76" t="s">
        <v>15214</v>
      </c>
    </row>
    <row r="77" spans="1:6" x14ac:dyDescent="0.3">
      <c r="A77" t="s">
        <v>783</v>
      </c>
      <c r="B77">
        <v>25344</v>
      </c>
      <c r="C77" t="s">
        <v>15169</v>
      </c>
      <c r="D77">
        <v>1.04E-2</v>
      </c>
      <c r="E77" t="s">
        <v>784</v>
      </c>
      <c r="F77" t="s">
        <v>15214</v>
      </c>
    </row>
    <row r="78" spans="1:6" x14ac:dyDescent="0.3">
      <c r="A78" t="s">
        <v>15289</v>
      </c>
      <c r="B78">
        <v>25344</v>
      </c>
      <c r="C78" t="s">
        <v>15169</v>
      </c>
      <c r="D78">
        <v>1.04E-2</v>
      </c>
      <c r="E78" t="s">
        <v>15290</v>
      </c>
      <c r="F78" t="s">
        <v>15214</v>
      </c>
    </row>
    <row r="79" spans="1:6" x14ac:dyDescent="0.3">
      <c r="A79" t="s">
        <v>15291</v>
      </c>
      <c r="B79">
        <v>24325</v>
      </c>
      <c r="C79" t="s">
        <v>15169</v>
      </c>
      <c r="D79">
        <v>1.04E-2</v>
      </c>
      <c r="E79" t="s">
        <v>15292</v>
      </c>
      <c r="F79" t="s">
        <v>15214</v>
      </c>
    </row>
    <row r="80" spans="1:6" x14ac:dyDescent="0.3">
      <c r="A80" t="s">
        <v>15293</v>
      </c>
      <c r="B80">
        <v>25344</v>
      </c>
      <c r="C80" t="s">
        <v>15169</v>
      </c>
      <c r="D80">
        <v>1.04E-2</v>
      </c>
      <c r="E80" t="s">
        <v>15294</v>
      </c>
      <c r="F80" t="s">
        <v>15214</v>
      </c>
    </row>
    <row r="81" spans="1:6" x14ac:dyDescent="0.3">
      <c r="A81" t="s">
        <v>15295</v>
      </c>
      <c r="B81">
        <v>16272</v>
      </c>
      <c r="C81" t="s">
        <v>15169</v>
      </c>
      <c r="D81">
        <v>1.04E-2</v>
      </c>
      <c r="E81" t="s">
        <v>15296</v>
      </c>
      <c r="F81" t="s">
        <v>15214</v>
      </c>
    </row>
    <row r="82" spans="1:6" x14ac:dyDescent="0.3">
      <c r="A82" t="s">
        <v>15297</v>
      </c>
      <c r="B82">
        <v>25380</v>
      </c>
      <c r="C82" t="s">
        <v>15169</v>
      </c>
      <c r="D82">
        <v>1.04E-2</v>
      </c>
      <c r="E82" t="s">
        <v>15298</v>
      </c>
      <c r="F82" t="s">
        <v>15214</v>
      </c>
    </row>
    <row r="83" spans="1:6" x14ac:dyDescent="0.3">
      <c r="A83" t="s">
        <v>15299</v>
      </c>
      <c r="B83">
        <v>25344</v>
      </c>
      <c r="C83" t="s">
        <v>15169</v>
      </c>
      <c r="D83">
        <v>1.04E-2</v>
      </c>
      <c r="E83" t="s">
        <v>15300</v>
      </c>
      <c r="F83" t="s">
        <v>15214</v>
      </c>
    </row>
    <row r="84" spans="1:6" x14ac:dyDescent="0.3">
      <c r="A84" t="s">
        <v>15301</v>
      </c>
      <c r="B84">
        <v>24120</v>
      </c>
      <c r="C84" t="s">
        <v>15169</v>
      </c>
      <c r="D84">
        <v>1.0500000000000001E-2</v>
      </c>
      <c r="E84" t="s">
        <v>15302</v>
      </c>
      <c r="F84" t="s">
        <v>15214</v>
      </c>
    </row>
    <row r="85" spans="1:6" x14ac:dyDescent="0.3">
      <c r="A85" t="s">
        <v>15303</v>
      </c>
      <c r="B85">
        <v>24120</v>
      </c>
      <c r="C85" t="s">
        <v>15169</v>
      </c>
      <c r="D85">
        <v>1.0500000000000001E-2</v>
      </c>
      <c r="E85" t="s">
        <v>15304</v>
      </c>
      <c r="F85" t="s">
        <v>15214</v>
      </c>
    </row>
    <row r="86" spans="1:6" x14ac:dyDescent="0.3">
      <c r="A86" t="s">
        <v>15305</v>
      </c>
      <c r="B86">
        <v>24120</v>
      </c>
      <c r="C86" t="s">
        <v>15169</v>
      </c>
      <c r="D86">
        <v>1.0500000000000001E-2</v>
      </c>
      <c r="E86" t="s">
        <v>15306</v>
      </c>
      <c r="F86" t="s">
        <v>15214</v>
      </c>
    </row>
    <row r="87" spans="1:6" x14ac:dyDescent="0.3">
      <c r="A87" t="s">
        <v>15307</v>
      </c>
      <c r="B87">
        <v>24120</v>
      </c>
      <c r="C87" t="s">
        <v>15169</v>
      </c>
      <c r="D87">
        <v>1.0500000000000001E-2</v>
      </c>
      <c r="E87" t="s">
        <v>15308</v>
      </c>
      <c r="F87" t="s">
        <v>15214</v>
      </c>
    </row>
    <row r="88" spans="1:6" x14ac:dyDescent="0.3">
      <c r="A88" t="s">
        <v>15309</v>
      </c>
      <c r="B88">
        <v>24120</v>
      </c>
      <c r="C88" t="s">
        <v>15169</v>
      </c>
      <c r="D88">
        <v>1.0500000000000001E-2</v>
      </c>
      <c r="E88" t="s">
        <v>15310</v>
      </c>
      <c r="F88" t="s">
        <v>15214</v>
      </c>
    </row>
    <row r="89" spans="1:6" x14ac:dyDescent="0.3">
      <c r="A89" t="s">
        <v>15311</v>
      </c>
      <c r="B89">
        <v>1521</v>
      </c>
      <c r="C89" t="s">
        <v>15312</v>
      </c>
      <c r="D89">
        <v>3.4000000000000002E-2</v>
      </c>
      <c r="E89" t="s">
        <v>15313</v>
      </c>
      <c r="F89" t="s">
        <v>15314</v>
      </c>
    </row>
    <row r="90" spans="1:6" x14ac:dyDescent="0.3">
      <c r="A90" t="s">
        <v>15315</v>
      </c>
      <c r="B90">
        <v>25334</v>
      </c>
      <c r="C90" t="s">
        <v>15169</v>
      </c>
      <c r="D90">
        <v>1.11E-2</v>
      </c>
      <c r="E90" t="s">
        <v>15316</v>
      </c>
      <c r="F90" t="s">
        <v>15214</v>
      </c>
    </row>
    <row r="91" spans="1:6" x14ac:dyDescent="0.3">
      <c r="A91" t="s">
        <v>15317</v>
      </c>
      <c r="B91">
        <v>16416</v>
      </c>
      <c r="C91" t="s">
        <v>15169</v>
      </c>
      <c r="D91">
        <v>1.11E-2</v>
      </c>
      <c r="E91" t="s">
        <v>15318</v>
      </c>
      <c r="F91" t="s">
        <v>15214</v>
      </c>
    </row>
    <row r="92" spans="1:6" x14ac:dyDescent="0.3">
      <c r="A92" t="s">
        <v>15319</v>
      </c>
      <c r="B92">
        <v>20880</v>
      </c>
      <c r="C92" t="s">
        <v>15169</v>
      </c>
      <c r="D92">
        <v>1.12E-2</v>
      </c>
      <c r="E92" t="s">
        <v>15320</v>
      </c>
      <c r="F92" t="s">
        <v>15214</v>
      </c>
    </row>
    <row r="93" spans="1:6" x14ac:dyDescent="0.3">
      <c r="A93" t="s">
        <v>15321</v>
      </c>
      <c r="B93">
        <v>20880</v>
      </c>
      <c r="C93" t="s">
        <v>15169</v>
      </c>
      <c r="D93">
        <v>1.12E-2</v>
      </c>
      <c r="E93" t="s">
        <v>15322</v>
      </c>
      <c r="F93" t="s">
        <v>15214</v>
      </c>
    </row>
    <row r="94" spans="1:6" x14ac:dyDescent="0.3">
      <c r="A94" t="s">
        <v>15323</v>
      </c>
      <c r="B94">
        <v>20880</v>
      </c>
      <c r="C94" t="s">
        <v>15169</v>
      </c>
      <c r="D94">
        <v>1.12E-2</v>
      </c>
      <c r="E94" t="s">
        <v>15324</v>
      </c>
      <c r="F94" t="s">
        <v>15214</v>
      </c>
    </row>
    <row r="95" spans="1:6" x14ac:dyDescent="0.3">
      <c r="A95" t="s">
        <v>15325</v>
      </c>
      <c r="B95">
        <v>20880</v>
      </c>
      <c r="C95" t="s">
        <v>15169</v>
      </c>
      <c r="D95">
        <v>1.12E-2</v>
      </c>
      <c r="E95" t="s">
        <v>15326</v>
      </c>
      <c r="F95" t="s">
        <v>15214</v>
      </c>
    </row>
    <row r="96" spans="1:6" x14ac:dyDescent="0.3">
      <c r="A96" t="s">
        <v>15327</v>
      </c>
      <c r="B96">
        <v>22080</v>
      </c>
      <c r="C96" t="s">
        <v>15169</v>
      </c>
      <c r="D96">
        <v>1.14E-2</v>
      </c>
      <c r="E96" t="s">
        <v>15328</v>
      </c>
      <c r="F96" t="s">
        <v>15214</v>
      </c>
    </row>
    <row r="97" spans="1:6" x14ac:dyDescent="0.3">
      <c r="A97" t="s">
        <v>15329</v>
      </c>
      <c r="B97">
        <v>22080</v>
      </c>
      <c r="C97" t="s">
        <v>15169</v>
      </c>
      <c r="D97">
        <v>1.14E-2</v>
      </c>
      <c r="E97" t="s">
        <v>15330</v>
      </c>
      <c r="F97" t="s">
        <v>15214</v>
      </c>
    </row>
    <row r="98" spans="1:6" x14ac:dyDescent="0.3">
      <c r="A98" t="s">
        <v>15331</v>
      </c>
      <c r="B98">
        <v>22080</v>
      </c>
      <c r="C98" t="s">
        <v>15169</v>
      </c>
      <c r="D98">
        <v>1.14E-2</v>
      </c>
      <c r="E98" t="s">
        <v>15332</v>
      </c>
      <c r="F98" t="s">
        <v>15214</v>
      </c>
    </row>
    <row r="99" spans="1:6" x14ac:dyDescent="0.3">
      <c r="A99" t="s">
        <v>1667</v>
      </c>
      <c r="B99">
        <v>20880</v>
      </c>
      <c r="C99" t="s">
        <v>15169</v>
      </c>
      <c r="D99">
        <v>1.15E-2</v>
      </c>
      <c r="E99" t="s">
        <v>15333</v>
      </c>
      <c r="F99" t="s">
        <v>15214</v>
      </c>
    </row>
    <row r="100" spans="1:6" x14ac:dyDescent="0.3">
      <c r="A100" t="s">
        <v>15334</v>
      </c>
      <c r="B100">
        <v>20880</v>
      </c>
      <c r="C100" t="s">
        <v>15169</v>
      </c>
      <c r="D100">
        <v>1.15E-2</v>
      </c>
      <c r="E100" t="s">
        <v>15335</v>
      </c>
      <c r="F100" t="s">
        <v>15214</v>
      </c>
    </row>
    <row r="101" spans="1:6" x14ac:dyDescent="0.3">
      <c r="A101" t="s">
        <v>1535</v>
      </c>
      <c r="B101">
        <v>20880</v>
      </c>
      <c r="C101" t="s">
        <v>15169</v>
      </c>
      <c r="D101">
        <v>1.15E-2</v>
      </c>
      <c r="E101" t="s">
        <v>1536</v>
      </c>
      <c r="F101" t="s">
        <v>15214</v>
      </c>
    </row>
    <row r="102" spans="1:6" x14ac:dyDescent="0.3">
      <c r="A102" t="s">
        <v>8058</v>
      </c>
      <c r="B102">
        <v>20880</v>
      </c>
      <c r="C102" t="s">
        <v>15169</v>
      </c>
      <c r="D102">
        <v>1.15E-2</v>
      </c>
      <c r="E102" t="s">
        <v>15336</v>
      </c>
      <c r="F102" t="s">
        <v>15214</v>
      </c>
    </row>
    <row r="103" spans="1:6" x14ac:dyDescent="0.3">
      <c r="A103" t="s">
        <v>10719</v>
      </c>
      <c r="B103">
        <v>20880</v>
      </c>
      <c r="C103" t="s">
        <v>15169</v>
      </c>
      <c r="D103">
        <v>1.15E-2</v>
      </c>
      <c r="E103" t="s">
        <v>10720</v>
      </c>
      <c r="F103" t="s">
        <v>15214</v>
      </c>
    </row>
    <row r="104" spans="1:6" x14ac:dyDescent="0.3">
      <c r="A104" t="s">
        <v>15337</v>
      </c>
      <c r="B104">
        <v>20160</v>
      </c>
      <c r="C104" t="s">
        <v>15169</v>
      </c>
      <c r="D104">
        <v>1.17E-2</v>
      </c>
      <c r="E104" t="s">
        <v>15338</v>
      </c>
      <c r="F104" t="s">
        <v>15214</v>
      </c>
    </row>
    <row r="105" spans="1:6" x14ac:dyDescent="0.3">
      <c r="A105" t="s">
        <v>15339</v>
      </c>
      <c r="B105">
        <v>20160</v>
      </c>
      <c r="C105" t="s">
        <v>15169</v>
      </c>
      <c r="D105">
        <v>1.17E-2</v>
      </c>
      <c r="E105" t="s">
        <v>15340</v>
      </c>
      <c r="F105" t="s">
        <v>15214</v>
      </c>
    </row>
    <row r="106" spans="1:6" x14ac:dyDescent="0.3">
      <c r="A106" t="s">
        <v>15341</v>
      </c>
      <c r="B106">
        <v>20160</v>
      </c>
      <c r="C106" t="s">
        <v>15169</v>
      </c>
      <c r="D106">
        <v>1.17E-2</v>
      </c>
      <c r="E106" t="s">
        <v>15342</v>
      </c>
      <c r="F106" t="s">
        <v>15214</v>
      </c>
    </row>
    <row r="107" spans="1:6" x14ac:dyDescent="0.3">
      <c r="A107" t="s">
        <v>15343</v>
      </c>
      <c r="B107">
        <v>12768</v>
      </c>
      <c r="C107" t="s">
        <v>15169</v>
      </c>
      <c r="D107">
        <v>1.17E-2</v>
      </c>
      <c r="E107" t="s">
        <v>15344</v>
      </c>
      <c r="F107" t="s">
        <v>15214</v>
      </c>
    </row>
    <row r="108" spans="1:6" x14ac:dyDescent="0.3">
      <c r="A108" t="s">
        <v>15345</v>
      </c>
      <c r="B108">
        <v>20160</v>
      </c>
      <c r="C108" t="s">
        <v>15169</v>
      </c>
      <c r="D108">
        <v>1.17E-2</v>
      </c>
      <c r="E108" t="s">
        <v>15346</v>
      </c>
      <c r="F108" t="s">
        <v>15214</v>
      </c>
    </row>
    <row r="109" spans="1:6" x14ac:dyDescent="0.3">
      <c r="A109" t="s">
        <v>15347</v>
      </c>
      <c r="B109">
        <v>20544</v>
      </c>
      <c r="C109" t="s">
        <v>15169</v>
      </c>
      <c r="D109">
        <v>1.17E-2</v>
      </c>
      <c r="E109" t="s">
        <v>15348</v>
      </c>
      <c r="F109" t="s">
        <v>15214</v>
      </c>
    </row>
    <row r="110" spans="1:6" x14ac:dyDescent="0.3">
      <c r="A110" t="s">
        <v>15349</v>
      </c>
      <c r="B110">
        <v>2016</v>
      </c>
      <c r="C110" t="s">
        <v>15169</v>
      </c>
      <c r="D110">
        <v>1.17E-2</v>
      </c>
      <c r="E110" t="s">
        <v>15350</v>
      </c>
      <c r="F110" t="s">
        <v>15214</v>
      </c>
    </row>
    <row r="111" spans="1:6" x14ac:dyDescent="0.3">
      <c r="A111" t="s">
        <v>15351</v>
      </c>
      <c r="B111">
        <v>20544</v>
      </c>
      <c r="C111" t="s">
        <v>15169</v>
      </c>
      <c r="D111">
        <v>1.17E-2</v>
      </c>
      <c r="E111" t="s">
        <v>15352</v>
      </c>
      <c r="F111" t="s">
        <v>15214</v>
      </c>
    </row>
    <row r="112" spans="1:6" x14ac:dyDescent="0.3">
      <c r="A112" t="s">
        <v>15353</v>
      </c>
      <c r="B112">
        <v>50400</v>
      </c>
      <c r="C112" t="s">
        <v>15169</v>
      </c>
      <c r="D112">
        <v>1.17E-2</v>
      </c>
      <c r="E112" t="s">
        <v>15354</v>
      </c>
      <c r="F112" t="s">
        <v>15214</v>
      </c>
    </row>
    <row r="113" spans="1:6" x14ac:dyDescent="0.3">
      <c r="A113" t="s">
        <v>15355</v>
      </c>
      <c r="B113">
        <v>20160</v>
      </c>
      <c r="C113" t="s">
        <v>15169</v>
      </c>
      <c r="D113">
        <v>1.1900000000000001E-2</v>
      </c>
      <c r="E113" t="s">
        <v>15356</v>
      </c>
      <c r="F113" t="s">
        <v>15214</v>
      </c>
    </row>
    <row r="114" spans="1:6" x14ac:dyDescent="0.3">
      <c r="A114" t="s">
        <v>15357</v>
      </c>
      <c r="B114">
        <v>20160</v>
      </c>
      <c r="C114" t="s">
        <v>15169</v>
      </c>
      <c r="D114">
        <v>1.1900000000000001E-2</v>
      </c>
      <c r="E114" t="s">
        <v>15358</v>
      </c>
      <c r="F114" t="s">
        <v>15214</v>
      </c>
    </row>
    <row r="115" spans="1:6" x14ac:dyDescent="0.3">
      <c r="A115" t="s">
        <v>15359</v>
      </c>
      <c r="B115">
        <v>20880</v>
      </c>
      <c r="C115" t="s">
        <v>15169</v>
      </c>
      <c r="D115">
        <v>1.2200000000000001E-2</v>
      </c>
      <c r="E115" t="s">
        <v>15360</v>
      </c>
      <c r="F115" t="s">
        <v>15214</v>
      </c>
    </row>
    <row r="116" spans="1:6" x14ac:dyDescent="0.3">
      <c r="A116" t="s">
        <v>15361</v>
      </c>
      <c r="B116">
        <v>20880</v>
      </c>
      <c r="C116" t="s">
        <v>15169</v>
      </c>
      <c r="D116">
        <v>1.2200000000000001E-2</v>
      </c>
      <c r="E116" t="s">
        <v>15362</v>
      </c>
      <c r="F116" t="s">
        <v>15214</v>
      </c>
    </row>
    <row r="117" spans="1:6" x14ac:dyDescent="0.3">
      <c r="A117" t="s">
        <v>15363</v>
      </c>
      <c r="B117">
        <v>20880</v>
      </c>
      <c r="C117" t="s">
        <v>15169</v>
      </c>
      <c r="D117">
        <v>1.2200000000000001E-2</v>
      </c>
      <c r="E117" t="s">
        <v>15364</v>
      </c>
      <c r="F117" t="s">
        <v>15214</v>
      </c>
    </row>
    <row r="118" spans="1:6" x14ac:dyDescent="0.3">
      <c r="A118" t="s">
        <v>15365</v>
      </c>
      <c r="B118">
        <v>20880</v>
      </c>
      <c r="C118" t="s">
        <v>15169</v>
      </c>
      <c r="D118">
        <v>1.2200000000000001E-2</v>
      </c>
      <c r="E118" t="s">
        <v>15366</v>
      </c>
      <c r="F118" t="s">
        <v>15214</v>
      </c>
    </row>
    <row r="119" spans="1:6" x14ac:dyDescent="0.3">
      <c r="A119" t="s">
        <v>15367</v>
      </c>
      <c r="B119">
        <v>21024</v>
      </c>
      <c r="C119" t="s">
        <v>15169</v>
      </c>
      <c r="D119">
        <v>1.2500000000000001E-2</v>
      </c>
      <c r="E119" t="s">
        <v>15368</v>
      </c>
      <c r="F119" t="s">
        <v>15214</v>
      </c>
    </row>
    <row r="120" spans="1:6" x14ac:dyDescent="0.3">
      <c r="A120" t="s">
        <v>15369</v>
      </c>
      <c r="B120">
        <v>21024</v>
      </c>
      <c r="C120" t="s">
        <v>15169</v>
      </c>
      <c r="D120">
        <v>1.2500000000000001E-2</v>
      </c>
      <c r="E120" t="s">
        <v>15370</v>
      </c>
      <c r="F120" t="s">
        <v>15214</v>
      </c>
    </row>
    <row r="121" spans="1:6" x14ac:dyDescent="0.3">
      <c r="A121" t="s">
        <v>15371</v>
      </c>
      <c r="B121">
        <v>21024</v>
      </c>
      <c r="C121" t="s">
        <v>15169</v>
      </c>
      <c r="D121">
        <v>1.2500000000000001E-2</v>
      </c>
      <c r="E121" t="s">
        <v>15372</v>
      </c>
      <c r="F121" t="s">
        <v>15214</v>
      </c>
    </row>
    <row r="122" spans="1:6" x14ac:dyDescent="0.3">
      <c r="A122" t="s">
        <v>15373</v>
      </c>
      <c r="B122">
        <v>21024</v>
      </c>
      <c r="C122" t="s">
        <v>15169</v>
      </c>
      <c r="D122">
        <v>1.2500000000000001E-2</v>
      </c>
      <c r="E122" t="s">
        <v>15374</v>
      </c>
      <c r="F122" t="s">
        <v>15214</v>
      </c>
    </row>
    <row r="123" spans="1:6" x14ac:dyDescent="0.3">
      <c r="A123" t="s">
        <v>15375</v>
      </c>
      <c r="B123">
        <v>19800</v>
      </c>
      <c r="C123" t="s">
        <v>15169</v>
      </c>
      <c r="D123">
        <v>1.2500000000000001E-2</v>
      </c>
      <c r="E123" t="s">
        <v>15376</v>
      </c>
      <c r="F123" t="s">
        <v>15214</v>
      </c>
    </row>
    <row r="124" spans="1:6" x14ac:dyDescent="0.3">
      <c r="A124" t="s">
        <v>15377</v>
      </c>
      <c r="B124">
        <v>19800</v>
      </c>
      <c r="C124" t="s">
        <v>15169</v>
      </c>
      <c r="D124">
        <v>1.2500000000000001E-2</v>
      </c>
      <c r="E124" t="s">
        <v>15378</v>
      </c>
      <c r="F124" t="s">
        <v>15214</v>
      </c>
    </row>
    <row r="125" spans="1:6" x14ac:dyDescent="0.3">
      <c r="A125" t="s">
        <v>15379</v>
      </c>
      <c r="B125">
        <v>20880</v>
      </c>
      <c r="C125" t="s">
        <v>15169</v>
      </c>
      <c r="D125">
        <v>1.2500000000000001E-2</v>
      </c>
      <c r="E125" t="s">
        <v>15380</v>
      </c>
      <c r="F125" t="s">
        <v>15214</v>
      </c>
    </row>
    <row r="126" spans="1:6" x14ac:dyDescent="0.3">
      <c r="A126" t="s">
        <v>15381</v>
      </c>
      <c r="B126">
        <v>19584</v>
      </c>
      <c r="C126" t="s">
        <v>15169</v>
      </c>
      <c r="D126">
        <v>1.2500000000000001E-2</v>
      </c>
      <c r="E126" t="s">
        <v>15382</v>
      </c>
      <c r="F126" t="s">
        <v>15214</v>
      </c>
    </row>
    <row r="127" spans="1:6" x14ac:dyDescent="0.3">
      <c r="A127" t="s">
        <v>15383</v>
      </c>
      <c r="B127">
        <v>20880</v>
      </c>
      <c r="C127" t="s">
        <v>15169</v>
      </c>
      <c r="D127">
        <v>1.2500000000000001E-2</v>
      </c>
      <c r="E127" t="s">
        <v>15384</v>
      </c>
      <c r="F127" t="s">
        <v>15214</v>
      </c>
    </row>
    <row r="128" spans="1:6" x14ac:dyDescent="0.3">
      <c r="A128" t="s">
        <v>15385</v>
      </c>
      <c r="B128">
        <v>20880</v>
      </c>
      <c r="C128" t="s">
        <v>15169</v>
      </c>
      <c r="D128">
        <v>1.2500000000000001E-2</v>
      </c>
      <c r="E128" t="s">
        <v>15386</v>
      </c>
      <c r="F128" t="s">
        <v>15214</v>
      </c>
    </row>
    <row r="129" spans="1:6" x14ac:dyDescent="0.3">
      <c r="A129" t="s">
        <v>15387</v>
      </c>
      <c r="B129">
        <v>19800</v>
      </c>
      <c r="C129" t="s">
        <v>15169</v>
      </c>
      <c r="D129">
        <v>1.2500000000000001E-2</v>
      </c>
      <c r="E129" t="s">
        <v>15388</v>
      </c>
      <c r="F129" t="s">
        <v>15214</v>
      </c>
    </row>
    <row r="130" spans="1:6" x14ac:dyDescent="0.3">
      <c r="A130" t="s">
        <v>15389</v>
      </c>
      <c r="B130">
        <v>19800</v>
      </c>
      <c r="C130" t="s">
        <v>15169</v>
      </c>
      <c r="D130">
        <v>1.2500000000000001E-2</v>
      </c>
      <c r="E130" t="s">
        <v>15390</v>
      </c>
      <c r="F130" t="s">
        <v>15214</v>
      </c>
    </row>
    <row r="131" spans="1:6" x14ac:dyDescent="0.3">
      <c r="A131" t="s">
        <v>15391</v>
      </c>
      <c r="B131">
        <v>19800</v>
      </c>
      <c r="C131" t="s">
        <v>15169</v>
      </c>
      <c r="D131">
        <v>1.2500000000000001E-2</v>
      </c>
      <c r="E131" t="s">
        <v>15392</v>
      </c>
      <c r="F131" t="s">
        <v>15214</v>
      </c>
    </row>
    <row r="132" spans="1:6" x14ac:dyDescent="0.3">
      <c r="A132" t="s">
        <v>15393</v>
      </c>
      <c r="B132">
        <v>20880</v>
      </c>
      <c r="C132" t="s">
        <v>15169</v>
      </c>
      <c r="D132">
        <v>1.2500000000000001E-2</v>
      </c>
      <c r="E132" t="s">
        <v>15394</v>
      </c>
      <c r="F132" t="s">
        <v>15214</v>
      </c>
    </row>
    <row r="133" spans="1:6" x14ac:dyDescent="0.3">
      <c r="A133" t="s">
        <v>3744</v>
      </c>
      <c r="B133">
        <v>20880</v>
      </c>
      <c r="C133" t="s">
        <v>15169</v>
      </c>
      <c r="D133">
        <v>1.2500000000000001E-2</v>
      </c>
      <c r="E133" t="s">
        <v>3745</v>
      </c>
      <c r="F133" t="s">
        <v>15214</v>
      </c>
    </row>
    <row r="134" spans="1:6" x14ac:dyDescent="0.3">
      <c r="A134" t="s">
        <v>15395</v>
      </c>
      <c r="B134">
        <v>19800</v>
      </c>
      <c r="C134" t="s">
        <v>15169</v>
      </c>
      <c r="D134">
        <v>1.2500000000000001E-2</v>
      </c>
      <c r="E134" t="s">
        <v>15396</v>
      </c>
      <c r="F134" t="s">
        <v>15214</v>
      </c>
    </row>
    <row r="135" spans="1:6" x14ac:dyDescent="0.3">
      <c r="A135" t="s">
        <v>15397</v>
      </c>
      <c r="B135">
        <v>19800</v>
      </c>
      <c r="C135" t="s">
        <v>15169</v>
      </c>
      <c r="D135">
        <v>1.2500000000000001E-2</v>
      </c>
      <c r="E135" t="s">
        <v>15398</v>
      </c>
      <c r="F135" t="s">
        <v>15214</v>
      </c>
    </row>
    <row r="136" spans="1:6" x14ac:dyDescent="0.3">
      <c r="A136" t="s">
        <v>15399</v>
      </c>
      <c r="B136">
        <v>19584</v>
      </c>
      <c r="C136" t="s">
        <v>15169</v>
      </c>
      <c r="D136">
        <v>1.2500000000000001E-2</v>
      </c>
      <c r="E136" t="s">
        <v>15400</v>
      </c>
      <c r="F136" t="s">
        <v>15214</v>
      </c>
    </row>
    <row r="137" spans="1:6" x14ac:dyDescent="0.3">
      <c r="A137" t="s">
        <v>15401</v>
      </c>
      <c r="B137">
        <v>20880</v>
      </c>
      <c r="C137" t="s">
        <v>15169</v>
      </c>
      <c r="D137">
        <v>1.2500000000000001E-2</v>
      </c>
      <c r="E137" t="s">
        <v>15384</v>
      </c>
      <c r="F137" t="s">
        <v>15214</v>
      </c>
    </row>
    <row r="138" spans="1:6" x14ac:dyDescent="0.3">
      <c r="A138" t="s">
        <v>15402</v>
      </c>
      <c r="B138">
        <v>19800</v>
      </c>
      <c r="C138" t="s">
        <v>15169</v>
      </c>
      <c r="D138">
        <v>1.2500000000000001E-2</v>
      </c>
      <c r="E138" t="s">
        <v>15403</v>
      </c>
      <c r="F138" t="s">
        <v>15214</v>
      </c>
    </row>
    <row r="139" spans="1:6" x14ac:dyDescent="0.3">
      <c r="A139" t="s">
        <v>15404</v>
      </c>
      <c r="B139">
        <v>19800</v>
      </c>
      <c r="C139" t="s">
        <v>15169</v>
      </c>
      <c r="D139">
        <v>1.2500000000000001E-2</v>
      </c>
      <c r="E139" t="s">
        <v>15405</v>
      </c>
      <c r="F139" t="s">
        <v>15214</v>
      </c>
    </row>
    <row r="140" spans="1:6" x14ac:dyDescent="0.3">
      <c r="A140" t="s">
        <v>15406</v>
      </c>
      <c r="B140">
        <v>19800</v>
      </c>
      <c r="C140" t="s">
        <v>15169</v>
      </c>
      <c r="D140">
        <v>1.2500000000000001E-2</v>
      </c>
      <c r="E140" t="s">
        <v>15407</v>
      </c>
      <c r="F140" t="s">
        <v>15214</v>
      </c>
    </row>
    <row r="141" spans="1:6" x14ac:dyDescent="0.3">
      <c r="A141" t="s">
        <v>15408</v>
      </c>
      <c r="B141">
        <v>19800</v>
      </c>
      <c r="C141" t="s">
        <v>15169</v>
      </c>
      <c r="D141">
        <v>1.2500000000000001E-2</v>
      </c>
      <c r="E141" t="s">
        <v>15409</v>
      </c>
      <c r="F141" t="s">
        <v>15214</v>
      </c>
    </row>
    <row r="142" spans="1:6" x14ac:dyDescent="0.3">
      <c r="A142" t="s">
        <v>15410</v>
      </c>
      <c r="B142">
        <v>19584</v>
      </c>
      <c r="C142" t="s">
        <v>15169</v>
      </c>
      <c r="D142">
        <v>1.2500000000000001E-2</v>
      </c>
      <c r="E142" t="s">
        <v>15411</v>
      </c>
      <c r="F142" t="s">
        <v>15214</v>
      </c>
    </row>
    <row r="143" spans="1:6" x14ac:dyDescent="0.3">
      <c r="A143" t="s">
        <v>3481</v>
      </c>
      <c r="B143">
        <v>20880</v>
      </c>
      <c r="C143" t="s">
        <v>15169</v>
      </c>
      <c r="D143">
        <v>1.2500000000000001E-2</v>
      </c>
      <c r="E143" t="s">
        <v>15412</v>
      </c>
      <c r="F143" t="s">
        <v>15214</v>
      </c>
    </row>
    <row r="144" spans="1:6" x14ac:dyDescent="0.3">
      <c r="A144" t="s">
        <v>15413</v>
      </c>
      <c r="B144">
        <v>20880</v>
      </c>
      <c r="C144" t="s">
        <v>15169</v>
      </c>
      <c r="D144">
        <v>1.2500000000000001E-2</v>
      </c>
      <c r="E144" t="s">
        <v>15412</v>
      </c>
      <c r="F144" t="s">
        <v>15214</v>
      </c>
    </row>
    <row r="145" spans="1:6" x14ac:dyDescent="0.3">
      <c r="A145" t="s">
        <v>15414</v>
      </c>
      <c r="B145">
        <v>20880</v>
      </c>
      <c r="C145" t="s">
        <v>15169</v>
      </c>
      <c r="D145">
        <v>1.2500000000000001E-2</v>
      </c>
      <c r="E145" t="s">
        <v>15415</v>
      </c>
      <c r="F145" t="s">
        <v>15214</v>
      </c>
    </row>
    <row r="146" spans="1:6" x14ac:dyDescent="0.3">
      <c r="A146" t="s">
        <v>3749</v>
      </c>
      <c r="B146">
        <v>20880</v>
      </c>
      <c r="C146" t="s">
        <v>15169</v>
      </c>
      <c r="D146">
        <v>1.2500000000000001E-2</v>
      </c>
      <c r="E146" t="s">
        <v>3750</v>
      </c>
      <c r="F146" t="s">
        <v>15214</v>
      </c>
    </row>
    <row r="147" spans="1:6" x14ac:dyDescent="0.3">
      <c r="A147" t="s">
        <v>1093</v>
      </c>
      <c r="B147">
        <v>20880</v>
      </c>
      <c r="C147" t="s">
        <v>15169</v>
      </c>
      <c r="D147">
        <v>1.2500000000000001E-2</v>
      </c>
      <c r="E147" t="s">
        <v>15416</v>
      </c>
      <c r="F147" t="s">
        <v>15214</v>
      </c>
    </row>
    <row r="148" spans="1:6" x14ac:dyDescent="0.3">
      <c r="A148" t="s">
        <v>15417</v>
      </c>
      <c r="B148">
        <v>2016</v>
      </c>
      <c r="C148" t="s">
        <v>15169</v>
      </c>
      <c r="D148">
        <v>1.2500000000000001E-2</v>
      </c>
      <c r="E148" t="s">
        <v>15418</v>
      </c>
      <c r="F148" t="s">
        <v>15214</v>
      </c>
    </row>
    <row r="149" spans="1:6" x14ac:dyDescent="0.3">
      <c r="A149" t="s">
        <v>15419</v>
      </c>
      <c r="B149">
        <v>19800</v>
      </c>
      <c r="C149" t="s">
        <v>15169</v>
      </c>
      <c r="D149">
        <v>1.2500000000000001E-2</v>
      </c>
      <c r="E149" t="s">
        <v>15420</v>
      </c>
      <c r="F149" t="s">
        <v>15214</v>
      </c>
    </row>
    <row r="150" spans="1:6" x14ac:dyDescent="0.3">
      <c r="A150" t="s">
        <v>5641</v>
      </c>
      <c r="B150">
        <v>20880</v>
      </c>
      <c r="C150" t="s">
        <v>15169</v>
      </c>
      <c r="D150">
        <v>1.2500000000000001E-2</v>
      </c>
      <c r="E150" t="s">
        <v>15421</v>
      </c>
      <c r="F150" t="s">
        <v>15214</v>
      </c>
    </row>
    <row r="151" spans="1:6" x14ac:dyDescent="0.3">
      <c r="A151" t="s">
        <v>15422</v>
      </c>
      <c r="B151">
        <v>20880</v>
      </c>
      <c r="C151" t="s">
        <v>15169</v>
      </c>
      <c r="D151">
        <v>1.2500000000000001E-2</v>
      </c>
      <c r="E151" t="s">
        <v>15423</v>
      </c>
      <c r="F151" t="s">
        <v>15214</v>
      </c>
    </row>
    <row r="152" spans="1:6" x14ac:dyDescent="0.3">
      <c r="A152" t="s">
        <v>15424</v>
      </c>
      <c r="B152">
        <v>20880</v>
      </c>
      <c r="C152" t="s">
        <v>15169</v>
      </c>
      <c r="D152">
        <v>1.2500000000000001E-2</v>
      </c>
      <c r="E152" t="s">
        <v>15425</v>
      </c>
      <c r="F152" t="s">
        <v>15214</v>
      </c>
    </row>
    <row r="153" spans="1:6" x14ac:dyDescent="0.3">
      <c r="A153" t="s">
        <v>15426</v>
      </c>
      <c r="B153">
        <v>19584</v>
      </c>
      <c r="C153" t="s">
        <v>15169</v>
      </c>
      <c r="D153">
        <v>1.2500000000000001E-2</v>
      </c>
      <c r="E153" t="s">
        <v>15427</v>
      </c>
      <c r="F153" t="s">
        <v>15214</v>
      </c>
    </row>
    <row r="154" spans="1:6" x14ac:dyDescent="0.3">
      <c r="A154" t="s">
        <v>15428</v>
      </c>
      <c r="B154">
        <v>12960</v>
      </c>
      <c r="C154" t="s">
        <v>15169</v>
      </c>
      <c r="D154">
        <v>1.2500000000000001E-2</v>
      </c>
      <c r="E154" t="s">
        <v>15429</v>
      </c>
      <c r="F154" t="s">
        <v>15214</v>
      </c>
    </row>
    <row r="155" spans="1:6" x14ac:dyDescent="0.3">
      <c r="A155" t="s">
        <v>15430</v>
      </c>
      <c r="B155">
        <v>19800</v>
      </c>
      <c r="C155" t="s">
        <v>15169</v>
      </c>
      <c r="D155">
        <v>1.2500000000000001E-2</v>
      </c>
      <c r="E155" t="s">
        <v>15431</v>
      </c>
      <c r="F155" t="s">
        <v>15214</v>
      </c>
    </row>
    <row r="156" spans="1:6" x14ac:dyDescent="0.3">
      <c r="A156" t="s">
        <v>1327</v>
      </c>
      <c r="B156">
        <v>20880</v>
      </c>
      <c r="C156" t="s">
        <v>15169</v>
      </c>
      <c r="D156">
        <v>1.2500000000000001E-2</v>
      </c>
      <c r="E156" t="s">
        <v>15432</v>
      </c>
      <c r="F156" t="s">
        <v>15214</v>
      </c>
    </row>
    <row r="157" spans="1:6" x14ac:dyDescent="0.3">
      <c r="A157" t="s">
        <v>15433</v>
      </c>
      <c r="B157">
        <v>20880</v>
      </c>
      <c r="C157" t="s">
        <v>15169</v>
      </c>
      <c r="D157">
        <v>1.2500000000000001E-2</v>
      </c>
      <c r="E157" t="s">
        <v>15432</v>
      </c>
      <c r="F157" t="s">
        <v>15214</v>
      </c>
    </row>
    <row r="158" spans="1:6" x14ac:dyDescent="0.3">
      <c r="A158" t="s">
        <v>15434</v>
      </c>
      <c r="B158">
        <v>20880</v>
      </c>
      <c r="C158" t="s">
        <v>15169</v>
      </c>
      <c r="D158">
        <v>1.2500000000000001E-2</v>
      </c>
      <c r="E158" t="s">
        <v>15435</v>
      </c>
      <c r="F158" t="s">
        <v>15214</v>
      </c>
    </row>
    <row r="159" spans="1:6" x14ac:dyDescent="0.3">
      <c r="A159" t="s">
        <v>2539</v>
      </c>
      <c r="B159">
        <v>20880</v>
      </c>
      <c r="C159" t="s">
        <v>15169</v>
      </c>
      <c r="D159">
        <v>1.2500000000000001E-2</v>
      </c>
      <c r="E159" t="s">
        <v>2540</v>
      </c>
      <c r="F159" t="s">
        <v>15214</v>
      </c>
    </row>
    <row r="160" spans="1:6" x14ac:dyDescent="0.3">
      <c r="A160" t="s">
        <v>15436</v>
      </c>
      <c r="B160">
        <v>2016</v>
      </c>
      <c r="C160" t="s">
        <v>15169</v>
      </c>
      <c r="D160">
        <v>1.2500000000000001E-2</v>
      </c>
      <c r="E160" t="s">
        <v>15437</v>
      </c>
      <c r="F160" t="s">
        <v>15214</v>
      </c>
    </row>
    <row r="161" spans="1:6" x14ac:dyDescent="0.3">
      <c r="A161" t="s">
        <v>15438</v>
      </c>
      <c r="B161">
        <v>19800</v>
      </c>
      <c r="C161" t="s">
        <v>15169</v>
      </c>
      <c r="D161">
        <v>1.2500000000000001E-2</v>
      </c>
      <c r="E161" t="s">
        <v>15439</v>
      </c>
      <c r="F161" t="s">
        <v>15214</v>
      </c>
    </row>
    <row r="162" spans="1:6" x14ac:dyDescent="0.3">
      <c r="A162" t="s">
        <v>15440</v>
      </c>
      <c r="B162">
        <v>19800</v>
      </c>
      <c r="C162" t="s">
        <v>15169</v>
      </c>
      <c r="D162">
        <v>1.26E-2</v>
      </c>
      <c r="E162" t="s">
        <v>15441</v>
      </c>
      <c r="F162" t="s">
        <v>15214</v>
      </c>
    </row>
    <row r="163" spans="1:6" x14ac:dyDescent="0.3">
      <c r="A163" t="s">
        <v>15442</v>
      </c>
      <c r="B163">
        <v>17856</v>
      </c>
      <c r="C163" t="s">
        <v>15169</v>
      </c>
      <c r="D163">
        <v>1.2699999999999999E-2</v>
      </c>
      <c r="E163" t="s">
        <v>15443</v>
      </c>
      <c r="F163" t="s">
        <v>15195</v>
      </c>
    </row>
    <row r="164" spans="1:6" x14ac:dyDescent="0.3">
      <c r="A164" t="s">
        <v>15444</v>
      </c>
      <c r="B164">
        <v>17856</v>
      </c>
      <c r="C164" t="s">
        <v>15169</v>
      </c>
      <c r="D164">
        <v>1.2699999999999999E-2</v>
      </c>
      <c r="E164" t="s">
        <v>15445</v>
      </c>
      <c r="F164" t="s">
        <v>15195</v>
      </c>
    </row>
    <row r="165" spans="1:6" x14ac:dyDescent="0.3">
      <c r="A165" t="s">
        <v>15446</v>
      </c>
      <c r="B165">
        <v>17856</v>
      </c>
      <c r="C165" t="s">
        <v>15169</v>
      </c>
      <c r="D165">
        <v>1.2699999999999999E-2</v>
      </c>
      <c r="E165" t="s">
        <v>15447</v>
      </c>
      <c r="F165" t="s">
        <v>15195</v>
      </c>
    </row>
    <row r="166" spans="1:6" x14ac:dyDescent="0.3">
      <c r="A166" t="s">
        <v>2611</v>
      </c>
      <c r="B166">
        <v>10656</v>
      </c>
      <c r="C166" t="s">
        <v>15169</v>
      </c>
      <c r="D166">
        <v>1.2699999999999999E-2</v>
      </c>
      <c r="E166" t="s">
        <v>2612</v>
      </c>
      <c r="F166" t="s">
        <v>15195</v>
      </c>
    </row>
    <row r="167" spans="1:6" x14ac:dyDescent="0.3">
      <c r="A167" t="s">
        <v>15448</v>
      </c>
      <c r="B167">
        <v>17856</v>
      </c>
      <c r="C167" t="s">
        <v>15169</v>
      </c>
      <c r="D167">
        <v>1.2699999999999999E-2</v>
      </c>
      <c r="E167" t="s">
        <v>15449</v>
      </c>
      <c r="F167" t="s">
        <v>15195</v>
      </c>
    </row>
    <row r="168" spans="1:6" x14ac:dyDescent="0.3">
      <c r="A168" t="s">
        <v>15450</v>
      </c>
      <c r="B168">
        <v>10656</v>
      </c>
      <c r="C168" t="s">
        <v>15169</v>
      </c>
      <c r="D168">
        <v>1.2699999999999999E-2</v>
      </c>
      <c r="E168" t="s">
        <v>15451</v>
      </c>
      <c r="F168" t="s">
        <v>15195</v>
      </c>
    </row>
    <row r="169" spans="1:6" x14ac:dyDescent="0.3">
      <c r="A169" t="s">
        <v>293</v>
      </c>
      <c r="B169">
        <v>10656</v>
      </c>
      <c r="C169" t="s">
        <v>15169</v>
      </c>
      <c r="D169">
        <v>1.2699999999999999E-2</v>
      </c>
      <c r="E169" t="s">
        <v>294</v>
      </c>
      <c r="F169" t="s">
        <v>15195</v>
      </c>
    </row>
    <row r="170" spans="1:6" x14ac:dyDescent="0.3">
      <c r="A170" t="s">
        <v>15452</v>
      </c>
      <c r="B170">
        <v>17856</v>
      </c>
      <c r="C170" t="s">
        <v>15169</v>
      </c>
      <c r="D170">
        <v>1.2699999999999999E-2</v>
      </c>
      <c r="E170" t="s">
        <v>15453</v>
      </c>
      <c r="F170" t="s">
        <v>15195</v>
      </c>
    </row>
    <row r="171" spans="1:6" x14ac:dyDescent="0.3">
      <c r="A171" t="s">
        <v>15454</v>
      </c>
      <c r="B171">
        <v>17856</v>
      </c>
      <c r="C171" t="s">
        <v>15169</v>
      </c>
      <c r="D171">
        <v>1.2699999999999999E-2</v>
      </c>
      <c r="E171" t="s">
        <v>15455</v>
      </c>
      <c r="F171" t="s">
        <v>15195</v>
      </c>
    </row>
    <row r="172" spans="1:6" x14ac:dyDescent="0.3">
      <c r="A172" t="s">
        <v>15456</v>
      </c>
      <c r="B172">
        <v>2016</v>
      </c>
      <c r="C172" t="s">
        <v>15169</v>
      </c>
      <c r="D172">
        <v>1.2699999999999999E-2</v>
      </c>
      <c r="E172" t="s">
        <v>15457</v>
      </c>
      <c r="F172" t="s">
        <v>15214</v>
      </c>
    </row>
    <row r="173" spans="1:6" x14ac:dyDescent="0.3">
      <c r="A173" t="s">
        <v>15458</v>
      </c>
      <c r="B173">
        <v>19680</v>
      </c>
      <c r="C173" t="s">
        <v>15169</v>
      </c>
      <c r="D173">
        <v>1.2699999999999999E-2</v>
      </c>
      <c r="E173" t="s">
        <v>15459</v>
      </c>
      <c r="F173" t="s">
        <v>15214</v>
      </c>
    </row>
    <row r="174" spans="1:6" x14ac:dyDescent="0.3">
      <c r="A174" t="s">
        <v>15460</v>
      </c>
      <c r="B174">
        <v>20160</v>
      </c>
      <c r="C174" t="s">
        <v>15169</v>
      </c>
      <c r="D174">
        <v>1.2699999999999999E-2</v>
      </c>
      <c r="E174" t="s">
        <v>15461</v>
      </c>
      <c r="F174" t="s">
        <v>15214</v>
      </c>
    </row>
    <row r="175" spans="1:6" x14ac:dyDescent="0.3">
      <c r="A175" t="s">
        <v>15462</v>
      </c>
      <c r="B175">
        <v>20160</v>
      </c>
      <c r="C175" t="s">
        <v>15169</v>
      </c>
      <c r="D175">
        <v>1.2699999999999999E-2</v>
      </c>
      <c r="E175" t="s">
        <v>15463</v>
      </c>
      <c r="F175" t="s">
        <v>15214</v>
      </c>
    </row>
    <row r="176" spans="1:6" x14ac:dyDescent="0.3">
      <c r="A176" t="s">
        <v>15464</v>
      </c>
      <c r="B176">
        <v>20160</v>
      </c>
      <c r="C176" t="s">
        <v>15169</v>
      </c>
      <c r="D176">
        <v>1.2699999999999999E-2</v>
      </c>
      <c r="E176" t="s">
        <v>15465</v>
      </c>
      <c r="F176" t="s">
        <v>15214</v>
      </c>
    </row>
    <row r="177" spans="1:6" x14ac:dyDescent="0.3">
      <c r="A177" t="s">
        <v>15466</v>
      </c>
      <c r="B177">
        <v>19680</v>
      </c>
      <c r="C177" t="s">
        <v>15169</v>
      </c>
      <c r="D177">
        <v>1.2699999999999999E-2</v>
      </c>
      <c r="E177" t="s">
        <v>15467</v>
      </c>
      <c r="F177" t="s">
        <v>15214</v>
      </c>
    </row>
    <row r="178" spans="1:6" x14ac:dyDescent="0.3">
      <c r="A178" t="s">
        <v>15468</v>
      </c>
      <c r="B178">
        <v>19680</v>
      </c>
      <c r="C178" t="s">
        <v>15169</v>
      </c>
      <c r="D178">
        <v>1.2699999999999999E-2</v>
      </c>
      <c r="E178" t="s">
        <v>15469</v>
      </c>
      <c r="F178" t="s">
        <v>15214</v>
      </c>
    </row>
    <row r="179" spans="1:6" x14ac:dyDescent="0.3">
      <c r="A179" t="s">
        <v>15470</v>
      </c>
      <c r="B179">
        <v>17856</v>
      </c>
      <c r="C179" t="s">
        <v>15169</v>
      </c>
      <c r="D179">
        <v>1.3299999999999999E-2</v>
      </c>
      <c r="E179" t="s">
        <v>15471</v>
      </c>
      <c r="F179" t="s">
        <v>15195</v>
      </c>
    </row>
    <row r="180" spans="1:6" x14ac:dyDescent="0.3">
      <c r="A180" t="s">
        <v>15472</v>
      </c>
      <c r="B180">
        <v>17856</v>
      </c>
      <c r="C180" t="s">
        <v>15169</v>
      </c>
      <c r="D180">
        <v>1.3299999999999999E-2</v>
      </c>
      <c r="E180" t="s">
        <v>15473</v>
      </c>
      <c r="F180" t="s">
        <v>15195</v>
      </c>
    </row>
    <row r="181" spans="1:6" x14ac:dyDescent="0.3">
      <c r="A181" t="s">
        <v>15474</v>
      </c>
      <c r="B181">
        <v>17856</v>
      </c>
      <c r="C181" t="s">
        <v>15169</v>
      </c>
      <c r="D181">
        <v>1.3299999999999999E-2</v>
      </c>
      <c r="E181" t="s">
        <v>15475</v>
      </c>
      <c r="F181" t="s">
        <v>15195</v>
      </c>
    </row>
    <row r="182" spans="1:6" x14ac:dyDescent="0.3">
      <c r="A182" t="s">
        <v>15476</v>
      </c>
      <c r="B182">
        <v>17856</v>
      </c>
      <c r="C182" t="s">
        <v>15169</v>
      </c>
      <c r="D182">
        <v>1.3299999999999999E-2</v>
      </c>
      <c r="E182" t="s">
        <v>15477</v>
      </c>
      <c r="F182" t="s">
        <v>15195</v>
      </c>
    </row>
    <row r="183" spans="1:6" x14ac:dyDescent="0.3">
      <c r="A183" t="s">
        <v>15478</v>
      </c>
      <c r="B183">
        <v>17856</v>
      </c>
      <c r="C183" t="s">
        <v>15169</v>
      </c>
      <c r="D183">
        <v>1.3299999999999999E-2</v>
      </c>
      <c r="E183" t="s">
        <v>15479</v>
      </c>
      <c r="F183" t="s">
        <v>15195</v>
      </c>
    </row>
    <row r="184" spans="1:6" x14ac:dyDescent="0.3">
      <c r="A184" t="s">
        <v>15480</v>
      </c>
      <c r="B184">
        <v>10656</v>
      </c>
      <c r="C184" t="s">
        <v>15169</v>
      </c>
      <c r="D184">
        <v>1.3299999999999999E-2</v>
      </c>
      <c r="E184" t="s">
        <v>15481</v>
      </c>
      <c r="F184" t="s">
        <v>15195</v>
      </c>
    </row>
    <row r="185" spans="1:6" x14ac:dyDescent="0.3">
      <c r="A185" t="s">
        <v>15482</v>
      </c>
      <c r="B185">
        <v>17856</v>
      </c>
      <c r="C185" t="s">
        <v>15169</v>
      </c>
      <c r="D185">
        <v>1.35E-2</v>
      </c>
      <c r="E185" t="s">
        <v>15483</v>
      </c>
      <c r="F185" t="s">
        <v>15195</v>
      </c>
    </row>
    <row r="186" spans="1:6" x14ac:dyDescent="0.3">
      <c r="A186" t="s">
        <v>15484</v>
      </c>
      <c r="B186">
        <v>17856</v>
      </c>
      <c r="C186" t="s">
        <v>15169</v>
      </c>
      <c r="D186">
        <v>1.35E-2</v>
      </c>
      <c r="E186" t="s">
        <v>15485</v>
      </c>
      <c r="F186" t="s">
        <v>15195</v>
      </c>
    </row>
    <row r="187" spans="1:6" x14ac:dyDescent="0.3">
      <c r="A187" t="s">
        <v>15486</v>
      </c>
      <c r="B187">
        <v>17856</v>
      </c>
      <c r="C187" t="s">
        <v>15169</v>
      </c>
      <c r="D187">
        <v>1.35E-2</v>
      </c>
      <c r="E187" t="s">
        <v>15487</v>
      </c>
      <c r="F187" t="s">
        <v>15195</v>
      </c>
    </row>
    <row r="188" spans="1:6" x14ac:dyDescent="0.3">
      <c r="A188" t="s">
        <v>1989</v>
      </c>
      <c r="B188">
        <v>17856</v>
      </c>
      <c r="C188" t="s">
        <v>15169</v>
      </c>
      <c r="D188">
        <v>1.35E-2</v>
      </c>
      <c r="E188" t="s">
        <v>1990</v>
      </c>
      <c r="F188" t="s">
        <v>15195</v>
      </c>
    </row>
    <row r="189" spans="1:6" x14ac:dyDescent="0.3">
      <c r="A189" t="s">
        <v>4955</v>
      </c>
      <c r="B189">
        <v>10656</v>
      </c>
      <c r="C189" t="s">
        <v>15169</v>
      </c>
      <c r="D189">
        <v>1.35E-2</v>
      </c>
      <c r="E189" t="s">
        <v>4956</v>
      </c>
      <c r="F189" t="s">
        <v>15195</v>
      </c>
    </row>
    <row r="190" spans="1:6" x14ac:dyDescent="0.3">
      <c r="A190" t="s">
        <v>15488</v>
      </c>
      <c r="B190">
        <v>10656</v>
      </c>
      <c r="C190" t="s">
        <v>15169</v>
      </c>
      <c r="D190">
        <v>1.35E-2</v>
      </c>
      <c r="E190" t="s">
        <v>15489</v>
      </c>
      <c r="F190" t="s">
        <v>15195</v>
      </c>
    </row>
    <row r="191" spans="1:6" x14ac:dyDescent="0.3">
      <c r="A191" t="s">
        <v>15490</v>
      </c>
      <c r="B191">
        <v>17856</v>
      </c>
      <c r="C191" t="s">
        <v>15169</v>
      </c>
      <c r="D191">
        <v>1.35E-2</v>
      </c>
      <c r="E191" t="s">
        <v>15491</v>
      </c>
      <c r="F191" t="s">
        <v>15195</v>
      </c>
    </row>
    <row r="192" spans="1:6" x14ac:dyDescent="0.3">
      <c r="A192" t="s">
        <v>15492</v>
      </c>
      <c r="B192">
        <v>17856</v>
      </c>
      <c r="C192" t="s">
        <v>15169</v>
      </c>
      <c r="D192">
        <v>1.35E-2</v>
      </c>
      <c r="E192" t="s">
        <v>15493</v>
      </c>
      <c r="F192" t="s">
        <v>15195</v>
      </c>
    </row>
    <row r="193" spans="1:6" x14ac:dyDescent="0.3">
      <c r="A193" t="s">
        <v>15494</v>
      </c>
      <c r="B193">
        <v>10656</v>
      </c>
      <c r="C193" t="s">
        <v>15169</v>
      </c>
      <c r="D193">
        <v>1.35E-2</v>
      </c>
      <c r="E193" t="s">
        <v>15495</v>
      </c>
      <c r="F193" t="s">
        <v>15195</v>
      </c>
    </row>
    <row r="194" spans="1:6" x14ac:dyDescent="0.3">
      <c r="A194" t="s">
        <v>10352</v>
      </c>
      <c r="B194">
        <v>19200</v>
      </c>
      <c r="C194" t="s">
        <v>15169</v>
      </c>
      <c r="D194">
        <v>1.35E-2</v>
      </c>
      <c r="E194" t="s">
        <v>10353</v>
      </c>
      <c r="F194" t="s">
        <v>15214</v>
      </c>
    </row>
    <row r="195" spans="1:6" x14ac:dyDescent="0.3">
      <c r="A195" t="s">
        <v>15496</v>
      </c>
      <c r="B195">
        <v>19200</v>
      </c>
      <c r="C195" t="s">
        <v>15169</v>
      </c>
      <c r="D195">
        <v>1.35E-2</v>
      </c>
      <c r="E195" t="s">
        <v>15497</v>
      </c>
      <c r="F195" t="s">
        <v>15214</v>
      </c>
    </row>
    <row r="196" spans="1:6" x14ac:dyDescent="0.3">
      <c r="A196" t="s">
        <v>5507</v>
      </c>
      <c r="B196">
        <v>19200</v>
      </c>
      <c r="C196" t="s">
        <v>15169</v>
      </c>
      <c r="D196">
        <v>1.35E-2</v>
      </c>
      <c r="E196" t="s">
        <v>5508</v>
      </c>
      <c r="F196" t="s">
        <v>15214</v>
      </c>
    </row>
    <row r="197" spans="1:6" x14ac:dyDescent="0.3">
      <c r="A197" t="s">
        <v>15498</v>
      </c>
      <c r="B197">
        <v>672</v>
      </c>
      <c r="C197" t="s">
        <v>15312</v>
      </c>
      <c r="D197">
        <v>4.5999999999999999E-2</v>
      </c>
      <c r="E197" t="s">
        <v>15499</v>
      </c>
      <c r="F197" t="s">
        <v>15314</v>
      </c>
    </row>
    <row r="198" spans="1:6" x14ac:dyDescent="0.3">
      <c r="A198" t="s">
        <v>15500</v>
      </c>
      <c r="B198">
        <v>1080</v>
      </c>
      <c r="C198" t="s">
        <v>15312</v>
      </c>
      <c r="D198">
        <v>5.0999999999999997E-2</v>
      </c>
      <c r="E198" t="s">
        <v>15501</v>
      </c>
      <c r="F198" t="s">
        <v>15314</v>
      </c>
    </row>
    <row r="199" spans="1:6" x14ac:dyDescent="0.3">
      <c r="A199" t="s">
        <v>15502</v>
      </c>
      <c r="B199">
        <v>1080</v>
      </c>
      <c r="C199" t="s">
        <v>15312</v>
      </c>
      <c r="D199">
        <v>5.0999999999999997E-2</v>
      </c>
      <c r="E199" t="s">
        <v>15503</v>
      </c>
      <c r="F199" t="s">
        <v>15314</v>
      </c>
    </row>
    <row r="200" spans="1:6" x14ac:dyDescent="0.3">
      <c r="A200" t="s">
        <v>15504</v>
      </c>
      <c r="B200">
        <v>1080</v>
      </c>
      <c r="C200" t="s">
        <v>15312</v>
      </c>
      <c r="D200">
        <v>5.0999999999999997E-2</v>
      </c>
      <c r="E200" t="s">
        <v>15505</v>
      </c>
      <c r="F200" t="s">
        <v>15314</v>
      </c>
    </row>
    <row r="201" spans="1:6" x14ac:dyDescent="0.3">
      <c r="A201" t="s">
        <v>15506</v>
      </c>
      <c r="B201">
        <v>1080</v>
      </c>
      <c r="C201" t="s">
        <v>15312</v>
      </c>
      <c r="D201">
        <v>5.0999999999999997E-2</v>
      </c>
      <c r="E201" t="s">
        <v>15507</v>
      </c>
      <c r="F201" t="s">
        <v>15314</v>
      </c>
    </row>
    <row r="202" spans="1:6" x14ac:dyDescent="0.3">
      <c r="A202" t="s">
        <v>15508</v>
      </c>
      <c r="B202">
        <v>1080</v>
      </c>
      <c r="C202" t="s">
        <v>15312</v>
      </c>
      <c r="D202">
        <v>5.0999999999999997E-2</v>
      </c>
      <c r="E202" t="s">
        <v>15509</v>
      </c>
      <c r="F202" t="s">
        <v>15314</v>
      </c>
    </row>
    <row r="203" spans="1:6" x14ac:dyDescent="0.3">
      <c r="A203" t="s">
        <v>15510</v>
      </c>
      <c r="B203">
        <v>1080</v>
      </c>
      <c r="C203" t="s">
        <v>15312</v>
      </c>
      <c r="D203">
        <v>5.0999999999999997E-2</v>
      </c>
      <c r="E203" t="s">
        <v>15511</v>
      </c>
      <c r="F203" t="s">
        <v>15314</v>
      </c>
    </row>
    <row r="204" spans="1:6" x14ac:dyDescent="0.3">
      <c r="A204" t="s">
        <v>15512</v>
      </c>
      <c r="B204">
        <v>1080</v>
      </c>
      <c r="C204" t="s">
        <v>15312</v>
      </c>
      <c r="D204">
        <v>5.0999999999999997E-2</v>
      </c>
      <c r="E204" t="s">
        <v>15513</v>
      </c>
      <c r="F204" t="s">
        <v>15314</v>
      </c>
    </row>
    <row r="205" spans="1:6" x14ac:dyDescent="0.3">
      <c r="A205" t="s">
        <v>15514</v>
      </c>
      <c r="B205">
        <v>1080</v>
      </c>
      <c r="C205" t="s">
        <v>15312</v>
      </c>
      <c r="D205">
        <v>5.0999999999999997E-2</v>
      </c>
      <c r="E205" t="s">
        <v>15515</v>
      </c>
      <c r="F205" t="s">
        <v>15314</v>
      </c>
    </row>
    <row r="206" spans="1:6" x14ac:dyDescent="0.3">
      <c r="A206" t="s">
        <v>15516</v>
      </c>
      <c r="B206">
        <v>1080</v>
      </c>
      <c r="C206" t="s">
        <v>15312</v>
      </c>
      <c r="D206">
        <v>5.0999999999999997E-2</v>
      </c>
      <c r="E206" t="s">
        <v>15517</v>
      </c>
      <c r="F206" t="s">
        <v>15314</v>
      </c>
    </row>
    <row r="207" spans="1:6" x14ac:dyDescent="0.3">
      <c r="A207" t="s">
        <v>15518</v>
      </c>
      <c r="B207">
        <v>1080</v>
      </c>
      <c r="C207" t="s">
        <v>15312</v>
      </c>
      <c r="D207">
        <v>5.0999999999999997E-2</v>
      </c>
      <c r="E207" t="s">
        <v>15519</v>
      </c>
      <c r="F207" t="s">
        <v>15314</v>
      </c>
    </row>
    <row r="208" spans="1:6" x14ac:dyDescent="0.3">
      <c r="A208" t="s">
        <v>15520</v>
      </c>
      <c r="B208">
        <v>1080</v>
      </c>
      <c r="C208" t="s">
        <v>15312</v>
      </c>
      <c r="D208">
        <v>5.0999999999999997E-2</v>
      </c>
      <c r="E208" t="s">
        <v>15521</v>
      </c>
      <c r="F208" t="s">
        <v>15314</v>
      </c>
    </row>
    <row r="209" spans="1:6" x14ac:dyDescent="0.3">
      <c r="A209" t="s">
        <v>15522</v>
      </c>
      <c r="B209">
        <v>1080</v>
      </c>
      <c r="C209" t="s">
        <v>15312</v>
      </c>
      <c r="D209">
        <v>5.0999999999999997E-2</v>
      </c>
      <c r="E209" t="s">
        <v>15523</v>
      </c>
      <c r="F209" t="s">
        <v>15314</v>
      </c>
    </row>
    <row r="210" spans="1:6" x14ac:dyDescent="0.3">
      <c r="A210" t="s">
        <v>15524</v>
      </c>
      <c r="B210">
        <v>1080</v>
      </c>
      <c r="C210" t="s">
        <v>15312</v>
      </c>
      <c r="D210">
        <v>5.0999999999999997E-2</v>
      </c>
      <c r="E210" t="s">
        <v>15525</v>
      </c>
      <c r="F210" t="s">
        <v>15314</v>
      </c>
    </row>
    <row r="211" spans="1:6" x14ac:dyDescent="0.3">
      <c r="A211" t="s">
        <v>15526</v>
      </c>
      <c r="B211">
        <v>1080</v>
      </c>
      <c r="C211" t="s">
        <v>15312</v>
      </c>
      <c r="D211">
        <v>5.0999999999999997E-2</v>
      </c>
      <c r="E211" t="s">
        <v>15527</v>
      </c>
      <c r="F211" t="s">
        <v>15314</v>
      </c>
    </row>
    <row r="212" spans="1:6" x14ac:dyDescent="0.3">
      <c r="A212" t="s">
        <v>15528</v>
      </c>
      <c r="B212">
        <v>1080</v>
      </c>
      <c r="C212" t="s">
        <v>15312</v>
      </c>
      <c r="D212">
        <v>5.0999999999999997E-2</v>
      </c>
      <c r="E212" t="s">
        <v>15529</v>
      </c>
      <c r="F212" t="s">
        <v>15314</v>
      </c>
    </row>
    <row r="213" spans="1:6" x14ac:dyDescent="0.3">
      <c r="A213" t="s">
        <v>15530</v>
      </c>
      <c r="B213">
        <v>1080</v>
      </c>
      <c r="C213" t="s">
        <v>15312</v>
      </c>
      <c r="D213">
        <v>5.0999999999999997E-2</v>
      </c>
      <c r="E213" t="s">
        <v>15531</v>
      </c>
      <c r="F213" t="s">
        <v>15314</v>
      </c>
    </row>
    <row r="214" spans="1:6" x14ac:dyDescent="0.3">
      <c r="A214" t="s">
        <v>15532</v>
      </c>
      <c r="B214">
        <v>1080</v>
      </c>
      <c r="C214" t="s">
        <v>15312</v>
      </c>
      <c r="D214">
        <v>5.0999999999999997E-2</v>
      </c>
      <c r="E214" t="s">
        <v>15533</v>
      </c>
      <c r="F214" t="s">
        <v>15314</v>
      </c>
    </row>
    <row r="215" spans="1:6" x14ac:dyDescent="0.3">
      <c r="A215" t="s">
        <v>15534</v>
      </c>
      <c r="B215">
        <v>1080</v>
      </c>
      <c r="C215" t="s">
        <v>15312</v>
      </c>
      <c r="D215">
        <v>5.0999999999999997E-2</v>
      </c>
      <c r="E215" t="s">
        <v>15535</v>
      </c>
      <c r="F215" t="s">
        <v>15314</v>
      </c>
    </row>
    <row r="216" spans="1:6" x14ac:dyDescent="0.3">
      <c r="A216" t="s">
        <v>15536</v>
      </c>
      <c r="B216">
        <v>1080</v>
      </c>
      <c r="C216" t="s">
        <v>15312</v>
      </c>
      <c r="D216">
        <v>5.0999999999999997E-2</v>
      </c>
      <c r="E216" t="s">
        <v>15537</v>
      </c>
      <c r="F216" t="s">
        <v>15314</v>
      </c>
    </row>
    <row r="217" spans="1:6" x14ac:dyDescent="0.3">
      <c r="A217" t="s">
        <v>15538</v>
      </c>
      <c r="B217">
        <v>1080</v>
      </c>
      <c r="C217" t="s">
        <v>15312</v>
      </c>
      <c r="D217">
        <v>5.0999999999999997E-2</v>
      </c>
      <c r="E217" t="s">
        <v>15539</v>
      </c>
      <c r="F217" t="s">
        <v>15314</v>
      </c>
    </row>
    <row r="218" spans="1:6" x14ac:dyDescent="0.3">
      <c r="A218" t="s">
        <v>15540</v>
      </c>
      <c r="B218">
        <v>1080</v>
      </c>
      <c r="C218" t="s">
        <v>15312</v>
      </c>
      <c r="D218">
        <v>5.0999999999999997E-2</v>
      </c>
      <c r="E218" t="s">
        <v>15541</v>
      </c>
      <c r="F218" t="s">
        <v>15314</v>
      </c>
    </row>
    <row r="219" spans="1:6" x14ac:dyDescent="0.3">
      <c r="A219" t="s">
        <v>15542</v>
      </c>
      <c r="B219">
        <v>1080</v>
      </c>
      <c r="C219" t="s">
        <v>15312</v>
      </c>
      <c r="D219">
        <v>5.0999999999999997E-2</v>
      </c>
      <c r="E219" t="s">
        <v>15543</v>
      </c>
      <c r="F219" t="s">
        <v>15314</v>
      </c>
    </row>
    <row r="220" spans="1:6" x14ac:dyDescent="0.3">
      <c r="A220" t="s">
        <v>15544</v>
      </c>
      <c r="B220">
        <v>1080</v>
      </c>
      <c r="C220" t="s">
        <v>15312</v>
      </c>
      <c r="D220">
        <v>5.0999999999999997E-2</v>
      </c>
      <c r="E220" t="s">
        <v>15545</v>
      </c>
      <c r="F220" t="s">
        <v>15314</v>
      </c>
    </row>
    <row r="221" spans="1:6" x14ac:dyDescent="0.3">
      <c r="A221" t="s">
        <v>15546</v>
      </c>
      <c r="B221">
        <v>1080</v>
      </c>
      <c r="C221" t="s">
        <v>15312</v>
      </c>
      <c r="D221">
        <v>5.0999999999999997E-2</v>
      </c>
      <c r="E221" t="s">
        <v>15547</v>
      </c>
      <c r="F221" t="s">
        <v>15314</v>
      </c>
    </row>
    <row r="222" spans="1:6" x14ac:dyDescent="0.3">
      <c r="A222" t="s">
        <v>15548</v>
      </c>
      <c r="B222">
        <v>1080</v>
      </c>
      <c r="C222" t="s">
        <v>15312</v>
      </c>
      <c r="D222">
        <v>5.0999999999999997E-2</v>
      </c>
      <c r="E222" t="s">
        <v>15549</v>
      </c>
      <c r="F222" t="s">
        <v>15314</v>
      </c>
    </row>
    <row r="223" spans="1:6" x14ac:dyDescent="0.3">
      <c r="A223" t="s">
        <v>15550</v>
      </c>
      <c r="B223">
        <v>1080</v>
      </c>
      <c r="C223" t="s">
        <v>15312</v>
      </c>
      <c r="D223">
        <v>5.0999999999999997E-2</v>
      </c>
      <c r="E223" t="s">
        <v>15551</v>
      </c>
      <c r="F223" t="s">
        <v>15314</v>
      </c>
    </row>
    <row r="224" spans="1:6" x14ac:dyDescent="0.3">
      <c r="A224" t="s">
        <v>15552</v>
      </c>
      <c r="B224">
        <v>1080</v>
      </c>
      <c r="C224" t="s">
        <v>15312</v>
      </c>
      <c r="D224">
        <v>5.0999999999999997E-2</v>
      </c>
      <c r="E224" t="s">
        <v>15553</v>
      </c>
      <c r="F224" t="s">
        <v>15314</v>
      </c>
    </row>
    <row r="225" spans="1:6" x14ac:dyDescent="0.3">
      <c r="A225" t="s">
        <v>15554</v>
      </c>
      <c r="B225">
        <v>1080</v>
      </c>
      <c r="C225" t="s">
        <v>15312</v>
      </c>
      <c r="D225">
        <v>5.0999999999999997E-2</v>
      </c>
      <c r="E225" t="s">
        <v>15555</v>
      </c>
      <c r="F225" t="s">
        <v>15314</v>
      </c>
    </row>
    <row r="226" spans="1:6" x14ac:dyDescent="0.3">
      <c r="A226" t="s">
        <v>15556</v>
      </c>
      <c r="B226">
        <v>1080</v>
      </c>
      <c r="C226" t="s">
        <v>15312</v>
      </c>
      <c r="D226">
        <v>5.0999999999999997E-2</v>
      </c>
      <c r="E226" t="s">
        <v>15557</v>
      </c>
      <c r="F226" t="s">
        <v>15314</v>
      </c>
    </row>
    <row r="227" spans="1:6" x14ac:dyDescent="0.3">
      <c r="A227" t="s">
        <v>15558</v>
      </c>
      <c r="B227">
        <v>1080</v>
      </c>
      <c r="C227" t="s">
        <v>15312</v>
      </c>
      <c r="D227">
        <v>5.0999999999999997E-2</v>
      </c>
      <c r="E227" t="s">
        <v>15559</v>
      </c>
      <c r="F227" t="s">
        <v>15314</v>
      </c>
    </row>
    <row r="228" spans="1:6" x14ac:dyDescent="0.3">
      <c r="A228" t="s">
        <v>15560</v>
      </c>
      <c r="B228">
        <v>1080</v>
      </c>
      <c r="C228" t="s">
        <v>15312</v>
      </c>
      <c r="D228">
        <v>5.0999999999999997E-2</v>
      </c>
      <c r="E228" t="s">
        <v>15561</v>
      </c>
      <c r="F228" t="s">
        <v>15314</v>
      </c>
    </row>
    <row r="229" spans="1:6" x14ac:dyDescent="0.3">
      <c r="A229" t="s">
        <v>15562</v>
      </c>
      <c r="B229">
        <v>1080</v>
      </c>
      <c r="C229" t="s">
        <v>15312</v>
      </c>
      <c r="D229">
        <v>5.0999999999999997E-2</v>
      </c>
      <c r="E229" t="s">
        <v>15563</v>
      </c>
      <c r="F229" t="s">
        <v>15314</v>
      </c>
    </row>
    <row r="230" spans="1:6" x14ac:dyDescent="0.3">
      <c r="A230" t="s">
        <v>15564</v>
      </c>
      <c r="B230">
        <v>1080</v>
      </c>
      <c r="C230" t="s">
        <v>15312</v>
      </c>
      <c r="D230">
        <v>5.0999999999999997E-2</v>
      </c>
      <c r="E230" t="s">
        <v>15565</v>
      </c>
      <c r="F230" t="s">
        <v>15314</v>
      </c>
    </row>
    <row r="231" spans="1:6" x14ac:dyDescent="0.3">
      <c r="A231" t="s">
        <v>15566</v>
      </c>
      <c r="B231">
        <v>1080</v>
      </c>
      <c r="C231" t="s">
        <v>15312</v>
      </c>
      <c r="D231">
        <v>5.0999999999999997E-2</v>
      </c>
      <c r="E231" t="s">
        <v>15567</v>
      </c>
      <c r="F231" t="s">
        <v>15314</v>
      </c>
    </row>
    <row r="232" spans="1:6" x14ac:dyDescent="0.3">
      <c r="A232" t="s">
        <v>15568</v>
      </c>
      <c r="B232">
        <v>1080</v>
      </c>
      <c r="C232" t="s">
        <v>15312</v>
      </c>
      <c r="D232">
        <v>5.0999999999999997E-2</v>
      </c>
      <c r="E232" t="s">
        <v>15569</v>
      </c>
      <c r="F232" t="s">
        <v>15314</v>
      </c>
    </row>
    <row r="233" spans="1:6" x14ac:dyDescent="0.3">
      <c r="A233" t="s">
        <v>15570</v>
      </c>
      <c r="B233">
        <v>1080</v>
      </c>
      <c r="C233" t="s">
        <v>15312</v>
      </c>
      <c r="D233">
        <v>5.0999999999999997E-2</v>
      </c>
      <c r="E233" t="s">
        <v>15571</v>
      </c>
      <c r="F233" t="s">
        <v>15314</v>
      </c>
    </row>
    <row r="234" spans="1:6" x14ac:dyDescent="0.3">
      <c r="A234" t="s">
        <v>15572</v>
      </c>
      <c r="B234">
        <v>1080</v>
      </c>
      <c r="C234" t="s">
        <v>15312</v>
      </c>
      <c r="D234">
        <v>5.0999999999999997E-2</v>
      </c>
      <c r="E234" t="s">
        <v>15573</v>
      </c>
      <c r="F234" t="s">
        <v>15314</v>
      </c>
    </row>
    <row r="235" spans="1:6" x14ac:dyDescent="0.3">
      <c r="A235" t="s">
        <v>15574</v>
      </c>
      <c r="B235">
        <v>1080</v>
      </c>
      <c r="C235" t="s">
        <v>15312</v>
      </c>
      <c r="D235">
        <v>5.0999999999999997E-2</v>
      </c>
      <c r="E235" t="s">
        <v>15575</v>
      </c>
      <c r="F235" t="s">
        <v>15314</v>
      </c>
    </row>
    <row r="236" spans="1:6" x14ac:dyDescent="0.3">
      <c r="A236" t="s">
        <v>15576</v>
      </c>
      <c r="B236">
        <v>1080</v>
      </c>
      <c r="C236" t="s">
        <v>15312</v>
      </c>
      <c r="D236">
        <v>5.0999999999999997E-2</v>
      </c>
      <c r="E236" t="s">
        <v>15577</v>
      </c>
      <c r="F236" t="s">
        <v>15314</v>
      </c>
    </row>
    <row r="237" spans="1:6" x14ac:dyDescent="0.3">
      <c r="A237" t="s">
        <v>15578</v>
      </c>
      <c r="B237">
        <v>1080</v>
      </c>
      <c r="C237" t="s">
        <v>15312</v>
      </c>
      <c r="D237">
        <v>5.0999999999999997E-2</v>
      </c>
      <c r="E237" t="s">
        <v>15579</v>
      </c>
      <c r="F237" t="s">
        <v>15314</v>
      </c>
    </row>
    <row r="238" spans="1:6" x14ac:dyDescent="0.3">
      <c r="A238" t="s">
        <v>15580</v>
      </c>
      <c r="B238">
        <v>1080</v>
      </c>
      <c r="C238" t="s">
        <v>15312</v>
      </c>
      <c r="D238">
        <v>5.0999999999999997E-2</v>
      </c>
      <c r="E238" t="s">
        <v>15581</v>
      </c>
      <c r="F238" t="s">
        <v>15314</v>
      </c>
    </row>
    <row r="239" spans="1:6" x14ac:dyDescent="0.3">
      <c r="A239" t="s">
        <v>15582</v>
      </c>
      <c r="B239">
        <v>1080</v>
      </c>
      <c r="C239" t="s">
        <v>15312</v>
      </c>
      <c r="D239">
        <v>5.0999999999999997E-2</v>
      </c>
      <c r="E239" t="s">
        <v>15583</v>
      </c>
      <c r="F239" t="s">
        <v>15314</v>
      </c>
    </row>
    <row r="240" spans="1:6" x14ac:dyDescent="0.3">
      <c r="A240" t="s">
        <v>15584</v>
      </c>
      <c r="B240">
        <v>1080</v>
      </c>
      <c r="C240" t="s">
        <v>15312</v>
      </c>
      <c r="D240">
        <v>5.0999999999999997E-2</v>
      </c>
      <c r="E240" t="s">
        <v>15585</v>
      </c>
      <c r="F240" t="s">
        <v>15314</v>
      </c>
    </row>
    <row r="241" spans="1:6" x14ac:dyDescent="0.3">
      <c r="A241" t="s">
        <v>15586</v>
      </c>
      <c r="B241">
        <v>1080</v>
      </c>
      <c r="C241" t="s">
        <v>15312</v>
      </c>
      <c r="D241">
        <v>5.0999999999999997E-2</v>
      </c>
      <c r="E241" t="s">
        <v>15587</v>
      </c>
      <c r="F241" t="s">
        <v>15314</v>
      </c>
    </row>
    <row r="242" spans="1:6" x14ac:dyDescent="0.3">
      <c r="A242" t="s">
        <v>15588</v>
      </c>
      <c r="B242">
        <v>1080</v>
      </c>
      <c r="C242" t="s">
        <v>15312</v>
      </c>
      <c r="D242">
        <v>5.0999999999999997E-2</v>
      </c>
      <c r="E242" t="s">
        <v>15589</v>
      </c>
      <c r="F242" t="s">
        <v>15314</v>
      </c>
    </row>
    <row r="243" spans="1:6" x14ac:dyDescent="0.3">
      <c r="A243" t="s">
        <v>15590</v>
      </c>
      <c r="B243">
        <v>1080</v>
      </c>
      <c r="C243" t="s">
        <v>15312</v>
      </c>
      <c r="D243">
        <v>5.0999999999999997E-2</v>
      </c>
      <c r="E243" t="s">
        <v>15591</v>
      </c>
      <c r="F243" t="s">
        <v>15314</v>
      </c>
    </row>
    <row r="244" spans="1:6" x14ac:dyDescent="0.3">
      <c r="A244" t="s">
        <v>15592</v>
      </c>
      <c r="B244">
        <v>1080</v>
      </c>
      <c r="C244" t="s">
        <v>15312</v>
      </c>
      <c r="D244">
        <v>5.0999999999999997E-2</v>
      </c>
      <c r="E244" t="s">
        <v>15593</v>
      </c>
      <c r="F244" t="s">
        <v>15314</v>
      </c>
    </row>
    <row r="245" spans="1:6" x14ac:dyDescent="0.3">
      <c r="A245" t="s">
        <v>15594</v>
      </c>
      <c r="B245">
        <v>1080</v>
      </c>
      <c r="C245" t="s">
        <v>15312</v>
      </c>
      <c r="D245">
        <v>5.0999999999999997E-2</v>
      </c>
      <c r="E245" t="s">
        <v>15595</v>
      </c>
      <c r="F245" t="s">
        <v>15314</v>
      </c>
    </row>
    <row r="246" spans="1:6" x14ac:dyDescent="0.3">
      <c r="A246" t="s">
        <v>15596</v>
      </c>
      <c r="B246">
        <v>1080</v>
      </c>
      <c r="C246" t="s">
        <v>15312</v>
      </c>
      <c r="D246">
        <v>5.0999999999999997E-2</v>
      </c>
      <c r="E246" t="s">
        <v>15597</v>
      </c>
      <c r="F246" t="s">
        <v>15314</v>
      </c>
    </row>
    <row r="247" spans="1:6" x14ac:dyDescent="0.3">
      <c r="A247" t="s">
        <v>15598</v>
      </c>
      <c r="B247">
        <v>1080</v>
      </c>
      <c r="C247" t="s">
        <v>15312</v>
      </c>
      <c r="D247">
        <v>5.0999999999999997E-2</v>
      </c>
      <c r="E247" t="s">
        <v>15599</v>
      </c>
      <c r="F247" t="s">
        <v>15314</v>
      </c>
    </row>
    <row r="248" spans="1:6" x14ac:dyDescent="0.3">
      <c r="A248" t="s">
        <v>15600</v>
      </c>
      <c r="B248">
        <v>1080</v>
      </c>
      <c r="C248" t="s">
        <v>15312</v>
      </c>
      <c r="D248">
        <v>5.0999999999999997E-2</v>
      </c>
      <c r="E248" t="s">
        <v>15601</v>
      </c>
      <c r="F248" t="s">
        <v>15314</v>
      </c>
    </row>
    <row r="249" spans="1:6" x14ac:dyDescent="0.3">
      <c r="A249" t="s">
        <v>15602</v>
      </c>
      <c r="B249">
        <v>1080</v>
      </c>
      <c r="C249" t="s">
        <v>15312</v>
      </c>
      <c r="D249">
        <v>5.0999999999999997E-2</v>
      </c>
      <c r="E249" t="s">
        <v>15603</v>
      </c>
      <c r="F249" t="s">
        <v>15314</v>
      </c>
    </row>
    <row r="250" spans="1:6" x14ac:dyDescent="0.3">
      <c r="A250" t="s">
        <v>15604</v>
      </c>
      <c r="B250">
        <v>1080</v>
      </c>
      <c r="C250" t="s">
        <v>15312</v>
      </c>
      <c r="D250">
        <v>5.0999999999999997E-2</v>
      </c>
      <c r="E250" t="s">
        <v>15605</v>
      </c>
      <c r="F250" t="s">
        <v>15314</v>
      </c>
    </row>
    <row r="251" spans="1:6" x14ac:dyDescent="0.3">
      <c r="A251" t="s">
        <v>15606</v>
      </c>
      <c r="B251">
        <v>1080</v>
      </c>
      <c r="C251" t="s">
        <v>15312</v>
      </c>
      <c r="D251">
        <v>5.0999999999999997E-2</v>
      </c>
      <c r="E251" t="s">
        <v>15607</v>
      </c>
      <c r="F251" t="s">
        <v>15314</v>
      </c>
    </row>
    <row r="252" spans="1:6" x14ac:dyDescent="0.3">
      <c r="A252" t="s">
        <v>15608</v>
      </c>
      <c r="B252">
        <v>1080</v>
      </c>
      <c r="C252" t="s">
        <v>15312</v>
      </c>
      <c r="D252">
        <v>5.0999999999999997E-2</v>
      </c>
      <c r="E252" t="s">
        <v>15609</v>
      </c>
      <c r="F252" t="s">
        <v>15314</v>
      </c>
    </row>
    <row r="253" spans="1:6" x14ac:dyDescent="0.3">
      <c r="A253" t="s">
        <v>15610</v>
      </c>
      <c r="B253">
        <v>1080</v>
      </c>
      <c r="C253" t="s">
        <v>15312</v>
      </c>
      <c r="D253">
        <v>5.0999999999999997E-2</v>
      </c>
      <c r="E253" t="s">
        <v>15611</v>
      </c>
      <c r="F253" t="s">
        <v>15314</v>
      </c>
    </row>
    <row r="254" spans="1:6" x14ac:dyDescent="0.3">
      <c r="A254" t="s">
        <v>15612</v>
      </c>
      <c r="B254">
        <v>1080</v>
      </c>
      <c r="C254" t="s">
        <v>15312</v>
      </c>
      <c r="D254">
        <v>5.0999999999999997E-2</v>
      </c>
      <c r="E254" t="s">
        <v>15613</v>
      </c>
      <c r="F254" t="s">
        <v>15314</v>
      </c>
    </row>
    <row r="255" spans="1:6" x14ac:dyDescent="0.3">
      <c r="A255" t="s">
        <v>15614</v>
      </c>
      <c r="B255">
        <v>1080</v>
      </c>
      <c r="C255" t="s">
        <v>15312</v>
      </c>
      <c r="D255">
        <v>5.0999999999999997E-2</v>
      </c>
      <c r="E255" t="s">
        <v>15615</v>
      </c>
      <c r="F255" t="s">
        <v>15314</v>
      </c>
    </row>
    <row r="256" spans="1:6" x14ac:dyDescent="0.3">
      <c r="A256" t="s">
        <v>15616</v>
      </c>
      <c r="B256">
        <v>1080</v>
      </c>
      <c r="C256" t="s">
        <v>15312</v>
      </c>
      <c r="D256">
        <v>5.0999999999999997E-2</v>
      </c>
      <c r="E256" t="s">
        <v>15617</v>
      </c>
      <c r="F256" t="s">
        <v>15314</v>
      </c>
    </row>
    <row r="257" spans="1:6" x14ac:dyDescent="0.3">
      <c r="A257" t="s">
        <v>15618</v>
      </c>
      <c r="B257">
        <v>1080</v>
      </c>
      <c r="C257" t="s">
        <v>15312</v>
      </c>
      <c r="D257">
        <v>5.0999999999999997E-2</v>
      </c>
      <c r="E257" t="s">
        <v>15619</v>
      </c>
      <c r="F257" t="s">
        <v>15314</v>
      </c>
    </row>
    <row r="258" spans="1:6" x14ac:dyDescent="0.3">
      <c r="A258" t="s">
        <v>15620</v>
      </c>
      <c r="B258">
        <v>1080</v>
      </c>
      <c r="C258" t="s">
        <v>15312</v>
      </c>
      <c r="D258">
        <v>5.0999999999999997E-2</v>
      </c>
      <c r="E258" t="s">
        <v>15621</v>
      </c>
      <c r="F258" t="s">
        <v>15314</v>
      </c>
    </row>
    <row r="259" spans="1:6" x14ac:dyDescent="0.3">
      <c r="A259" t="s">
        <v>15622</v>
      </c>
      <c r="B259">
        <v>1080</v>
      </c>
      <c r="C259" t="s">
        <v>15312</v>
      </c>
      <c r="D259">
        <v>5.0999999999999997E-2</v>
      </c>
      <c r="E259" t="s">
        <v>15623</v>
      </c>
      <c r="F259" t="s">
        <v>15314</v>
      </c>
    </row>
    <row r="260" spans="1:6" x14ac:dyDescent="0.3">
      <c r="A260" t="s">
        <v>15624</v>
      </c>
      <c r="B260">
        <v>1080</v>
      </c>
      <c r="C260" t="s">
        <v>15312</v>
      </c>
      <c r="D260">
        <v>5.0999999999999997E-2</v>
      </c>
      <c r="E260" t="s">
        <v>15625</v>
      </c>
      <c r="F260" t="s">
        <v>15314</v>
      </c>
    </row>
    <row r="261" spans="1:6" x14ac:dyDescent="0.3">
      <c r="A261" t="s">
        <v>15626</v>
      </c>
      <c r="B261">
        <v>1080</v>
      </c>
      <c r="C261" t="s">
        <v>15312</v>
      </c>
      <c r="D261">
        <v>5.0999999999999997E-2</v>
      </c>
      <c r="E261" t="s">
        <v>15627</v>
      </c>
      <c r="F261" t="s">
        <v>15314</v>
      </c>
    </row>
    <row r="262" spans="1:6" x14ac:dyDescent="0.3">
      <c r="A262" t="s">
        <v>15628</v>
      </c>
      <c r="B262">
        <v>1080</v>
      </c>
      <c r="C262" t="s">
        <v>15312</v>
      </c>
      <c r="D262">
        <v>5.0999999999999997E-2</v>
      </c>
      <c r="E262" t="s">
        <v>15629</v>
      </c>
      <c r="F262" t="s">
        <v>15314</v>
      </c>
    </row>
    <row r="263" spans="1:6" x14ac:dyDescent="0.3">
      <c r="A263" t="s">
        <v>15630</v>
      </c>
      <c r="B263">
        <v>1080</v>
      </c>
      <c r="C263" t="s">
        <v>15312</v>
      </c>
      <c r="D263">
        <v>5.0999999999999997E-2</v>
      </c>
      <c r="E263" t="s">
        <v>15631</v>
      </c>
      <c r="F263" t="s">
        <v>15314</v>
      </c>
    </row>
    <row r="264" spans="1:6" x14ac:dyDescent="0.3">
      <c r="A264" t="s">
        <v>15632</v>
      </c>
      <c r="B264">
        <v>1080</v>
      </c>
      <c r="C264" t="s">
        <v>15312</v>
      </c>
      <c r="D264">
        <v>5.0999999999999997E-2</v>
      </c>
      <c r="E264" t="s">
        <v>15633</v>
      </c>
      <c r="F264" t="s">
        <v>15314</v>
      </c>
    </row>
    <row r="265" spans="1:6" x14ac:dyDescent="0.3">
      <c r="A265" t="s">
        <v>15634</v>
      </c>
      <c r="B265">
        <v>1080</v>
      </c>
      <c r="C265" t="s">
        <v>15312</v>
      </c>
      <c r="D265">
        <v>5.0999999999999997E-2</v>
      </c>
      <c r="E265" t="s">
        <v>15635</v>
      </c>
      <c r="F265" t="s">
        <v>15314</v>
      </c>
    </row>
    <row r="266" spans="1:6" x14ac:dyDescent="0.3">
      <c r="A266" t="s">
        <v>15636</v>
      </c>
      <c r="B266">
        <v>1080</v>
      </c>
      <c r="C266" t="s">
        <v>15312</v>
      </c>
      <c r="D266">
        <v>5.0999999999999997E-2</v>
      </c>
      <c r="E266" t="s">
        <v>15637</v>
      </c>
      <c r="F266" t="s">
        <v>15314</v>
      </c>
    </row>
    <row r="267" spans="1:6" x14ac:dyDescent="0.3">
      <c r="A267" t="s">
        <v>15638</v>
      </c>
      <c r="B267">
        <v>1080</v>
      </c>
      <c r="C267" t="s">
        <v>15312</v>
      </c>
      <c r="D267">
        <v>5.0999999999999997E-2</v>
      </c>
      <c r="E267" t="s">
        <v>15639</v>
      </c>
      <c r="F267" t="s">
        <v>15314</v>
      </c>
    </row>
    <row r="268" spans="1:6" x14ac:dyDescent="0.3">
      <c r="A268" t="s">
        <v>15640</v>
      </c>
      <c r="B268">
        <v>1080</v>
      </c>
      <c r="C268" t="s">
        <v>15312</v>
      </c>
      <c r="D268">
        <v>5.0999999999999997E-2</v>
      </c>
      <c r="E268" t="s">
        <v>15641</v>
      </c>
      <c r="F268" t="s">
        <v>15314</v>
      </c>
    </row>
    <row r="269" spans="1:6" x14ac:dyDescent="0.3">
      <c r="A269" t="s">
        <v>15642</v>
      </c>
      <c r="B269">
        <v>1080</v>
      </c>
      <c r="C269" t="s">
        <v>15312</v>
      </c>
      <c r="D269">
        <v>5.0999999999999997E-2</v>
      </c>
      <c r="E269" t="s">
        <v>15643</v>
      </c>
      <c r="F269" t="s">
        <v>15314</v>
      </c>
    </row>
    <row r="270" spans="1:6" x14ac:dyDescent="0.3">
      <c r="A270" t="s">
        <v>15644</v>
      </c>
      <c r="B270">
        <v>1080</v>
      </c>
      <c r="C270" t="s">
        <v>15312</v>
      </c>
      <c r="D270">
        <v>5.0999999999999997E-2</v>
      </c>
      <c r="E270" t="s">
        <v>15645</v>
      </c>
      <c r="F270" t="s">
        <v>15314</v>
      </c>
    </row>
    <row r="271" spans="1:6" x14ac:dyDescent="0.3">
      <c r="A271" t="s">
        <v>15646</v>
      </c>
      <c r="B271">
        <v>1080</v>
      </c>
      <c r="C271" t="s">
        <v>15312</v>
      </c>
      <c r="D271">
        <v>5.0999999999999997E-2</v>
      </c>
      <c r="E271" t="s">
        <v>15647</v>
      </c>
      <c r="F271" t="s">
        <v>15314</v>
      </c>
    </row>
    <row r="272" spans="1:6" x14ac:dyDescent="0.3">
      <c r="A272" t="s">
        <v>15648</v>
      </c>
      <c r="B272">
        <v>1080</v>
      </c>
      <c r="C272" t="s">
        <v>15312</v>
      </c>
      <c r="D272">
        <v>5.0999999999999997E-2</v>
      </c>
      <c r="E272" t="s">
        <v>15649</v>
      </c>
      <c r="F272" t="s">
        <v>15314</v>
      </c>
    </row>
    <row r="273" spans="1:6" x14ac:dyDescent="0.3">
      <c r="A273" t="s">
        <v>15650</v>
      </c>
      <c r="B273">
        <v>1080</v>
      </c>
      <c r="C273" t="s">
        <v>15312</v>
      </c>
      <c r="D273">
        <v>5.0999999999999997E-2</v>
      </c>
      <c r="E273" t="s">
        <v>15651</v>
      </c>
      <c r="F273" t="s">
        <v>15314</v>
      </c>
    </row>
    <row r="274" spans="1:6" x14ac:dyDescent="0.3">
      <c r="A274" t="s">
        <v>15652</v>
      </c>
      <c r="B274">
        <v>1080</v>
      </c>
      <c r="C274" t="s">
        <v>15312</v>
      </c>
      <c r="D274">
        <v>5.0999999999999997E-2</v>
      </c>
      <c r="E274" t="s">
        <v>15653</v>
      </c>
      <c r="F274" t="s">
        <v>15314</v>
      </c>
    </row>
    <row r="275" spans="1:6" x14ac:dyDescent="0.3">
      <c r="A275" t="s">
        <v>15654</v>
      </c>
      <c r="B275">
        <v>1080</v>
      </c>
      <c r="C275" t="s">
        <v>15312</v>
      </c>
      <c r="D275">
        <v>5.0999999999999997E-2</v>
      </c>
      <c r="E275" t="s">
        <v>15655</v>
      </c>
      <c r="F275" t="s">
        <v>15314</v>
      </c>
    </row>
    <row r="276" spans="1:6" x14ac:dyDescent="0.3">
      <c r="A276" t="s">
        <v>15656</v>
      </c>
      <c r="B276">
        <v>1080</v>
      </c>
      <c r="C276" t="s">
        <v>15312</v>
      </c>
      <c r="D276">
        <v>5.0999999999999997E-2</v>
      </c>
      <c r="E276" t="s">
        <v>15657</v>
      </c>
      <c r="F276" t="s">
        <v>15314</v>
      </c>
    </row>
    <row r="277" spans="1:6" x14ac:dyDescent="0.3">
      <c r="A277" t="s">
        <v>15658</v>
      </c>
      <c r="B277">
        <v>1080</v>
      </c>
      <c r="C277" t="s">
        <v>15312</v>
      </c>
      <c r="D277">
        <v>5.0999999999999997E-2</v>
      </c>
      <c r="E277" t="s">
        <v>15659</v>
      </c>
      <c r="F277" t="s">
        <v>15314</v>
      </c>
    </row>
    <row r="278" spans="1:6" x14ac:dyDescent="0.3">
      <c r="A278" t="s">
        <v>15660</v>
      </c>
      <c r="B278">
        <v>1080</v>
      </c>
      <c r="C278" t="s">
        <v>15312</v>
      </c>
      <c r="D278">
        <v>5.0999999999999997E-2</v>
      </c>
      <c r="E278" t="s">
        <v>15661</v>
      </c>
      <c r="F278" t="s">
        <v>15314</v>
      </c>
    </row>
    <row r="279" spans="1:6" x14ac:dyDescent="0.3">
      <c r="A279" t="s">
        <v>15662</v>
      </c>
      <c r="B279">
        <v>1080</v>
      </c>
      <c r="C279" t="s">
        <v>15312</v>
      </c>
      <c r="D279">
        <v>5.0999999999999997E-2</v>
      </c>
      <c r="E279" t="s">
        <v>15663</v>
      </c>
      <c r="F279" t="s">
        <v>15314</v>
      </c>
    </row>
    <row r="280" spans="1:6" x14ac:dyDescent="0.3">
      <c r="A280" t="s">
        <v>15664</v>
      </c>
      <c r="B280">
        <v>1080</v>
      </c>
      <c r="C280" t="s">
        <v>15312</v>
      </c>
      <c r="D280">
        <v>5.0999999999999997E-2</v>
      </c>
      <c r="E280" t="s">
        <v>15665</v>
      </c>
      <c r="F280" t="s">
        <v>15314</v>
      </c>
    </row>
    <row r="281" spans="1:6" x14ac:dyDescent="0.3">
      <c r="A281" t="s">
        <v>15666</v>
      </c>
      <c r="B281">
        <v>1080</v>
      </c>
      <c r="C281" t="s">
        <v>15312</v>
      </c>
      <c r="D281">
        <v>5.0999999999999997E-2</v>
      </c>
      <c r="E281" t="s">
        <v>15667</v>
      </c>
      <c r="F281" t="s">
        <v>15314</v>
      </c>
    </row>
    <row r="282" spans="1:6" x14ac:dyDescent="0.3">
      <c r="A282" t="s">
        <v>15668</v>
      </c>
      <c r="B282">
        <v>1080</v>
      </c>
      <c r="C282" t="s">
        <v>15312</v>
      </c>
      <c r="D282">
        <v>5.0999999999999997E-2</v>
      </c>
      <c r="E282" t="s">
        <v>15669</v>
      </c>
      <c r="F282" t="s">
        <v>15314</v>
      </c>
    </row>
    <row r="283" spans="1:6" x14ac:dyDescent="0.3">
      <c r="A283" t="s">
        <v>15670</v>
      </c>
      <c r="B283">
        <v>1080</v>
      </c>
      <c r="C283" t="s">
        <v>15312</v>
      </c>
      <c r="D283">
        <v>5.0999999999999997E-2</v>
      </c>
      <c r="E283" t="s">
        <v>15671</v>
      </c>
      <c r="F283" t="s">
        <v>15314</v>
      </c>
    </row>
    <row r="284" spans="1:6" x14ac:dyDescent="0.3">
      <c r="A284" t="s">
        <v>15672</v>
      </c>
      <c r="B284">
        <v>1080</v>
      </c>
      <c r="C284" t="s">
        <v>15312</v>
      </c>
      <c r="D284">
        <v>5.0999999999999997E-2</v>
      </c>
      <c r="E284" t="s">
        <v>15673</v>
      </c>
      <c r="F284" t="s">
        <v>15314</v>
      </c>
    </row>
    <row r="285" spans="1:6" x14ac:dyDescent="0.3">
      <c r="A285" t="s">
        <v>15674</v>
      </c>
      <c r="B285">
        <v>1080</v>
      </c>
      <c r="C285" t="s">
        <v>15312</v>
      </c>
      <c r="D285">
        <v>5.0999999999999997E-2</v>
      </c>
      <c r="E285" t="s">
        <v>15675</v>
      </c>
      <c r="F285" t="s">
        <v>15314</v>
      </c>
    </row>
    <row r="286" spans="1:6" x14ac:dyDescent="0.3">
      <c r="A286" t="s">
        <v>15676</v>
      </c>
      <c r="B286">
        <v>990</v>
      </c>
      <c r="C286" t="s">
        <v>15312</v>
      </c>
      <c r="D286">
        <v>5.0999999999999997E-2</v>
      </c>
      <c r="E286" t="s">
        <v>15677</v>
      </c>
      <c r="F286" t="s">
        <v>15314</v>
      </c>
    </row>
    <row r="287" spans="1:6" x14ac:dyDescent="0.3">
      <c r="A287" t="s">
        <v>15678</v>
      </c>
      <c r="B287">
        <v>990</v>
      </c>
      <c r="C287" t="s">
        <v>15312</v>
      </c>
      <c r="D287">
        <v>5.0999999999999997E-2</v>
      </c>
      <c r="E287" t="s">
        <v>15679</v>
      </c>
      <c r="F287" t="s">
        <v>15314</v>
      </c>
    </row>
    <row r="288" spans="1:6" x14ac:dyDescent="0.3">
      <c r="A288" t="s">
        <v>15680</v>
      </c>
      <c r="B288">
        <v>990</v>
      </c>
      <c r="C288" t="s">
        <v>15312</v>
      </c>
      <c r="D288">
        <v>5.0999999999999997E-2</v>
      </c>
      <c r="E288" t="s">
        <v>15681</v>
      </c>
      <c r="F288" t="s">
        <v>15314</v>
      </c>
    </row>
    <row r="289" spans="1:6" x14ac:dyDescent="0.3">
      <c r="A289" t="s">
        <v>15682</v>
      </c>
      <c r="B289">
        <v>990</v>
      </c>
      <c r="C289" t="s">
        <v>15312</v>
      </c>
      <c r="D289">
        <v>5.0999999999999997E-2</v>
      </c>
      <c r="E289" t="s">
        <v>15683</v>
      </c>
      <c r="F289" t="s">
        <v>15314</v>
      </c>
    </row>
    <row r="290" spans="1:6" x14ac:dyDescent="0.3">
      <c r="A290" t="s">
        <v>15684</v>
      </c>
      <c r="B290">
        <v>990</v>
      </c>
      <c r="C290" t="s">
        <v>15312</v>
      </c>
      <c r="D290">
        <v>5.0999999999999997E-2</v>
      </c>
      <c r="E290" t="s">
        <v>15685</v>
      </c>
      <c r="F290" t="s">
        <v>15314</v>
      </c>
    </row>
    <row r="291" spans="1:6" x14ac:dyDescent="0.3">
      <c r="A291" t="s">
        <v>15686</v>
      </c>
      <c r="B291">
        <v>990</v>
      </c>
      <c r="C291" t="s">
        <v>15312</v>
      </c>
      <c r="D291">
        <v>5.0999999999999997E-2</v>
      </c>
      <c r="E291" t="s">
        <v>15687</v>
      </c>
      <c r="F291" t="s">
        <v>15314</v>
      </c>
    </row>
    <row r="292" spans="1:6" x14ac:dyDescent="0.3">
      <c r="A292" t="s">
        <v>15688</v>
      </c>
      <c r="B292">
        <v>990</v>
      </c>
      <c r="C292" t="s">
        <v>15312</v>
      </c>
      <c r="D292">
        <v>5.0999999999999997E-2</v>
      </c>
      <c r="E292" t="s">
        <v>15689</v>
      </c>
      <c r="F292" t="s">
        <v>15314</v>
      </c>
    </row>
    <row r="293" spans="1:6" x14ac:dyDescent="0.3">
      <c r="A293" t="s">
        <v>15690</v>
      </c>
      <c r="B293">
        <v>990</v>
      </c>
      <c r="C293" t="s">
        <v>15312</v>
      </c>
      <c r="D293">
        <v>5.0999999999999997E-2</v>
      </c>
      <c r="E293" t="s">
        <v>15691</v>
      </c>
      <c r="F293" t="s">
        <v>15314</v>
      </c>
    </row>
    <row r="294" spans="1:6" x14ac:dyDescent="0.3">
      <c r="A294" t="s">
        <v>15692</v>
      </c>
      <c r="B294">
        <v>990</v>
      </c>
      <c r="C294" t="s">
        <v>15312</v>
      </c>
      <c r="D294">
        <v>5.0999999999999997E-2</v>
      </c>
      <c r="E294" t="s">
        <v>15693</v>
      </c>
      <c r="F294" t="s">
        <v>15314</v>
      </c>
    </row>
    <row r="295" spans="1:6" x14ac:dyDescent="0.3">
      <c r="A295" t="s">
        <v>15694</v>
      </c>
      <c r="B295">
        <v>990</v>
      </c>
      <c r="C295" t="s">
        <v>15312</v>
      </c>
      <c r="D295">
        <v>5.0999999999999997E-2</v>
      </c>
      <c r="E295" t="s">
        <v>15695</v>
      </c>
      <c r="F295" t="s">
        <v>15314</v>
      </c>
    </row>
    <row r="296" spans="1:6" x14ac:dyDescent="0.3">
      <c r="A296" t="s">
        <v>15696</v>
      </c>
      <c r="B296">
        <v>990</v>
      </c>
      <c r="C296" t="s">
        <v>15312</v>
      </c>
      <c r="D296">
        <v>5.0999999999999997E-2</v>
      </c>
      <c r="E296" t="s">
        <v>15697</v>
      </c>
      <c r="F296" t="s">
        <v>15314</v>
      </c>
    </row>
    <row r="297" spans="1:6" x14ac:dyDescent="0.3">
      <c r="A297" t="s">
        <v>15698</v>
      </c>
      <c r="B297">
        <v>990</v>
      </c>
      <c r="C297" t="s">
        <v>15312</v>
      </c>
      <c r="D297">
        <v>5.0999999999999997E-2</v>
      </c>
      <c r="E297" t="s">
        <v>15699</v>
      </c>
      <c r="F297" t="s">
        <v>15314</v>
      </c>
    </row>
    <row r="298" spans="1:6" x14ac:dyDescent="0.3">
      <c r="A298" t="s">
        <v>15700</v>
      </c>
      <c r="B298">
        <v>990</v>
      </c>
      <c r="C298" t="s">
        <v>15312</v>
      </c>
      <c r="D298">
        <v>5.0999999999999997E-2</v>
      </c>
      <c r="E298" t="s">
        <v>15701</v>
      </c>
      <c r="F298" t="s">
        <v>15314</v>
      </c>
    </row>
    <row r="299" spans="1:6" x14ac:dyDescent="0.3">
      <c r="A299" t="s">
        <v>15702</v>
      </c>
      <c r="B299">
        <v>990</v>
      </c>
      <c r="C299" t="s">
        <v>15312</v>
      </c>
      <c r="D299">
        <v>5.0999999999999997E-2</v>
      </c>
      <c r="E299" t="s">
        <v>15703</v>
      </c>
      <c r="F299" t="s">
        <v>15314</v>
      </c>
    </row>
    <row r="300" spans="1:6" x14ac:dyDescent="0.3">
      <c r="A300" t="s">
        <v>15704</v>
      </c>
      <c r="B300">
        <v>990</v>
      </c>
      <c r="C300" t="s">
        <v>15312</v>
      </c>
      <c r="D300">
        <v>5.0999999999999997E-2</v>
      </c>
      <c r="E300" t="s">
        <v>15705</v>
      </c>
      <c r="F300" t="s">
        <v>15314</v>
      </c>
    </row>
    <row r="301" spans="1:6" x14ac:dyDescent="0.3">
      <c r="A301" t="s">
        <v>15706</v>
      </c>
      <c r="B301">
        <v>990</v>
      </c>
      <c r="C301" t="s">
        <v>15312</v>
      </c>
      <c r="D301">
        <v>5.0999999999999997E-2</v>
      </c>
      <c r="E301" t="s">
        <v>15707</v>
      </c>
      <c r="F301" t="s">
        <v>15314</v>
      </c>
    </row>
    <row r="302" spans="1:6" x14ac:dyDescent="0.3">
      <c r="A302" t="s">
        <v>15708</v>
      </c>
      <c r="B302">
        <v>990</v>
      </c>
      <c r="C302" t="s">
        <v>15312</v>
      </c>
      <c r="D302">
        <v>5.0999999999999997E-2</v>
      </c>
      <c r="E302" t="s">
        <v>15709</v>
      </c>
      <c r="F302" t="s">
        <v>15314</v>
      </c>
    </row>
    <row r="303" spans="1:6" x14ac:dyDescent="0.3">
      <c r="A303" t="s">
        <v>15710</v>
      </c>
      <c r="B303">
        <v>990</v>
      </c>
      <c r="C303" t="s">
        <v>15312</v>
      </c>
      <c r="D303">
        <v>5.0999999999999997E-2</v>
      </c>
      <c r="E303" t="s">
        <v>15711</v>
      </c>
      <c r="F303" t="s">
        <v>15314</v>
      </c>
    </row>
    <row r="304" spans="1:6" x14ac:dyDescent="0.3">
      <c r="A304" t="s">
        <v>15712</v>
      </c>
      <c r="B304">
        <v>990</v>
      </c>
      <c r="C304" t="s">
        <v>15312</v>
      </c>
      <c r="D304">
        <v>5.0999999999999997E-2</v>
      </c>
      <c r="E304" t="s">
        <v>15713</v>
      </c>
      <c r="F304" t="s">
        <v>15314</v>
      </c>
    </row>
    <row r="305" spans="1:6" x14ac:dyDescent="0.3">
      <c r="A305" t="s">
        <v>15714</v>
      </c>
      <c r="B305">
        <v>990</v>
      </c>
      <c r="C305" t="s">
        <v>15312</v>
      </c>
      <c r="D305">
        <v>5.0999999999999997E-2</v>
      </c>
      <c r="E305" t="s">
        <v>15715</v>
      </c>
      <c r="F305" t="s">
        <v>15314</v>
      </c>
    </row>
    <row r="306" spans="1:6" x14ac:dyDescent="0.3">
      <c r="A306" t="s">
        <v>15716</v>
      </c>
      <c r="B306">
        <v>990</v>
      </c>
      <c r="C306" t="s">
        <v>15312</v>
      </c>
      <c r="D306">
        <v>5.0999999999999997E-2</v>
      </c>
      <c r="E306" t="s">
        <v>15717</v>
      </c>
      <c r="F306" t="s">
        <v>15314</v>
      </c>
    </row>
    <row r="307" spans="1:6" x14ac:dyDescent="0.3">
      <c r="A307" t="s">
        <v>15718</v>
      </c>
      <c r="B307">
        <v>990</v>
      </c>
      <c r="C307" t="s">
        <v>15312</v>
      </c>
      <c r="D307">
        <v>5.0999999999999997E-2</v>
      </c>
      <c r="E307" t="s">
        <v>15719</v>
      </c>
      <c r="F307" t="s">
        <v>15314</v>
      </c>
    </row>
    <row r="308" spans="1:6" x14ac:dyDescent="0.3">
      <c r="A308" t="s">
        <v>15720</v>
      </c>
      <c r="B308">
        <v>990</v>
      </c>
      <c r="C308" t="s">
        <v>15312</v>
      </c>
      <c r="D308">
        <v>5.0999999999999997E-2</v>
      </c>
      <c r="E308" t="s">
        <v>15721</v>
      </c>
      <c r="F308" t="s">
        <v>15314</v>
      </c>
    </row>
    <row r="309" spans="1:6" x14ac:dyDescent="0.3">
      <c r="A309" t="s">
        <v>15722</v>
      </c>
      <c r="B309">
        <v>990</v>
      </c>
      <c r="C309" t="s">
        <v>15312</v>
      </c>
      <c r="D309">
        <v>5.0999999999999997E-2</v>
      </c>
      <c r="E309" t="s">
        <v>15723</v>
      </c>
      <c r="F309" t="s">
        <v>15314</v>
      </c>
    </row>
    <row r="310" spans="1:6" x14ac:dyDescent="0.3">
      <c r="A310" t="s">
        <v>15724</v>
      </c>
      <c r="B310">
        <v>990</v>
      </c>
      <c r="C310" t="s">
        <v>15312</v>
      </c>
      <c r="D310">
        <v>5.0999999999999997E-2</v>
      </c>
      <c r="E310" t="s">
        <v>15725</v>
      </c>
      <c r="F310" t="s">
        <v>15314</v>
      </c>
    </row>
    <row r="311" spans="1:6" x14ac:dyDescent="0.3">
      <c r="A311" t="s">
        <v>15726</v>
      </c>
      <c r="B311">
        <v>990</v>
      </c>
      <c r="C311" t="s">
        <v>15312</v>
      </c>
      <c r="D311">
        <v>5.0999999999999997E-2</v>
      </c>
      <c r="E311" t="s">
        <v>15727</v>
      </c>
      <c r="F311" t="s">
        <v>15314</v>
      </c>
    </row>
    <row r="312" spans="1:6" x14ac:dyDescent="0.3">
      <c r="A312" t="s">
        <v>15728</v>
      </c>
      <c r="B312">
        <v>990</v>
      </c>
      <c r="C312" t="s">
        <v>15312</v>
      </c>
      <c r="D312">
        <v>5.0999999999999997E-2</v>
      </c>
      <c r="E312" t="s">
        <v>15729</v>
      </c>
      <c r="F312" t="s">
        <v>15314</v>
      </c>
    </row>
    <row r="313" spans="1:6" x14ac:dyDescent="0.3">
      <c r="A313" t="s">
        <v>15730</v>
      </c>
      <c r="B313">
        <v>990</v>
      </c>
      <c r="C313" t="s">
        <v>15312</v>
      </c>
      <c r="D313">
        <v>5.0999999999999997E-2</v>
      </c>
      <c r="E313" t="s">
        <v>15731</v>
      </c>
      <c r="F313" t="s">
        <v>15314</v>
      </c>
    </row>
    <row r="314" spans="1:6" x14ac:dyDescent="0.3">
      <c r="A314" t="s">
        <v>15732</v>
      </c>
      <c r="B314">
        <v>990</v>
      </c>
      <c r="C314" t="s">
        <v>15312</v>
      </c>
      <c r="D314">
        <v>5.0999999999999997E-2</v>
      </c>
      <c r="E314" t="s">
        <v>15733</v>
      </c>
      <c r="F314" t="s">
        <v>15314</v>
      </c>
    </row>
    <row r="315" spans="1:6" x14ac:dyDescent="0.3">
      <c r="A315" t="s">
        <v>15734</v>
      </c>
      <c r="B315">
        <v>990</v>
      </c>
      <c r="C315" t="s">
        <v>15312</v>
      </c>
      <c r="D315">
        <v>5.0999999999999997E-2</v>
      </c>
      <c r="E315" t="s">
        <v>15735</v>
      </c>
      <c r="F315" t="s">
        <v>15314</v>
      </c>
    </row>
    <row r="316" spans="1:6" x14ac:dyDescent="0.3">
      <c r="A316" t="s">
        <v>15736</v>
      </c>
      <c r="B316">
        <v>990</v>
      </c>
      <c r="C316" t="s">
        <v>15312</v>
      </c>
      <c r="D316">
        <v>5.0999999999999997E-2</v>
      </c>
      <c r="E316" t="s">
        <v>15737</v>
      </c>
      <c r="F316" t="s">
        <v>15314</v>
      </c>
    </row>
    <row r="317" spans="1:6" x14ac:dyDescent="0.3">
      <c r="A317" t="s">
        <v>15738</v>
      </c>
      <c r="B317">
        <v>990</v>
      </c>
      <c r="C317" t="s">
        <v>15312</v>
      </c>
      <c r="D317">
        <v>5.0999999999999997E-2</v>
      </c>
      <c r="E317" t="s">
        <v>15739</v>
      </c>
      <c r="F317" t="s">
        <v>15314</v>
      </c>
    </row>
    <row r="318" spans="1:6" x14ac:dyDescent="0.3">
      <c r="A318" t="s">
        <v>15740</v>
      </c>
      <c r="B318">
        <v>990</v>
      </c>
      <c r="C318" t="s">
        <v>15312</v>
      </c>
      <c r="D318">
        <v>5.0999999999999997E-2</v>
      </c>
      <c r="E318" t="s">
        <v>15741</v>
      </c>
      <c r="F318" t="s">
        <v>15314</v>
      </c>
    </row>
    <row r="319" spans="1:6" x14ac:dyDescent="0.3">
      <c r="A319" t="s">
        <v>15742</v>
      </c>
      <c r="B319">
        <v>990</v>
      </c>
      <c r="C319" t="s">
        <v>15312</v>
      </c>
      <c r="D319">
        <v>5.0999999999999997E-2</v>
      </c>
      <c r="E319" t="s">
        <v>15743</v>
      </c>
      <c r="F319" t="s">
        <v>15314</v>
      </c>
    </row>
    <row r="320" spans="1:6" x14ac:dyDescent="0.3">
      <c r="A320" t="s">
        <v>15744</v>
      </c>
      <c r="B320">
        <v>990</v>
      </c>
      <c r="C320" t="s">
        <v>15312</v>
      </c>
      <c r="D320">
        <v>5.0999999999999997E-2</v>
      </c>
      <c r="E320" t="s">
        <v>15745</v>
      </c>
      <c r="F320" t="s">
        <v>15314</v>
      </c>
    </row>
    <row r="321" spans="1:6" x14ac:dyDescent="0.3">
      <c r="A321" t="s">
        <v>15746</v>
      </c>
      <c r="B321">
        <v>990</v>
      </c>
      <c r="C321" t="s">
        <v>15312</v>
      </c>
      <c r="D321">
        <v>5.0999999999999997E-2</v>
      </c>
      <c r="E321" t="s">
        <v>15747</v>
      </c>
      <c r="F321" t="s">
        <v>15314</v>
      </c>
    </row>
    <row r="322" spans="1:6" x14ac:dyDescent="0.3">
      <c r="A322" t="s">
        <v>15748</v>
      </c>
      <c r="B322">
        <v>990</v>
      </c>
      <c r="C322" t="s">
        <v>15312</v>
      </c>
      <c r="D322">
        <v>5.0999999999999997E-2</v>
      </c>
      <c r="E322" t="s">
        <v>15749</v>
      </c>
      <c r="F322" t="s">
        <v>15314</v>
      </c>
    </row>
    <row r="323" spans="1:6" x14ac:dyDescent="0.3">
      <c r="A323" t="s">
        <v>15750</v>
      </c>
      <c r="B323">
        <v>990</v>
      </c>
      <c r="C323" t="s">
        <v>15312</v>
      </c>
      <c r="D323">
        <v>5.0999999999999997E-2</v>
      </c>
      <c r="E323" t="s">
        <v>15751</v>
      </c>
      <c r="F323" t="s">
        <v>15314</v>
      </c>
    </row>
    <row r="324" spans="1:6" x14ac:dyDescent="0.3">
      <c r="A324" t="s">
        <v>15752</v>
      </c>
      <c r="B324">
        <v>990</v>
      </c>
      <c r="C324" t="s">
        <v>15312</v>
      </c>
      <c r="D324">
        <v>5.0999999999999997E-2</v>
      </c>
      <c r="E324" t="s">
        <v>15753</v>
      </c>
      <c r="F324" t="s">
        <v>15314</v>
      </c>
    </row>
    <row r="325" spans="1:6" x14ac:dyDescent="0.3">
      <c r="A325" t="s">
        <v>15754</v>
      </c>
      <c r="B325">
        <v>990</v>
      </c>
      <c r="C325" t="s">
        <v>15312</v>
      </c>
      <c r="D325">
        <v>5.0999999999999997E-2</v>
      </c>
      <c r="E325" t="s">
        <v>15755</v>
      </c>
      <c r="F325" t="s">
        <v>15314</v>
      </c>
    </row>
    <row r="326" spans="1:6" x14ac:dyDescent="0.3">
      <c r="A326" t="s">
        <v>15756</v>
      </c>
      <c r="B326">
        <v>990</v>
      </c>
      <c r="C326" t="s">
        <v>15312</v>
      </c>
      <c r="D326">
        <v>5.0999999999999997E-2</v>
      </c>
      <c r="E326" t="s">
        <v>15757</v>
      </c>
      <c r="F326" t="s">
        <v>15314</v>
      </c>
    </row>
    <row r="327" spans="1:6" x14ac:dyDescent="0.3">
      <c r="A327" t="s">
        <v>15758</v>
      </c>
      <c r="B327">
        <v>990</v>
      </c>
      <c r="C327" t="s">
        <v>15312</v>
      </c>
      <c r="D327">
        <v>5.0999999999999997E-2</v>
      </c>
      <c r="E327" t="s">
        <v>15759</v>
      </c>
      <c r="F327" t="s">
        <v>15314</v>
      </c>
    </row>
    <row r="328" spans="1:6" x14ac:dyDescent="0.3">
      <c r="A328" t="s">
        <v>15760</v>
      </c>
      <c r="B328">
        <v>990</v>
      </c>
      <c r="C328" t="s">
        <v>15312</v>
      </c>
      <c r="D328">
        <v>5.0999999999999997E-2</v>
      </c>
      <c r="E328" t="s">
        <v>15761</v>
      </c>
      <c r="F328" t="s">
        <v>15314</v>
      </c>
    </row>
    <row r="329" spans="1:6" x14ac:dyDescent="0.3">
      <c r="A329" t="s">
        <v>15762</v>
      </c>
      <c r="B329">
        <v>990</v>
      </c>
      <c r="C329" t="s">
        <v>15312</v>
      </c>
      <c r="D329">
        <v>5.0999999999999997E-2</v>
      </c>
      <c r="E329" t="s">
        <v>15763</v>
      </c>
      <c r="F329" t="s">
        <v>15314</v>
      </c>
    </row>
    <row r="330" spans="1:6" x14ac:dyDescent="0.3">
      <c r="A330" t="s">
        <v>15764</v>
      </c>
      <c r="B330">
        <v>990</v>
      </c>
      <c r="C330" t="s">
        <v>15312</v>
      </c>
      <c r="D330">
        <v>5.0999999999999997E-2</v>
      </c>
      <c r="E330" t="s">
        <v>15765</v>
      </c>
      <c r="F330" t="s">
        <v>15314</v>
      </c>
    </row>
    <row r="331" spans="1:6" x14ac:dyDescent="0.3">
      <c r="A331" t="s">
        <v>15766</v>
      </c>
      <c r="B331">
        <v>990</v>
      </c>
      <c r="C331" t="s">
        <v>15312</v>
      </c>
      <c r="D331">
        <v>5.0999999999999997E-2</v>
      </c>
      <c r="E331" t="s">
        <v>15767</v>
      </c>
      <c r="F331" t="s">
        <v>15314</v>
      </c>
    </row>
    <row r="332" spans="1:6" x14ac:dyDescent="0.3">
      <c r="A332" t="s">
        <v>15768</v>
      </c>
      <c r="B332">
        <v>990</v>
      </c>
      <c r="C332" t="s">
        <v>15312</v>
      </c>
      <c r="D332">
        <v>5.0999999999999997E-2</v>
      </c>
      <c r="E332" t="s">
        <v>15769</v>
      </c>
      <c r="F332" t="s">
        <v>15314</v>
      </c>
    </row>
    <row r="333" spans="1:6" x14ac:dyDescent="0.3">
      <c r="A333" t="s">
        <v>15770</v>
      </c>
      <c r="B333">
        <v>990</v>
      </c>
      <c r="C333" t="s">
        <v>15312</v>
      </c>
      <c r="D333">
        <v>5.0999999999999997E-2</v>
      </c>
      <c r="E333" t="s">
        <v>15771</v>
      </c>
      <c r="F333" t="s">
        <v>15314</v>
      </c>
    </row>
    <row r="334" spans="1:6" x14ac:dyDescent="0.3">
      <c r="A334" t="s">
        <v>15772</v>
      </c>
      <c r="B334">
        <v>990</v>
      </c>
      <c r="C334" t="s">
        <v>15312</v>
      </c>
      <c r="D334">
        <v>5.0999999999999997E-2</v>
      </c>
      <c r="E334" t="s">
        <v>15773</v>
      </c>
      <c r="F334" t="s">
        <v>15314</v>
      </c>
    </row>
    <row r="335" spans="1:6" x14ac:dyDescent="0.3">
      <c r="A335" t="s">
        <v>15774</v>
      </c>
      <c r="B335">
        <v>990</v>
      </c>
      <c r="C335" t="s">
        <v>15312</v>
      </c>
      <c r="D335">
        <v>5.0999999999999997E-2</v>
      </c>
      <c r="E335" t="s">
        <v>15775</v>
      </c>
      <c r="F335" t="s">
        <v>15314</v>
      </c>
    </row>
    <row r="336" spans="1:6" x14ac:dyDescent="0.3">
      <c r="A336" t="s">
        <v>15776</v>
      </c>
      <c r="B336">
        <v>1080</v>
      </c>
      <c r="C336" t="s">
        <v>15312</v>
      </c>
      <c r="D336">
        <v>5.0999999999999997E-2</v>
      </c>
      <c r="E336" t="s">
        <v>15777</v>
      </c>
      <c r="F336" t="s">
        <v>15314</v>
      </c>
    </row>
    <row r="337" spans="1:6" x14ac:dyDescent="0.3">
      <c r="A337" t="s">
        <v>15778</v>
      </c>
      <c r="B337">
        <v>1080</v>
      </c>
      <c r="C337" t="s">
        <v>15312</v>
      </c>
      <c r="D337">
        <v>5.0999999999999997E-2</v>
      </c>
      <c r="E337" t="s">
        <v>15779</v>
      </c>
      <c r="F337" t="s">
        <v>15314</v>
      </c>
    </row>
    <row r="338" spans="1:6" x14ac:dyDescent="0.3">
      <c r="A338" t="s">
        <v>15780</v>
      </c>
      <c r="B338">
        <v>1080</v>
      </c>
      <c r="C338" t="s">
        <v>15312</v>
      </c>
      <c r="D338">
        <v>5.0999999999999997E-2</v>
      </c>
      <c r="E338" t="s">
        <v>15781</v>
      </c>
      <c r="F338" t="s">
        <v>15314</v>
      </c>
    </row>
    <row r="339" spans="1:6" x14ac:dyDescent="0.3">
      <c r="A339" t="s">
        <v>15782</v>
      </c>
      <c r="B339">
        <v>1080</v>
      </c>
      <c r="C339" t="s">
        <v>15312</v>
      </c>
      <c r="D339">
        <v>5.0999999999999997E-2</v>
      </c>
      <c r="E339" t="s">
        <v>15783</v>
      </c>
      <c r="F339" t="s">
        <v>15314</v>
      </c>
    </row>
    <row r="340" spans="1:6" x14ac:dyDescent="0.3">
      <c r="A340" t="s">
        <v>15784</v>
      </c>
      <c r="B340">
        <v>1080</v>
      </c>
      <c r="C340" t="s">
        <v>15312</v>
      </c>
      <c r="D340">
        <v>5.0999999999999997E-2</v>
      </c>
      <c r="E340" t="s">
        <v>15785</v>
      </c>
      <c r="F340" t="s">
        <v>15314</v>
      </c>
    </row>
    <row r="341" spans="1:6" x14ac:dyDescent="0.3">
      <c r="A341" t="s">
        <v>15786</v>
      </c>
      <c r="B341">
        <v>990</v>
      </c>
      <c r="C341" t="s">
        <v>15312</v>
      </c>
      <c r="D341">
        <v>5.0999999999999997E-2</v>
      </c>
      <c r="E341" t="s">
        <v>15787</v>
      </c>
      <c r="F341" t="s">
        <v>15314</v>
      </c>
    </row>
    <row r="342" spans="1:6" x14ac:dyDescent="0.3">
      <c r="A342" t="s">
        <v>15788</v>
      </c>
      <c r="B342">
        <v>990</v>
      </c>
      <c r="C342" t="s">
        <v>15312</v>
      </c>
      <c r="D342">
        <v>5.0999999999999997E-2</v>
      </c>
      <c r="E342" t="s">
        <v>15789</v>
      </c>
      <c r="F342" t="s">
        <v>15314</v>
      </c>
    </row>
    <row r="343" spans="1:6" x14ac:dyDescent="0.3">
      <c r="A343" t="s">
        <v>15790</v>
      </c>
      <c r="B343">
        <v>1080</v>
      </c>
      <c r="C343" t="s">
        <v>15312</v>
      </c>
      <c r="D343">
        <v>5.0999999999999997E-2</v>
      </c>
      <c r="E343" t="s">
        <v>15791</v>
      </c>
      <c r="F343" t="s">
        <v>15314</v>
      </c>
    </row>
    <row r="344" spans="1:6" x14ac:dyDescent="0.3">
      <c r="A344" t="s">
        <v>15792</v>
      </c>
      <c r="B344">
        <v>1080</v>
      </c>
      <c r="C344" t="s">
        <v>15312</v>
      </c>
      <c r="D344">
        <v>5.0999999999999997E-2</v>
      </c>
      <c r="E344" t="s">
        <v>15793</v>
      </c>
      <c r="F344" t="s">
        <v>15314</v>
      </c>
    </row>
    <row r="345" spans="1:6" x14ac:dyDescent="0.3">
      <c r="A345" t="s">
        <v>15794</v>
      </c>
      <c r="B345">
        <v>1080</v>
      </c>
      <c r="C345" t="s">
        <v>15312</v>
      </c>
      <c r="D345">
        <v>5.0999999999999997E-2</v>
      </c>
      <c r="E345" t="s">
        <v>15795</v>
      </c>
      <c r="F345" t="s">
        <v>15314</v>
      </c>
    </row>
    <row r="346" spans="1:6" x14ac:dyDescent="0.3">
      <c r="A346" t="s">
        <v>15796</v>
      </c>
      <c r="B346">
        <v>990</v>
      </c>
      <c r="C346" t="s">
        <v>15312</v>
      </c>
      <c r="D346">
        <v>5.0999999999999997E-2</v>
      </c>
      <c r="E346" t="s">
        <v>15797</v>
      </c>
      <c r="F346" t="s">
        <v>15314</v>
      </c>
    </row>
    <row r="347" spans="1:6" x14ac:dyDescent="0.3">
      <c r="A347" t="s">
        <v>15798</v>
      </c>
      <c r="B347">
        <v>990</v>
      </c>
      <c r="C347" t="s">
        <v>15312</v>
      </c>
      <c r="D347">
        <v>5.0999999999999997E-2</v>
      </c>
      <c r="E347" t="s">
        <v>15799</v>
      </c>
      <c r="F347" t="s">
        <v>15314</v>
      </c>
    </row>
    <row r="348" spans="1:6" x14ac:dyDescent="0.3">
      <c r="A348" t="s">
        <v>15800</v>
      </c>
      <c r="B348">
        <v>990</v>
      </c>
      <c r="C348" t="s">
        <v>15312</v>
      </c>
      <c r="D348">
        <v>5.0999999999999997E-2</v>
      </c>
      <c r="E348" t="s">
        <v>15801</v>
      </c>
      <c r="F348" t="s">
        <v>15314</v>
      </c>
    </row>
    <row r="349" spans="1:6" x14ac:dyDescent="0.3">
      <c r="A349" t="s">
        <v>15802</v>
      </c>
      <c r="B349">
        <v>1080</v>
      </c>
      <c r="C349" t="s">
        <v>15312</v>
      </c>
      <c r="D349">
        <v>5.0999999999999997E-2</v>
      </c>
      <c r="E349" t="s">
        <v>15803</v>
      </c>
      <c r="F349" t="s">
        <v>15314</v>
      </c>
    </row>
    <row r="350" spans="1:6" x14ac:dyDescent="0.3">
      <c r="A350" t="s">
        <v>15804</v>
      </c>
      <c r="B350">
        <v>1080</v>
      </c>
      <c r="C350" t="s">
        <v>15312</v>
      </c>
      <c r="D350">
        <v>5.0999999999999997E-2</v>
      </c>
      <c r="E350" t="s">
        <v>15805</v>
      </c>
      <c r="F350" t="s">
        <v>15314</v>
      </c>
    </row>
    <row r="351" spans="1:6" x14ac:dyDescent="0.3">
      <c r="A351" t="s">
        <v>15806</v>
      </c>
      <c r="B351">
        <v>1080</v>
      </c>
      <c r="C351" t="s">
        <v>15312</v>
      </c>
      <c r="D351">
        <v>5.0999999999999997E-2</v>
      </c>
      <c r="E351" t="s">
        <v>15807</v>
      </c>
      <c r="F351" t="s">
        <v>15314</v>
      </c>
    </row>
    <row r="352" spans="1:6" x14ac:dyDescent="0.3">
      <c r="A352" t="s">
        <v>15808</v>
      </c>
      <c r="B352">
        <v>990</v>
      </c>
      <c r="C352" t="s">
        <v>15312</v>
      </c>
      <c r="D352">
        <v>5.0999999999999997E-2</v>
      </c>
      <c r="E352" t="s">
        <v>15809</v>
      </c>
      <c r="F352" t="s">
        <v>15314</v>
      </c>
    </row>
    <row r="353" spans="1:6" x14ac:dyDescent="0.3">
      <c r="A353" t="s">
        <v>15810</v>
      </c>
      <c r="B353">
        <v>990</v>
      </c>
      <c r="C353" t="s">
        <v>15312</v>
      </c>
      <c r="D353">
        <v>5.0999999999999997E-2</v>
      </c>
      <c r="E353" t="s">
        <v>15811</v>
      </c>
      <c r="F353" t="s">
        <v>15314</v>
      </c>
    </row>
    <row r="354" spans="1:6" x14ac:dyDescent="0.3">
      <c r="A354" t="s">
        <v>15812</v>
      </c>
      <c r="B354">
        <v>990</v>
      </c>
      <c r="C354" t="s">
        <v>15312</v>
      </c>
      <c r="D354">
        <v>5.0999999999999997E-2</v>
      </c>
      <c r="E354" t="s">
        <v>15813</v>
      </c>
      <c r="F354" t="s">
        <v>15314</v>
      </c>
    </row>
    <row r="355" spans="1:6" x14ac:dyDescent="0.3">
      <c r="A355" t="s">
        <v>15814</v>
      </c>
      <c r="B355">
        <v>990</v>
      </c>
      <c r="C355" t="s">
        <v>15312</v>
      </c>
      <c r="D355">
        <v>5.0999999999999997E-2</v>
      </c>
      <c r="E355" t="s">
        <v>15815</v>
      </c>
      <c r="F355" t="s">
        <v>15314</v>
      </c>
    </row>
    <row r="356" spans="1:6" x14ac:dyDescent="0.3">
      <c r="A356" t="s">
        <v>15816</v>
      </c>
      <c r="B356">
        <v>990</v>
      </c>
      <c r="C356" t="s">
        <v>15312</v>
      </c>
      <c r="D356">
        <v>5.0999999999999997E-2</v>
      </c>
      <c r="E356" t="s">
        <v>15817</v>
      </c>
      <c r="F356" t="s">
        <v>15314</v>
      </c>
    </row>
    <row r="357" spans="1:6" x14ac:dyDescent="0.3">
      <c r="A357" t="s">
        <v>15818</v>
      </c>
      <c r="B357">
        <v>1080</v>
      </c>
      <c r="C357" t="s">
        <v>15312</v>
      </c>
      <c r="D357">
        <v>5.0999999999999997E-2</v>
      </c>
      <c r="E357" t="s">
        <v>15819</v>
      </c>
      <c r="F357" t="s">
        <v>15314</v>
      </c>
    </row>
    <row r="358" spans="1:6" x14ac:dyDescent="0.3">
      <c r="A358" t="s">
        <v>15820</v>
      </c>
      <c r="B358">
        <v>1080</v>
      </c>
      <c r="C358" t="s">
        <v>15312</v>
      </c>
      <c r="D358">
        <v>5.0999999999999997E-2</v>
      </c>
      <c r="E358" t="s">
        <v>15821</v>
      </c>
      <c r="F358" t="s">
        <v>15314</v>
      </c>
    </row>
    <row r="359" spans="1:6" x14ac:dyDescent="0.3">
      <c r="A359" t="s">
        <v>15822</v>
      </c>
      <c r="B359">
        <v>1080</v>
      </c>
      <c r="C359" t="s">
        <v>15312</v>
      </c>
      <c r="D359">
        <v>5.0999999999999997E-2</v>
      </c>
      <c r="E359" t="s">
        <v>15823</v>
      </c>
      <c r="F359" t="s">
        <v>15314</v>
      </c>
    </row>
    <row r="360" spans="1:6" x14ac:dyDescent="0.3">
      <c r="A360" t="s">
        <v>15824</v>
      </c>
      <c r="B360">
        <v>990</v>
      </c>
      <c r="C360" t="s">
        <v>15312</v>
      </c>
      <c r="D360">
        <v>5.0999999999999997E-2</v>
      </c>
      <c r="E360" t="s">
        <v>15825</v>
      </c>
      <c r="F360" t="s">
        <v>15314</v>
      </c>
    </row>
    <row r="361" spans="1:6" x14ac:dyDescent="0.3">
      <c r="A361" t="s">
        <v>15826</v>
      </c>
      <c r="B361">
        <v>990</v>
      </c>
      <c r="C361" t="s">
        <v>15312</v>
      </c>
      <c r="D361">
        <v>5.0999999999999997E-2</v>
      </c>
      <c r="E361" t="s">
        <v>15827</v>
      </c>
      <c r="F361" t="s">
        <v>15314</v>
      </c>
    </row>
    <row r="362" spans="1:6" x14ac:dyDescent="0.3">
      <c r="A362" t="s">
        <v>15828</v>
      </c>
      <c r="B362">
        <v>990</v>
      </c>
      <c r="C362" t="s">
        <v>15312</v>
      </c>
      <c r="D362">
        <v>5.0999999999999997E-2</v>
      </c>
      <c r="E362" t="s">
        <v>15829</v>
      </c>
      <c r="F362" t="s">
        <v>15314</v>
      </c>
    </row>
    <row r="363" spans="1:6" x14ac:dyDescent="0.3">
      <c r="A363" t="s">
        <v>15830</v>
      </c>
      <c r="B363">
        <v>1080</v>
      </c>
      <c r="C363" t="s">
        <v>15312</v>
      </c>
      <c r="D363">
        <v>5.0999999999999997E-2</v>
      </c>
      <c r="E363" t="s">
        <v>15831</v>
      </c>
      <c r="F363" t="s">
        <v>15314</v>
      </c>
    </row>
    <row r="364" spans="1:6" x14ac:dyDescent="0.3">
      <c r="A364" t="s">
        <v>15832</v>
      </c>
      <c r="B364">
        <v>1080</v>
      </c>
      <c r="C364" t="s">
        <v>15312</v>
      </c>
      <c r="D364">
        <v>5.0999999999999997E-2</v>
      </c>
      <c r="E364" t="s">
        <v>15833</v>
      </c>
      <c r="F364" t="s">
        <v>15314</v>
      </c>
    </row>
    <row r="365" spans="1:6" x14ac:dyDescent="0.3">
      <c r="A365" t="s">
        <v>15834</v>
      </c>
      <c r="B365">
        <v>1080</v>
      </c>
      <c r="C365" t="s">
        <v>15312</v>
      </c>
      <c r="D365">
        <v>5.0999999999999997E-2</v>
      </c>
      <c r="E365" t="s">
        <v>15835</v>
      </c>
      <c r="F365" t="s">
        <v>15314</v>
      </c>
    </row>
    <row r="366" spans="1:6" x14ac:dyDescent="0.3">
      <c r="A366" t="s">
        <v>15836</v>
      </c>
      <c r="B366">
        <v>990</v>
      </c>
      <c r="C366" t="s">
        <v>15312</v>
      </c>
      <c r="D366">
        <v>5.0999999999999997E-2</v>
      </c>
      <c r="E366" t="s">
        <v>15837</v>
      </c>
      <c r="F366" t="s">
        <v>15314</v>
      </c>
    </row>
    <row r="367" spans="1:6" x14ac:dyDescent="0.3">
      <c r="A367" t="s">
        <v>15838</v>
      </c>
      <c r="B367">
        <v>990</v>
      </c>
      <c r="C367" t="s">
        <v>15312</v>
      </c>
      <c r="D367">
        <v>5.0999999999999997E-2</v>
      </c>
      <c r="E367" t="s">
        <v>15839</v>
      </c>
      <c r="F367" t="s">
        <v>15314</v>
      </c>
    </row>
    <row r="368" spans="1:6" x14ac:dyDescent="0.3">
      <c r="A368" t="s">
        <v>15840</v>
      </c>
      <c r="B368">
        <v>990</v>
      </c>
      <c r="C368" t="s">
        <v>15312</v>
      </c>
      <c r="D368">
        <v>5.0999999999999997E-2</v>
      </c>
      <c r="E368" t="s">
        <v>15841</v>
      </c>
      <c r="F368" t="s">
        <v>15314</v>
      </c>
    </row>
    <row r="369" spans="1:6" x14ac:dyDescent="0.3">
      <c r="A369" t="s">
        <v>15842</v>
      </c>
      <c r="B369">
        <v>1080</v>
      </c>
      <c r="C369" t="s">
        <v>15312</v>
      </c>
      <c r="D369">
        <v>5.0999999999999997E-2</v>
      </c>
      <c r="E369" t="s">
        <v>15843</v>
      </c>
      <c r="F369" t="s">
        <v>15314</v>
      </c>
    </row>
    <row r="370" spans="1:6" x14ac:dyDescent="0.3">
      <c r="A370" t="s">
        <v>15844</v>
      </c>
      <c r="B370">
        <v>1080</v>
      </c>
      <c r="C370" t="s">
        <v>15312</v>
      </c>
      <c r="D370">
        <v>5.0999999999999997E-2</v>
      </c>
      <c r="E370" t="s">
        <v>15845</v>
      </c>
      <c r="F370" t="s">
        <v>15314</v>
      </c>
    </row>
    <row r="371" spans="1:6" x14ac:dyDescent="0.3">
      <c r="A371" t="s">
        <v>15846</v>
      </c>
      <c r="B371">
        <v>1080</v>
      </c>
      <c r="C371" t="s">
        <v>15312</v>
      </c>
      <c r="D371">
        <v>5.0999999999999997E-2</v>
      </c>
      <c r="E371" t="s">
        <v>15847</v>
      </c>
      <c r="F371" t="s">
        <v>15314</v>
      </c>
    </row>
    <row r="372" spans="1:6" x14ac:dyDescent="0.3">
      <c r="A372" t="s">
        <v>15848</v>
      </c>
      <c r="B372">
        <v>990</v>
      </c>
      <c r="C372" t="s">
        <v>15312</v>
      </c>
      <c r="D372">
        <v>5.0999999999999997E-2</v>
      </c>
      <c r="E372" t="s">
        <v>15849</v>
      </c>
      <c r="F372" t="s">
        <v>15314</v>
      </c>
    </row>
    <row r="373" spans="1:6" x14ac:dyDescent="0.3">
      <c r="A373" t="s">
        <v>15850</v>
      </c>
      <c r="B373">
        <v>990</v>
      </c>
      <c r="C373" t="s">
        <v>15312</v>
      </c>
      <c r="D373">
        <v>5.0999999999999997E-2</v>
      </c>
      <c r="E373" t="s">
        <v>15851</v>
      </c>
      <c r="F373" t="s">
        <v>15314</v>
      </c>
    </row>
    <row r="374" spans="1:6" x14ac:dyDescent="0.3">
      <c r="A374" t="s">
        <v>15852</v>
      </c>
      <c r="B374">
        <v>990</v>
      </c>
      <c r="C374" t="s">
        <v>15312</v>
      </c>
      <c r="D374">
        <v>5.0999999999999997E-2</v>
      </c>
      <c r="E374" t="s">
        <v>15853</v>
      </c>
      <c r="F374" t="s">
        <v>15314</v>
      </c>
    </row>
    <row r="375" spans="1:6" x14ac:dyDescent="0.3">
      <c r="A375" t="s">
        <v>15854</v>
      </c>
      <c r="B375">
        <v>990</v>
      </c>
      <c r="C375" t="s">
        <v>15312</v>
      </c>
      <c r="D375">
        <v>5.0999999999999997E-2</v>
      </c>
      <c r="E375" t="s">
        <v>15855</v>
      </c>
      <c r="F375" t="s">
        <v>15314</v>
      </c>
    </row>
    <row r="376" spans="1:6" x14ac:dyDescent="0.3">
      <c r="A376" t="s">
        <v>15856</v>
      </c>
      <c r="B376">
        <v>1080</v>
      </c>
      <c r="C376" t="s">
        <v>15312</v>
      </c>
      <c r="D376">
        <v>5.0999999999999997E-2</v>
      </c>
      <c r="E376" t="s">
        <v>15857</v>
      </c>
      <c r="F376" t="s">
        <v>15314</v>
      </c>
    </row>
    <row r="377" spans="1:6" x14ac:dyDescent="0.3">
      <c r="A377" t="s">
        <v>15858</v>
      </c>
      <c r="B377">
        <v>1080</v>
      </c>
      <c r="C377" t="s">
        <v>15312</v>
      </c>
      <c r="D377">
        <v>5.0999999999999997E-2</v>
      </c>
      <c r="E377" t="s">
        <v>15859</v>
      </c>
      <c r="F377" t="s">
        <v>15314</v>
      </c>
    </row>
    <row r="378" spans="1:6" x14ac:dyDescent="0.3">
      <c r="A378" t="s">
        <v>15860</v>
      </c>
      <c r="B378">
        <v>1080</v>
      </c>
      <c r="C378" t="s">
        <v>15312</v>
      </c>
      <c r="D378">
        <v>5.0999999999999997E-2</v>
      </c>
      <c r="E378" t="s">
        <v>15861</v>
      </c>
      <c r="F378" t="s">
        <v>15314</v>
      </c>
    </row>
    <row r="379" spans="1:6" x14ac:dyDescent="0.3">
      <c r="A379" t="s">
        <v>15862</v>
      </c>
      <c r="B379">
        <v>990</v>
      </c>
      <c r="C379" t="s">
        <v>15312</v>
      </c>
      <c r="D379">
        <v>5.0999999999999997E-2</v>
      </c>
      <c r="E379" t="s">
        <v>15863</v>
      </c>
      <c r="F379" t="s">
        <v>15314</v>
      </c>
    </row>
    <row r="380" spans="1:6" x14ac:dyDescent="0.3">
      <c r="A380" t="s">
        <v>15864</v>
      </c>
      <c r="B380">
        <v>990</v>
      </c>
      <c r="C380" t="s">
        <v>15312</v>
      </c>
      <c r="D380">
        <v>5.0999999999999997E-2</v>
      </c>
      <c r="E380" t="s">
        <v>15865</v>
      </c>
      <c r="F380" t="s">
        <v>15314</v>
      </c>
    </row>
    <row r="381" spans="1:6" x14ac:dyDescent="0.3">
      <c r="A381" t="s">
        <v>15866</v>
      </c>
      <c r="B381">
        <v>990</v>
      </c>
      <c r="C381" t="s">
        <v>15312</v>
      </c>
      <c r="D381">
        <v>5.0999999999999997E-2</v>
      </c>
      <c r="E381" t="s">
        <v>15867</v>
      </c>
      <c r="F381" t="s">
        <v>15314</v>
      </c>
    </row>
    <row r="382" spans="1:6" x14ac:dyDescent="0.3">
      <c r="A382" t="s">
        <v>15868</v>
      </c>
      <c r="B382">
        <v>1080</v>
      </c>
      <c r="C382" t="s">
        <v>15312</v>
      </c>
      <c r="D382">
        <v>5.0999999999999997E-2</v>
      </c>
      <c r="E382" t="s">
        <v>15869</v>
      </c>
      <c r="F382" t="s">
        <v>15314</v>
      </c>
    </row>
    <row r="383" spans="1:6" x14ac:dyDescent="0.3">
      <c r="A383" t="s">
        <v>15870</v>
      </c>
      <c r="B383">
        <v>1080</v>
      </c>
      <c r="C383" t="s">
        <v>15312</v>
      </c>
      <c r="D383">
        <v>5.0999999999999997E-2</v>
      </c>
      <c r="E383" t="s">
        <v>15871</v>
      </c>
      <c r="F383" t="s">
        <v>15314</v>
      </c>
    </row>
    <row r="384" spans="1:6" x14ac:dyDescent="0.3">
      <c r="A384" t="s">
        <v>15872</v>
      </c>
      <c r="B384">
        <v>1080</v>
      </c>
      <c r="C384" t="s">
        <v>15312</v>
      </c>
      <c r="D384">
        <v>5.0999999999999997E-2</v>
      </c>
      <c r="E384" t="s">
        <v>15873</v>
      </c>
      <c r="F384" t="s">
        <v>15314</v>
      </c>
    </row>
    <row r="385" spans="1:6" x14ac:dyDescent="0.3">
      <c r="A385" t="s">
        <v>15874</v>
      </c>
      <c r="B385">
        <v>1080</v>
      </c>
      <c r="C385" t="s">
        <v>15312</v>
      </c>
      <c r="D385">
        <v>5.0999999999999997E-2</v>
      </c>
      <c r="E385" t="s">
        <v>15875</v>
      </c>
      <c r="F385" t="s">
        <v>15314</v>
      </c>
    </row>
    <row r="386" spans="1:6" x14ac:dyDescent="0.3">
      <c r="A386" t="s">
        <v>15876</v>
      </c>
      <c r="B386">
        <v>1080</v>
      </c>
      <c r="C386" t="s">
        <v>15312</v>
      </c>
      <c r="D386">
        <v>5.0999999999999997E-2</v>
      </c>
      <c r="E386" t="s">
        <v>15877</v>
      </c>
      <c r="F386" t="s">
        <v>15314</v>
      </c>
    </row>
    <row r="387" spans="1:6" x14ac:dyDescent="0.3">
      <c r="A387" t="s">
        <v>15878</v>
      </c>
      <c r="B387">
        <v>1080</v>
      </c>
      <c r="C387" t="s">
        <v>15312</v>
      </c>
      <c r="D387">
        <v>5.0999999999999997E-2</v>
      </c>
      <c r="E387" t="s">
        <v>15879</v>
      </c>
      <c r="F387" t="s">
        <v>15314</v>
      </c>
    </row>
    <row r="388" spans="1:6" x14ac:dyDescent="0.3">
      <c r="A388" t="s">
        <v>15880</v>
      </c>
      <c r="B388">
        <v>990</v>
      </c>
      <c r="C388" t="s">
        <v>15312</v>
      </c>
      <c r="D388">
        <v>5.0999999999999997E-2</v>
      </c>
      <c r="E388" t="s">
        <v>15881</v>
      </c>
      <c r="F388" t="s">
        <v>15314</v>
      </c>
    </row>
    <row r="389" spans="1:6" x14ac:dyDescent="0.3">
      <c r="A389" t="s">
        <v>15882</v>
      </c>
      <c r="B389">
        <v>1080</v>
      </c>
      <c r="C389" t="s">
        <v>15312</v>
      </c>
      <c r="D389">
        <v>5.0999999999999997E-2</v>
      </c>
      <c r="E389" t="s">
        <v>15883</v>
      </c>
      <c r="F389" t="s">
        <v>15314</v>
      </c>
    </row>
    <row r="390" spans="1:6" x14ac:dyDescent="0.3">
      <c r="A390" t="s">
        <v>15884</v>
      </c>
      <c r="B390">
        <v>1080</v>
      </c>
      <c r="C390" t="s">
        <v>15312</v>
      </c>
      <c r="D390">
        <v>5.0999999999999997E-2</v>
      </c>
      <c r="E390" t="s">
        <v>15885</v>
      </c>
      <c r="F390" t="s">
        <v>15314</v>
      </c>
    </row>
    <row r="391" spans="1:6" x14ac:dyDescent="0.3">
      <c r="A391" t="s">
        <v>15886</v>
      </c>
      <c r="B391">
        <v>1080</v>
      </c>
      <c r="C391" t="s">
        <v>15312</v>
      </c>
      <c r="D391">
        <v>5.0999999999999997E-2</v>
      </c>
      <c r="E391" t="s">
        <v>15887</v>
      </c>
      <c r="F391" t="s">
        <v>15314</v>
      </c>
    </row>
    <row r="392" spans="1:6" x14ac:dyDescent="0.3">
      <c r="A392" t="s">
        <v>15888</v>
      </c>
      <c r="B392">
        <v>990</v>
      </c>
      <c r="C392" t="s">
        <v>15312</v>
      </c>
      <c r="D392">
        <v>5.0999999999999997E-2</v>
      </c>
      <c r="E392" t="s">
        <v>15889</v>
      </c>
      <c r="F392" t="s">
        <v>15314</v>
      </c>
    </row>
    <row r="393" spans="1:6" x14ac:dyDescent="0.3">
      <c r="A393" t="s">
        <v>15890</v>
      </c>
      <c r="B393">
        <v>990</v>
      </c>
      <c r="C393" t="s">
        <v>15312</v>
      </c>
      <c r="D393">
        <v>5.0999999999999997E-2</v>
      </c>
      <c r="E393" t="s">
        <v>15891</v>
      </c>
      <c r="F393" t="s">
        <v>15314</v>
      </c>
    </row>
    <row r="394" spans="1:6" x14ac:dyDescent="0.3">
      <c r="A394" t="s">
        <v>15892</v>
      </c>
      <c r="B394">
        <v>990</v>
      </c>
      <c r="C394" t="s">
        <v>15312</v>
      </c>
      <c r="D394">
        <v>5.0999999999999997E-2</v>
      </c>
      <c r="E394" t="s">
        <v>15893</v>
      </c>
      <c r="F394" t="s">
        <v>15314</v>
      </c>
    </row>
    <row r="395" spans="1:6" x14ac:dyDescent="0.3">
      <c r="A395" t="s">
        <v>15894</v>
      </c>
      <c r="B395">
        <v>1080</v>
      </c>
      <c r="C395" t="s">
        <v>15312</v>
      </c>
      <c r="D395">
        <v>5.0999999999999997E-2</v>
      </c>
      <c r="E395" t="s">
        <v>15895</v>
      </c>
      <c r="F395" t="s">
        <v>15314</v>
      </c>
    </row>
    <row r="396" spans="1:6" x14ac:dyDescent="0.3">
      <c r="A396" t="s">
        <v>15896</v>
      </c>
      <c r="B396">
        <v>1080</v>
      </c>
      <c r="C396" t="s">
        <v>15312</v>
      </c>
      <c r="D396">
        <v>5.0999999999999997E-2</v>
      </c>
      <c r="E396" t="s">
        <v>15897</v>
      </c>
      <c r="F396" t="s">
        <v>15314</v>
      </c>
    </row>
    <row r="397" spans="1:6" x14ac:dyDescent="0.3">
      <c r="A397" t="s">
        <v>15898</v>
      </c>
      <c r="B397">
        <v>1080</v>
      </c>
      <c r="C397" t="s">
        <v>15312</v>
      </c>
      <c r="D397">
        <v>5.0999999999999997E-2</v>
      </c>
      <c r="E397" t="s">
        <v>15899</v>
      </c>
      <c r="F397" t="s">
        <v>15314</v>
      </c>
    </row>
    <row r="398" spans="1:6" x14ac:dyDescent="0.3">
      <c r="A398" t="s">
        <v>15900</v>
      </c>
      <c r="B398">
        <v>1080</v>
      </c>
      <c r="C398" t="s">
        <v>15312</v>
      </c>
      <c r="D398">
        <v>5.0999999999999997E-2</v>
      </c>
      <c r="E398" t="s">
        <v>15901</v>
      </c>
      <c r="F398" t="s">
        <v>15314</v>
      </c>
    </row>
    <row r="399" spans="1:6" x14ac:dyDescent="0.3">
      <c r="A399" t="s">
        <v>15902</v>
      </c>
      <c r="B399">
        <v>1080</v>
      </c>
      <c r="C399" t="s">
        <v>15312</v>
      </c>
      <c r="D399">
        <v>5.0999999999999997E-2</v>
      </c>
      <c r="E399" t="s">
        <v>15903</v>
      </c>
      <c r="F399" t="s">
        <v>15314</v>
      </c>
    </row>
    <row r="400" spans="1:6" x14ac:dyDescent="0.3">
      <c r="A400" t="s">
        <v>15904</v>
      </c>
      <c r="B400">
        <v>990</v>
      </c>
      <c r="C400" t="s">
        <v>15312</v>
      </c>
      <c r="D400">
        <v>5.0999999999999997E-2</v>
      </c>
      <c r="E400" t="s">
        <v>15905</v>
      </c>
      <c r="F400" t="s">
        <v>15314</v>
      </c>
    </row>
    <row r="401" spans="1:6" x14ac:dyDescent="0.3">
      <c r="A401" t="s">
        <v>15906</v>
      </c>
      <c r="B401">
        <v>990</v>
      </c>
      <c r="C401" t="s">
        <v>15312</v>
      </c>
      <c r="D401">
        <v>5.0999999999999997E-2</v>
      </c>
      <c r="E401" t="s">
        <v>15907</v>
      </c>
      <c r="F401" t="s">
        <v>15314</v>
      </c>
    </row>
    <row r="402" spans="1:6" x14ac:dyDescent="0.3">
      <c r="A402" t="s">
        <v>15908</v>
      </c>
      <c r="B402">
        <v>990</v>
      </c>
      <c r="C402" t="s">
        <v>15312</v>
      </c>
      <c r="D402">
        <v>5.0999999999999997E-2</v>
      </c>
      <c r="E402" t="s">
        <v>15909</v>
      </c>
      <c r="F402" t="s">
        <v>15314</v>
      </c>
    </row>
    <row r="403" spans="1:6" x14ac:dyDescent="0.3">
      <c r="A403" t="s">
        <v>15910</v>
      </c>
      <c r="B403">
        <v>990</v>
      </c>
      <c r="C403" t="s">
        <v>15312</v>
      </c>
      <c r="D403">
        <v>5.0999999999999997E-2</v>
      </c>
      <c r="E403" t="s">
        <v>15911</v>
      </c>
      <c r="F403" t="s">
        <v>15314</v>
      </c>
    </row>
    <row r="404" spans="1:6" x14ac:dyDescent="0.3">
      <c r="A404" t="s">
        <v>15912</v>
      </c>
      <c r="B404">
        <v>1080</v>
      </c>
      <c r="C404" t="s">
        <v>15312</v>
      </c>
      <c r="D404">
        <v>5.0999999999999997E-2</v>
      </c>
      <c r="E404" t="s">
        <v>15913</v>
      </c>
      <c r="F404" t="s">
        <v>15314</v>
      </c>
    </row>
    <row r="405" spans="1:6" x14ac:dyDescent="0.3">
      <c r="A405" t="s">
        <v>15914</v>
      </c>
      <c r="B405">
        <v>1080</v>
      </c>
      <c r="C405" t="s">
        <v>15312</v>
      </c>
      <c r="D405">
        <v>5.0999999999999997E-2</v>
      </c>
      <c r="E405" t="s">
        <v>15915</v>
      </c>
      <c r="F405" t="s">
        <v>15314</v>
      </c>
    </row>
    <row r="406" spans="1:6" x14ac:dyDescent="0.3">
      <c r="A406" t="s">
        <v>15916</v>
      </c>
      <c r="B406">
        <v>990</v>
      </c>
      <c r="C406" t="s">
        <v>15312</v>
      </c>
      <c r="D406">
        <v>5.0999999999999997E-2</v>
      </c>
      <c r="E406" t="s">
        <v>15917</v>
      </c>
      <c r="F406" t="s">
        <v>15314</v>
      </c>
    </row>
    <row r="407" spans="1:6" x14ac:dyDescent="0.3">
      <c r="A407" t="s">
        <v>15918</v>
      </c>
      <c r="B407">
        <v>990</v>
      </c>
      <c r="C407" t="s">
        <v>15312</v>
      </c>
      <c r="D407">
        <v>5.0999999999999997E-2</v>
      </c>
      <c r="E407" t="s">
        <v>15919</v>
      </c>
      <c r="F407" t="s">
        <v>15314</v>
      </c>
    </row>
    <row r="408" spans="1:6" x14ac:dyDescent="0.3">
      <c r="A408" t="s">
        <v>15920</v>
      </c>
      <c r="B408">
        <v>990</v>
      </c>
      <c r="C408" t="s">
        <v>15312</v>
      </c>
      <c r="D408">
        <v>5.0999999999999997E-2</v>
      </c>
      <c r="E408" t="s">
        <v>15921</v>
      </c>
      <c r="F408" t="s">
        <v>15314</v>
      </c>
    </row>
    <row r="409" spans="1:6" x14ac:dyDescent="0.3">
      <c r="A409" t="s">
        <v>15922</v>
      </c>
      <c r="B409">
        <v>1080</v>
      </c>
      <c r="C409" t="s">
        <v>15312</v>
      </c>
      <c r="D409">
        <v>5.0999999999999997E-2</v>
      </c>
      <c r="E409" t="s">
        <v>15923</v>
      </c>
      <c r="F409" t="s">
        <v>15314</v>
      </c>
    </row>
    <row r="410" spans="1:6" x14ac:dyDescent="0.3">
      <c r="A410" t="s">
        <v>15924</v>
      </c>
      <c r="B410">
        <v>1080</v>
      </c>
      <c r="C410" t="s">
        <v>15312</v>
      </c>
      <c r="D410">
        <v>5.0999999999999997E-2</v>
      </c>
      <c r="E410" t="s">
        <v>15925</v>
      </c>
      <c r="F410" t="s">
        <v>15314</v>
      </c>
    </row>
    <row r="411" spans="1:6" x14ac:dyDescent="0.3">
      <c r="A411" t="s">
        <v>15926</v>
      </c>
      <c r="B411">
        <v>1080</v>
      </c>
      <c r="C411" t="s">
        <v>15312</v>
      </c>
      <c r="D411">
        <v>5.0999999999999997E-2</v>
      </c>
      <c r="E411" t="s">
        <v>15927</v>
      </c>
      <c r="F411" t="s">
        <v>15314</v>
      </c>
    </row>
    <row r="412" spans="1:6" x14ac:dyDescent="0.3">
      <c r="A412" t="s">
        <v>15928</v>
      </c>
      <c r="B412">
        <v>990</v>
      </c>
      <c r="C412" t="s">
        <v>15312</v>
      </c>
      <c r="D412">
        <v>5.0999999999999997E-2</v>
      </c>
      <c r="E412" t="s">
        <v>15929</v>
      </c>
      <c r="F412" t="s">
        <v>15314</v>
      </c>
    </row>
    <row r="413" spans="1:6" x14ac:dyDescent="0.3">
      <c r="A413" t="s">
        <v>15930</v>
      </c>
      <c r="B413">
        <v>990</v>
      </c>
      <c r="C413" t="s">
        <v>15312</v>
      </c>
      <c r="D413">
        <v>5.0999999999999997E-2</v>
      </c>
      <c r="E413" t="s">
        <v>15931</v>
      </c>
      <c r="F413" t="s">
        <v>15314</v>
      </c>
    </row>
    <row r="414" spans="1:6" x14ac:dyDescent="0.3">
      <c r="A414" t="s">
        <v>15932</v>
      </c>
      <c r="B414">
        <v>990</v>
      </c>
      <c r="C414" t="s">
        <v>15312</v>
      </c>
      <c r="D414">
        <v>5.0999999999999997E-2</v>
      </c>
      <c r="E414" t="s">
        <v>15933</v>
      </c>
      <c r="F414" t="s">
        <v>15314</v>
      </c>
    </row>
    <row r="415" spans="1:6" x14ac:dyDescent="0.3">
      <c r="A415" t="s">
        <v>15934</v>
      </c>
      <c r="B415">
        <v>990</v>
      </c>
      <c r="C415" t="s">
        <v>15312</v>
      </c>
      <c r="D415">
        <v>5.0999999999999997E-2</v>
      </c>
      <c r="E415" t="s">
        <v>15935</v>
      </c>
      <c r="F415" t="s">
        <v>15314</v>
      </c>
    </row>
    <row r="416" spans="1:6" x14ac:dyDescent="0.3">
      <c r="A416" t="s">
        <v>15936</v>
      </c>
      <c r="B416">
        <v>1080</v>
      </c>
      <c r="C416" t="s">
        <v>15312</v>
      </c>
      <c r="D416">
        <v>5.0999999999999997E-2</v>
      </c>
      <c r="E416" t="s">
        <v>15937</v>
      </c>
      <c r="F416" t="s">
        <v>15314</v>
      </c>
    </row>
    <row r="417" spans="1:6" x14ac:dyDescent="0.3">
      <c r="A417" t="s">
        <v>15938</v>
      </c>
      <c r="B417">
        <v>1080</v>
      </c>
      <c r="C417" t="s">
        <v>15312</v>
      </c>
      <c r="D417">
        <v>5.0999999999999997E-2</v>
      </c>
      <c r="E417" t="s">
        <v>15939</v>
      </c>
      <c r="F417" t="s">
        <v>15314</v>
      </c>
    </row>
    <row r="418" spans="1:6" x14ac:dyDescent="0.3">
      <c r="A418" t="s">
        <v>15940</v>
      </c>
      <c r="B418">
        <v>1080</v>
      </c>
      <c r="C418" t="s">
        <v>15312</v>
      </c>
      <c r="D418">
        <v>5.0999999999999997E-2</v>
      </c>
      <c r="E418" t="s">
        <v>15941</v>
      </c>
      <c r="F418" t="s">
        <v>15314</v>
      </c>
    </row>
    <row r="419" spans="1:6" x14ac:dyDescent="0.3">
      <c r="A419" t="s">
        <v>15942</v>
      </c>
      <c r="B419">
        <v>990</v>
      </c>
      <c r="C419" t="s">
        <v>15312</v>
      </c>
      <c r="D419">
        <v>5.0999999999999997E-2</v>
      </c>
      <c r="E419" t="s">
        <v>15943</v>
      </c>
      <c r="F419" t="s">
        <v>15314</v>
      </c>
    </row>
    <row r="420" spans="1:6" x14ac:dyDescent="0.3">
      <c r="A420" t="s">
        <v>15944</v>
      </c>
      <c r="B420">
        <v>990</v>
      </c>
      <c r="C420" t="s">
        <v>15312</v>
      </c>
      <c r="D420">
        <v>5.0999999999999997E-2</v>
      </c>
      <c r="E420" t="s">
        <v>15945</v>
      </c>
      <c r="F420" t="s">
        <v>15314</v>
      </c>
    </row>
    <row r="421" spans="1:6" x14ac:dyDescent="0.3">
      <c r="A421" t="s">
        <v>15946</v>
      </c>
      <c r="B421">
        <v>990</v>
      </c>
      <c r="C421" t="s">
        <v>15312</v>
      </c>
      <c r="D421">
        <v>5.0999999999999997E-2</v>
      </c>
      <c r="E421" t="s">
        <v>15947</v>
      </c>
      <c r="F421" t="s">
        <v>15314</v>
      </c>
    </row>
    <row r="422" spans="1:6" x14ac:dyDescent="0.3">
      <c r="A422" t="s">
        <v>15948</v>
      </c>
      <c r="B422">
        <v>1080</v>
      </c>
      <c r="C422" t="s">
        <v>15312</v>
      </c>
      <c r="D422">
        <v>5.0999999999999997E-2</v>
      </c>
      <c r="E422" t="s">
        <v>15949</v>
      </c>
      <c r="F422" t="s">
        <v>15314</v>
      </c>
    </row>
    <row r="423" spans="1:6" x14ac:dyDescent="0.3">
      <c r="A423" t="s">
        <v>15950</v>
      </c>
      <c r="B423">
        <v>1080</v>
      </c>
      <c r="C423" t="s">
        <v>15312</v>
      </c>
      <c r="D423">
        <v>5.0999999999999997E-2</v>
      </c>
      <c r="E423" t="s">
        <v>15951</v>
      </c>
      <c r="F423" t="s">
        <v>15314</v>
      </c>
    </row>
    <row r="424" spans="1:6" x14ac:dyDescent="0.3">
      <c r="A424" t="s">
        <v>15952</v>
      </c>
      <c r="B424">
        <v>1080</v>
      </c>
      <c r="C424" t="s">
        <v>15312</v>
      </c>
      <c r="D424">
        <v>5.0999999999999997E-2</v>
      </c>
      <c r="E424" t="s">
        <v>15953</v>
      </c>
      <c r="F424" t="s">
        <v>15314</v>
      </c>
    </row>
    <row r="425" spans="1:6" x14ac:dyDescent="0.3">
      <c r="A425" t="s">
        <v>15954</v>
      </c>
      <c r="B425">
        <v>1080</v>
      </c>
      <c r="C425" t="s">
        <v>15312</v>
      </c>
      <c r="D425">
        <v>5.0999999999999997E-2</v>
      </c>
      <c r="E425" t="s">
        <v>15955</v>
      </c>
      <c r="F425" t="s">
        <v>15314</v>
      </c>
    </row>
    <row r="426" spans="1:6" x14ac:dyDescent="0.3">
      <c r="A426" t="s">
        <v>15956</v>
      </c>
      <c r="B426">
        <v>990</v>
      </c>
      <c r="C426" t="s">
        <v>15312</v>
      </c>
      <c r="D426">
        <v>5.0999999999999997E-2</v>
      </c>
      <c r="E426" t="s">
        <v>15957</v>
      </c>
      <c r="F426" t="s">
        <v>15314</v>
      </c>
    </row>
    <row r="427" spans="1:6" x14ac:dyDescent="0.3">
      <c r="A427" t="s">
        <v>15958</v>
      </c>
      <c r="B427">
        <v>990</v>
      </c>
      <c r="C427" t="s">
        <v>15312</v>
      </c>
      <c r="D427">
        <v>5.0999999999999997E-2</v>
      </c>
      <c r="E427" t="s">
        <v>15959</v>
      </c>
      <c r="F427" t="s">
        <v>15314</v>
      </c>
    </row>
    <row r="428" spans="1:6" x14ac:dyDescent="0.3">
      <c r="A428" t="s">
        <v>15960</v>
      </c>
      <c r="B428">
        <v>990</v>
      </c>
      <c r="C428" t="s">
        <v>15312</v>
      </c>
      <c r="D428">
        <v>5.0999999999999997E-2</v>
      </c>
      <c r="E428" t="s">
        <v>15961</v>
      </c>
      <c r="F428" t="s">
        <v>15314</v>
      </c>
    </row>
    <row r="429" spans="1:6" x14ac:dyDescent="0.3">
      <c r="A429" t="s">
        <v>15962</v>
      </c>
      <c r="B429">
        <v>990</v>
      </c>
      <c r="C429" t="s">
        <v>15312</v>
      </c>
      <c r="D429">
        <v>5.0999999999999997E-2</v>
      </c>
      <c r="E429" t="s">
        <v>15963</v>
      </c>
      <c r="F429" t="s">
        <v>15314</v>
      </c>
    </row>
    <row r="430" spans="1:6" x14ac:dyDescent="0.3">
      <c r="A430" t="s">
        <v>15964</v>
      </c>
      <c r="B430">
        <v>1080</v>
      </c>
      <c r="C430" t="s">
        <v>15312</v>
      </c>
      <c r="D430">
        <v>5.0999999999999997E-2</v>
      </c>
      <c r="E430" t="s">
        <v>15965</v>
      </c>
      <c r="F430" t="s">
        <v>15314</v>
      </c>
    </row>
    <row r="431" spans="1:6" x14ac:dyDescent="0.3">
      <c r="A431" t="s">
        <v>15966</v>
      </c>
      <c r="B431">
        <v>990</v>
      </c>
      <c r="C431" t="s">
        <v>15312</v>
      </c>
      <c r="D431">
        <v>5.0999999999999997E-2</v>
      </c>
      <c r="E431" t="s">
        <v>15967</v>
      </c>
      <c r="F431" t="s">
        <v>15314</v>
      </c>
    </row>
    <row r="432" spans="1:6" x14ac:dyDescent="0.3">
      <c r="A432" t="s">
        <v>15968</v>
      </c>
      <c r="B432">
        <v>990</v>
      </c>
      <c r="C432" t="s">
        <v>15312</v>
      </c>
      <c r="D432">
        <v>5.0999999999999997E-2</v>
      </c>
      <c r="E432" t="s">
        <v>15969</v>
      </c>
      <c r="F432" t="s">
        <v>15314</v>
      </c>
    </row>
    <row r="433" spans="1:6" x14ac:dyDescent="0.3">
      <c r="A433" t="s">
        <v>15970</v>
      </c>
      <c r="B433">
        <v>990</v>
      </c>
      <c r="C433" t="s">
        <v>15312</v>
      </c>
      <c r="D433">
        <v>5.0999999999999997E-2</v>
      </c>
      <c r="E433" t="s">
        <v>15971</v>
      </c>
      <c r="F433" t="s">
        <v>15314</v>
      </c>
    </row>
    <row r="434" spans="1:6" x14ac:dyDescent="0.3">
      <c r="A434" t="s">
        <v>15972</v>
      </c>
      <c r="B434">
        <v>1080</v>
      </c>
      <c r="C434" t="s">
        <v>15312</v>
      </c>
      <c r="D434">
        <v>5.0999999999999997E-2</v>
      </c>
      <c r="E434" t="s">
        <v>15973</v>
      </c>
      <c r="F434" t="s">
        <v>15314</v>
      </c>
    </row>
    <row r="435" spans="1:6" x14ac:dyDescent="0.3">
      <c r="A435" t="s">
        <v>15974</v>
      </c>
      <c r="B435">
        <v>1080</v>
      </c>
      <c r="C435" t="s">
        <v>15312</v>
      </c>
      <c r="D435">
        <v>5.0999999999999997E-2</v>
      </c>
      <c r="E435" t="s">
        <v>15975</v>
      </c>
      <c r="F435" t="s">
        <v>15314</v>
      </c>
    </row>
    <row r="436" spans="1:6" x14ac:dyDescent="0.3">
      <c r="A436" t="s">
        <v>15976</v>
      </c>
      <c r="B436">
        <v>1080</v>
      </c>
      <c r="C436" t="s">
        <v>15312</v>
      </c>
      <c r="D436">
        <v>5.0999999999999997E-2</v>
      </c>
      <c r="E436" t="s">
        <v>15977</v>
      </c>
      <c r="F436" t="s">
        <v>15314</v>
      </c>
    </row>
    <row r="437" spans="1:6" x14ac:dyDescent="0.3">
      <c r="A437" t="s">
        <v>15978</v>
      </c>
      <c r="B437">
        <v>17856</v>
      </c>
      <c r="C437" t="s">
        <v>15169</v>
      </c>
      <c r="D437">
        <v>1.4E-2</v>
      </c>
      <c r="E437" t="s">
        <v>15979</v>
      </c>
      <c r="F437" t="s">
        <v>15195</v>
      </c>
    </row>
    <row r="438" spans="1:6" x14ac:dyDescent="0.3">
      <c r="A438" t="s">
        <v>15980</v>
      </c>
      <c r="B438">
        <v>17856</v>
      </c>
      <c r="C438" t="s">
        <v>15169</v>
      </c>
      <c r="D438">
        <v>1.4E-2</v>
      </c>
      <c r="E438" t="s">
        <v>15981</v>
      </c>
      <c r="F438" t="s">
        <v>15195</v>
      </c>
    </row>
    <row r="439" spans="1:6" x14ac:dyDescent="0.3">
      <c r="A439" t="s">
        <v>15982</v>
      </c>
      <c r="B439">
        <v>17856</v>
      </c>
      <c r="C439" t="s">
        <v>15169</v>
      </c>
      <c r="D439">
        <v>1.4E-2</v>
      </c>
      <c r="E439" t="s">
        <v>15983</v>
      </c>
      <c r="F439" t="s">
        <v>15195</v>
      </c>
    </row>
    <row r="440" spans="1:6" x14ac:dyDescent="0.3">
      <c r="A440" t="s">
        <v>15984</v>
      </c>
      <c r="B440">
        <v>10656</v>
      </c>
      <c r="C440" t="s">
        <v>15169</v>
      </c>
      <c r="D440">
        <v>1.4E-2</v>
      </c>
      <c r="E440" t="s">
        <v>15985</v>
      </c>
      <c r="F440" t="s">
        <v>15195</v>
      </c>
    </row>
    <row r="441" spans="1:6" x14ac:dyDescent="0.3">
      <c r="A441" t="s">
        <v>15986</v>
      </c>
      <c r="B441">
        <v>11520</v>
      </c>
      <c r="C441" t="s">
        <v>15169</v>
      </c>
      <c r="D441">
        <v>1.4E-2</v>
      </c>
      <c r="E441" t="s">
        <v>15987</v>
      </c>
      <c r="F441" t="s">
        <v>15195</v>
      </c>
    </row>
    <row r="442" spans="1:6" x14ac:dyDescent="0.3">
      <c r="A442" t="s">
        <v>947</v>
      </c>
      <c r="B442">
        <v>20640</v>
      </c>
      <c r="C442" t="s">
        <v>15169</v>
      </c>
      <c r="D442">
        <v>1.4E-2</v>
      </c>
      <c r="E442" t="s">
        <v>948</v>
      </c>
      <c r="F442" t="s">
        <v>15195</v>
      </c>
    </row>
    <row r="443" spans="1:6" x14ac:dyDescent="0.3">
      <c r="A443" t="s">
        <v>2023</v>
      </c>
      <c r="B443">
        <v>20640</v>
      </c>
      <c r="C443" t="s">
        <v>15169</v>
      </c>
      <c r="D443">
        <v>1.4E-2</v>
      </c>
      <c r="E443" t="s">
        <v>2024</v>
      </c>
      <c r="F443" t="s">
        <v>15195</v>
      </c>
    </row>
    <row r="444" spans="1:6" x14ac:dyDescent="0.3">
      <c r="A444" t="s">
        <v>15988</v>
      </c>
      <c r="B444">
        <v>17640</v>
      </c>
      <c r="C444" t="s">
        <v>15169</v>
      </c>
      <c r="D444">
        <v>1.4E-2</v>
      </c>
      <c r="E444" t="s">
        <v>15989</v>
      </c>
      <c r="F444" t="s">
        <v>15214</v>
      </c>
    </row>
    <row r="445" spans="1:6" x14ac:dyDescent="0.3">
      <c r="A445" t="s">
        <v>15990</v>
      </c>
      <c r="B445">
        <v>17640</v>
      </c>
      <c r="C445" t="s">
        <v>15169</v>
      </c>
      <c r="D445">
        <v>1.4E-2</v>
      </c>
      <c r="E445" t="s">
        <v>15991</v>
      </c>
      <c r="F445" t="s">
        <v>15214</v>
      </c>
    </row>
    <row r="446" spans="1:6" x14ac:dyDescent="0.3">
      <c r="A446" t="s">
        <v>15992</v>
      </c>
      <c r="B446">
        <v>17640</v>
      </c>
      <c r="C446" t="s">
        <v>15169</v>
      </c>
      <c r="D446">
        <v>1.4E-2</v>
      </c>
      <c r="E446" t="s">
        <v>15993</v>
      </c>
      <c r="F446" t="s">
        <v>15214</v>
      </c>
    </row>
    <row r="447" spans="1:6" x14ac:dyDescent="0.3">
      <c r="A447" t="s">
        <v>15994</v>
      </c>
      <c r="B447">
        <v>1656</v>
      </c>
      <c r="C447" t="s">
        <v>15169</v>
      </c>
      <c r="D447">
        <v>1.4E-2</v>
      </c>
      <c r="E447" t="s">
        <v>15995</v>
      </c>
      <c r="F447" t="s">
        <v>15214</v>
      </c>
    </row>
    <row r="448" spans="1:6" x14ac:dyDescent="0.3">
      <c r="A448" t="s">
        <v>15996</v>
      </c>
      <c r="B448">
        <v>17640</v>
      </c>
      <c r="C448" t="s">
        <v>15169</v>
      </c>
      <c r="D448">
        <v>1.4E-2</v>
      </c>
      <c r="E448" t="s">
        <v>15997</v>
      </c>
      <c r="F448" t="s">
        <v>15214</v>
      </c>
    </row>
    <row r="449" spans="1:6" x14ac:dyDescent="0.3">
      <c r="A449" t="s">
        <v>15998</v>
      </c>
      <c r="B449">
        <v>17640</v>
      </c>
      <c r="C449" t="s">
        <v>15169</v>
      </c>
      <c r="D449">
        <v>1.4E-2</v>
      </c>
      <c r="E449" t="s">
        <v>15999</v>
      </c>
      <c r="F449" t="s">
        <v>15214</v>
      </c>
    </row>
    <row r="450" spans="1:6" x14ac:dyDescent="0.3">
      <c r="A450" t="s">
        <v>16000</v>
      </c>
      <c r="B450">
        <v>19200</v>
      </c>
      <c r="C450" t="s">
        <v>15169</v>
      </c>
      <c r="D450">
        <v>1.4E-2</v>
      </c>
      <c r="E450" t="s">
        <v>16001</v>
      </c>
      <c r="F450" t="s">
        <v>15214</v>
      </c>
    </row>
    <row r="451" spans="1:6" x14ac:dyDescent="0.3">
      <c r="A451" t="s">
        <v>16002</v>
      </c>
      <c r="B451">
        <v>19200</v>
      </c>
      <c r="C451" t="s">
        <v>15169</v>
      </c>
      <c r="D451">
        <v>1.4E-2</v>
      </c>
      <c r="E451" t="s">
        <v>16003</v>
      </c>
      <c r="F451" t="s">
        <v>15214</v>
      </c>
    </row>
    <row r="452" spans="1:6" x14ac:dyDescent="0.3">
      <c r="A452" t="s">
        <v>485</v>
      </c>
      <c r="B452">
        <v>19200</v>
      </c>
      <c r="C452" t="s">
        <v>15169</v>
      </c>
      <c r="D452">
        <v>1.4E-2</v>
      </c>
      <c r="E452" t="s">
        <v>16004</v>
      </c>
      <c r="F452" t="s">
        <v>15214</v>
      </c>
    </row>
    <row r="453" spans="1:6" x14ac:dyDescent="0.3">
      <c r="A453" t="s">
        <v>5463</v>
      </c>
      <c r="B453">
        <v>19200</v>
      </c>
      <c r="C453" t="s">
        <v>15169</v>
      </c>
      <c r="D453">
        <v>1.4E-2</v>
      </c>
      <c r="E453" t="s">
        <v>5464</v>
      </c>
      <c r="F453" t="s">
        <v>15214</v>
      </c>
    </row>
    <row r="454" spans="1:6" x14ac:dyDescent="0.3">
      <c r="A454" t="s">
        <v>16005</v>
      </c>
      <c r="B454">
        <v>16320</v>
      </c>
      <c r="C454" t="s">
        <v>15169</v>
      </c>
      <c r="D454">
        <v>1.41E-2</v>
      </c>
      <c r="E454" t="s">
        <v>16006</v>
      </c>
      <c r="F454" t="s">
        <v>15195</v>
      </c>
    </row>
    <row r="455" spans="1:6" x14ac:dyDescent="0.3">
      <c r="A455" t="s">
        <v>16007</v>
      </c>
      <c r="B455">
        <v>16020</v>
      </c>
      <c r="C455" t="s">
        <v>15169</v>
      </c>
      <c r="D455">
        <v>1.4999999999999999E-2</v>
      </c>
      <c r="E455" t="s">
        <v>16008</v>
      </c>
      <c r="F455" t="s">
        <v>15195</v>
      </c>
    </row>
    <row r="456" spans="1:6" x14ac:dyDescent="0.3">
      <c r="A456" t="s">
        <v>16009</v>
      </c>
      <c r="B456">
        <v>16020</v>
      </c>
      <c r="C456" t="s">
        <v>15169</v>
      </c>
      <c r="D456">
        <v>1.4999999999999999E-2</v>
      </c>
      <c r="E456" t="s">
        <v>16010</v>
      </c>
      <c r="F456" t="s">
        <v>15195</v>
      </c>
    </row>
    <row r="457" spans="1:6" x14ac:dyDescent="0.3">
      <c r="A457" t="s">
        <v>16011</v>
      </c>
      <c r="B457">
        <v>16020</v>
      </c>
      <c r="C457" t="s">
        <v>15169</v>
      </c>
      <c r="D457">
        <v>1.4999999999999999E-2</v>
      </c>
      <c r="E457" t="s">
        <v>16012</v>
      </c>
      <c r="F457" t="s">
        <v>15195</v>
      </c>
    </row>
    <row r="458" spans="1:6" x14ac:dyDescent="0.3">
      <c r="A458" t="s">
        <v>16013</v>
      </c>
      <c r="B458">
        <v>16020</v>
      </c>
      <c r="C458" t="s">
        <v>15169</v>
      </c>
      <c r="D458">
        <v>1.4999999999999999E-2</v>
      </c>
      <c r="E458" t="s">
        <v>16014</v>
      </c>
      <c r="F458" t="s">
        <v>15195</v>
      </c>
    </row>
    <row r="459" spans="1:6" x14ac:dyDescent="0.3">
      <c r="A459" t="s">
        <v>2378</v>
      </c>
      <c r="B459">
        <v>12888</v>
      </c>
      <c r="C459" t="s">
        <v>15169</v>
      </c>
      <c r="D459">
        <v>1.55E-2</v>
      </c>
      <c r="E459" t="s">
        <v>2379</v>
      </c>
      <c r="F459" t="s">
        <v>15195</v>
      </c>
    </row>
    <row r="460" spans="1:6" x14ac:dyDescent="0.3">
      <c r="A460" t="s">
        <v>16015</v>
      </c>
      <c r="B460">
        <v>9000</v>
      </c>
      <c r="C460" t="s">
        <v>15169</v>
      </c>
      <c r="D460">
        <v>1.55E-2</v>
      </c>
      <c r="E460" t="s">
        <v>16016</v>
      </c>
      <c r="F460" t="s">
        <v>15195</v>
      </c>
    </row>
    <row r="461" spans="1:6" x14ac:dyDescent="0.3">
      <c r="A461" t="s">
        <v>16017</v>
      </c>
      <c r="B461">
        <v>12888</v>
      </c>
      <c r="C461" t="s">
        <v>15169</v>
      </c>
      <c r="D461">
        <v>1.55E-2</v>
      </c>
      <c r="E461" t="s">
        <v>16018</v>
      </c>
      <c r="F461" t="s">
        <v>15195</v>
      </c>
    </row>
    <row r="462" spans="1:6" x14ac:dyDescent="0.3">
      <c r="A462" t="s">
        <v>16019</v>
      </c>
      <c r="B462">
        <v>12888</v>
      </c>
      <c r="C462" t="s">
        <v>15169</v>
      </c>
      <c r="D462">
        <v>1.55E-2</v>
      </c>
      <c r="E462" t="s">
        <v>16020</v>
      </c>
      <c r="F462" t="s">
        <v>15195</v>
      </c>
    </row>
    <row r="463" spans="1:6" x14ac:dyDescent="0.3">
      <c r="A463" t="s">
        <v>289</v>
      </c>
      <c r="B463">
        <v>9000</v>
      </c>
      <c r="C463" t="s">
        <v>15169</v>
      </c>
      <c r="D463">
        <v>1.55E-2</v>
      </c>
      <c r="E463" t="s">
        <v>290</v>
      </c>
      <c r="F463" t="s">
        <v>15195</v>
      </c>
    </row>
    <row r="464" spans="1:6" x14ac:dyDescent="0.3">
      <c r="A464" t="s">
        <v>16021</v>
      </c>
      <c r="B464">
        <v>1296</v>
      </c>
      <c r="C464" t="s">
        <v>15169</v>
      </c>
      <c r="D464">
        <v>1.55E-2</v>
      </c>
      <c r="E464" t="s">
        <v>16022</v>
      </c>
      <c r="F464" t="s">
        <v>15195</v>
      </c>
    </row>
    <row r="465" spans="1:6" x14ac:dyDescent="0.3">
      <c r="A465" t="s">
        <v>16023</v>
      </c>
      <c r="B465">
        <v>12888</v>
      </c>
      <c r="C465" t="s">
        <v>15169</v>
      </c>
      <c r="D465">
        <v>1.55E-2</v>
      </c>
      <c r="E465" t="s">
        <v>16024</v>
      </c>
      <c r="F465" t="s">
        <v>15195</v>
      </c>
    </row>
    <row r="466" spans="1:6" x14ac:dyDescent="0.3">
      <c r="A466" t="s">
        <v>16025</v>
      </c>
      <c r="B466">
        <v>12888</v>
      </c>
      <c r="C466" t="s">
        <v>15169</v>
      </c>
      <c r="D466">
        <v>1.55E-2</v>
      </c>
      <c r="E466" t="s">
        <v>16026</v>
      </c>
      <c r="F466" t="s">
        <v>15195</v>
      </c>
    </row>
    <row r="467" spans="1:6" x14ac:dyDescent="0.3">
      <c r="A467" t="s">
        <v>16027</v>
      </c>
      <c r="B467">
        <v>12888</v>
      </c>
      <c r="C467" t="s">
        <v>15169</v>
      </c>
      <c r="D467">
        <v>1.55E-2</v>
      </c>
      <c r="E467" t="s">
        <v>16028</v>
      </c>
      <c r="F467" t="s">
        <v>15195</v>
      </c>
    </row>
    <row r="468" spans="1:6" x14ac:dyDescent="0.3">
      <c r="A468" t="s">
        <v>16029</v>
      </c>
      <c r="B468">
        <v>12888</v>
      </c>
      <c r="C468" t="s">
        <v>15169</v>
      </c>
      <c r="D468">
        <v>1.55E-2</v>
      </c>
      <c r="E468" t="s">
        <v>16030</v>
      </c>
      <c r="F468" t="s">
        <v>15195</v>
      </c>
    </row>
    <row r="469" spans="1:6" x14ac:dyDescent="0.3">
      <c r="A469" t="s">
        <v>16031</v>
      </c>
      <c r="B469">
        <v>9000</v>
      </c>
      <c r="C469" t="s">
        <v>15169</v>
      </c>
      <c r="D469">
        <v>1.55E-2</v>
      </c>
      <c r="E469" t="s">
        <v>16032</v>
      </c>
      <c r="F469" t="s">
        <v>15195</v>
      </c>
    </row>
    <row r="470" spans="1:6" x14ac:dyDescent="0.3">
      <c r="A470" t="s">
        <v>16033</v>
      </c>
      <c r="B470">
        <v>16920</v>
      </c>
      <c r="C470" t="s">
        <v>15169</v>
      </c>
      <c r="D470">
        <v>1.55E-2</v>
      </c>
      <c r="E470" t="s">
        <v>16034</v>
      </c>
      <c r="F470" t="s">
        <v>15314</v>
      </c>
    </row>
    <row r="471" spans="1:6" x14ac:dyDescent="0.3">
      <c r="A471" t="s">
        <v>16035</v>
      </c>
      <c r="B471">
        <v>16920</v>
      </c>
      <c r="C471" t="s">
        <v>15169</v>
      </c>
      <c r="D471">
        <v>1.55E-2</v>
      </c>
      <c r="E471" t="s">
        <v>16036</v>
      </c>
      <c r="F471" t="s">
        <v>15314</v>
      </c>
    </row>
    <row r="472" spans="1:6" x14ac:dyDescent="0.3">
      <c r="A472" t="s">
        <v>16037</v>
      </c>
      <c r="B472">
        <v>16920</v>
      </c>
      <c r="C472" t="s">
        <v>15169</v>
      </c>
      <c r="D472">
        <v>1.55E-2</v>
      </c>
      <c r="E472" t="s">
        <v>16038</v>
      </c>
      <c r="F472" t="s">
        <v>15314</v>
      </c>
    </row>
    <row r="473" spans="1:6" x14ac:dyDescent="0.3">
      <c r="A473" t="s">
        <v>16039</v>
      </c>
      <c r="B473">
        <v>16920</v>
      </c>
      <c r="C473" t="s">
        <v>15169</v>
      </c>
      <c r="D473">
        <v>1.55E-2</v>
      </c>
      <c r="E473" t="s">
        <v>16040</v>
      </c>
      <c r="F473" t="s">
        <v>15314</v>
      </c>
    </row>
    <row r="474" spans="1:6" x14ac:dyDescent="0.3">
      <c r="A474" t="s">
        <v>16041</v>
      </c>
      <c r="B474">
        <v>16920</v>
      </c>
      <c r="C474" t="s">
        <v>15169</v>
      </c>
      <c r="D474">
        <v>1.55E-2</v>
      </c>
      <c r="E474" t="s">
        <v>16042</v>
      </c>
      <c r="F474" t="s">
        <v>15314</v>
      </c>
    </row>
    <row r="475" spans="1:6" x14ac:dyDescent="0.3">
      <c r="A475" t="s">
        <v>16043</v>
      </c>
      <c r="B475">
        <v>1728</v>
      </c>
      <c r="C475" t="s">
        <v>15169</v>
      </c>
      <c r="D475">
        <v>1.55E-2</v>
      </c>
      <c r="E475" t="s">
        <v>16044</v>
      </c>
      <c r="F475" t="s">
        <v>15314</v>
      </c>
    </row>
    <row r="476" spans="1:6" x14ac:dyDescent="0.3">
      <c r="A476" t="s">
        <v>16045</v>
      </c>
      <c r="B476">
        <v>16920</v>
      </c>
      <c r="C476" t="s">
        <v>15169</v>
      </c>
      <c r="D476">
        <v>1.55E-2</v>
      </c>
      <c r="E476" t="s">
        <v>16046</v>
      </c>
      <c r="F476" t="s">
        <v>15314</v>
      </c>
    </row>
    <row r="477" spans="1:6" x14ac:dyDescent="0.3">
      <c r="A477" t="s">
        <v>16047</v>
      </c>
      <c r="B477">
        <v>16920</v>
      </c>
      <c r="C477" t="s">
        <v>15169</v>
      </c>
      <c r="D477">
        <v>1.55E-2</v>
      </c>
      <c r="E477" t="s">
        <v>16048</v>
      </c>
      <c r="F477" t="s">
        <v>15314</v>
      </c>
    </row>
    <row r="478" spans="1:6" x14ac:dyDescent="0.3">
      <c r="A478" t="s">
        <v>16049</v>
      </c>
      <c r="B478">
        <v>990</v>
      </c>
      <c r="C478" t="s">
        <v>15312</v>
      </c>
      <c r="D478">
        <v>5.0999999999999997E-2</v>
      </c>
      <c r="E478" t="s">
        <v>16050</v>
      </c>
      <c r="F478" t="s">
        <v>15314</v>
      </c>
    </row>
    <row r="479" spans="1:6" x14ac:dyDescent="0.3">
      <c r="A479" t="s">
        <v>16051</v>
      </c>
      <c r="B479">
        <v>672</v>
      </c>
      <c r="C479" t="s">
        <v>15312</v>
      </c>
      <c r="D479">
        <v>5.0999999999999997E-2</v>
      </c>
      <c r="E479" t="s">
        <v>16052</v>
      </c>
      <c r="F479" t="s">
        <v>15314</v>
      </c>
    </row>
    <row r="480" spans="1:6" x14ac:dyDescent="0.3">
      <c r="A480" t="s">
        <v>16053</v>
      </c>
      <c r="B480">
        <v>672</v>
      </c>
      <c r="C480" t="s">
        <v>15312</v>
      </c>
      <c r="D480">
        <v>5.0999999999999997E-2</v>
      </c>
      <c r="E480" t="s">
        <v>16054</v>
      </c>
      <c r="F480" t="s">
        <v>15314</v>
      </c>
    </row>
    <row r="481" spans="1:6" x14ac:dyDescent="0.3">
      <c r="A481" t="s">
        <v>16055</v>
      </c>
      <c r="B481">
        <v>336</v>
      </c>
      <c r="C481" t="s">
        <v>15312</v>
      </c>
      <c r="D481">
        <v>5.0999999999999997E-2</v>
      </c>
      <c r="E481" t="s">
        <v>16056</v>
      </c>
      <c r="F481" t="s">
        <v>15314</v>
      </c>
    </row>
    <row r="482" spans="1:6" x14ac:dyDescent="0.3">
      <c r="A482" t="s">
        <v>16057</v>
      </c>
      <c r="B482">
        <v>990</v>
      </c>
      <c r="C482" t="s">
        <v>15312</v>
      </c>
      <c r="D482">
        <v>5.0999999999999997E-2</v>
      </c>
      <c r="E482" t="s">
        <v>16058</v>
      </c>
      <c r="F482" t="s">
        <v>15314</v>
      </c>
    </row>
    <row r="483" spans="1:6" x14ac:dyDescent="0.3">
      <c r="A483" t="s">
        <v>16059</v>
      </c>
      <c r="B483">
        <v>990</v>
      </c>
      <c r="C483" t="s">
        <v>15312</v>
      </c>
      <c r="D483">
        <v>5.0999999999999997E-2</v>
      </c>
      <c r="E483" t="s">
        <v>16060</v>
      </c>
      <c r="F483" t="s">
        <v>15314</v>
      </c>
    </row>
    <row r="484" spans="1:6" x14ac:dyDescent="0.3">
      <c r="A484" t="s">
        <v>16061</v>
      </c>
      <c r="B484">
        <v>990</v>
      </c>
      <c r="C484" t="s">
        <v>15312</v>
      </c>
      <c r="D484">
        <v>5.0999999999999997E-2</v>
      </c>
      <c r="E484" t="s">
        <v>16062</v>
      </c>
      <c r="F484" t="s">
        <v>15314</v>
      </c>
    </row>
    <row r="485" spans="1:6" x14ac:dyDescent="0.3">
      <c r="A485" t="s">
        <v>16063</v>
      </c>
      <c r="B485">
        <v>990</v>
      </c>
      <c r="C485" t="s">
        <v>15312</v>
      </c>
      <c r="D485">
        <v>5.0999999999999997E-2</v>
      </c>
      <c r="E485" t="s">
        <v>16064</v>
      </c>
      <c r="F485" t="s">
        <v>15314</v>
      </c>
    </row>
    <row r="486" spans="1:6" x14ac:dyDescent="0.3">
      <c r="A486" t="s">
        <v>16065</v>
      </c>
      <c r="B486">
        <v>990</v>
      </c>
      <c r="C486" t="s">
        <v>15312</v>
      </c>
      <c r="D486">
        <v>5.0999999999999997E-2</v>
      </c>
      <c r="E486" t="s">
        <v>16066</v>
      </c>
      <c r="F486" t="s">
        <v>15314</v>
      </c>
    </row>
    <row r="487" spans="1:6" x14ac:dyDescent="0.3">
      <c r="A487" t="s">
        <v>16067</v>
      </c>
      <c r="B487">
        <v>990</v>
      </c>
      <c r="C487" t="s">
        <v>15312</v>
      </c>
      <c r="D487">
        <v>5.0999999999999997E-2</v>
      </c>
      <c r="E487" t="s">
        <v>16068</v>
      </c>
      <c r="F487" t="s">
        <v>15314</v>
      </c>
    </row>
    <row r="488" spans="1:6" x14ac:dyDescent="0.3">
      <c r="A488" t="s">
        <v>16069</v>
      </c>
      <c r="B488">
        <v>990</v>
      </c>
      <c r="C488" t="s">
        <v>15312</v>
      </c>
      <c r="D488">
        <v>5.0999999999999997E-2</v>
      </c>
      <c r="E488" t="s">
        <v>16070</v>
      </c>
      <c r="F488" t="s">
        <v>15314</v>
      </c>
    </row>
    <row r="489" spans="1:6" x14ac:dyDescent="0.3">
      <c r="A489" t="s">
        <v>16071</v>
      </c>
      <c r="B489">
        <v>990</v>
      </c>
      <c r="C489" t="s">
        <v>15312</v>
      </c>
      <c r="D489">
        <v>5.0999999999999997E-2</v>
      </c>
      <c r="E489" t="s">
        <v>16072</v>
      </c>
      <c r="F489" t="s">
        <v>15314</v>
      </c>
    </row>
    <row r="490" spans="1:6" x14ac:dyDescent="0.3">
      <c r="A490" t="s">
        <v>16073</v>
      </c>
      <c r="B490">
        <v>990</v>
      </c>
      <c r="C490" t="s">
        <v>15312</v>
      </c>
      <c r="D490">
        <v>5.0999999999999997E-2</v>
      </c>
      <c r="E490" t="s">
        <v>16074</v>
      </c>
      <c r="F490" t="s">
        <v>15314</v>
      </c>
    </row>
    <row r="491" spans="1:6" x14ac:dyDescent="0.3">
      <c r="A491" t="s">
        <v>16075</v>
      </c>
      <c r="B491">
        <v>990</v>
      </c>
      <c r="C491" t="s">
        <v>15312</v>
      </c>
      <c r="D491">
        <v>5.0999999999999997E-2</v>
      </c>
      <c r="E491" t="s">
        <v>16076</v>
      </c>
      <c r="F491" t="s">
        <v>15314</v>
      </c>
    </row>
    <row r="492" spans="1:6" x14ac:dyDescent="0.3">
      <c r="A492" t="s">
        <v>16077</v>
      </c>
      <c r="B492">
        <v>990</v>
      </c>
      <c r="C492" t="s">
        <v>15312</v>
      </c>
      <c r="D492">
        <v>5.0999999999999997E-2</v>
      </c>
      <c r="E492" t="s">
        <v>16078</v>
      </c>
      <c r="F492" t="s">
        <v>15314</v>
      </c>
    </row>
    <row r="493" spans="1:6" x14ac:dyDescent="0.3">
      <c r="A493" t="s">
        <v>16079</v>
      </c>
      <c r="B493">
        <v>990</v>
      </c>
      <c r="C493" t="s">
        <v>15312</v>
      </c>
      <c r="D493">
        <v>5.0999999999999997E-2</v>
      </c>
      <c r="E493" t="s">
        <v>16080</v>
      </c>
      <c r="F493" t="s">
        <v>15314</v>
      </c>
    </row>
    <row r="494" spans="1:6" x14ac:dyDescent="0.3">
      <c r="A494" t="s">
        <v>16081</v>
      </c>
      <c r="B494">
        <v>990</v>
      </c>
      <c r="C494" t="s">
        <v>15312</v>
      </c>
      <c r="D494">
        <v>5.0999999999999997E-2</v>
      </c>
      <c r="E494" t="s">
        <v>16082</v>
      </c>
      <c r="F494" t="s">
        <v>15314</v>
      </c>
    </row>
    <row r="495" spans="1:6" x14ac:dyDescent="0.3">
      <c r="A495" t="s">
        <v>16083</v>
      </c>
      <c r="B495">
        <v>990</v>
      </c>
      <c r="C495" t="s">
        <v>15312</v>
      </c>
      <c r="D495">
        <v>5.0999999999999997E-2</v>
      </c>
      <c r="E495" t="s">
        <v>16084</v>
      </c>
      <c r="F495" t="s">
        <v>15314</v>
      </c>
    </row>
    <row r="496" spans="1:6" x14ac:dyDescent="0.3">
      <c r="A496" t="s">
        <v>16085</v>
      </c>
      <c r="B496">
        <v>990</v>
      </c>
      <c r="C496" t="s">
        <v>15312</v>
      </c>
      <c r="D496">
        <v>5.0999999999999997E-2</v>
      </c>
      <c r="E496" t="s">
        <v>16086</v>
      </c>
      <c r="F496" t="s">
        <v>15314</v>
      </c>
    </row>
    <row r="497" spans="1:6" x14ac:dyDescent="0.3">
      <c r="A497" t="s">
        <v>16087</v>
      </c>
      <c r="B497">
        <v>990</v>
      </c>
      <c r="C497" t="s">
        <v>15312</v>
      </c>
      <c r="D497">
        <v>5.0999999999999997E-2</v>
      </c>
      <c r="E497" t="s">
        <v>16088</v>
      </c>
      <c r="F497" t="s">
        <v>15314</v>
      </c>
    </row>
    <row r="498" spans="1:6" x14ac:dyDescent="0.3">
      <c r="A498" t="s">
        <v>16089</v>
      </c>
      <c r="B498">
        <v>990</v>
      </c>
      <c r="C498" t="s">
        <v>15312</v>
      </c>
      <c r="D498">
        <v>5.0999999999999997E-2</v>
      </c>
      <c r="E498" t="s">
        <v>16090</v>
      </c>
      <c r="F498" t="s">
        <v>15314</v>
      </c>
    </row>
    <row r="499" spans="1:6" x14ac:dyDescent="0.3">
      <c r="A499" t="s">
        <v>16091</v>
      </c>
      <c r="B499">
        <v>990</v>
      </c>
      <c r="C499" t="s">
        <v>15312</v>
      </c>
      <c r="D499">
        <v>5.0999999999999997E-2</v>
      </c>
      <c r="E499" t="s">
        <v>16092</v>
      </c>
      <c r="F499" t="s">
        <v>15314</v>
      </c>
    </row>
    <row r="500" spans="1:6" x14ac:dyDescent="0.3">
      <c r="A500" t="s">
        <v>16093</v>
      </c>
      <c r="B500">
        <v>990</v>
      </c>
      <c r="C500" t="s">
        <v>15312</v>
      </c>
      <c r="D500">
        <v>5.0999999999999997E-2</v>
      </c>
      <c r="E500" t="s">
        <v>16094</v>
      </c>
      <c r="F500" t="s">
        <v>15314</v>
      </c>
    </row>
    <row r="501" spans="1:6" x14ac:dyDescent="0.3">
      <c r="A501" t="s">
        <v>16095</v>
      </c>
      <c r="B501">
        <v>990</v>
      </c>
      <c r="C501" t="s">
        <v>15312</v>
      </c>
      <c r="D501">
        <v>5.0999999999999997E-2</v>
      </c>
      <c r="E501" t="s">
        <v>16096</v>
      </c>
      <c r="F501" t="s">
        <v>15314</v>
      </c>
    </row>
    <row r="502" spans="1:6" x14ac:dyDescent="0.3">
      <c r="A502" t="s">
        <v>16097</v>
      </c>
      <c r="B502">
        <v>990</v>
      </c>
      <c r="C502" t="s">
        <v>15312</v>
      </c>
      <c r="D502">
        <v>5.0999999999999997E-2</v>
      </c>
      <c r="E502" t="s">
        <v>16098</v>
      </c>
      <c r="F502" t="s">
        <v>15314</v>
      </c>
    </row>
    <row r="503" spans="1:6" x14ac:dyDescent="0.3">
      <c r="A503" t="s">
        <v>16099</v>
      </c>
      <c r="B503">
        <v>990</v>
      </c>
      <c r="C503" t="s">
        <v>15312</v>
      </c>
      <c r="D503">
        <v>5.0999999999999997E-2</v>
      </c>
      <c r="E503" t="s">
        <v>16100</v>
      </c>
      <c r="F503" t="s">
        <v>15314</v>
      </c>
    </row>
    <row r="504" spans="1:6" x14ac:dyDescent="0.3">
      <c r="A504" t="s">
        <v>16101</v>
      </c>
      <c r="B504">
        <v>990</v>
      </c>
      <c r="C504" t="s">
        <v>15312</v>
      </c>
      <c r="D504">
        <v>5.0999999999999997E-2</v>
      </c>
      <c r="E504" t="s">
        <v>16102</v>
      </c>
      <c r="F504" t="s">
        <v>15314</v>
      </c>
    </row>
    <row r="505" spans="1:6" x14ac:dyDescent="0.3">
      <c r="A505" t="s">
        <v>16103</v>
      </c>
      <c r="B505">
        <v>990</v>
      </c>
      <c r="C505" t="s">
        <v>15312</v>
      </c>
      <c r="D505">
        <v>5.0999999999999997E-2</v>
      </c>
      <c r="E505" t="s">
        <v>16104</v>
      </c>
      <c r="F505" t="s">
        <v>15314</v>
      </c>
    </row>
    <row r="506" spans="1:6" x14ac:dyDescent="0.3">
      <c r="A506" t="s">
        <v>16105</v>
      </c>
      <c r="B506">
        <v>990</v>
      </c>
      <c r="C506" t="s">
        <v>15312</v>
      </c>
      <c r="D506">
        <v>5.0999999999999997E-2</v>
      </c>
      <c r="E506" t="s">
        <v>16106</v>
      </c>
      <c r="F506" t="s">
        <v>15314</v>
      </c>
    </row>
    <row r="507" spans="1:6" x14ac:dyDescent="0.3">
      <c r="A507" t="s">
        <v>16107</v>
      </c>
      <c r="B507">
        <v>990</v>
      </c>
      <c r="C507" t="s">
        <v>15312</v>
      </c>
      <c r="D507">
        <v>5.0999999999999997E-2</v>
      </c>
      <c r="E507" t="s">
        <v>16108</v>
      </c>
      <c r="F507" t="s">
        <v>15314</v>
      </c>
    </row>
    <row r="508" spans="1:6" x14ac:dyDescent="0.3">
      <c r="A508" t="s">
        <v>16109</v>
      </c>
      <c r="B508">
        <v>990</v>
      </c>
      <c r="C508" t="s">
        <v>15312</v>
      </c>
      <c r="D508">
        <v>5.0999999999999997E-2</v>
      </c>
      <c r="E508" t="s">
        <v>16110</v>
      </c>
      <c r="F508" t="s">
        <v>15314</v>
      </c>
    </row>
    <row r="509" spans="1:6" x14ac:dyDescent="0.3">
      <c r="A509" t="s">
        <v>16111</v>
      </c>
      <c r="B509">
        <v>990</v>
      </c>
      <c r="C509" t="s">
        <v>15312</v>
      </c>
      <c r="D509">
        <v>5.0999999999999997E-2</v>
      </c>
      <c r="E509" t="s">
        <v>16112</v>
      </c>
      <c r="F509" t="s">
        <v>15314</v>
      </c>
    </row>
    <row r="510" spans="1:6" x14ac:dyDescent="0.3">
      <c r="A510" t="s">
        <v>16113</v>
      </c>
      <c r="B510">
        <v>990</v>
      </c>
      <c r="C510" t="s">
        <v>15312</v>
      </c>
      <c r="D510">
        <v>5.0999999999999997E-2</v>
      </c>
      <c r="E510" t="s">
        <v>16114</v>
      </c>
      <c r="F510" t="s">
        <v>15314</v>
      </c>
    </row>
    <row r="511" spans="1:6" x14ac:dyDescent="0.3">
      <c r="A511" t="s">
        <v>16115</v>
      </c>
      <c r="B511">
        <v>990</v>
      </c>
      <c r="C511" t="s">
        <v>15312</v>
      </c>
      <c r="D511">
        <v>5.0999999999999997E-2</v>
      </c>
      <c r="E511" t="s">
        <v>16116</v>
      </c>
      <c r="F511" t="s">
        <v>15314</v>
      </c>
    </row>
    <row r="512" spans="1:6" x14ac:dyDescent="0.3">
      <c r="A512" t="s">
        <v>16117</v>
      </c>
      <c r="B512">
        <v>990</v>
      </c>
      <c r="C512" t="s">
        <v>15312</v>
      </c>
      <c r="D512">
        <v>5.0999999999999997E-2</v>
      </c>
      <c r="E512" t="s">
        <v>16118</v>
      </c>
      <c r="F512" t="s">
        <v>15314</v>
      </c>
    </row>
    <row r="513" spans="1:6" x14ac:dyDescent="0.3">
      <c r="A513" t="s">
        <v>16119</v>
      </c>
      <c r="B513">
        <v>990</v>
      </c>
      <c r="C513" t="s">
        <v>15312</v>
      </c>
      <c r="D513">
        <v>5.0999999999999997E-2</v>
      </c>
      <c r="E513" t="s">
        <v>16120</v>
      </c>
      <c r="F513" t="s">
        <v>15314</v>
      </c>
    </row>
    <row r="514" spans="1:6" x14ac:dyDescent="0.3">
      <c r="A514" t="s">
        <v>16121</v>
      </c>
      <c r="B514">
        <v>990</v>
      </c>
      <c r="C514" t="s">
        <v>15312</v>
      </c>
      <c r="D514">
        <v>5.0999999999999997E-2</v>
      </c>
      <c r="E514" t="s">
        <v>16122</v>
      </c>
      <c r="F514" t="s">
        <v>15314</v>
      </c>
    </row>
    <row r="515" spans="1:6" x14ac:dyDescent="0.3">
      <c r="A515" t="s">
        <v>16123</v>
      </c>
      <c r="B515">
        <v>990</v>
      </c>
      <c r="C515" t="s">
        <v>15312</v>
      </c>
      <c r="D515">
        <v>5.0999999999999997E-2</v>
      </c>
      <c r="E515" t="s">
        <v>16124</v>
      </c>
      <c r="F515" t="s">
        <v>15314</v>
      </c>
    </row>
    <row r="516" spans="1:6" x14ac:dyDescent="0.3">
      <c r="A516" t="s">
        <v>16125</v>
      </c>
      <c r="B516">
        <v>990</v>
      </c>
      <c r="C516" t="s">
        <v>15312</v>
      </c>
      <c r="D516">
        <v>5.0999999999999997E-2</v>
      </c>
      <c r="E516" t="s">
        <v>16126</v>
      </c>
      <c r="F516" t="s">
        <v>15314</v>
      </c>
    </row>
    <row r="517" spans="1:6" x14ac:dyDescent="0.3">
      <c r="A517" t="s">
        <v>16127</v>
      </c>
      <c r="B517">
        <v>990</v>
      </c>
      <c r="C517" t="s">
        <v>15312</v>
      </c>
      <c r="D517">
        <v>5.0999999999999997E-2</v>
      </c>
      <c r="E517" t="s">
        <v>16128</v>
      </c>
      <c r="F517" t="s">
        <v>15314</v>
      </c>
    </row>
    <row r="518" spans="1:6" x14ac:dyDescent="0.3">
      <c r="A518" t="s">
        <v>16129</v>
      </c>
      <c r="B518">
        <v>990</v>
      </c>
      <c r="C518" t="s">
        <v>15312</v>
      </c>
      <c r="D518">
        <v>5.0999999999999997E-2</v>
      </c>
      <c r="E518" t="s">
        <v>16130</v>
      </c>
      <c r="F518" t="s">
        <v>15314</v>
      </c>
    </row>
    <row r="519" spans="1:6" x14ac:dyDescent="0.3">
      <c r="A519" t="s">
        <v>16131</v>
      </c>
      <c r="B519">
        <v>990</v>
      </c>
      <c r="C519" t="s">
        <v>15312</v>
      </c>
      <c r="D519">
        <v>5.0999999999999997E-2</v>
      </c>
      <c r="E519" t="s">
        <v>16132</v>
      </c>
      <c r="F519" t="s">
        <v>15314</v>
      </c>
    </row>
    <row r="520" spans="1:6" x14ac:dyDescent="0.3">
      <c r="A520" t="s">
        <v>16133</v>
      </c>
      <c r="B520">
        <v>990</v>
      </c>
      <c r="C520" t="s">
        <v>15312</v>
      </c>
      <c r="D520">
        <v>5.0999999999999997E-2</v>
      </c>
      <c r="E520" t="s">
        <v>16134</v>
      </c>
      <c r="F520" t="s">
        <v>15314</v>
      </c>
    </row>
    <row r="521" spans="1:6" x14ac:dyDescent="0.3">
      <c r="A521" t="s">
        <v>16135</v>
      </c>
      <c r="B521">
        <v>990</v>
      </c>
      <c r="C521" t="s">
        <v>15312</v>
      </c>
      <c r="D521">
        <v>5.0999999999999997E-2</v>
      </c>
      <c r="E521" t="s">
        <v>16136</v>
      </c>
      <c r="F521" t="s">
        <v>15314</v>
      </c>
    </row>
    <row r="522" spans="1:6" x14ac:dyDescent="0.3">
      <c r="A522" t="s">
        <v>16137</v>
      </c>
      <c r="B522">
        <v>990</v>
      </c>
      <c r="C522" t="s">
        <v>15312</v>
      </c>
      <c r="D522">
        <v>5.0999999999999997E-2</v>
      </c>
      <c r="E522" t="s">
        <v>16138</v>
      </c>
      <c r="F522" t="s">
        <v>15314</v>
      </c>
    </row>
    <row r="523" spans="1:6" x14ac:dyDescent="0.3">
      <c r="A523" t="s">
        <v>16139</v>
      </c>
      <c r="B523">
        <v>990</v>
      </c>
      <c r="C523" t="s">
        <v>15312</v>
      </c>
      <c r="D523">
        <v>5.0999999999999997E-2</v>
      </c>
      <c r="E523" t="s">
        <v>16140</v>
      </c>
      <c r="F523" t="s">
        <v>15314</v>
      </c>
    </row>
    <row r="524" spans="1:6" x14ac:dyDescent="0.3">
      <c r="A524" t="s">
        <v>16141</v>
      </c>
      <c r="B524">
        <v>990</v>
      </c>
      <c r="C524" t="s">
        <v>15312</v>
      </c>
      <c r="D524">
        <v>5.0999999999999997E-2</v>
      </c>
      <c r="E524" t="s">
        <v>16142</v>
      </c>
      <c r="F524" t="s">
        <v>15314</v>
      </c>
    </row>
    <row r="525" spans="1:6" x14ac:dyDescent="0.3">
      <c r="A525" t="s">
        <v>16143</v>
      </c>
      <c r="B525">
        <v>990</v>
      </c>
      <c r="C525" t="s">
        <v>15312</v>
      </c>
      <c r="D525">
        <v>5.0999999999999997E-2</v>
      </c>
      <c r="E525" t="s">
        <v>16144</v>
      </c>
      <c r="F525" t="s">
        <v>15314</v>
      </c>
    </row>
    <row r="526" spans="1:6" x14ac:dyDescent="0.3">
      <c r="A526" t="s">
        <v>16145</v>
      </c>
      <c r="B526">
        <v>990</v>
      </c>
      <c r="C526" t="s">
        <v>15312</v>
      </c>
      <c r="D526">
        <v>5.0999999999999997E-2</v>
      </c>
      <c r="E526" t="s">
        <v>16146</v>
      </c>
      <c r="F526" t="s">
        <v>15314</v>
      </c>
    </row>
    <row r="527" spans="1:6" x14ac:dyDescent="0.3">
      <c r="A527" t="s">
        <v>16147</v>
      </c>
      <c r="B527">
        <v>990</v>
      </c>
      <c r="C527" t="s">
        <v>15312</v>
      </c>
      <c r="D527">
        <v>5.0999999999999997E-2</v>
      </c>
      <c r="E527" t="s">
        <v>16148</v>
      </c>
      <c r="F527" t="s">
        <v>15314</v>
      </c>
    </row>
    <row r="528" spans="1:6" x14ac:dyDescent="0.3">
      <c r="A528" t="s">
        <v>16149</v>
      </c>
      <c r="B528">
        <v>990</v>
      </c>
      <c r="C528" t="s">
        <v>15312</v>
      </c>
      <c r="D528">
        <v>5.0999999999999997E-2</v>
      </c>
      <c r="E528" t="s">
        <v>16150</v>
      </c>
      <c r="F528" t="s">
        <v>15314</v>
      </c>
    </row>
    <row r="529" spans="1:6" x14ac:dyDescent="0.3">
      <c r="A529" t="s">
        <v>16151</v>
      </c>
      <c r="B529">
        <v>990</v>
      </c>
      <c r="C529" t="s">
        <v>15312</v>
      </c>
      <c r="D529">
        <v>5.0999999999999997E-2</v>
      </c>
      <c r="E529" t="s">
        <v>16152</v>
      </c>
      <c r="F529" t="s">
        <v>15314</v>
      </c>
    </row>
    <row r="530" spans="1:6" x14ac:dyDescent="0.3">
      <c r="A530" t="s">
        <v>16153</v>
      </c>
      <c r="B530">
        <v>990</v>
      </c>
      <c r="C530" t="s">
        <v>15312</v>
      </c>
      <c r="D530">
        <v>5.0999999999999997E-2</v>
      </c>
      <c r="E530" t="s">
        <v>16154</v>
      </c>
      <c r="F530" t="s">
        <v>15314</v>
      </c>
    </row>
    <row r="531" spans="1:6" x14ac:dyDescent="0.3">
      <c r="A531" t="s">
        <v>16155</v>
      </c>
      <c r="B531">
        <v>990</v>
      </c>
      <c r="C531" t="s">
        <v>15312</v>
      </c>
      <c r="D531">
        <v>5.0999999999999997E-2</v>
      </c>
      <c r="E531" t="s">
        <v>16156</v>
      </c>
      <c r="F531" t="s">
        <v>15314</v>
      </c>
    </row>
    <row r="532" spans="1:6" x14ac:dyDescent="0.3">
      <c r="A532" t="s">
        <v>16157</v>
      </c>
      <c r="B532">
        <v>990</v>
      </c>
      <c r="C532" t="s">
        <v>15312</v>
      </c>
      <c r="D532">
        <v>5.0999999999999997E-2</v>
      </c>
      <c r="E532" t="s">
        <v>16158</v>
      </c>
      <c r="F532" t="s">
        <v>15314</v>
      </c>
    </row>
    <row r="533" spans="1:6" x14ac:dyDescent="0.3">
      <c r="A533" t="s">
        <v>16159</v>
      </c>
      <c r="B533">
        <v>990</v>
      </c>
      <c r="C533" t="s">
        <v>15312</v>
      </c>
      <c r="D533">
        <v>5.0999999999999997E-2</v>
      </c>
      <c r="E533" t="s">
        <v>16160</v>
      </c>
      <c r="F533" t="s">
        <v>15314</v>
      </c>
    </row>
    <row r="534" spans="1:6" x14ac:dyDescent="0.3">
      <c r="A534" t="s">
        <v>16161</v>
      </c>
      <c r="B534">
        <v>990</v>
      </c>
      <c r="C534" t="s">
        <v>15312</v>
      </c>
      <c r="D534">
        <v>5.0999999999999997E-2</v>
      </c>
      <c r="E534" t="s">
        <v>16162</v>
      </c>
      <c r="F534" t="s">
        <v>15314</v>
      </c>
    </row>
    <row r="535" spans="1:6" x14ac:dyDescent="0.3">
      <c r="A535" t="s">
        <v>16163</v>
      </c>
      <c r="B535">
        <v>990</v>
      </c>
      <c r="C535" t="s">
        <v>15312</v>
      </c>
      <c r="D535">
        <v>5.0999999999999997E-2</v>
      </c>
      <c r="E535" t="s">
        <v>16164</v>
      </c>
      <c r="F535" t="s">
        <v>15314</v>
      </c>
    </row>
    <row r="536" spans="1:6" x14ac:dyDescent="0.3">
      <c r="A536" t="s">
        <v>16165</v>
      </c>
      <c r="B536">
        <v>672</v>
      </c>
      <c r="C536" t="s">
        <v>15312</v>
      </c>
      <c r="D536">
        <v>5.0999999999999997E-2</v>
      </c>
      <c r="E536" t="s">
        <v>16166</v>
      </c>
      <c r="F536" t="s">
        <v>15314</v>
      </c>
    </row>
    <row r="537" spans="1:6" x14ac:dyDescent="0.3">
      <c r="A537" t="s">
        <v>16167</v>
      </c>
      <c r="B537">
        <v>672</v>
      </c>
      <c r="C537" t="s">
        <v>15312</v>
      </c>
      <c r="D537">
        <v>5.0999999999999997E-2</v>
      </c>
      <c r="E537" t="s">
        <v>16168</v>
      </c>
      <c r="F537" t="s">
        <v>15314</v>
      </c>
    </row>
    <row r="538" spans="1:6" x14ac:dyDescent="0.3">
      <c r="A538" t="s">
        <v>16169</v>
      </c>
      <c r="B538">
        <v>672</v>
      </c>
      <c r="C538" t="s">
        <v>15312</v>
      </c>
      <c r="D538">
        <v>5.0999999999999997E-2</v>
      </c>
      <c r="E538" t="s">
        <v>16170</v>
      </c>
      <c r="F538" t="s">
        <v>15314</v>
      </c>
    </row>
    <row r="539" spans="1:6" x14ac:dyDescent="0.3">
      <c r="A539" t="s">
        <v>16171</v>
      </c>
      <c r="B539">
        <v>672</v>
      </c>
      <c r="C539" t="s">
        <v>15312</v>
      </c>
      <c r="D539">
        <v>5.0999999999999997E-2</v>
      </c>
      <c r="E539" t="s">
        <v>16172</v>
      </c>
      <c r="F539" t="s">
        <v>15314</v>
      </c>
    </row>
    <row r="540" spans="1:6" x14ac:dyDescent="0.3">
      <c r="A540" t="s">
        <v>16173</v>
      </c>
      <c r="B540">
        <v>672</v>
      </c>
      <c r="C540" t="s">
        <v>15312</v>
      </c>
      <c r="D540">
        <v>5.0999999999999997E-2</v>
      </c>
      <c r="E540" t="s">
        <v>16174</v>
      </c>
      <c r="F540" t="s">
        <v>15314</v>
      </c>
    </row>
    <row r="541" spans="1:6" x14ac:dyDescent="0.3">
      <c r="A541" t="s">
        <v>16175</v>
      </c>
      <c r="B541">
        <v>672</v>
      </c>
      <c r="C541" t="s">
        <v>15312</v>
      </c>
      <c r="D541">
        <v>5.0999999999999997E-2</v>
      </c>
      <c r="E541" t="s">
        <v>16176</v>
      </c>
      <c r="F541" t="s">
        <v>15314</v>
      </c>
    </row>
    <row r="542" spans="1:6" x14ac:dyDescent="0.3">
      <c r="A542" t="s">
        <v>16177</v>
      </c>
      <c r="B542">
        <v>672</v>
      </c>
      <c r="C542" t="s">
        <v>15312</v>
      </c>
      <c r="D542">
        <v>5.0999999999999997E-2</v>
      </c>
      <c r="E542" t="s">
        <v>16178</v>
      </c>
      <c r="F542" t="s">
        <v>15314</v>
      </c>
    </row>
    <row r="543" spans="1:6" x14ac:dyDescent="0.3">
      <c r="A543" t="s">
        <v>16179</v>
      </c>
      <c r="B543">
        <v>672</v>
      </c>
      <c r="C543" t="s">
        <v>15312</v>
      </c>
      <c r="D543">
        <v>5.0999999999999997E-2</v>
      </c>
      <c r="E543" t="s">
        <v>16180</v>
      </c>
      <c r="F543" t="s">
        <v>15314</v>
      </c>
    </row>
    <row r="544" spans="1:6" x14ac:dyDescent="0.3">
      <c r="A544" t="s">
        <v>16181</v>
      </c>
      <c r="B544">
        <v>672</v>
      </c>
      <c r="C544" t="s">
        <v>15312</v>
      </c>
      <c r="D544">
        <v>5.0999999999999997E-2</v>
      </c>
      <c r="E544" t="s">
        <v>16182</v>
      </c>
      <c r="F544" t="s">
        <v>15314</v>
      </c>
    </row>
    <row r="545" spans="1:6" x14ac:dyDescent="0.3">
      <c r="A545" t="s">
        <v>16183</v>
      </c>
      <c r="B545">
        <v>672</v>
      </c>
      <c r="C545" t="s">
        <v>15312</v>
      </c>
      <c r="D545">
        <v>5.0999999999999997E-2</v>
      </c>
      <c r="E545" t="s">
        <v>16184</v>
      </c>
      <c r="F545" t="s">
        <v>15314</v>
      </c>
    </row>
    <row r="546" spans="1:6" x14ac:dyDescent="0.3">
      <c r="A546" t="s">
        <v>16185</v>
      </c>
      <c r="B546">
        <v>672</v>
      </c>
      <c r="C546" t="s">
        <v>15312</v>
      </c>
      <c r="D546">
        <v>5.0999999999999997E-2</v>
      </c>
      <c r="E546" t="s">
        <v>16186</v>
      </c>
      <c r="F546" t="s">
        <v>15314</v>
      </c>
    </row>
    <row r="547" spans="1:6" x14ac:dyDescent="0.3">
      <c r="A547" t="s">
        <v>16187</v>
      </c>
      <c r="B547">
        <v>672</v>
      </c>
      <c r="C547" t="s">
        <v>15312</v>
      </c>
      <c r="D547">
        <v>5.0999999999999997E-2</v>
      </c>
      <c r="E547" t="s">
        <v>16188</v>
      </c>
      <c r="F547" t="s">
        <v>15314</v>
      </c>
    </row>
    <row r="548" spans="1:6" x14ac:dyDescent="0.3">
      <c r="A548" t="s">
        <v>16189</v>
      </c>
      <c r="B548">
        <v>672</v>
      </c>
      <c r="C548" t="s">
        <v>15312</v>
      </c>
      <c r="D548">
        <v>5.0999999999999997E-2</v>
      </c>
      <c r="E548" t="s">
        <v>16190</v>
      </c>
      <c r="F548" t="s">
        <v>15314</v>
      </c>
    </row>
    <row r="549" spans="1:6" x14ac:dyDescent="0.3">
      <c r="A549" t="s">
        <v>16191</v>
      </c>
      <c r="B549">
        <v>672</v>
      </c>
      <c r="C549" t="s">
        <v>15312</v>
      </c>
      <c r="D549">
        <v>5.0999999999999997E-2</v>
      </c>
      <c r="E549" t="s">
        <v>16192</v>
      </c>
      <c r="F549" t="s">
        <v>15314</v>
      </c>
    </row>
    <row r="550" spans="1:6" x14ac:dyDescent="0.3">
      <c r="A550" t="s">
        <v>16193</v>
      </c>
      <c r="B550">
        <v>672</v>
      </c>
      <c r="C550" t="s">
        <v>15312</v>
      </c>
      <c r="D550">
        <v>5.0999999999999997E-2</v>
      </c>
      <c r="E550" t="s">
        <v>16194</v>
      </c>
      <c r="F550" t="s">
        <v>15314</v>
      </c>
    </row>
    <row r="551" spans="1:6" x14ac:dyDescent="0.3">
      <c r="A551" t="s">
        <v>16195</v>
      </c>
      <c r="B551">
        <v>672</v>
      </c>
      <c r="C551" t="s">
        <v>15312</v>
      </c>
      <c r="D551">
        <v>5.0999999999999997E-2</v>
      </c>
      <c r="E551" t="s">
        <v>16196</v>
      </c>
      <c r="F551" t="s">
        <v>15314</v>
      </c>
    </row>
    <row r="552" spans="1:6" x14ac:dyDescent="0.3">
      <c r="A552" t="s">
        <v>16197</v>
      </c>
      <c r="B552">
        <v>672</v>
      </c>
      <c r="C552" t="s">
        <v>15312</v>
      </c>
      <c r="D552">
        <v>5.0999999999999997E-2</v>
      </c>
      <c r="E552" t="s">
        <v>16198</v>
      </c>
      <c r="F552" t="s">
        <v>15314</v>
      </c>
    </row>
    <row r="553" spans="1:6" x14ac:dyDescent="0.3">
      <c r="A553" t="s">
        <v>16199</v>
      </c>
      <c r="B553">
        <v>672</v>
      </c>
      <c r="C553" t="s">
        <v>15312</v>
      </c>
      <c r="D553">
        <v>5.0999999999999997E-2</v>
      </c>
      <c r="E553" t="s">
        <v>16200</v>
      </c>
      <c r="F553" t="s">
        <v>15314</v>
      </c>
    </row>
    <row r="554" spans="1:6" x14ac:dyDescent="0.3">
      <c r="A554" t="s">
        <v>16201</v>
      </c>
      <c r="B554">
        <v>672</v>
      </c>
      <c r="C554" t="s">
        <v>15312</v>
      </c>
      <c r="D554">
        <v>5.0999999999999997E-2</v>
      </c>
      <c r="E554" t="s">
        <v>16202</v>
      </c>
      <c r="F554" t="s">
        <v>15314</v>
      </c>
    </row>
    <row r="555" spans="1:6" x14ac:dyDescent="0.3">
      <c r="A555" t="s">
        <v>16203</v>
      </c>
      <c r="B555">
        <v>672</v>
      </c>
      <c r="C555" t="s">
        <v>15312</v>
      </c>
      <c r="D555">
        <v>5.0999999999999997E-2</v>
      </c>
      <c r="E555" t="s">
        <v>16204</v>
      </c>
      <c r="F555" t="s">
        <v>15314</v>
      </c>
    </row>
    <row r="556" spans="1:6" x14ac:dyDescent="0.3">
      <c r="A556" t="s">
        <v>16205</v>
      </c>
      <c r="B556">
        <v>672</v>
      </c>
      <c r="C556" t="s">
        <v>15312</v>
      </c>
      <c r="D556">
        <v>5.0999999999999997E-2</v>
      </c>
      <c r="E556" t="s">
        <v>16206</v>
      </c>
      <c r="F556" t="s">
        <v>15314</v>
      </c>
    </row>
    <row r="557" spans="1:6" x14ac:dyDescent="0.3">
      <c r="A557" t="s">
        <v>16207</v>
      </c>
      <c r="B557">
        <v>672</v>
      </c>
      <c r="C557" t="s">
        <v>15312</v>
      </c>
      <c r="D557">
        <v>5.0999999999999997E-2</v>
      </c>
      <c r="E557" t="s">
        <v>16208</v>
      </c>
      <c r="F557" t="s">
        <v>15314</v>
      </c>
    </row>
    <row r="558" spans="1:6" x14ac:dyDescent="0.3">
      <c r="A558" t="s">
        <v>16209</v>
      </c>
      <c r="B558">
        <v>672</v>
      </c>
      <c r="C558" t="s">
        <v>15312</v>
      </c>
      <c r="D558">
        <v>5.0999999999999997E-2</v>
      </c>
      <c r="E558" t="s">
        <v>16210</v>
      </c>
      <c r="F558" t="s">
        <v>15314</v>
      </c>
    </row>
    <row r="559" spans="1:6" x14ac:dyDescent="0.3">
      <c r="A559" t="s">
        <v>16211</v>
      </c>
      <c r="B559">
        <v>672</v>
      </c>
      <c r="C559" t="s">
        <v>15312</v>
      </c>
      <c r="D559">
        <v>5.0999999999999997E-2</v>
      </c>
      <c r="E559" t="s">
        <v>16212</v>
      </c>
      <c r="F559" t="s">
        <v>15314</v>
      </c>
    </row>
    <row r="560" spans="1:6" x14ac:dyDescent="0.3">
      <c r="A560" t="s">
        <v>16213</v>
      </c>
      <c r="B560">
        <v>672</v>
      </c>
      <c r="C560" t="s">
        <v>15312</v>
      </c>
      <c r="D560">
        <v>5.0999999999999997E-2</v>
      </c>
      <c r="E560" t="s">
        <v>16214</v>
      </c>
      <c r="F560" t="s">
        <v>15314</v>
      </c>
    </row>
    <row r="561" spans="1:6" x14ac:dyDescent="0.3">
      <c r="A561" t="s">
        <v>16215</v>
      </c>
      <c r="B561">
        <v>672</v>
      </c>
      <c r="C561" t="s">
        <v>15312</v>
      </c>
      <c r="D561">
        <v>5.0999999999999997E-2</v>
      </c>
      <c r="E561" t="s">
        <v>16216</v>
      </c>
      <c r="F561" t="s">
        <v>15314</v>
      </c>
    </row>
    <row r="562" spans="1:6" x14ac:dyDescent="0.3">
      <c r="A562" t="s">
        <v>16217</v>
      </c>
      <c r="B562">
        <v>672</v>
      </c>
      <c r="C562" t="s">
        <v>15312</v>
      </c>
      <c r="D562">
        <v>5.0999999999999997E-2</v>
      </c>
      <c r="E562" t="s">
        <v>16218</v>
      </c>
      <c r="F562" t="s">
        <v>15314</v>
      </c>
    </row>
    <row r="563" spans="1:6" x14ac:dyDescent="0.3">
      <c r="A563" t="s">
        <v>16219</v>
      </c>
      <c r="B563">
        <v>672</v>
      </c>
      <c r="C563" t="s">
        <v>15312</v>
      </c>
      <c r="D563">
        <v>5.0999999999999997E-2</v>
      </c>
      <c r="E563" t="s">
        <v>16220</v>
      </c>
      <c r="F563" t="s">
        <v>15314</v>
      </c>
    </row>
    <row r="564" spans="1:6" x14ac:dyDescent="0.3">
      <c r="A564" t="s">
        <v>16221</v>
      </c>
      <c r="B564">
        <v>672</v>
      </c>
      <c r="C564" t="s">
        <v>15312</v>
      </c>
      <c r="D564">
        <v>5.0999999999999997E-2</v>
      </c>
      <c r="E564" t="s">
        <v>16222</v>
      </c>
      <c r="F564" t="s">
        <v>15314</v>
      </c>
    </row>
    <row r="565" spans="1:6" x14ac:dyDescent="0.3">
      <c r="A565" t="s">
        <v>16223</v>
      </c>
      <c r="B565">
        <v>672</v>
      </c>
      <c r="C565" t="s">
        <v>15312</v>
      </c>
      <c r="D565">
        <v>5.0999999999999997E-2</v>
      </c>
      <c r="E565" t="s">
        <v>16224</v>
      </c>
      <c r="F565" t="s">
        <v>15314</v>
      </c>
    </row>
    <row r="566" spans="1:6" x14ac:dyDescent="0.3">
      <c r="A566" t="s">
        <v>16225</v>
      </c>
      <c r="B566">
        <v>672</v>
      </c>
      <c r="C566" t="s">
        <v>15312</v>
      </c>
      <c r="D566">
        <v>5.0999999999999997E-2</v>
      </c>
      <c r="E566" t="s">
        <v>16226</v>
      </c>
      <c r="F566" t="s">
        <v>15314</v>
      </c>
    </row>
    <row r="567" spans="1:6" x14ac:dyDescent="0.3">
      <c r="A567" t="s">
        <v>16227</v>
      </c>
      <c r="B567">
        <v>672</v>
      </c>
      <c r="C567" t="s">
        <v>15312</v>
      </c>
      <c r="D567">
        <v>5.0999999999999997E-2</v>
      </c>
      <c r="E567" t="s">
        <v>16228</v>
      </c>
      <c r="F567" t="s">
        <v>15314</v>
      </c>
    </row>
    <row r="568" spans="1:6" x14ac:dyDescent="0.3">
      <c r="A568" t="s">
        <v>16229</v>
      </c>
      <c r="B568">
        <v>672</v>
      </c>
      <c r="C568" t="s">
        <v>15312</v>
      </c>
      <c r="D568">
        <v>5.0999999999999997E-2</v>
      </c>
      <c r="E568" t="s">
        <v>16230</v>
      </c>
      <c r="F568" t="s">
        <v>15314</v>
      </c>
    </row>
    <row r="569" spans="1:6" x14ac:dyDescent="0.3">
      <c r="A569" t="s">
        <v>16231</v>
      </c>
      <c r="B569">
        <v>672</v>
      </c>
      <c r="C569" t="s">
        <v>15312</v>
      </c>
      <c r="D569">
        <v>5.0999999999999997E-2</v>
      </c>
      <c r="E569" t="s">
        <v>16232</v>
      </c>
      <c r="F569" t="s">
        <v>15314</v>
      </c>
    </row>
    <row r="570" spans="1:6" x14ac:dyDescent="0.3">
      <c r="A570" t="s">
        <v>16233</v>
      </c>
      <c r="B570">
        <v>672</v>
      </c>
      <c r="C570" t="s">
        <v>15312</v>
      </c>
      <c r="D570">
        <v>5.0999999999999997E-2</v>
      </c>
      <c r="E570" t="s">
        <v>16234</v>
      </c>
      <c r="F570" t="s">
        <v>15314</v>
      </c>
    </row>
    <row r="571" spans="1:6" x14ac:dyDescent="0.3">
      <c r="A571" t="s">
        <v>16235</v>
      </c>
      <c r="B571">
        <v>672</v>
      </c>
      <c r="C571" t="s">
        <v>15312</v>
      </c>
      <c r="D571">
        <v>5.0999999999999997E-2</v>
      </c>
      <c r="E571" t="s">
        <v>16236</v>
      </c>
      <c r="F571" t="s">
        <v>15314</v>
      </c>
    </row>
    <row r="572" spans="1:6" x14ac:dyDescent="0.3">
      <c r="A572" t="s">
        <v>16237</v>
      </c>
      <c r="B572">
        <v>672</v>
      </c>
      <c r="C572" t="s">
        <v>15312</v>
      </c>
      <c r="D572">
        <v>5.0999999999999997E-2</v>
      </c>
      <c r="E572" t="s">
        <v>16238</v>
      </c>
      <c r="F572" t="s">
        <v>15314</v>
      </c>
    </row>
    <row r="573" spans="1:6" x14ac:dyDescent="0.3">
      <c r="A573" t="s">
        <v>16239</v>
      </c>
      <c r="B573">
        <v>672</v>
      </c>
      <c r="C573" t="s">
        <v>15312</v>
      </c>
      <c r="D573">
        <v>5.0999999999999997E-2</v>
      </c>
      <c r="E573" t="s">
        <v>16240</v>
      </c>
      <c r="F573" t="s">
        <v>15314</v>
      </c>
    </row>
    <row r="574" spans="1:6" x14ac:dyDescent="0.3">
      <c r="A574" t="s">
        <v>16241</v>
      </c>
      <c r="B574">
        <v>672</v>
      </c>
      <c r="C574" t="s">
        <v>15312</v>
      </c>
      <c r="D574">
        <v>5.0999999999999997E-2</v>
      </c>
      <c r="E574" t="s">
        <v>16242</v>
      </c>
      <c r="F574" t="s">
        <v>15314</v>
      </c>
    </row>
    <row r="575" spans="1:6" x14ac:dyDescent="0.3">
      <c r="A575" t="s">
        <v>16243</v>
      </c>
      <c r="B575">
        <v>672</v>
      </c>
      <c r="C575" t="s">
        <v>15312</v>
      </c>
      <c r="D575">
        <v>5.0999999999999997E-2</v>
      </c>
      <c r="E575" t="s">
        <v>16244</v>
      </c>
      <c r="F575" t="s">
        <v>15314</v>
      </c>
    </row>
    <row r="576" spans="1:6" x14ac:dyDescent="0.3">
      <c r="A576" t="s">
        <v>16245</v>
      </c>
      <c r="B576">
        <v>672</v>
      </c>
      <c r="C576" t="s">
        <v>15312</v>
      </c>
      <c r="D576">
        <v>5.0999999999999997E-2</v>
      </c>
      <c r="E576" t="s">
        <v>16246</v>
      </c>
      <c r="F576" t="s">
        <v>15314</v>
      </c>
    </row>
    <row r="577" spans="1:6" x14ac:dyDescent="0.3">
      <c r="A577" t="s">
        <v>16247</v>
      </c>
      <c r="B577">
        <v>672</v>
      </c>
      <c r="C577" t="s">
        <v>15312</v>
      </c>
      <c r="D577">
        <v>5.0999999999999997E-2</v>
      </c>
      <c r="E577" t="s">
        <v>16248</v>
      </c>
      <c r="F577" t="s">
        <v>15314</v>
      </c>
    </row>
    <row r="578" spans="1:6" x14ac:dyDescent="0.3">
      <c r="A578" t="s">
        <v>16249</v>
      </c>
      <c r="B578">
        <v>672</v>
      </c>
      <c r="C578" t="s">
        <v>15312</v>
      </c>
      <c r="D578">
        <v>5.0999999999999997E-2</v>
      </c>
      <c r="E578" t="s">
        <v>16250</v>
      </c>
      <c r="F578" t="s">
        <v>15314</v>
      </c>
    </row>
    <row r="579" spans="1:6" x14ac:dyDescent="0.3">
      <c r="A579" t="s">
        <v>16251</v>
      </c>
      <c r="B579">
        <v>672</v>
      </c>
      <c r="C579" t="s">
        <v>15312</v>
      </c>
      <c r="D579">
        <v>5.0999999999999997E-2</v>
      </c>
      <c r="E579" t="s">
        <v>16252</v>
      </c>
      <c r="F579" t="s">
        <v>15314</v>
      </c>
    </row>
    <row r="580" spans="1:6" x14ac:dyDescent="0.3">
      <c r="A580" t="s">
        <v>16253</v>
      </c>
      <c r="B580">
        <v>672</v>
      </c>
      <c r="C580" t="s">
        <v>15312</v>
      </c>
      <c r="D580">
        <v>5.0999999999999997E-2</v>
      </c>
      <c r="E580" t="s">
        <v>16254</v>
      </c>
      <c r="F580" t="s">
        <v>15314</v>
      </c>
    </row>
    <row r="581" spans="1:6" x14ac:dyDescent="0.3">
      <c r="A581" t="s">
        <v>16255</v>
      </c>
      <c r="B581">
        <v>672</v>
      </c>
      <c r="C581" t="s">
        <v>15312</v>
      </c>
      <c r="D581">
        <v>5.0999999999999997E-2</v>
      </c>
      <c r="E581" t="s">
        <v>16256</v>
      </c>
      <c r="F581" t="s">
        <v>15314</v>
      </c>
    </row>
    <row r="582" spans="1:6" x14ac:dyDescent="0.3">
      <c r="A582" t="s">
        <v>16257</v>
      </c>
      <c r="B582">
        <v>672</v>
      </c>
      <c r="C582" t="s">
        <v>15312</v>
      </c>
      <c r="D582">
        <v>5.0999999999999997E-2</v>
      </c>
      <c r="E582" t="s">
        <v>16258</v>
      </c>
      <c r="F582" t="s">
        <v>15314</v>
      </c>
    </row>
    <row r="583" spans="1:6" x14ac:dyDescent="0.3">
      <c r="A583" t="s">
        <v>16259</v>
      </c>
      <c r="B583">
        <v>672</v>
      </c>
      <c r="C583" t="s">
        <v>15312</v>
      </c>
      <c r="D583">
        <v>5.0999999999999997E-2</v>
      </c>
      <c r="E583" t="s">
        <v>16260</v>
      </c>
      <c r="F583" t="s">
        <v>15314</v>
      </c>
    </row>
    <row r="584" spans="1:6" x14ac:dyDescent="0.3">
      <c r="A584" t="s">
        <v>16261</v>
      </c>
      <c r="B584">
        <v>672</v>
      </c>
      <c r="C584" t="s">
        <v>15312</v>
      </c>
      <c r="D584">
        <v>5.0999999999999997E-2</v>
      </c>
      <c r="E584" t="s">
        <v>16262</v>
      </c>
      <c r="F584" t="s">
        <v>15314</v>
      </c>
    </row>
    <row r="585" spans="1:6" x14ac:dyDescent="0.3">
      <c r="A585" t="s">
        <v>16263</v>
      </c>
      <c r="B585">
        <v>672</v>
      </c>
      <c r="C585" t="s">
        <v>15312</v>
      </c>
      <c r="D585">
        <v>5.0999999999999997E-2</v>
      </c>
      <c r="E585" t="s">
        <v>16264</v>
      </c>
      <c r="F585" t="s">
        <v>15314</v>
      </c>
    </row>
    <row r="586" spans="1:6" x14ac:dyDescent="0.3">
      <c r="A586" t="s">
        <v>16265</v>
      </c>
      <c r="B586">
        <v>672</v>
      </c>
      <c r="C586" t="s">
        <v>15312</v>
      </c>
      <c r="D586">
        <v>5.0999999999999997E-2</v>
      </c>
      <c r="E586" t="s">
        <v>16266</v>
      </c>
      <c r="F586" t="s">
        <v>15314</v>
      </c>
    </row>
    <row r="587" spans="1:6" x14ac:dyDescent="0.3">
      <c r="A587" t="s">
        <v>16267</v>
      </c>
      <c r="B587">
        <v>672</v>
      </c>
      <c r="C587" t="s">
        <v>15312</v>
      </c>
      <c r="D587">
        <v>5.0999999999999997E-2</v>
      </c>
      <c r="E587" t="s">
        <v>16268</v>
      </c>
      <c r="F587" t="s">
        <v>15314</v>
      </c>
    </row>
    <row r="588" spans="1:6" x14ac:dyDescent="0.3">
      <c r="A588" t="s">
        <v>16269</v>
      </c>
      <c r="B588">
        <v>672</v>
      </c>
      <c r="C588" t="s">
        <v>15312</v>
      </c>
      <c r="D588">
        <v>5.0999999999999997E-2</v>
      </c>
      <c r="E588" t="s">
        <v>16270</v>
      </c>
      <c r="F588" t="s">
        <v>15314</v>
      </c>
    </row>
    <row r="589" spans="1:6" x14ac:dyDescent="0.3">
      <c r="A589" t="s">
        <v>16271</v>
      </c>
      <c r="B589">
        <v>672</v>
      </c>
      <c r="C589" t="s">
        <v>15312</v>
      </c>
      <c r="D589">
        <v>5.0999999999999997E-2</v>
      </c>
      <c r="E589" t="s">
        <v>16272</v>
      </c>
      <c r="F589" t="s">
        <v>15314</v>
      </c>
    </row>
    <row r="590" spans="1:6" x14ac:dyDescent="0.3">
      <c r="A590" t="s">
        <v>16273</v>
      </c>
      <c r="B590">
        <v>672</v>
      </c>
      <c r="C590" t="s">
        <v>15312</v>
      </c>
      <c r="D590">
        <v>5.0999999999999997E-2</v>
      </c>
      <c r="E590" t="s">
        <v>16274</v>
      </c>
      <c r="F590" t="s">
        <v>15314</v>
      </c>
    </row>
    <row r="591" spans="1:6" x14ac:dyDescent="0.3">
      <c r="A591" t="s">
        <v>16275</v>
      </c>
      <c r="B591">
        <v>672</v>
      </c>
      <c r="C591" t="s">
        <v>15312</v>
      </c>
      <c r="D591">
        <v>5.0999999999999997E-2</v>
      </c>
      <c r="E591" t="s">
        <v>16276</v>
      </c>
      <c r="F591" t="s">
        <v>15314</v>
      </c>
    </row>
    <row r="592" spans="1:6" x14ac:dyDescent="0.3">
      <c r="A592" t="s">
        <v>16277</v>
      </c>
      <c r="B592">
        <v>672</v>
      </c>
      <c r="C592" t="s">
        <v>15312</v>
      </c>
      <c r="D592">
        <v>5.0999999999999997E-2</v>
      </c>
      <c r="E592" t="s">
        <v>16278</v>
      </c>
      <c r="F592" t="s">
        <v>15314</v>
      </c>
    </row>
    <row r="593" spans="1:6" x14ac:dyDescent="0.3">
      <c r="A593" t="s">
        <v>16279</v>
      </c>
      <c r="B593">
        <v>672</v>
      </c>
      <c r="C593" t="s">
        <v>15312</v>
      </c>
      <c r="D593">
        <v>5.0999999999999997E-2</v>
      </c>
      <c r="E593" t="s">
        <v>16280</v>
      </c>
      <c r="F593" t="s">
        <v>15314</v>
      </c>
    </row>
    <row r="594" spans="1:6" x14ac:dyDescent="0.3">
      <c r="A594" t="s">
        <v>16281</v>
      </c>
      <c r="B594">
        <v>672</v>
      </c>
      <c r="C594" t="s">
        <v>15312</v>
      </c>
      <c r="D594">
        <v>5.0999999999999997E-2</v>
      </c>
      <c r="E594" t="s">
        <v>16282</v>
      </c>
      <c r="F594" t="s">
        <v>15314</v>
      </c>
    </row>
    <row r="595" spans="1:6" x14ac:dyDescent="0.3">
      <c r="A595" t="s">
        <v>16283</v>
      </c>
      <c r="B595">
        <v>10080</v>
      </c>
      <c r="C595" t="s">
        <v>15169</v>
      </c>
      <c r="D595">
        <v>1.6E-2</v>
      </c>
      <c r="E595" t="s">
        <v>16284</v>
      </c>
      <c r="F595" t="s">
        <v>15214</v>
      </c>
    </row>
    <row r="596" spans="1:6" x14ac:dyDescent="0.3">
      <c r="A596" t="s">
        <v>6250</v>
      </c>
      <c r="B596">
        <v>18624</v>
      </c>
      <c r="C596" t="s">
        <v>15169</v>
      </c>
      <c r="D596">
        <v>1.67E-2</v>
      </c>
      <c r="E596" t="s">
        <v>6251</v>
      </c>
      <c r="F596" t="s">
        <v>15195</v>
      </c>
    </row>
    <row r="597" spans="1:6" x14ac:dyDescent="0.3">
      <c r="A597" t="s">
        <v>16285</v>
      </c>
      <c r="B597">
        <v>18624</v>
      </c>
      <c r="C597" t="s">
        <v>15169</v>
      </c>
      <c r="D597">
        <v>1.67E-2</v>
      </c>
      <c r="E597" t="s">
        <v>16286</v>
      </c>
      <c r="F597" t="s">
        <v>15195</v>
      </c>
    </row>
    <row r="598" spans="1:6" x14ac:dyDescent="0.3">
      <c r="A598" t="s">
        <v>16287</v>
      </c>
      <c r="B598">
        <v>18624</v>
      </c>
      <c r="C598" t="s">
        <v>15169</v>
      </c>
      <c r="D598">
        <v>1.67E-2</v>
      </c>
      <c r="E598" t="s">
        <v>16288</v>
      </c>
      <c r="F598" t="s">
        <v>15195</v>
      </c>
    </row>
    <row r="599" spans="1:6" x14ac:dyDescent="0.3">
      <c r="A599" t="s">
        <v>16289</v>
      </c>
      <c r="B599">
        <v>7497</v>
      </c>
      <c r="C599" t="s">
        <v>15312</v>
      </c>
      <c r="D599">
        <v>1.2699999999999999E-2</v>
      </c>
      <c r="E599" t="s">
        <v>16290</v>
      </c>
      <c r="F599" t="s">
        <v>15314</v>
      </c>
    </row>
    <row r="600" spans="1:6" x14ac:dyDescent="0.3">
      <c r="A600" t="s">
        <v>16291</v>
      </c>
      <c r="B600">
        <v>7497</v>
      </c>
      <c r="C600" t="s">
        <v>15312</v>
      </c>
      <c r="D600">
        <v>1.2699999999999999E-2</v>
      </c>
      <c r="E600" t="s">
        <v>16292</v>
      </c>
      <c r="F600" t="s">
        <v>15314</v>
      </c>
    </row>
    <row r="601" spans="1:6" x14ac:dyDescent="0.3">
      <c r="A601" t="s">
        <v>16293</v>
      </c>
      <c r="B601">
        <v>7497</v>
      </c>
      <c r="C601" t="s">
        <v>15312</v>
      </c>
      <c r="D601">
        <v>1.2699999999999999E-2</v>
      </c>
      <c r="E601" t="s">
        <v>16294</v>
      </c>
      <c r="F601" t="s">
        <v>15314</v>
      </c>
    </row>
    <row r="602" spans="1:6" x14ac:dyDescent="0.3">
      <c r="A602" t="s">
        <v>16295</v>
      </c>
      <c r="B602">
        <v>7497</v>
      </c>
      <c r="C602" t="s">
        <v>15312</v>
      </c>
      <c r="D602">
        <v>1.2699999999999999E-2</v>
      </c>
      <c r="E602" t="s">
        <v>16296</v>
      </c>
      <c r="F602" t="s">
        <v>15314</v>
      </c>
    </row>
    <row r="603" spans="1:6" x14ac:dyDescent="0.3">
      <c r="A603" t="s">
        <v>16297</v>
      </c>
      <c r="B603">
        <v>7497</v>
      </c>
      <c r="C603" t="s">
        <v>15312</v>
      </c>
      <c r="D603">
        <v>1.2699999999999999E-2</v>
      </c>
      <c r="E603" t="s">
        <v>16298</v>
      </c>
      <c r="F603" t="s">
        <v>15314</v>
      </c>
    </row>
    <row r="604" spans="1:6" x14ac:dyDescent="0.3">
      <c r="A604" t="s">
        <v>16299</v>
      </c>
      <c r="B604">
        <v>7497</v>
      </c>
      <c r="C604" t="s">
        <v>15312</v>
      </c>
      <c r="D604">
        <v>1.2699999999999999E-2</v>
      </c>
      <c r="E604" t="s">
        <v>16300</v>
      </c>
      <c r="F604" t="s">
        <v>15314</v>
      </c>
    </row>
    <row r="605" spans="1:6" x14ac:dyDescent="0.3">
      <c r="A605" t="s">
        <v>16301</v>
      </c>
      <c r="B605">
        <v>7497</v>
      </c>
      <c r="C605" t="s">
        <v>15312</v>
      </c>
      <c r="D605">
        <v>1.2699999999999999E-2</v>
      </c>
      <c r="E605" t="s">
        <v>16302</v>
      </c>
      <c r="F605" t="s">
        <v>15314</v>
      </c>
    </row>
    <row r="606" spans="1:6" x14ac:dyDescent="0.3">
      <c r="A606" t="s">
        <v>16303</v>
      </c>
      <c r="B606">
        <v>7497</v>
      </c>
      <c r="C606" t="s">
        <v>15312</v>
      </c>
      <c r="D606">
        <v>1.2699999999999999E-2</v>
      </c>
      <c r="E606" t="s">
        <v>16304</v>
      </c>
      <c r="F606" t="s">
        <v>15314</v>
      </c>
    </row>
    <row r="607" spans="1:6" x14ac:dyDescent="0.3">
      <c r="A607" t="s">
        <v>16305</v>
      </c>
      <c r="B607">
        <v>7497</v>
      </c>
      <c r="C607" t="s">
        <v>15312</v>
      </c>
      <c r="D607">
        <v>1.2699999999999999E-2</v>
      </c>
      <c r="E607" t="s">
        <v>16306</v>
      </c>
      <c r="F607" t="s">
        <v>15314</v>
      </c>
    </row>
    <row r="608" spans="1:6" x14ac:dyDescent="0.3">
      <c r="A608" t="s">
        <v>16307</v>
      </c>
      <c r="B608">
        <v>7497</v>
      </c>
      <c r="C608" t="s">
        <v>15312</v>
      </c>
      <c r="D608">
        <v>1.2699999999999999E-2</v>
      </c>
      <c r="E608" t="s">
        <v>16308</v>
      </c>
      <c r="F608" t="s">
        <v>15314</v>
      </c>
    </row>
    <row r="609" spans="1:6" x14ac:dyDescent="0.3">
      <c r="A609" t="s">
        <v>16309</v>
      </c>
      <c r="B609">
        <v>8208</v>
      </c>
      <c r="C609" t="s">
        <v>15169</v>
      </c>
      <c r="D609">
        <v>1.7999999999999999E-2</v>
      </c>
      <c r="E609" t="s">
        <v>16310</v>
      </c>
      <c r="F609" t="s">
        <v>15214</v>
      </c>
    </row>
    <row r="610" spans="1:6" x14ac:dyDescent="0.3">
      <c r="A610" t="s">
        <v>16311</v>
      </c>
      <c r="B610">
        <v>12672</v>
      </c>
      <c r="C610" t="s">
        <v>15169</v>
      </c>
      <c r="D610">
        <v>1.7999999999999999E-2</v>
      </c>
      <c r="E610" t="s">
        <v>16312</v>
      </c>
      <c r="F610" t="s">
        <v>15195</v>
      </c>
    </row>
    <row r="611" spans="1:6" x14ac:dyDescent="0.3">
      <c r="A611" t="s">
        <v>16313</v>
      </c>
      <c r="B611">
        <v>12672</v>
      </c>
      <c r="C611" t="s">
        <v>15169</v>
      </c>
      <c r="D611">
        <v>1.7999999999999999E-2</v>
      </c>
      <c r="E611" t="s">
        <v>16314</v>
      </c>
      <c r="F611" t="s">
        <v>15195</v>
      </c>
    </row>
    <row r="612" spans="1:6" x14ac:dyDescent="0.3">
      <c r="A612" t="s">
        <v>16315</v>
      </c>
      <c r="B612">
        <v>12672</v>
      </c>
      <c r="C612" t="s">
        <v>15169</v>
      </c>
      <c r="D612">
        <v>1.7999999999999999E-2</v>
      </c>
      <c r="E612" t="s">
        <v>16312</v>
      </c>
      <c r="F612" t="s">
        <v>15195</v>
      </c>
    </row>
    <row r="613" spans="1:6" x14ac:dyDescent="0.3">
      <c r="A613" t="s">
        <v>16316</v>
      </c>
      <c r="B613">
        <v>12672</v>
      </c>
      <c r="C613" t="s">
        <v>15169</v>
      </c>
      <c r="D613">
        <v>1.7999999999999999E-2</v>
      </c>
      <c r="E613" t="s">
        <v>16317</v>
      </c>
      <c r="F613" t="s">
        <v>15195</v>
      </c>
    </row>
    <row r="614" spans="1:6" x14ac:dyDescent="0.3">
      <c r="A614" t="s">
        <v>2934</v>
      </c>
      <c r="B614">
        <v>8208</v>
      </c>
      <c r="C614" t="s">
        <v>15169</v>
      </c>
      <c r="D614">
        <v>1.7999999999999999E-2</v>
      </c>
      <c r="E614" t="s">
        <v>2935</v>
      </c>
      <c r="F614" t="s">
        <v>15195</v>
      </c>
    </row>
    <row r="615" spans="1:6" x14ac:dyDescent="0.3">
      <c r="A615" t="s">
        <v>16318</v>
      </c>
      <c r="B615">
        <v>9000</v>
      </c>
      <c r="C615" t="s">
        <v>15169</v>
      </c>
      <c r="D615">
        <v>1.7999999999999999E-2</v>
      </c>
      <c r="E615" t="s">
        <v>16319</v>
      </c>
      <c r="F615" t="s">
        <v>15195</v>
      </c>
    </row>
    <row r="616" spans="1:6" x14ac:dyDescent="0.3">
      <c r="A616" t="s">
        <v>16320</v>
      </c>
      <c r="B616">
        <v>12672</v>
      </c>
      <c r="C616" t="s">
        <v>15169</v>
      </c>
      <c r="D616">
        <v>1.7999999999999999E-2</v>
      </c>
      <c r="E616" t="s">
        <v>16321</v>
      </c>
      <c r="F616" t="s">
        <v>15195</v>
      </c>
    </row>
    <row r="617" spans="1:6" x14ac:dyDescent="0.3">
      <c r="A617" t="s">
        <v>16322</v>
      </c>
      <c r="B617">
        <v>12672</v>
      </c>
      <c r="C617" t="s">
        <v>15169</v>
      </c>
      <c r="D617">
        <v>1.7999999999999999E-2</v>
      </c>
      <c r="E617" t="s">
        <v>16323</v>
      </c>
      <c r="F617" t="s">
        <v>15195</v>
      </c>
    </row>
    <row r="618" spans="1:6" x14ac:dyDescent="0.3">
      <c r="A618" t="s">
        <v>16324</v>
      </c>
      <c r="B618">
        <v>8208</v>
      </c>
      <c r="C618" t="s">
        <v>15169</v>
      </c>
      <c r="D618">
        <v>1.7999999999999999E-2</v>
      </c>
      <c r="E618" t="s">
        <v>16325</v>
      </c>
      <c r="F618" t="s">
        <v>15195</v>
      </c>
    </row>
    <row r="619" spans="1:6" x14ac:dyDescent="0.3">
      <c r="A619" t="s">
        <v>16326</v>
      </c>
      <c r="B619">
        <v>16512</v>
      </c>
      <c r="C619" t="s">
        <v>15169</v>
      </c>
      <c r="D619">
        <v>1.7999999999999999E-2</v>
      </c>
      <c r="E619" t="s">
        <v>16327</v>
      </c>
      <c r="F619" t="s">
        <v>15195</v>
      </c>
    </row>
    <row r="620" spans="1:6" x14ac:dyDescent="0.3">
      <c r="A620" t="s">
        <v>16328</v>
      </c>
      <c r="B620">
        <v>16512</v>
      </c>
      <c r="C620" t="s">
        <v>15169</v>
      </c>
      <c r="D620">
        <v>1.7999999999999999E-2</v>
      </c>
      <c r="E620" t="s">
        <v>16329</v>
      </c>
      <c r="F620" t="s">
        <v>15195</v>
      </c>
    </row>
    <row r="621" spans="1:6" x14ac:dyDescent="0.3">
      <c r="A621" t="s">
        <v>4525</v>
      </c>
      <c r="B621">
        <v>16512</v>
      </c>
      <c r="C621" t="s">
        <v>15169</v>
      </c>
      <c r="D621">
        <v>1.7999999999999999E-2</v>
      </c>
      <c r="E621" t="s">
        <v>16330</v>
      </c>
      <c r="F621" t="s">
        <v>15195</v>
      </c>
    </row>
    <row r="622" spans="1:6" x14ac:dyDescent="0.3">
      <c r="A622" t="s">
        <v>16331</v>
      </c>
      <c r="B622">
        <v>16512</v>
      </c>
      <c r="C622" t="s">
        <v>15169</v>
      </c>
      <c r="D622">
        <v>1.7999999999999999E-2</v>
      </c>
      <c r="E622" t="s">
        <v>16332</v>
      </c>
      <c r="F622" t="s">
        <v>15195</v>
      </c>
    </row>
    <row r="623" spans="1:6" x14ac:dyDescent="0.3">
      <c r="A623" t="s">
        <v>16333</v>
      </c>
      <c r="B623">
        <v>16512</v>
      </c>
      <c r="C623" t="s">
        <v>15169</v>
      </c>
      <c r="D623">
        <v>1.7999999999999999E-2</v>
      </c>
      <c r="E623" t="s">
        <v>16334</v>
      </c>
      <c r="F623" t="s">
        <v>15195</v>
      </c>
    </row>
    <row r="624" spans="1:6" x14ac:dyDescent="0.3">
      <c r="A624" t="s">
        <v>16335</v>
      </c>
      <c r="B624">
        <v>16512</v>
      </c>
      <c r="C624" t="s">
        <v>15169</v>
      </c>
      <c r="D624">
        <v>1.7999999999999999E-2</v>
      </c>
      <c r="E624" t="s">
        <v>16336</v>
      </c>
      <c r="F624" t="s">
        <v>15195</v>
      </c>
    </row>
    <row r="625" spans="1:6" x14ac:dyDescent="0.3">
      <c r="A625" t="s">
        <v>16337</v>
      </c>
      <c r="B625">
        <v>14496</v>
      </c>
      <c r="C625" t="s">
        <v>15169</v>
      </c>
      <c r="D625">
        <v>1.7999999999999999E-2</v>
      </c>
      <c r="E625" t="s">
        <v>16338</v>
      </c>
      <c r="F625" t="s">
        <v>15214</v>
      </c>
    </row>
    <row r="626" spans="1:6" x14ac:dyDescent="0.3">
      <c r="A626" t="s">
        <v>16339</v>
      </c>
      <c r="B626">
        <v>14</v>
      </c>
      <c r="C626" t="s">
        <v>15169</v>
      </c>
      <c r="D626">
        <v>1.7999999999999999E-2</v>
      </c>
      <c r="E626" t="s">
        <v>16340</v>
      </c>
      <c r="F626" t="s">
        <v>15214</v>
      </c>
    </row>
    <row r="627" spans="1:6" x14ac:dyDescent="0.3">
      <c r="A627" t="s">
        <v>16341</v>
      </c>
      <c r="B627">
        <v>14496</v>
      </c>
      <c r="C627" t="s">
        <v>15169</v>
      </c>
      <c r="D627">
        <v>1.7999999999999999E-2</v>
      </c>
      <c r="E627" t="s">
        <v>16342</v>
      </c>
      <c r="F627" t="s">
        <v>15214</v>
      </c>
    </row>
    <row r="628" spans="1:6" x14ac:dyDescent="0.3">
      <c r="A628" t="s">
        <v>16343</v>
      </c>
      <c r="B628">
        <v>14496</v>
      </c>
      <c r="C628" t="s">
        <v>15169</v>
      </c>
      <c r="D628">
        <v>1.7999999999999999E-2</v>
      </c>
      <c r="E628" t="s">
        <v>16344</v>
      </c>
      <c r="F628" t="s">
        <v>15214</v>
      </c>
    </row>
    <row r="629" spans="1:6" x14ac:dyDescent="0.3">
      <c r="A629" t="s">
        <v>16345</v>
      </c>
      <c r="B629">
        <v>14496</v>
      </c>
      <c r="C629" t="s">
        <v>15169</v>
      </c>
      <c r="D629">
        <v>1.7999999999999999E-2</v>
      </c>
      <c r="E629" t="s">
        <v>16346</v>
      </c>
      <c r="F629" t="s">
        <v>15214</v>
      </c>
    </row>
    <row r="630" spans="1:6" x14ac:dyDescent="0.3">
      <c r="A630" t="s">
        <v>16347</v>
      </c>
      <c r="B630">
        <v>7497</v>
      </c>
      <c r="C630" t="s">
        <v>15312</v>
      </c>
      <c r="D630">
        <v>1.35E-2</v>
      </c>
      <c r="E630" t="s">
        <v>16348</v>
      </c>
      <c r="F630" t="s">
        <v>15314</v>
      </c>
    </row>
    <row r="631" spans="1:6" x14ac:dyDescent="0.3">
      <c r="A631" t="s">
        <v>16349</v>
      </c>
      <c r="B631">
        <v>7293</v>
      </c>
      <c r="C631" t="s">
        <v>15312</v>
      </c>
      <c r="D631">
        <v>1.35E-2</v>
      </c>
      <c r="E631" t="s">
        <v>16350</v>
      </c>
      <c r="F631" t="s">
        <v>15314</v>
      </c>
    </row>
    <row r="632" spans="1:6" x14ac:dyDescent="0.3">
      <c r="A632" t="s">
        <v>16351</v>
      </c>
      <c r="B632">
        <v>7497</v>
      </c>
      <c r="C632" t="s">
        <v>15312</v>
      </c>
      <c r="D632">
        <v>1.2699999999999999E-2</v>
      </c>
      <c r="E632" t="s">
        <v>16352</v>
      </c>
      <c r="F632" t="s">
        <v>15314</v>
      </c>
    </row>
    <row r="633" spans="1:6" x14ac:dyDescent="0.3">
      <c r="A633" t="s">
        <v>16353</v>
      </c>
      <c r="B633">
        <v>7056</v>
      </c>
      <c r="C633" t="s">
        <v>15312</v>
      </c>
      <c r="D633">
        <v>1.2699999999999999E-2</v>
      </c>
      <c r="E633" t="s">
        <v>16354</v>
      </c>
      <c r="F633" t="s">
        <v>15314</v>
      </c>
    </row>
    <row r="634" spans="1:6" x14ac:dyDescent="0.3">
      <c r="A634" t="s">
        <v>16355</v>
      </c>
      <c r="B634">
        <v>7497</v>
      </c>
      <c r="C634" t="s">
        <v>15312</v>
      </c>
      <c r="D634">
        <v>1.2699999999999999E-2</v>
      </c>
      <c r="E634" t="s">
        <v>16356</v>
      </c>
      <c r="F634" t="s">
        <v>15314</v>
      </c>
    </row>
    <row r="635" spans="1:6" x14ac:dyDescent="0.3">
      <c r="A635" t="s">
        <v>16357</v>
      </c>
      <c r="B635">
        <v>7497</v>
      </c>
      <c r="C635" t="s">
        <v>15312</v>
      </c>
      <c r="D635">
        <v>1.2699999999999999E-2</v>
      </c>
      <c r="E635" t="s">
        <v>16358</v>
      </c>
      <c r="F635" t="s">
        <v>15314</v>
      </c>
    </row>
    <row r="636" spans="1:6" x14ac:dyDescent="0.3">
      <c r="A636" t="s">
        <v>16359</v>
      </c>
      <c r="B636">
        <v>7497</v>
      </c>
      <c r="C636" t="s">
        <v>15312</v>
      </c>
      <c r="D636">
        <v>1.2699999999999999E-2</v>
      </c>
      <c r="E636" t="s">
        <v>16360</v>
      </c>
      <c r="F636" t="s">
        <v>15314</v>
      </c>
    </row>
    <row r="637" spans="1:6" x14ac:dyDescent="0.3">
      <c r="A637" t="s">
        <v>16361</v>
      </c>
      <c r="B637">
        <v>7497</v>
      </c>
      <c r="C637" t="s">
        <v>15312</v>
      </c>
      <c r="D637">
        <v>1.2699999999999999E-2</v>
      </c>
      <c r="E637" t="s">
        <v>16362</v>
      </c>
      <c r="F637" t="s">
        <v>15314</v>
      </c>
    </row>
    <row r="638" spans="1:6" x14ac:dyDescent="0.3">
      <c r="A638" t="s">
        <v>16363</v>
      </c>
      <c r="B638">
        <v>7497</v>
      </c>
      <c r="C638" t="s">
        <v>15312</v>
      </c>
      <c r="D638">
        <v>1.2699999999999999E-2</v>
      </c>
      <c r="E638" t="s">
        <v>16364</v>
      </c>
      <c r="F638" t="s">
        <v>15314</v>
      </c>
    </row>
    <row r="639" spans="1:6" x14ac:dyDescent="0.3">
      <c r="A639" t="s">
        <v>16365</v>
      </c>
      <c r="B639">
        <v>7497</v>
      </c>
      <c r="C639" t="s">
        <v>15312</v>
      </c>
      <c r="D639">
        <v>1.2699999999999999E-2</v>
      </c>
      <c r="E639" t="s">
        <v>16366</v>
      </c>
      <c r="F639" t="s">
        <v>15314</v>
      </c>
    </row>
    <row r="640" spans="1:6" x14ac:dyDescent="0.3">
      <c r="A640" t="s">
        <v>16367</v>
      </c>
      <c r="B640">
        <v>7497</v>
      </c>
      <c r="C640" t="s">
        <v>15312</v>
      </c>
      <c r="D640">
        <v>1.2699999999999999E-2</v>
      </c>
      <c r="E640" t="s">
        <v>16368</v>
      </c>
      <c r="F640" t="s">
        <v>15314</v>
      </c>
    </row>
    <row r="641" spans="1:6" x14ac:dyDescent="0.3">
      <c r="A641" t="s">
        <v>16369</v>
      </c>
      <c r="B641">
        <v>7497</v>
      </c>
      <c r="C641" t="s">
        <v>15312</v>
      </c>
      <c r="D641">
        <v>1.2699999999999999E-2</v>
      </c>
      <c r="E641" t="s">
        <v>16370</v>
      </c>
      <c r="F641" t="s">
        <v>15314</v>
      </c>
    </row>
    <row r="642" spans="1:6" x14ac:dyDescent="0.3">
      <c r="A642" t="s">
        <v>16371</v>
      </c>
      <c r="B642">
        <v>7497</v>
      </c>
      <c r="C642" t="s">
        <v>15312</v>
      </c>
      <c r="D642">
        <v>1.2699999999999999E-2</v>
      </c>
      <c r="E642" t="s">
        <v>16354</v>
      </c>
      <c r="F642" t="s">
        <v>15314</v>
      </c>
    </row>
    <row r="643" spans="1:6" x14ac:dyDescent="0.3">
      <c r="A643" t="s">
        <v>16372</v>
      </c>
      <c r="B643">
        <v>7056</v>
      </c>
      <c r="C643" t="s">
        <v>15312</v>
      </c>
      <c r="D643">
        <v>1.2699999999999999E-2</v>
      </c>
      <c r="E643" t="s">
        <v>16373</v>
      </c>
      <c r="F643" t="s">
        <v>15314</v>
      </c>
    </row>
    <row r="644" spans="1:6" x14ac:dyDescent="0.3">
      <c r="A644" t="s">
        <v>16374</v>
      </c>
      <c r="B644">
        <v>7497</v>
      </c>
      <c r="C644" t="s">
        <v>15312</v>
      </c>
      <c r="D644">
        <v>1.2699999999999999E-2</v>
      </c>
      <c r="E644" t="s">
        <v>16375</v>
      </c>
      <c r="F644" t="s">
        <v>15314</v>
      </c>
    </row>
    <row r="645" spans="1:6" x14ac:dyDescent="0.3">
      <c r="A645" t="s">
        <v>16376</v>
      </c>
      <c r="B645">
        <v>7497</v>
      </c>
      <c r="C645" t="s">
        <v>15312</v>
      </c>
      <c r="D645">
        <v>1.2699999999999999E-2</v>
      </c>
      <c r="E645" t="s">
        <v>16377</v>
      </c>
      <c r="F645" t="s">
        <v>15314</v>
      </c>
    </row>
    <row r="646" spans="1:6" x14ac:dyDescent="0.3">
      <c r="A646" t="s">
        <v>16378</v>
      </c>
      <c r="B646">
        <v>7497</v>
      </c>
      <c r="C646" t="s">
        <v>15312</v>
      </c>
      <c r="D646">
        <v>1.2699999999999999E-2</v>
      </c>
      <c r="E646" t="s">
        <v>16379</v>
      </c>
      <c r="F646" t="s">
        <v>15314</v>
      </c>
    </row>
    <row r="647" spans="1:6" x14ac:dyDescent="0.3">
      <c r="A647" t="s">
        <v>16380</v>
      </c>
      <c r="B647">
        <v>7497</v>
      </c>
      <c r="C647" t="s">
        <v>15312</v>
      </c>
      <c r="D647">
        <v>1.2699999999999999E-2</v>
      </c>
      <c r="E647" t="s">
        <v>16381</v>
      </c>
      <c r="F647" t="s">
        <v>15314</v>
      </c>
    </row>
    <row r="648" spans="1:6" x14ac:dyDescent="0.3">
      <c r="A648" t="s">
        <v>16382</v>
      </c>
      <c r="B648">
        <v>7056</v>
      </c>
      <c r="C648" t="s">
        <v>15312</v>
      </c>
      <c r="D648">
        <v>1.2699999999999999E-2</v>
      </c>
      <c r="E648" t="s">
        <v>16383</v>
      </c>
      <c r="F648" t="s">
        <v>15314</v>
      </c>
    </row>
    <row r="649" spans="1:6" x14ac:dyDescent="0.3">
      <c r="A649" t="s">
        <v>16384</v>
      </c>
      <c r="B649">
        <v>7497</v>
      </c>
      <c r="C649" t="s">
        <v>15312</v>
      </c>
      <c r="D649">
        <v>1.2699999999999999E-2</v>
      </c>
      <c r="E649" t="s">
        <v>16385</v>
      </c>
      <c r="F649" t="s">
        <v>15314</v>
      </c>
    </row>
    <row r="650" spans="1:6" x14ac:dyDescent="0.3">
      <c r="A650" t="s">
        <v>16386</v>
      </c>
      <c r="B650">
        <v>7497</v>
      </c>
      <c r="C650" t="s">
        <v>15312</v>
      </c>
      <c r="D650">
        <v>1.2699999999999999E-2</v>
      </c>
      <c r="E650" t="s">
        <v>16387</v>
      </c>
      <c r="F650" t="s">
        <v>15314</v>
      </c>
    </row>
    <row r="651" spans="1:6" x14ac:dyDescent="0.3">
      <c r="A651" t="s">
        <v>16388</v>
      </c>
      <c r="B651">
        <v>7497</v>
      </c>
      <c r="C651" t="s">
        <v>15312</v>
      </c>
      <c r="D651">
        <v>1.2699999999999999E-2</v>
      </c>
      <c r="E651" t="s">
        <v>16389</v>
      </c>
      <c r="F651" t="s">
        <v>15314</v>
      </c>
    </row>
    <row r="652" spans="1:6" x14ac:dyDescent="0.3">
      <c r="A652" t="s">
        <v>16390</v>
      </c>
      <c r="B652">
        <v>7497</v>
      </c>
      <c r="C652" t="s">
        <v>15312</v>
      </c>
      <c r="D652">
        <v>1.2699999999999999E-2</v>
      </c>
      <c r="E652" t="s">
        <v>16391</v>
      </c>
      <c r="F652" t="s">
        <v>15314</v>
      </c>
    </row>
    <row r="653" spans="1:6" x14ac:dyDescent="0.3">
      <c r="A653" t="s">
        <v>16392</v>
      </c>
      <c r="B653">
        <v>7497</v>
      </c>
      <c r="C653" t="s">
        <v>15312</v>
      </c>
      <c r="D653">
        <v>1.2699999999999999E-2</v>
      </c>
      <c r="E653" t="s">
        <v>16393</v>
      </c>
      <c r="F653" t="s">
        <v>15314</v>
      </c>
    </row>
    <row r="654" spans="1:6" x14ac:dyDescent="0.3">
      <c r="A654" t="s">
        <v>16394</v>
      </c>
      <c r="B654">
        <v>7497</v>
      </c>
      <c r="C654" t="s">
        <v>15312</v>
      </c>
      <c r="D654">
        <v>1.2699999999999999E-2</v>
      </c>
      <c r="E654" t="s">
        <v>16395</v>
      </c>
      <c r="F654" t="s">
        <v>15314</v>
      </c>
    </row>
    <row r="655" spans="1:6" x14ac:dyDescent="0.3">
      <c r="A655" t="s">
        <v>16396</v>
      </c>
      <c r="B655">
        <v>7497</v>
      </c>
      <c r="C655" t="s">
        <v>15312</v>
      </c>
      <c r="D655">
        <v>1.2699999999999999E-2</v>
      </c>
      <c r="E655" t="s">
        <v>16397</v>
      </c>
      <c r="F655" t="s">
        <v>15314</v>
      </c>
    </row>
    <row r="656" spans="1:6" x14ac:dyDescent="0.3">
      <c r="A656" t="s">
        <v>16398</v>
      </c>
      <c r="B656">
        <v>7497</v>
      </c>
      <c r="C656" t="s">
        <v>15312</v>
      </c>
      <c r="D656">
        <v>1.2699999999999999E-2</v>
      </c>
      <c r="E656" t="s">
        <v>16399</v>
      </c>
      <c r="F656" t="s">
        <v>15314</v>
      </c>
    </row>
    <row r="657" spans="1:6" x14ac:dyDescent="0.3">
      <c r="A657" t="s">
        <v>16400</v>
      </c>
      <c r="B657">
        <v>7497</v>
      </c>
      <c r="C657" t="s">
        <v>15312</v>
      </c>
      <c r="D657">
        <v>1.2699999999999999E-2</v>
      </c>
      <c r="E657" t="s">
        <v>16401</v>
      </c>
      <c r="F657" t="s">
        <v>15314</v>
      </c>
    </row>
    <row r="658" spans="1:6" x14ac:dyDescent="0.3">
      <c r="A658" t="s">
        <v>16402</v>
      </c>
      <c r="B658">
        <v>7497</v>
      </c>
      <c r="C658" t="s">
        <v>15312</v>
      </c>
      <c r="D658">
        <v>1.2699999999999999E-2</v>
      </c>
      <c r="E658" t="s">
        <v>16403</v>
      </c>
      <c r="F658" t="s">
        <v>15314</v>
      </c>
    </row>
    <row r="659" spans="1:6" x14ac:dyDescent="0.3">
      <c r="A659" t="s">
        <v>16404</v>
      </c>
      <c r="B659">
        <v>7497</v>
      </c>
      <c r="C659" t="s">
        <v>15312</v>
      </c>
      <c r="D659">
        <v>1.2699999999999999E-2</v>
      </c>
      <c r="E659" t="s">
        <v>16405</v>
      </c>
      <c r="F659" t="s">
        <v>15314</v>
      </c>
    </row>
    <row r="660" spans="1:6" x14ac:dyDescent="0.3">
      <c r="A660" t="s">
        <v>16406</v>
      </c>
      <c r="B660">
        <v>7497</v>
      </c>
      <c r="C660" t="s">
        <v>15312</v>
      </c>
      <c r="D660">
        <v>1.2699999999999999E-2</v>
      </c>
      <c r="E660" t="s">
        <v>16407</v>
      </c>
      <c r="F660" t="s">
        <v>15314</v>
      </c>
    </row>
    <row r="661" spans="1:6" x14ac:dyDescent="0.3">
      <c r="A661" t="s">
        <v>16408</v>
      </c>
      <c r="B661">
        <v>7497</v>
      </c>
      <c r="C661" t="s">
        <v>15312</v>
      </c>
      <c r="D661">
        <v>1.2699999999999999E-2</v>
      </c>
      <c r="E661" t="s">
        <v>16409</v>
      </c>
      <c r="F661" t="s">
        <v>15314</v>
      </c>
    </row>
    <row r="662" spans="1:6" x14ac:dyDescent="0.3">
      <c r="A662" t="s">
        <v>16410</v>
      </c>
      <c r="B662">
        <v>7056</v>
      </c>
      <c r="C662" t="s">
        <v>15312</v>
      </c>
      <c r="D662">
        <v>1.2699999999999999E-2</v>
      </c>
      <c r="E662" t="s">
        <v>16411</v>
      </c>
      <c r="F662" t="s">
        <v>15314</v>
      </c>
    </row>
    <row r="663" spans="1:6" x14ac:dyDescent="0.3">
      <c r="A663" t="s">
        <v>16412</v>
      </c>
      <c r="B663">
        <v>7497</v>
      </c>
      <c r="C663" t="s">
        <v>15312</v>
      </c>
      <c r="D663">
        <v>1.2699999999999999E-2</v>
      </c>
      <c r="E663" t="s">
        <v>16413</v>
      </c>
      <c r="F663" t="s">
        <v>15314</v>
      </c>
    </row>
    <row r="664" spans="1:6" x14ac:dyDescent="0.3">
      <c r="A664" t="s">
        <v>16414</v>
      </c>
      <c r="B664">
        <v>7497</v>
      </c>
      <c r="C664" t="s">
        <v>15312</v>
      </c>
      <c r="D664">
        <v>1.2699999999999999E-2</v>
      </c>
      <c r="E664" t="s">
        <v>16415</v>
      </c>
      <c r="F664" t="s">
        <v>15314</v>
      </c>
    </row>
    <row r="665" spans="1:6" x14ac:dyDescent="0.3">
      <c r="A665" t="s">
        <v>16416</v>
      </c>
      <c r="B665">
        <v>7497</v>
      </c>
      <c r="C665" t="s">
        <v>15312</v>
      </c>
      <c r="D665">
        <v>1.2699999999999999E-2</v>
      </c>
      <c r="E665" t="s">
        <v>16417</v>
      </c>
      <c r="F665" t="s">
        <v>15314</v>
      </c>
    </row>
    <row r="666" spans="1:6" x14ac:dyDescent="0.3">
      <c r="A666" t="s">
        <v>16418</v>
      </c>
      <c r="B666">
        <v>7497</v>
      </c>
      <c r="C666" t="s">
        <v>15312</v>
      </c>
      <c r="D666">
        <v>1.2699999999999999E-2</v>
      </c>
      <c r="E666" t="s">
        <v>16419</v>
      </c>
      <c r="F666" t="s">
        <v>15314</v>
      </c>
    </row>
    <row r="667" spans="1:6" x14ac:dyDescent="0.3">
      <c r="A667" t="s">
        <v>16420</v>
      </c>
      <c r="B667">
        <v>7497</v>
      </c>
      <c r="C667" t="s">
        <v>15312</v>
      </c>
      <c r="D667">
        <v>1.2699999999999999E-2</v>
      </c>
      <c r="E667" t="s">
        <v>16421</v>
      </c>
      <c r="F667" t="s">
        <v>15314</v>
      </c>
    </row>
    <row r="668" spans="1:6" x14ac:dyDescent="0.3">
      <c r="A668" t="s">
        <v>16422</v>
      </c>
      <c r="B668">
        <v>7497</v>
      </c>
      <c r="C668" t="s">
        <v>15312</v>
      </c>
      <c r="D668">
        <v>1.2699999999999999E-2</v>
      </c>
      <c r="E668" t="s">
        <v>16423</v>
      </c>
      <c r="F668" t="s">
        <v>15314</v>
      </c>
    </row>
    <row r="669" spans="1:6" x14ac:dyDescent="0.3">
      <c r="A669" t="s">
        <v>16424</v>
      </c>
      <c r="B669">
        <v>7497</v>
      </c>
      <c r="C669" t="s">
        <v>15312</v>
      </c>
      <c r="D669">
        <v>1.2699999999999999E-2</v>
      </c>
      <c r="E669" t="s">
        <v>16425</v>
      </c>
      <c r="F669" t="s">
        <v>15314</v>
      </c>
    </row>
    <row r="670" spans="1:6" x14ac:dyDescent="0.3">
      <c r="A670" t="s">
        <v>16426</v>
      </c>
      <c r="B670">
        <v>7497</v>
      </c>
      <c r="C670" t="s">
        <v>15312</v>
      </c>
      <c r="D670">
        <v>1.2699999999999999E-2</v>
      </c>
      <c r="E670" t="s">
        <v>16427</v>
      </c>
      <c r="F670" t="s">
        <v>15314</v>
      </c>
    </row>
    <row r="671" spans="1:6" x14ac:dyDescent="0.3">
      <c r="A671" t="s">
        <v>16428</v>
      </c>
      <c r="B671">
        <v>7056</v>
      </c>
      <c r="C671" t="s">
        <v>15312</v>
      </c>
      <c r="D671">
        <v>1.2699999999999999E-2</v>
      </c>
      <c r="E671" t="s">
        <v>16429</v>
      </c>
      <c r="F671" t="s">
        <v>15314</v>
      </c>
    </row>
    <row r="672" spans="1:6" x14ac:dyDescent="0.3">
      <c r="A672" t="s">
        <v>16430</v>
      </c>
      <c r="B672">
        <v>7056</v>
      </c>
      <c r="C672" t="s">
        <v>15312</v>
      </c>
      <c r="D672">
        <v>1.2699999999999999E-2</v>
      </c>
      <c r="E672" t="s">
        <v>16431</v>
      </c>
      <c r="F672" t="s">
        <v>15314</v>
      </c>
    </row>
    <row r="673" spans="1:6" x14ac:dyDescent="0.3">
      <c r="A673" t="s">
        <v>16432</v>
      </c>
      <c r="B673">
        <v>7497</v>
      </c>
      <c r="C673" t="s">
        <v>15312</v>
      </c>
      <c r="D673">
        <v>1.2699999999999999E-2</v>
      </c>
      <c r="E673" t="s">
        <v>16433</v>
      </c>
      <c r="F673" t="s">
        <v>15314</v>
      </c>
    </row>
    <row r="674" spans="1:6" x14ac:dyDescent="0.3">
      <c r="A674" t="s">
        <v>16434</v>
      </c>
      <c r="B674">
        <v>7497</v>
      </c>
      <c r="C674" t="s">
        <v>15312</v>
      </c>
      <c r="D674">
        <v>1.2699999999999999E-2</v>
      </c>
      <c r="E674" t="s">
        <v>16435</v>
      </c>
      <c r="F674" t="s">
        <v>15314</v>
      </c>
    </row>
    <row r="675" spans="1:6" x14ac:dyDescent="0.3">
      <c r="A675" t="s">
        <v>16436</v>
      </c>
      <c r="B675">
        <v>7497</v>
      </c>
      <c r="C675" t="s">
        <v>15312</v>
      </c>
      <c r="D675">
        <v>1.2699999999999999E-2</v>
      </c>
      <c r="E675" t="s">
        <v>16437</v>
      </c>
      <c r="F675" t="s">
        <v>15314</v>
      </c>
    </row>
    <row r="676" spans="1:6" x14ac:dyDescent="0.3">
      <c r="A676" t="s">
        <v>16438</v>
      </c>
      <c r="B676">
        <v>7497</v>
      </c>
      <c r="C676" t="s">
        <v>15312</v>
      </c>
      <c r="D676">
        <v>1.2699999999999999E-2</v>
      </c>
      <c r="E676" t="s">
        <v>16439</v>
      </c>
      <c r="F676" t="s">
        <v>15314</v>
      </c>
    </row>
    <row r="677" spans="1:6" x14ac:dyDescent="0.3">
      <c r="A677" t="s">
        <v>16440</v>
      </c>
      <c r="B677">
        <v>7497</v>
      </c>
      <c r="C677" t="s">
        <v>15312</v>
      </c>
      <c r="D677">
        <v>1.2699999999999999E-2</v>
      </c>
      <c r="E677" t="s">
        <v>16441</v>
      </c>
      <c r="F677" t="s">
        <v>15314</v>
      </c>
    </row>
    <row r="678" spans="1:6" x14ac:dyDescent="0.3">
      <c r="A678" t="s">
        <v>16442</v>
      </c>
      <c r="B678">
        <v>7497</v>
      </c>
      <c r="C678" t="s">
        <v>15312</v>
      </c>
      <c r="D678">
        <v>1.2699999999999999E-2</v>
      </c>
      <c r="E678" t="s">
        <v>16443</v>
      </c>
      <c r="F678" t="s">
        <v>15314</v>
      </c>
    </row>
    <row r="679" spans="1:6" x14ac:dyDescent="0.3">
      <c r="A679" t="s">
        <v>16444</v>
      </c>
      <c r="B679">
        <v>7056</v>
      </c>
      <c r="C679" t="s">
        <v>15312</v>
      </c>
      <c r="D679">
        <v>1.2699999999999999E-2</v>
      </c>
      <c r="E679" t="s">
        <v>16445</v>
      </c>
      <c r="F679" t="s">
        <v>15314</v>
      </c>
    </row>
    <row r="680" spans="1:6" x14ac:dyDescent="0.3">
      <c r="A680" t="s">
        <v>16446</v>
      </c>
      <c r="B680">
        <v>7497</v>
      </c>
      <c r="C680" t="s">
        <v>15312</v>
      </c>
      <c r="D680">
        <v>1.2699999999999999E-2</v>
      </c>
      <c r="E680" t="s">
        <v>16447</v>
      </c>
      <c r="F680" t="s">
        <v>15314</v>
      </c>
    </row>
    <row r="681" spans="1:6" x14ac:dyDescent="0.3">
      <c r="A681" t="s">
        <v>16448</v>
      </c>
      <c r="B681">
        <v>7497</v>
      </c>
      <c r="C681" t="s">
        <v>15312</v>
      </c>
      <c r="D681">
        <v>1.2699999999999999E-2</v>
      </c>
      <c r="E681" t="s">
        <v>16449</v>
      </c>
      <c r="F681" t="s">
        <v>15314</v>
      </c>
    </row>
    <row r="682" spans="1:6" x14ac:dyDescent="0.3">
      <c r="A682" t="s">
        <v>16450</v>
      </c>
      <c r="B682">
        <v>7497</v>
      </c>
      <c r="C682" t="s">
        <v>15312</v>
      </c>
      <c r="D682">
        <v>1.2699999999999999E-2</v>
      </c>
      <c r="E682" t="s">
        <v>16451</v>
      </c>
      <c r="F682" t="s">
        <v>15314</v>
      </c>
    </row>
    <row r="683" spans="1:6" x14ac:dyDescent="0.3">
      <c r="A683" t="s">
        <v>16452</v>
      </c>
      <c r="B683">
        <v>7497</v>
      </c>
      <c r="C683" t="s">
        <v>15312</v>
      </c>
      <c r="D683">
        <v>1.2699999999999999E-2</v>
      </c>
      <c r="E683" t="s">
        <v>16453</v>
      </c>
      <c r="F683" t="s">
        <v>15314</v>
      </c>
    </row>
    <row r="684" spans="1:6" x14ac:dyDescent="0.3">
      <c r="A684" t="s">
        <v>16454</v>
      </c>
      <c r="B684">
        <v>7497</v>
      </c>
      <c r="C684" t="s">
        <v>15312</v>
      </c>
      <c r="D684">
        <v>1.2699999999999999E-2</v>
      </c>
      <c r="E684" t="s">
        <v>16455</v>
      </c>
      <c r="F684" t="s">
        <v>15314</v>
      </c>
    </row>
    <row r="685" spans="1:6" x14ac:dyDescent="0.3">
      <c r="A685" t="s">
        <v>16456</v>
      </c>
      <c r="B685">
        <v>7497</v>
      </c>
      <c r="C685" t="s">
        <v>15312</v>
      </c>
      <c r="D685">
        <v>1.2699999999999999E-2</v>
      </c>
      <c r="E685" t="s">
        <v>16457</v>
      </c>
      <c r="F685" t="s">
        <v>15314</v>
      </c>
    </row>
    <row r="686" spans="1:6" x14ac:dyDescent="0.3">
      <c r="A686" t="s">
        <v>16458</v>
      </c>
      <c r="B686">
        <v>7497</v>
      </c>
      <c r="C686" t="s">
        <v>15312</v>
      </c>
      <c r="D686">
        <v>1.2699999999999999E-2</v>
      </c>
      <c r="E686" t="s">
        <v>16459</v>
      </c>
      <c r="F686" t="s">
        <v>15314</v>
      </c>
    </row>
    <row r="687" spans="1:6" x14ac:dyDescent="0.3">
      <c r="A687" t="s">
        <v>16460</v>
      </c>
      <c r="B687">
        <v>7497</v>
      </c>
      <c r="C687" t="s">
        <v>15312</v>
      </c>
      <c r="D687">
        <v>1.2699999999999999E-2</v>
      </c>
      <c r="E687" t="s">
        <v>16461</v>
      </c>
      <c r="F687" t="s">
        <v>15314</v>
      </c>
    </row>
    <row r="688" spans="1:6" x14ac:dyDescent="0.3">
      <c r="A688" t="s">
        <v>16462</v>
      </c>
      <c r="B688">
        <v>7497</v>
      </c>
      <c r="C688" t="s">
        <v>15312</v>
      </c>
      <c r="D688">
        <v>1.2699999999999999E-2</v>
      </c>
      <c r="E688" t="s">
        <v>16463</v>
      </c>
      <c r="F688" t="s">
        <v>15314</v>
      </c>
    </row>
    <row r="689" spans="1:6" x14ac:dyDescent="0.3">
      <c r="A689" t="s">
        <v>16464</v>
      </c>
      <c r="B689">
        <v>1000000</v>
      </c>
      <c r="C689" t="s">
        <v>15312</v>
      </c>
      <c r="D689">
        <v>1.3299999999999999E-2</v>
      </c>
      <c r="E689" t="s">
        <v>16354</v>
      </c>
      <c r="F689" t="s">
        <v>15314</v>
      </c>
    </row>
    <row r="690" spans="1:6" x14ac:dyDescent="0.3">
      <c r="A690" t="s">
        <v>16465</v>
      </c>
      <c r="B690">
        <v>1000000</v>
      </c>
      <c r="C690" t="s">
        <v>15312</v>
      </c>
      <c r="D690">
        <v>1.3299999999999999E-2</v>
      </c>
      <c r="E690" t="s">
        <v>16373</v>
      </c>
      <c r="F690" t="s">
        <v>15314</v>
      </c>
    </row>
    <row r="691" spans="1:6" x14ac:dyDescent="0.3">
      <c r="A691" t="s">
        <v>16466</v>
      </c>
      <c r="B691">
        <v>1000000</v>
      </c>
      <c r="C691" t="s">
        <v>15312</v>
      </c>
      <c r="D691">
        <v>1.3299999999999999E-2</v>
      </c>
      <c r="E691" t="s">
        <v>16383</v>
      </c>
      <c r="F691" t="s">
        <v>15314</v>
      </c>
    </row>
    <row r="692" spans="1:6" x14ac:dyDescent="0.3">
      <c r="A692" t="s">
        <v>16467</v>
      </c>
      <c r="B692">
        <v>1000000</v>
      </c>
      <c r="C692" t="s">
        <v>15312</v>
      </c>
      <c r="D692">
        <v>1.3299999999999999E-2</v>
      </c>
      <c r="E692" t="s">
        <v>16411</v>
      </c>
      <c r="F692" t="s">
        <v>15314</v>
      </c>
    </row>
    <row r="693" spans="1:6" x14ac:dyDescent="0.3">
      <c r="A693" t="s">
        <v>16468</v>
      </c>
      <c r="B693">
        <v>1000000</v>
      </c>
      <c r="C693" t="s">
        <v>15312</v>
      </c>
      <c r="D693">
        <v>1.3299999999999999E-2</v>
      </c>
      <c r="E693" t="s">
        <v>16445</v>
      </c>
      <c r="F693" t="s">
        <v>15314</v>
      </c>
    </row>
    <row r="694" spans="1:6" x14ac:dyDescent="0.3">
      <c r="A694" t="s">
        <v>16469</v>
      </c>
      <c r="B694">
        <v>7293</v>
      </c>
      <c r="C694" t="s">
        <v>15312</v>
      </c>
      <c r="D694">
        <v>1.35E-2</v>
      </c>
      <c r="E694" t="s">
        <v>16470</v>
      </c>
      <c r="F694" t="s">
        <v>15314</v>
      </c>
    </row>
    <row r="695" spans="1:6" x14ac:dyDescent="0.3">
      <c r="A695" t="s">
        <v>16471</v>
      </c>
      <c r="B695">
        <v>7293</v>
      </c>
      <c r="C695" t="s">
        <v>15312</v>
      </c>
      <c r="D695">
        <v>1.35E-2</v>
      </c>
      <c r="E695" t="s">
        <v>16472</v>
      </c>
      <c r="F695" t="s">
        <v>15314</v>
      </c>
    </row>
    <row r="696" spans="1:6" x14ac:dyDescent="0.3">
      <c r="A696" t="s">
        <v>16473</v>
      </c>
      <c r="B696">
        <v>7293</v>
      </c>
      <c r="C696" t="s">
        <v>15312</v>
      </c>
      <c r="D696">
        <v>1.35E-2</v>
      </c>
      <c r="E696" t="s">
        <v>16474</v>
      </c>
      <c r="F696" t="s">
        <v>15314</v>
      </c>
    </row>
    <row r="697" spans="1:6" x14ac:dyDescent="0.3">
      <c r="A697" t="s">
        <v>16475</v>
      </c>
      <c r="B697">
        <v>7293</v>
      </c>
      <c r="C697" t="s">
        <v>15312</v>
      </c>
      <c r="D697">
        <v>1.35E-2</v>
      </c>
      <c r="E697" t="s">
        <v>16476</v>
      </c>
      <c r="F697" t="s">
        <v>15314</v>
      </c>
    </row>
    <row r="698" spans="1:6" x14ac:dyDescent="0.3">
      <c r="A698" t="s">
        <v>16477</v>
      </c>
      <c r="B698">
        <v>7293</v>
      </c>
      <c r="C698" t="s">
        <v>15312</v>
      </c>
      <c r="D698">
        <v>1.35E-2</v>
      </c>
      <c r="E698" t="s">
        <v>16478</v>
      </c>
      <c r="F698" t="s">
        <v>15314</v>
      </c>
    </row>
    <row r="699" spans="1:6" x14ac:dyDescent="0.3">
      <c r="A699" t="s">
        <v>16479</v>
      </c>
      <c r="B699">
        <v>7293</v>
      </c>
      <c r="C699" t="s">
        <v>15312</v>
      </c>
      <c r="D699">
        <v>1.35E-2</v>
      </c>
      <c r="E699" t="s">
        <v>16480</v>
      </c>
      <c r="F699" t="s">
        <v>15314</v>
      </c>
    </row>
    <row r="700" spans="1:6" x14ac:dyDescent="0.3">
      <c r="A700" t="s">
        <v>16481</v>
      </c>
      <c r="B700">
        <v>7293</v>
      </c>
      <c r="C700" t="s">
        <v>15312</v>
      </c>
      <c r="D700">
        <v>1.35E-2</v>
      </c>
      <c r="E700" t="s">
        <v>16482</v>
      </c>
      <c r="F700" t="s">
        <v>15314</v>
      </c>
    </row>
    <row r="701" spans="1:6" x14ac:dyDescent="0.3">
      <c r="A701" t="s">
        <v>16483</v>
      </c>
      <c r="B701">
        <v>6864</v>
      </c>
      <c r="C701" t="s">
        <v>15312</v>
      </c>
      <c r="D701">
        <v>1.35E-2</v>
      </c>
      <c r="E701" t="s">
        <v>16484</v>
      </c>
      <c r="F701" t="s">
        <v>15314</v>
      </c>
    </row>
    <row r="702" spans="1:6" x14ac:dyDescent="0.3">
      <c r="A702" t="s">
        <v>16485</v>
      </c>
      <c r="B702">
        <v>7293</v>
      </c>
      <c r="C702" t="s">
        <v>15312</v>
      </c>
      <c r="D702">
        <v>1.35E-2</v>
      </c>
      <c r="E702" t="s">
        <v>16486</v>
      </c>
      <c r="F702" t="s">
        <v>15314</v>
      </c>
    </row>
    <row r="703" spans="1:6" x14ac:dyDescent="0.3">
      <c r="A703" t="s">
        <v>16487</v>
      </c>
      <c r="B703">
        <v>7293</v>
      </c>
      <c r="C703" t="s">
        <v>15312</v>
      </c>
      <c r="D703">
        <v>1.35E-2</v>
      </c>
      <c r="E703" t="s">
        <v>16488</v>
      </c>
      <c r="F703" t="s">
        <v>15314</v>
      </c>
    </row>
    <row r="704" spans="1:6" x14ac:dyDescent="0.3">
      <c r="A704" t="s">
        <v>16489</v>
      </c>
      <c r="B704">
        <v>7293</v>
      </c>
      <c r="C704" t="s">
        <v>15312</v>
      </c>
      <c r="D704">
        <v>1.35E-2</v>
      </c>
      <c r="E704" t="s">
        <v>16490</v>
      </c>
      <c r="F704" t="s">
        <v>15314</v>
      </c>
    </row>
    <row r="705" spans="1:6" x14ac:dyDescent="0.3">
      <c r="A705" t="s">
        <v>16491</v>
      </c>
      <c r="B705">
        <v>7293</v>
      </c>
      <c r="C705" t="s">
        <v>15312</v>
      </c>
      <c r="D705">
        <v>1.35E-2</v>
      </c>
      <c r="E705" t="s">
        <v>16492</v>
      </c>
      <c r="F705" t="s">
        <v>15314</v>
      </c>
    </row>
    <row r="706" spans="1:6" x14ac:dyDescent="0.3">
      <c r="A706" t="s">
        <v>16493</v>
      </c>
      <c r="B706">
        <v>7293</v>
      </c>
      <c r="C706" t="s">
        <v>15312</v>
      </c>
      <c r="D706">
        <v>1.35E-2</v>
      </c>
      <c r="E706" t="s">
        <v>16494</v>
      </c>
      <c r="F706" t="s">
        <v>15314</v>
      </c>
    </row>
    <row r="707" spans="1:6" x14ac:dyDescent="0.3">
      <c r="A707" t="s">
        <v>16495</v>
      </c>
      <c r="B707">
        <v>7293</v>
      </c>
      <c r="C707" t="s">
        <v>15312</v>
      </c>
      <c r="D707">
        <v>1.35E-2</v>
      </c>
      <c r="E707" t="s">
        <v>16496</v>
      </c>
      <c r="F707" t="s">
        <v>15314</v>
      </c>
    </row>
    <row r="708" spans="1:6" x14ac:dyDescent="0.3">
      <c r="A708" t="s">
        <v>16497</v>
      </c>
      <c r="B708">
        <v>7293</v>
      </c>
      <c r="C708" t="s">
        <v>15312</v>
      </c>
      <c r="D708">
        <v>1.35E-2</v>
      </c>
      <c r="E708" t="s">
        <v>16498</v>
      </c>
      <c r="F708" t="s">
        <v>15314</v>
      </c>
    </row>
    <row r="709" spans="1:6" x14ac:dyDescent="0.3">
      <c r="A709" t="s">
        <v>16499</v>
      </c>
      <c r="B709">
        <v>7293</v>
      </c>
      <c r="C709" t="s">
        <v>15312</v>
      </c>
      <c r="D709">
        <v>1.35E-2</v>
      </c>
      <c r="E709" t="s">
        <v>16500</v>
      </c>
      <c r="F709" t="s">
        <v>15314</v>
      </c>
    </row>
    <row r="710" spans="1:6" x14ac:dyDescent="0.3">
      <c r="A710" t="s">
        <v>16501</v>
      </c>
      <c r="B710">
        <v>7293</v>
      </c>
      <c r="C710" t="s">
        <v>15312</v>
      </c>
      <c r="D710">
        <v>1.35E-2</v>
      </c>
      <c r="E710" t="s">
        <v>16502</v>
      </c>
      <c r="F710" t="s">
        <v>15314</v>
      </c>
    </row>
    <row r="711" spans="1:6" x14ac:dyDescent="0.3">
      <c r="A711" t="s">
        <v>16503</v>
      </c>
      <c r="B711">
        <v>7293</v>
      </c>
      <c r="C711" t="s">
        <v>15312</v>
      </c>
      <c r="D711">
        <v>1.35E-2</v>
      </c>
      <c r="E711" t="s">
        <v>16504</v>
      </c>
      <c r="F711" t="s">
        <v>15314</v>
      </c>
    </row>
    <row r="712" spans="1:6" x14ac:dyDescent="0.3">
      <c r="A712" t="s">
        <v>16505</v>
      </c>
      <c r="B712">
        <v>7293</v>
      </c>
      <c r="C712" t="s">
        <v>15312</v>
      </c>
      <c r="D712">
        <v>1.35E-2</v>
      </c>
      <c r="E712" t="s">
        <v>16506</v>
      </c>
      <c r="F712" t="s">
        <v>15314</v>
      </c>
    </row>
    <row r="713" spans="1:6" x14ac:dyDescent="0.3">
      <c r="A713" t="s">
        <v>16507</v>
      </c>
      <c r="B713">
        <v>7293</v>
      </c>
      <c r="C713" t="s">
        <v>15312</v>
      </c>
      <c r="D713">
        <v>1.35E-2</v>
      </c>
      <c r="E713" t="s">
        <v>16508</v>
      </c>
      <c r="F713" t="s">
        <v>15314</v>
      </c>
    </row>
    <row r="714" spans="1:6" x14ac:dyDescent="0.3">
      <c r="A714" t="s">
        <v>16509</v>
      </c>
      <c r="B714">
        <v>6864</v>
      </c>
      <c r="C714" t="s">
        <v>15312</v>
      </c>
      <c r="D714">
        <v>1.35E-2</v>
      </c>
      <c r="E714" t="s">
        <v>16510</v>
      </c>
      <c r="F714" t="s">
        <v>15314</v>
      </c>
    </row>
    <row r="715" spans="1:6" x14ac:dyDescent="0.3">
      <c r="A715" t="s">
        <v>16511</v>
      </c>
      <c r="B715">
        <v>7293</v>
      </c>
      <c r="C715" t="s">
        <v>15312</v>
      </c>
      <c r="D715">
        <v>1.35E-2</v>
      </c>
      <c r="E715" t="s">
        <v>16512</v>
      </c>
      <c r="F715" t="s">
        <v>15314</v>
      </c>
    </row>
    <row r="716" spans="1:6" x14ac:dyDescent="0.3">
      <c r="A716" t="s">
        <v>16513</v>
      </c>
      <c r="B716">
        <v>7293</v>
      </c>
      <c r="C716" t="s">
        <v>15312</v>
      </c>
      <c r="D716">
        <v>1.35E-2</v>
      </c>
      <c r="E716" t="s">
        <v>16514</v>
      </c>
      <c r="F716" t="s">
        <v>15314</v>
      </c>
    </row>
    <row r="717" spans="1:6" x14ac:dyDescent="0.3">
      <c r="A717" t="s">
        <v>16515</v>
      </c>
      <c r="B717">
        <v>7293</v>
      </c>
      <c r="C717" t="s">
        <v>15312</v>
      </c>
      <c r="D717">
        <v>1.35E-2</v>
      </c>
      <c r="E717" t="s">
        <v>16516</v>
      </c>
      <c r="F717" t="s">
        <v>15314</v>
      </c>
    </row>
    <row r="718" spans="1:6" x14ac:dyDescent="0.3">
      <c r="A718" t="s">
        <v>16517</v>
      </c>
      <c r="B718">
        <v>7293</v>
      </c>
      <c r="C718" t="s">
        <v>15312</v>
      </c>
      <c r="D718">
        <v>1.35E-2</v>
      </c>
      <c r="E718" t="s">
        <v>16518</v>
      </c>
      <c r="F718" t="s">
        <v>15314</v>
      </c>
    </row>
    <row r="719" spans="1:6" x14ac:dyDescent="0.3">
      <c r="A719" t="s">
        <v>16519</v>
      </c>
      <c r="B719">
        <v>7293</v>
      </c>
      <c r="C719" t="s">
        <v>15312</v>
      </c>
      <c r="D719">
        <v>1.35E-2</v>
      </c>
      <c r="E719" t="s">
        <v>16520</v>
      </c>
      <c r="F719" t="s">
        <v>15314</v>
      </c>
    </row>
    <row r="720" spans="1:6" x14ac:dyDescent="0.3">
      <c r="A720" t="s">
        <v>16521</v>
      </c>
      <c r="B720">
        <v>700</v>
      </c>
      <c r="C720" t="s">
        <v>15312</v>
      </c>
      <c r="D720">
        <v>1.35E-2</v>
      </c>
      <c r="E720" t="s">
        <v>16522</v>
      </c>
      <c r="F720" t="s">
        <v>15314</v>
      </c>
    </row>
    <row r="721" spans="1:6" x14ac:dyDescent="0.3">
      <c r="A721" t="s">
        <v>16523</v>
      </c>
      <c r="B721">
        <v>7293</v>
      </c>
      <c r="C721" t="s">
        <v>15312</v>
      </c>
      <c r="D721">
        <v>1.35E-2</v>
      </c>
      <c r="E721" t="s">
        <v>16524</v>
      </c>
      <c r="F721" t="s">
        <v>15314</v>
      </c>
    </row>
    <row r="722" spans="1:6" x14ac:dyDescent="0.3">
      <c r="A722" t="s">
        <v>16525</v>
      </c>
      <c r="B722">
        <v>7293</v>
      </c>
      <c r="C722" t="s">
        <v>15312</v>
      </c>
      <c r="D722">
        <v>1.35E-2</v>
      </c>
      <c r="E722" t="s">
        <v>16526</v>
      </c>
      <c r="F722" t="s">
        <v>15314</v>
      </c>
    </row>
    <row r="723" spans="1:6" x14ac:dyDescent="0.3">
      <c r="A723" t="s">
        <v>16527</v>
      </c>
      <c r="B723">
        <v>7293</v>
      </c>
      <c r="C723" t="s">
        <v>15312</v>
      </c>
      <c r="D723">
        <v>1.35E-2</v>
      </c>
      <c r="E723" t="s">
        <v>16528</v>
      </c>
      <c r="F723" t="s">
        <v>15314</v>
      </c>
    </row>
    <row r="724" spans="1:6" x14ac:dyDescent="0.3">
      <c r="A724" t="s">
        <v>16529</v>
      </c>
      <c r="B724">
        <v>7293</v>
      </c>
      <c r="C724" t="s">
        <v>15312</v>
      </c>
      <c r="D724">
        <v>1.35E-2</v>
      </c>
      <c r="E724" t="s">
        <v>16530</v>
      </c>
      <c r="F724" t="s">
        <v>15314</v>
      </c>
    </row>
    <row r="725" spans="1:6" x14ac:dyDescent="0.3">
      <c r="A725" t="s">
        <v>16531</v>
      </c>
      <c r="B725">
        <v>7497</v>
      </c>
      <c r="C725" t="s">
        <v>15312</v>
      </c>
      <c r="D725">
        <v>1.2699999999999999E-2</v>
      </c>
      <c r="E725" t="s">
        <v>16532</v>
      </c>
      <c r="F725" t="s">
        <v>15314</v>
      </c>
    </row>
    <row r="726" spans="1:6" x14ac:dyDescent="0.3">
      <c r="A726" t="s">
        <v>16533</v>
      </c>
      <c r="B726">
        <v>7497</v>
      </c>
      <c r="C726" t="s">
        <v>15312</v>
      </c>
      <c r="D726">
        <v>1.2699999999999999E-2</v>
      </c>
      <c r="E726" t="s">
        <v>16534</v>
      </c>
      <c r="F726" t="s">
        <v>15314</v>
      </c>
    </row>
    <row r="727" spans="1:6" x14ac:dyDescent="0.3">
      <c r="A727" t="s">
        <v>16535</v>
      </c>
      <c r="B727">
        <v>7497</v>
      </c>
      <c r="C727" t="s">
        <v>15312</v>
      </c>
      <c r="D727">
        <v>1.2699999999999999E-2</v>
      </c>
      <c r="E727" t="s">
        <v>16536</v>
      </c>
      <c r="F727" t="s">
        <v>15314</v>
      </c>
    </row>
    <row r="728" spans="1:6" x14ac:dyDescent="0.3">
      <c r="A728" t="s">
        <v>16537</v>
      </c>
      <c r="B728">
        <v>7497</v>
      </c>
      <c r="C728" t="s">
        <v>15312</v>
      </c>
      <c r="D728">
        <v>1.2699999999999999E-2</v>
      </c>
      <c r="E728" t="s">
        <v>16538</v>
      </c>
      <c r="F728" t="s">
        <v>15314</v>
      </c>
    </row>
    <row r="729" spans="1:6" x14ac:dyDescent="0.3">
      <c r="A729" t="s">
        <v>16539</v>
      </c>
      <c r="B729">
        <v>1000000</v>
      </c>
      <c r="C729" t="s">
        <v>15312</v>
      </c>
      <c r="D729">
        <v>1.2699999999999999E-2</v>
      </c>
      <c r="E729" t="s">
        <v>16540</v>
      </c>
      <c r="F729" t="s">
        <v>15314</v>
      </c>
    </row>
    <row r="730" spans="1:6" x14ac:dyDescent="0.3">
      <c r="A730" t="s">
        <v>16541</v>
      </c>
      <c r="B730">
        <v>1000000</v>
      </c>
      <c r="C730" t="s">
        <v>15312</v>
      </c>
      <c r="D730">
        <v>1.3299999999999999E-2</v>
      </c>
      <c r="E730" t="s">
        <v>16542</v>
      </c>
      <c r="F730" t="s">
        <v>15314</v>
      </c>
    </row>
    <row r="731" spans="1:6" x14ac:dyDescent="0.3">
      <c r="A731" t="s">
        <v>16543</v>
      </c>
      <c r="B731">
        <v>7056</v>
      </c>
      <c r="C731" t="s">
        <v>15312</v>
      </c>
      <c r="D731">
        <v>1.2699999999999999E-2</v>
      </c>
      <c r="E731" t="s">
        <v>16544</v>
      </c>
      <c r="F731" t="s">
        <v>15314</v>
      </c>
    </row>
    <row r="732" spans="1:6" x14ac:dyDescent="0.3">
      <c r="A732" t="s">
        <v>16545</v>
      </c>
      <c r="B732">
        <v>7056</v>
      </c>
      <c r="C732" t="s">
        <v>15312</v>
      </c>
      <c r="D732">
        <v>1.2699999999999999E-2</v>
      </c>
      <c r="E732" t="s">
        <v>16546</v>
      </c>
      <c r="F732" t="s">
        <v>15314</v>
      </c>
    </row>
    <row r="733" spans="1:6" x14ac:dyDescent="0.3">
      <c r="A733" t="s">
        <v>16547</v>
      </c>
      <c r="B733">
        <v>1000000</v>
      </c>
      <c r="C733" t="s">
        <v>15312</v>
      </c>
      <c r="D733">
        <v>1.2699999999999999E-2</v>
      </c>
      <c r="E733" t="s">
        <v>16548</v>
      </c>
      <c r="F733" t="s">
        <v>15314</v>
      </c>
    </row>
    <row r="734" spans="1:6" x14ac:dyDescent="0.3">
      <c r="A734" t="s">
        <v>16549</v>
      </c>
      <c r="B734">
        <v>7056</v>
      </c>
      <c r="C734" t="s">
        <v>15312</v>
      </c>
      <c r="D734">
        <v>1.2699999999999999E-2</v>
      </c>
      <c r="E734" t="s">
        <v>16550</v>
      </c>
      <c r="F734" t="s">
        <v>15314</v>
      </c>
    </row>
    <row r="735" spans="1:6" x14ac:dyDescent="0.3">
      <c r="A735" t="s">
        <v>16551</v>
      </c>
      <c r="B735">
        <v>1000000</v>
      </c>
      <c r="C735" t="s">
        <v>15312</v>
      </c>
      <c r="D735">
        <v>1.2699999999999999E-2</v>
      </c>
      <c r="E735" t="s">
        <v>16552</v>
      </c>
      <c r="F735" t="s">
        <v>15314</v>
      </c>
    </row>
    <row r="736" spans="1:6" x14ac:dyDescent="0.3">
      <c r="A736" t="s">
        <v>16553</v>
      </c>
      <c r="B736">
        <v>7056</v>
      </c>
      <c r="C736" t="s">
        <v>15312</v>
      </c>
      <c r="D736">
        <v>1.2699999999999999E-2</v>
      </c>
      <c r="E736" t="s">
        <v>16554</v>
      </c>
      <c r="F736" t="s">
        <v>15314</v>
      </c>
    </row>
    <row r="737" spans="1:6" x14ac:dyDescent="0.3">
      <c r="A737" t="s">
        <v>16555</v>
      </c>
      <c r="B737">
        <v>1000000</v>
      </c>
      <c r="C737" t="s">
        <v>15312</v>
      </c>
      <c r="D737">
        <v>1.2699999999999999E-2</v>
      </c>
      <c r="E737" t="s">
        <v>16556</v>
      </c>
      <c r="F737" t="s">
        <v>15314</v>
      </c>
    </row>
    <row r="738" spans="1:6" x14ac:dyDescent="0.3">
      <c r="A738" t="s">
        <v>16557</v>
      </c>
      <c r="B738">
        <v>7056</v>
      </c>
      <c r="C738" t="s">
        <v>15312</v>
      </c>
      <c r="D738">
        <v>1.2699999999999999E-2</v>
      </c>
      <c r="E738" t="s">
        <v>16558</v>
      </c>
      <c r="F738" t="s">
        <v>15314</v>
      </c>
    </row>
    <row r="739" spans="1:6" x14ac:dyDescent="0.3">
      <c r="A739" t="s">
        <v>16559</v>
      </c>
      <c r="B739">
        <v>1000000</v>
      </c>
      <c r="C739" t="s">
        <v>15312</v>
      </c>
      <c r="D739">
        <v>1.3299999999999999E-2</v>
      </c>
      <c r="E739" t="s">
        <v>16544</v>
      </c>
      <c r="F739" t="s">
        <v>15314</v>
      </c>
    </row>
    <row r="740" spans="1:6" x14ac:dyDescent="0.3">
      <c r="A740" t="s">
        <v>16560</v>
      </c>
      <c r="B740">
        <v>1000000</v>
      </c>
      <c r="C740" t="s">
        <v>15312</v>
      </c>
      <c r="D740">
        <v>1.3299999999999999E-2</v>
      </c>
      <c r="E740" t="s">
        <v>16546</v>
      </c>
      <c r="F740" t="s">
        <v>15314</v>
      </c>
    </row>
    <row r="741" spans="1:6" x14ac:dyDescent="0.3">
      <c r="A741" t="s">
        <v>16561</v>
      </c>
      <c r="B741">
        <v>1000000</v>
      </c>
      <c r="C741" t="s">
        <v>15312</v>
      </c>
      <c r="D741">
        <v>1.3299999999999999E-2</v>
      </c>
      <c r="E741" t="s">
        <v>16550</v>
      </c>
      <c r="F741" t="s">
        <v>15314</v>
      </c>
    </row>
    <row r="742" spans="1:6" x14ac:dyDescent="0.3">
      <c r="A742" t="s">
        <v>16562</v>
      </c>
      <c r="B742">
        <v>1000000</v>
      </c>
      <c r="C742" t="s">
        <v>15312</v>
      </c>
      <c r="D742">
        <v>1.3299999999999999E-2</v>
      </c>
      <c r="E742" t="s">
        <v>16554</v>
      </c>
      <c r="F742" t="s">
        <v>15314</v>
      </c>
    </row>
    <row r="743" spans="1:6" x14ac:dyDescent="0.3">
      <c r="A743" t="s">
        <v>16563</v>
      </c>
      <c r="B743">
        <v>1000000</v>
      </c>
      <c r="C743" t="s">
        <v>15312</v>
      </c>
      <c r="D743">
        <v>1.3299999999999999E-2</v>
      </c>
      <c r="E743" t="s">
        <v>16558</v>
      </c>
      <c r="F743" t="s">
        <v>15314</v>
      </c>
    </row>
    <row r="744" spans="1:6" x14ac:dyDescent="0.3">
      <c r="A744" t="s">
        <v>16564</v>
      </c>
      <c r="B744">
        <v>12900</v>
      </c>
      <c r="C744" t="s">
        <v>15169</v>
      </c>
      <c r="D744">
        <v>1.9E-2</v>
      </c>
      <c r="E744" t="s">
        <v>16565</v>
      </c>
      <c r="F744" t="s">
        <v>15195</v>
      </c>
    </row>
    <row r="745" spans="1:6" x14ac:dyDescent="0.3">
      <c r="A745" t="s">
        <v>16566</v>
      </c>
      <c r="B745">
        <v>7740</v>
      </c>
      <c r="C745" t="s">
        <v>15169</v>
      </c>
      <c r="D745">
        <v>1.9E-2</v>
      </c>
      <c r="E745" t="s">
        <v>16567</v>
      </c>
      <c r="F745" t="s">
        <v>15195</v>
      </c>
    </row>
    <row r="746" spans="1:6" x14ac:dyDescent="0.3">
      <c r="A746" t="s">
        <v>16568</v>
      </c>
      <c r="B746">
        <v>12900</v>
      </c>
      <c r="C746" t="s">
        <v>15169</v>
      </c>
      <c r="D746">
        <v>1.9E-2</v>
      </c>
      <c r="E746" t="s">
        <v>16569</v>
      </c>
      <c r="F746" t="s">
        <v>15195</v>
      </c>
    </row>
    <row r="747" spans="1:6" x14ac:dyDescent="0.3">
      <c r="A747" t="s">
        <v>16570</v>
      </c>
      <c r="B747">
        <v>12900</v>
      </c>
      <c r="C747" t="s">
        <v>15169</v>
      </c>
      <c r="D747">
        <v>1.9E-2</v>
      </c>
      <c r="E747" t="s">
        <v>16571</v>
      </c>
      <c r="F747" t="s">
        <v>15195</v>
      </c>
    </row>
    <row r="748" spans="1:6" x14ac:dyDescent="0.3">
      <c r="A748" t="s">
        <v>16572</v>
      </c>
      <c r="B748">
        <v>12900</v>
      </c>
      <c r="C748" t="s">
        <v>15169</v>
      </c>
      <c r="D748">
        <v>1.9E-2</v>
      </c>
      <c r="E748" t="s">
        <v>16573</v>
      </c>
      <c r="F748" t="s">
        <v>15195</v>
      </c>
    </row>
    <row r="749" spans="1:6" x14ac:dyDescent="0.3">
      <c r="A749" t="s">
        <v>16574</v>
      </c>
      <c r="B749">
        <v>12900</v>
      </c>
      <c r="C749" t="s">
        <v>15169</v>
      </c>
      <c r="D749">
        <v>1.9E-2</v>
      </c>
      <c r="E749" t="s">
        <v>16575</v>
      </c>
      <c r="F749" t="s">
        <v>15195</v>
      </c>
    </row>
    <row r="750" spans="1:6" x14ac:dyDescent="0.3">
      <c r="A750" t="s">
        <v>16576</v>
      </c>
      <c r="B750">
        <v>7740</v>
      </c>
      <c r="C750" t="s">
        <v>15169</v>
      </c>
      <c r="D750">
        <v>1.9E-2</v>
      </c>
      <c r="E750" t="s">
        <v>16577</v>
      </c>
      <c r="F750" t="s">
        <v>15195</v>
      </c>
    </row>
    <row r="751" spans="1:6" x14ac:dyDescent="0.3">
      <c r="A751" t="s">
        <v>16578</v>
      </c>
      <c r="B751">
        <v>12900</v>
      </c>
      <c r="C751" t="s">
        <v>15169</v>
      </c>
      <c r="D751">
        <v>1.9E-2</v>
      </c>
      <c r="E751" t="s">
        <v>16579</v>
      </c>
      <c r="F751" t="s">
        <v>15195</v>
      </c>
    </row>
    <row r="752" spans="1:6" x14ac:dyDescent="0.3">
      <c r="A752" t="s">
        <v>16580</v>
      </c>
      <c r="B752">
        <v>7740</v>
      </c>
      <c r="C752" t="s">
        <v>15169</v>
      </c>
      <c r="D752">
        <v>1.9E-2</v>
      </c>
      <c r="E752" t="s">
        <v>16581</v>
      </c>
      <c r="F752" t="s">
        <v>15195</v>
      </c>
    </row>
    <row r="753" spans="1:6" x14ac:dyDescent="0.3">
      <c r="A753" t="s">
        <v>16582</v>
      </c>
      <c r="B753">
        <v>7740</v>
      </c>
      <c r="C753" t="s">
        <v>15169</v>
      </c>
      <c r="D753">
        <v>1.9E-2</v>
      </c>
      <c r="E753" t="s">
        <v>16583</v>
      </c>
      <c r="F753" t="s">
        <v>15195</v>
      </c>
    </row>
    <row r="754" spans="1:6" x14ac:dyDescent="0.3">
      <c r="A754" t="s">
        <v>16584</v>
      </c>
      <c r="B754">
        <v>7740</v>
      </c>
      <c r="C754" t="s">
        <v>15169</v>
      </c>
      <c r="D754">
        <v>1.9E-2</v>
      </c>
      <c r="E754" t="s">
        <v>16585</v>
      </c>
      <c r="F754" t="s">
        <v>15195</v>
      </c>
    </row>
    <row r="755" spans="1:6" x14ac:dyDescent="0.3">
      <c r="A755" t="s">
        <v>16586</v>
      </c>
      <c r="B755">
        <v>14592</v>
      </c>
      <c r="C755" t="s">
        <v>15169</v>
      </c>
      <c r="D755">
        <v>1.9599999999999999E-2</v>
      </c>
      <c r="E755" t="s">
        <v>16587</v>
      </c>
      <c r="F755" t="s">
        <v>15214</v>
      </c>
    </row>
    <row r="756" spans="1:6" x14ac:dyDescent="0.3">
      <c r="A756" t="s">
        <v>16588</v>
      </c>
      <c r="B756">
        <v>24960</v>
      </c>
      <c r="C756" t="s">
        <v>15169</v>
      </c>
      <c r="D756">
        <v>1.9599999999999999E-2</v>
      </c>
      <c r="E756" t="s">
        <v>16589</v>
      </c>
      <c r="F756" t="s">
        <v>15214</v>
      </c>
    </row>
    <row r="757" spans="1:6" x14ac:dyDescent="0.3">
      <c r="A757" t="s">
        <v>16590</v>
      </c>
      <c r="B757">
        <v>14592</v>
      </c>
      <c r="C757" t="s">
        <v>15169</v>
      </c>
      <c r="D757">
        <v>1.9599999999999999E-2</v>
      </c>
      <c r="E757" t="s">
        <v>16591</v>
      </c>
      <c r="F757" t="s">
        <v>15214</v>
      </c>
    </row>
    <row r="758" spans="1:6" x14ac:dyDescent="0.3">
      <c r="A758" t="s">
        <v>16592</v>
      </c>
      <c r="B758">
        <v>13440</v>
      </c>
      <c r="C758" t="s">
        <v>15169</v>
      </c>
      <c r="D758">
        <v>1.9800000000000002E-2</v>
      </c>
      <c r="E758" t="s">
        <v>16593</v>
      </c>
      <c r="F758" t="s">
        <v>15314</v>
      </c>
    </row>
    <row r="759" spans="1:6" x14ac:dyDescent="0.3">
      <c r="A759" t="s">
        <v>16594</v>
      </c>
      <c r="B759">
        <v>7140</v>
      </c>
      <c r="C759" t="s">
        <v>15312</v>
      </c>
      <c r="D759">
        <v>1.2699999999999999E-2</v>
      </c>
      <c r="E759" t="s">
        <v>16595</v>
      </c>
      <c r="F759" t="s">
        <v>15314</v>
      </c>
    </row>
    <row r="760" spans="1:6" x14ac:dyDescent="0.3">
      <c r="A760" t="s">
        <v>16596</v>
      </c>
      <c r="B760">
        <v>7140</v>
      </c>
      <c r="C760" t="s">
        <v>15312</v>
      </c>
      <c r="D760">
        <v>1.2699999999999999E-2</v>
      </c>
      <c r="E760" t="s">
        <v>16597</v>
      </c>
      <c r="F760" t="s">
        <v>15314</v>
      </c>
    </row>
    <row r="761" spans="1:6" x14ac:dyDescent="0.3">
      <c r="A761" t="s">
        <v>16598</v>
      </c>
      <c r="B761">
        <v>7140</v>
      </c>
      <c r="C761" t="s">
        <v>15312</v>
      </c>
      <c r="D761">
        <v>1.2699999999999999E-2</v>
      </c>
      <c r="E761" t="s">
        <v>16599</v>
      </c>
      <c r="F761" t="s">
        <v>15314</v>
      </c>
    </row>
    <row r="762" spans="1:6" x14ac:dyDescent="0.3">
      <c r="A762" t="s">
        <v>16600</v>
      </c>
      <c r="B762">
        <v>7140</v>
      </c>
      <c r="C762" t="s">
        <v>15312</v>
      </c>
      <c r="D762">
        <v>1.2699999999999999E-2</v>
      </c>
      <c r="E762" t="s">
        <v>16601</v>
      </c>
      <c r="F762" t="s">
        <v>15314</v>
      </c>
    </row>
    <row r="763" spans="1:6" x14ac:dyDescent="0.3">
      <c r="A763" t="s">
        <v>16602</v>
      </c>
      <c r="B763">
        <v>7140</v>
      </c>
      <c r="C763" t="s">
        <v>15312</v>
      </c>
      <c r="D763">
        <v>1.2699999999999999E-2</v>
      </c>
      <c r="E763" t="s">
        <v>16603</v>
      </c>
      <c r="F763" t="s">
        <v>15314</v>
      </c>
    </row>
    <row r="764" spans="1:6" x14ac:dyDescent="0.3">
      <c r="A764" t="s">
        <v>16604</v>
      </c>
      <c r="B764">
        <v>7140</v>
      </c>
      <c r="C764" t="s">
        <v>15312</v>
      </c>
      <c r="D764">
        <v>1.2699999999999999E-2</v>
      </c>
      <c r="E764" t="s">
        <v>16605</v>
      </c>
      <c r="F764" t="s">
        <v>15314</v>
      </c>
    </row>
    <row r="765" spans="1:6" x14ac:dyDescent="0.3">
      <c r="A765" t="s">
        <v>16606</v>
      </c>
      <c r="B765">
        <v>7140</v>
      </c>
      <c r="C765" t="s">
        <v>15312</v>
      </c>
      <c r="D765">
        <v>1.2699999999999999E-2</v>
      </c>
      <c r="E765" t="s">
        <v>16607</v>
      </c>
      <c r="F765" t="s">
        <v>15314</v>
      </c>
    </row>
    <row r="766" spans="1:6" x14ac:dyDescent="0.3">
      <c r="A766" t="s">
        <v>16608</v>
      </c>
      <c r="B766">
        <v>7140</v>
      </c>
      <c r="C766" t="s">
        <v>15312</v>
      </c>
      <c r="D766">
        <v>1.2699999999999999E-2</v>
      </c>
      <c r="E766" t="s">
        <v>16609</v>
      </c>
      <c r="F766" t="s">
        <v>15314</v>
      </c>
    </row>
    <row r="767" spans="1:6" x14ac:dyDescent="0.3">
      <c r="A767" t="s">
        <v>16610</v>
      </c>
      <c r="B767">
        <v>7140</v>
      </c>
      <c r="C767" t="s">
        <v>15312</v>
      </c>
      <c r="D767">
        <v>1.2699999999999999E-2</v>
      </c>
      <c r="E767" t="s">
        <v>16611</v>
      </c>
      <c r="F767" t="s">
        <v>15314</v>
      </c>
    </row>
    <row r="768" spans="1:6" x14ac:dyDescent="0.3">
      <c r="A768" t="s">
        <v>16612</v>
      </c>
      <c r="B768">
        <v>7140</v>
      </c>
      <c r="C768" t="s">
        <v>15312</v>
      </c>
      <c r="D768">
        <v>1.2699999999999999E-2</v>
      </c>
      <c r="E768" t="s">
        <v>16613</v>
      </c>
      <c r="F768" t="s">
        <v>15314</v>
      </c>
    </row>
    <row r="769" spans="1:6" x14ac:dyDescent="0.3">
      <c r="A769" t="s">
        <v>16614</v>
      </c>
      <c r="B769">
        <v>7140</v>
      </c>
      <c r="C769" t="s">
        <v>15312</v>
      </c>
      <c r="D769">
        <v>1.2699999999999999E-2</v>
      </c>
      <c r="E769" t="s">
        <v>16615</v>
      </c>
      <c r="F769" t="s">
        <v>15314</v>
      </c>
    </row>
    <row r="770" spans="1:6" x14ac:dyDescent="0.3">
      <c r="A770" t="s">
        <v>16616</v>
      </c>
      <c r="B770">
        <v>7140</v>
      </c>
      <c r="C770" t="s">
        <v>15312</v>
      </c>
      <c r="D770">
        <v>1.2699999999999999E-2</v>
      </c>
      <c r="E770" t="s">
        <v>16617</v>
      </c>
      <c r="F770" t="s">
        <v>15314</v>
      </c>
    </row>
    <row r="771" spans="1:6" x14ac:dyDescent="0.3">
      <c r="A771" t="s">
        <v>16618</v>
      </c>
      <c r="B771">
        <v>7140</v>
      </c>
      <c r="C771" t="s">
        <v>15312</v>
      </c>
      <c r="D771">
        <v>1.2699999999999999E-2</v>
      </c>
      <c r="E771" t="s">
        <v>16619</v>
      </c>
      <c r="F771" t="s">
        <v>15314</v>
      </c>
    </row>
    <row r="772" spans="1:6" x14ac:dyDescent="0.3">
      <c r="A772" t="s">
        <v>16620</v>
      </c>
      <c r="B772">
        <v>7140</v>
      </c>
      <c r="C772" t="s">
        <v>15312</v>
      </c>
      <c r="D772">
        <v>1.2699999999999999E-2</v>
      </c>
      <c r="E772" t="s">
        <v>16621</v>
      </c>
      <c r="F772" t="s">
        <v>15314</v>
      </c>
    </row>
    <row r="773" spans="1:6" x14ac:dyDescent="0.3">
      <c r="A773" t="s">
        <v>16622</v>
      </c>
      <c r="B773">
        <v>7140</v>
      </c>
      <c r="C773" t="s">
        <v>15312</v>
      </c>
      <c r="D773">
        <v>1.2699999999999999E-2</v>
      </c>
      <c r="E773" t="s">
        <v>16623</v>
      </c>
      <c r="F773" t="s">
        <v>15314</v>
      </c>
    </row>
    <row r="774" spans="1:6" x14ac:dyDescent="0.3">
      <c r="A774" t="s">
        <v>16624</v>
      </c>
      <c r="B774">
        <v>7140</v>
      </c>
      <c r="C774" t="s">
        <v>15312</v>
      </c>
      <c r="D774">
        <v>1.2699999999999999E-2</v>
      </c>
      <c r="E774" t="s">
        <v>16625</v>
      </c>
      <c r="F774" t="s">
        <v>15314</v>
      </c>
    </row>
    <row r="775" spans="1:6" x14ac:dyDescent="0.3">
      <c r="A775" t="s">
        <v>16626</v>
      </c>
      <c r="B775">
        <v>7140</v>
      </c>
      <c r="C775" t="s">
        <v>15312</v>
      </c>
      <c r="D775">
        <v>1.2699999999999999E-2</v>
      </c>
      <c r="E775" t="s">
        <v>16627</v>
      </c>
      <c r="F775" t="s">
        <v>15314</v>
      </c>
    </row>
    <row r="776" spans="1:6" x14ac:dyDescent="0.3">
      <c r="A776" t="s">
        <v>16628</v>
      </c>
      <c r="B776">
        <v>7140</v>
      </c>
      <c r="C776" t="s">
        <v>15312</v>
      </c>
      <c r="D776">
        <v>1.2699999999999999E-2</v>
      </c>
      <c r="E776" t="s">
        <v>16629</v>
      </c>
      <c r="F776" t="s">
        <v>15314</v>
      </c>
    </row>
    <row r="777" spans="1:6" x14ac:dyDescent="0.3">
      <c r="A777" t="s">
        <v>16630</v>
      </c>
      <c r="B777">
        <v>7140</v>
      </c>
      <c r="C777" t="s">
        <v>15312</v>
      </c>
      <c r="D777">
        <v>1.2699999999999999E-2</v>
      </c>
      <c r="E777" t="s">
        <v>16631</v>
      </c>
      <c r="F777" t="s">
        <v>15314</v>
      </c>
    </row>
    <row r="778" spans="1:6" x14ac:dyDescent="0.3">
      <c r="A778" t="s">
        <v>16632</v>
      </c>
      <c r="B778">
        <v>7140</v>
      </c>
      <c r="C778" t="s">
        <v>15312</v>
      </c>
      <c r="D778">
        <v>1.2699999999999999E-2</v>
      </c>
      <c r="E778" t="s">
        <v>16633</v>
      </c>
      <c r="F778" t="s">
        <v>15314</v>
      </c>
    </row>
    <row r="779" spans="1:6" x14ac:dyDescent="0.3">
      <c r="A779" t="s">
        <v>16634</v>
      </c>
      <c r="B779">
        <v>7140</v>
      </c>
      <c r="C779" t="s">
        <v>15312</v>
      </c>
      <c r="D779">
        <v>1.2699999999999999E-2</v>
      </c>
      <c r="E779" t="s">
        <v>16635</v>
      </c>
      <c r="F779" t="s">
        <v>15314</v>
      </c>
    </row>
    <row r="780" spans="1:6" x14ac:dyDescent="0.3">
      <c r="A780" t="s">
        <v>16636</v>
      </c>
      <c r="B780">
        <v>7140</v>
      </c>
      <c r="C780" t="s">
        <v>15312</v>
      </c>
      <c r="D780">
        <v>1.2699999999999999E-2</v>
      </c>
      <c r="E780" t="s">
        <v>16637</v>
      </c>
      <c r="F780" t="s">
        <v>15314</v>
      </c>
    </row>
    <row r="781" spans="1:6" x14ac:dyDescent="0.3">
      <c r="A781" t="s">
        <v>16638</v>
      </c>
      <c r="B781">
        <v>7140</v>
      </c>
      <c r="C781" t="s">
        <v>15312</v>
      </c>
      <c r="D781">
        <v>1.2699999999999999E-2</v>
      </c>
      <c r="E781" t="s">
        <v>16639</v>
      </c>
      <c r="F781" t="s">
        <v>15314</v>
      </c>
    </row>
    <row r="782" spans="1:6" x14ac:dyDescent="0.3">
      <c r="A782" t="s">
        <v>16640</v>
      </c>
      <c r="B782">
        <v>7140</v>
      </c>
      <c r="C782" t="s">
        <v>15312</v>
      </c>
      <c r="D782">
        <v>1.2699999999999999E-2</v>
      </c>
      <c r="E782" t="s">
        <v>16641</v>
      </c>
      <c r="F782" t="s">
        <v>15314</v>
      </c>
    </row>
    <row r="783" spans="1:6" x14ac:dyDescent="0.3">
      <c r="A783" t="s">
        <v>16642</v>
      </c>
      <c r="B783">
        <v>7140</v>
      </c>
      <c r="C783" t="s">
        <v>15312</v>
      </c>
      <c r="D783">
        <v>1.2699999999999999E-2</v>
      </c>
      <c r="E783" t="s">
        <v>16643</v>
      </c>
      <c r="F783" t="s">
        <v>15314</v>
      </c>
    </row>
    <row r="784" spans="1:6" x14ac:dyDescent="0.3">
      <c r="A784" t="s">
        <v>16644</v>
      </c>
      <c r="B784">
        <v>7140</v>
      </c>
      <c r="C784" t="s">
        <v>15312</v>
      </c>
      <c r="D784">
        <v>1.2699999999999999E-2</v>
      </c>
      <c r="E784" t="s">
        <v>16645</v>
      </c>
      <c r="F784" t="s">
        <v>15314</v>
      </c>
    </row>
    <row r="785" spans="1:6" x14ac:dyDescent="0.3">
      <c r="A785" t="s">
        <v>16646</v>
      </c>
      <c r="B785">
        <v>7140</v>
      </c>
      <c r="C785" t="s">
        <v>15312</v>
      </c>
      <c r="D785">
        <v>1.2699999999999999E-2</v>
      </c>
      <c r="E785" t="s">
        <v>16647</v>
      </c>
      <c r="F785" t="s">
        <v>15314</v>
      </c>
    </row>
    <row r="786" spans="1:6" x14ac:dyDescent="0.3">
      <c r="A786" t="s">
        <v>16648</v>
      </c>
      <c r="B786">
        <v>7140</v>
      </c>
      <c r="C786" t="s">
        <v>15312</v>
      </c>
      <c r="D786">
        <v>1.2699999999999999E-2</v>
      </c>
      <c r="E786" t="s">
        <v>16649</v>
      </c>
      <c r="F786" t="s">
        <v>15314</v>
      </c>
    </row>
    <row r="787" spans="1:6" x14ac:dyDescent="0.3">
      <c r="A787" t="s">
        <v>16650</v>
      </c>
      <c r="B787">
        <v>7140</v>
      </c>
      <c r="C787" t="s">
        <v>15312</v>
      </c>
      <c r="D787">
        <v>1.2699999999999999E-2</v>
      </c>
      <c r="E787" t="s">
        <v>16651</v>
      </c>
      <c r="F787" t="s">
        <v>15314</v>
      </c>
    </row>
    <row r="788" spans="1:6" x14ac:dyDescent="0.3">
      <c r="A788" t="s">
        <v>16652</v>
      </c>
      <c r="B788">
        <v>7140</v>
      </c>
      <c r="C788" t="s">
        <v>15312</v>
      </c>
      <c r="D788">
        <v>1.2699999999999999E-2</v>
      </c>
      <c r="E788" t="s">
        <v>16653</v>
      </c>
      <c r="F788" t="s">
        <v>15314</v>
      </c>
    </row>
    <row r="789" spans="1:6" x14ac:dyDescent="0.3">
      <c r="A789" t="s">
        <v>16654</v>
      </c>
      <c r="B789">
        <v>7140</v>
      </c>
      <c r="C789" t="s">
        <v>15312</v>
      </c>
      <c r="D789">
        <v>1.2699999999999999E-2</v>
      </c>
      <c r="E789" t="s">
        <v>16655</v>
      </c>
      <c r="F789" t="s">
        <v>15314</v>
      </c>
    </row>
    <row r="790" spans="1:6" x14ac:dyDescent="0.3">
      <c r="A790" t="s">
        <v>16656</v>
      </c>
      <c r="B790">
        <v>7140</v>
      </c>
      <c r="C790" t="s">
        <v>15312</v>
      </c>
      <c r="D790">
        <v>1.2699999999999999E-2</v>
      </c>
      <c r="E790" t="s">
        <v>16657</v>
      </c>
      <c r="F790" t="s">
        <v>15314</v>
      </c>
    </row>
    <row r="791" spans="1:6" x14ac:dyDescent="0.3">
      <c r="A791" t="s">
        <v>16658</v>
      </c>
      <c r="B791">
        <v>7140</v>
      </c>
      <c r="C791" t="s">
        <v>15312</v>
      </c>
      <c r="D791">
        <v>1.2699999999999999E-2</v>
      </c>
      <c r="E791" t="s">
        <v>16659</v>
      </c>
      <c r="F791" t="s">
        <v>15314</v>
      </c>
    </row>
    <row r="792" spans="1:6" x14ac:dyDescent="0.3">
      <c r="A792" t="s">
        <v>16660</v>
      </c>
      <c r="B792">
        <v>7140</v>
      </c>
      <c r="C792" t="s">
        <v>15312</v>
      </c>
      <c r="D792">
        <v>1.2699999999999999E-2</v>
      </c>
      <c r="E792" t="s">
        <v>16661</v>
      </c>
      <c r="F792" t="s">
        <v>15314</v>
      </c>
    </row>
    <row r="793" spans="1:6" x14ac:dyDescent="0.3">
      <c r="A793" t="s">
        <v>16662</v>
      </c>
      <c r="B793">
        <v>7140</v>
      </c>
      <c r="C793" t="s">
        <v>15312</v>
      </c>
      <c r="D793">
        <v>1.2699999999999999E-2</v>
      </c>
      <c r="E793" t="s">
        <v>16663</v>
      </c>
      <c r="F793" t="s">
        <v>15314</v>
      </c>
    </row>
    <row r="794" spans="1:6" x14ac:dyDescent="0.3">
      <c r="A794" t="s">
        <v>16664</v>
      </c>
      <c r="B794">
        <v>7140</v>
      </c>
      <c r="C794" t="s">
        <v>15312</v>
      </c>
      <c r="D794">
        <v>1.2699999999999999E-2</v>
      </c>
      <c r="E794" t="s">
        <v>16665</v>
      </c>
      <c r="F794" t="s">
        <v>15314</v>
      </c>
    </row>
    <row r="795" spans="1:6" x14ac:dyDescent="0.3">
      <c r="A795" t="s">
        <v>16666</v>
      </c>
      <c r="B795">
        <v>7140</v>
      </c>
      <c r="C795" t="s">
        <v>15312</v>
      </c>
      <c r="D795">
        <v>1.2699999999999999E-2</v>
      </c>
      <c r="E795" t="s">
        <v>16667</v>
      </c>
      <c r="F795" t="s">
        <v>15314</v>
      </c>
    </row>
    <row r="796" spans="1:6" x14ac:dyDescent="0.3">
      <c r="A796" t="s">
        <v>16668</v>
      </c>
      <c r="B796">
        <v>7140</v>
      </c>
      <c r="C796" t="s">
        <v>15312</v>
      </c>
      <c r="D796">
        <v>1.2699999999999999E-2</v>
      </c>
      <c r="E796" t="s">
        <v>16669</v>
      </c>
      <c r="F796" t="s">
        <v>15314</v>
      </c>
    </row>
    <row r="797" spans="1:6" x14ac:dyDescent="0.3">
      <c r="A797" t="s">
        <v>16670</v>
      </c>
      <c r="B797">
        <v>7140</v>
      </c>
      <c r="C797" t="s">
        <v>15312</v>
      </c>
      <c r="D797">
        <v>1.2699999999999999E-2</v>
      </c>
      <c r="E797" t="s">
        <v>16671</v>
      </c>
      <c r="F797" t="s">
        <v>15314</v>
      </c>
    </row>
    <row r="798" spans="1:6" x14ac:dyDescent="0.3">
      <c r="A798" t="s">
        <v>16672</v>
      </c>
      <c r="B798">
        <v>7140</v>
      </c>
      <c r="C798" t="s">
        <v>15312</v>
      </c>
      <c r="D798">
        <v>1.2699999999999999E-2</v>
      </c>
      <c r="E798" t="s">
        <v>16673</v>
      </c>
      <c r="F798" t="s">
        <v>15314</v>
      </c>
    </row>
    <row r="799" spans="1:6" x14ac:dyDescent="0.3">
      <c r="A799" t="s">
        <v>16674</v>
      </c>
      <c r="B799">
        <v>7140</v>
      </c>
      <c r="C799" t="s">
        <v>15312</v>
      </c>
      <c r="D799">
        <v>1.2699999999999999E-2</v>
      </c>
      <c r="E799" t="s">
        <v>16675</v>
      </c>
      <c r="F799" t="s">
        <v>15314</v>
      </c>
    </row>
    <row r="800" spans="1:6" x14ac:dyDescent="0.3">
      <c r="A800" t="s">
        <v>16676</v>
      </c>
      <c r="B800">
        <v>7140</v>
      </c>
      <c r="C800" t="s">
        <v>15312</v>
      </c>
      <c r="D800">
        <v>1.2699999999999999E-2</v>
      </c>
      <c r="E800" t="s">
        <v>16677</v>
      </c>
      <c r="F800" t="s">
        <v>15314</v>
      </c>
    </row>
    <row r="801" spans="1:6" x14ac:dyDescent="0.3">
      <c r="A801" t="s">
        <v>16678</v>
      </c>
      <c r="B801">
        <v>7140</v>
      </c>
      <c r="C801" t="s">
        <v>15312</v>
      </c>
      <c r="D801">
        <v>1.2699999999999999E-2</v>
      </c>
      <c r="E801" t="s">
        <v>16679</v>
      </c>
      <c r="F801" t="s">
        <v>15314</v>
      </c>
    </row>
    <row r="802" spans="1:6" x14ac:dyDescent="0.3">
      <c r="A802" t="s">
        <v>16680</v>
      </c>
      <c r="B802">
        <v>7140</v>
      </c>
      <c r="C802" t="s">
        <v>15312</v>
      </c>
      <c r="D802">
        <v>1.2699999999999999E-2</v>
      </c>
      <c r="E802" t="s">
        <v>16681</v>
      </c>
      <c r="F802" t="s">
        <v>15314</v>
      </c>
    </row>
    <row r="803" spans="1:6" x14ac:dyDescent="0.3">
      <c r="A803" t="s">
        <v>16682</v>
      </c>
      <c r="B803">
        <v>7140</v>
      </c>
      <c r="C803" t="s">
        <v>15312</v>
      </c>
      <c r="D803">
        <v>1.2699999999999999E-2</v>
      </c>
      <c r="E803" t="s">
        <v>16683</v>
      </c>
      <c r="F803" t="s">
        <v>15314</v>
      </c>
    </row>
    <row r="804" spans="1:6" x14ac:dyDescent="0.3">
      <c r="A804" t="s">
        <v>16684</v>
      </c>
      <c r="B804">
        <v>7140</v>
      </c>
      <c r="C804" t="s">
        <v>15312</v>
      </c>
      <c r="D804">
        <v>1.2699999999999999E-2</v>
      </c>
      <c r="E804" t="s">
        <v>16685</v>
      </c>
      <c r="F804" t="s">
        <v>15314</v>
      </c>
    </row>
    <row r="805" spans="1:6" x14ac:dyDescent="0.3">
      <c r="A805" t="s">
        <v>16686</v>
      </c>
      <c r="B805">
        <v>7140</v>
      </c>
      <c r="C805" t="s">
        <v>15312</v>
      </c>
      <c r="D805">
        <v>1.2699999999999999E-2</v>
      </c>
      <c r="E805" t="s">
        <v>16687</v>
      </c>
      <c r="F805" t="s">
        <v>15314</v>
      </c>
    </row>
    <row r="806" spans="1:6" x14ac:dyDescent="0.3">
      <c r="A806" t="s">
        <v>16688</v>
      </c>
      <c r="B806">
        <v>7140</v>
      </c>
      <c r="C806" t="s">
        <v>15312</v>
      </c>
      <c r="D806">
        <v>1.2699999999999999E-2</v>
      </c>
      <c r="E806" t="s">
        <v>16689</v>
      </c>
      <c r="F806" t="s">
        <v>15314</v>
      </c>
    </row>
    <row r="807" spans="1:6" x14ac:dyDescent="0.3">
      <c r="A807" t="s">
        <v>16690</v>
      </c>
      <c r="B807">
        <v>7140</v>
      </c>
      <c r="C807" t="s">
        <v>15312</v>
      </c>
      <c r="D807">
        <v>1.2699999999999999E-2</v>
      </c>
      <c r="E807" t="s">
        <v>16691</v>
      </c>
      <c r="F807" t="s">
        <v>15314</v>
      </c>
    </row>
    <row r="808" spans="1:6" x14ac:dyDescent="0.3">
      <c r="A808" t="s">
        <v>16692</v>
      </c>
      <c r="B808">
        <v>7140</v>
      </c>
      <c r="C808" t="s">
        <v>15312</v>
      </c>
      <c r="D808">
        <v>1.2699999999999999E-2</v>
      </c>
      <c r="E808" t="s">
        <v>16693</v>
      </c>
      <c r="F808" t="s">
        <v>15314</v>
      </c>
    </row>
    <row r="809" spans="1:6" x14ac:dyDescent="0.3">
      <c r="A809" t="s">
        <v>16694</v>
      </c>
      <c r="B809">
        <v>7140</v>
      </c>
      <c r="C809" t="s">
        <v>15312</v>
      </c>
      <c r="D809">
        <v>1.2699999999999999E-2</v>
      </c>
      <c r="E809" t="s">
        <v>16695</v>
      </c>
      <c r="F809" t="s">
        <v>15314</v>
      </c>
    </row>
    <row r="810" spans="1:6" x14ac:dyDescent="0.3">
      <c r="A810" t="s">
        <v>16696</v>
      </c>
      <c r="B810">
        <v>7140</v>
      </c>
      <c r="C810" t="s">
        <v>15312</v>
      </c>
      <c r="D810">
        <v>1.2699999999999999E-2</v>
      </c>
      <c r="E810" t="s">
        <v>16697</v>
      </c>
      <c r="F810" t="s">
        <v>15314</v>
      </c>
    </row>
    <row r="811" spans="1:6" x14ac:dyDescent="0.3">
      <c r="A811" t="s">
        <v>16698</v>
      </c>
      <c r="B811">
        <v>7140</v>
      </c>
      <c r="C811" t="s">
        <v>15312</v>
      </c>
      <c r="D811">
        <v>1.2699999999999999E-2</v>
      </c>
      <c r="E811" t="s">
        <v>16699</v>
      </c>
      <c r="F811" t="s">
        <v>15314</v>
      </c>
    </row>
    <row r="812" spans="1:6" x14ac:dyDescent="0.3">
      <c r="A812" t="s">
        <v>16700</v>
      </c>
      <c r="B812">
        <v>7140</v>
      </c>
      <c r="C812" t="s">
        <v>15312</v>
      </c>
      <c r="D812">
        <v>1.2699999999999999E-2</v>
      </c>
      <c r="E812" t="s">
        <v>16701</v>
      </c>
      <c r="F812" t="s">
        <v>15314</v>
      </c>
    </row>
    <row r="813" spans="1:6" x14ac:dyDescent="0.3">
      <c r="A813" t="s">
        <v>16702</v>
      </c>
      <c r="B813">
        <v>7140</v>
      </c>
      <c r="C813" t="s">
        <v>15312</v>
      </c>
      <c r="D813">
        <v>1.2699999999999999E-2</v>
      </c>
      <c r="E813" t="s">
        <v>16703</v>
      </c>
      <c r="F813" t="s">
        <v>15314</v>
      </c>
    </row>
    <row r="814" spans="1:6" x14ac:dyDescent="0.3">
      <c r="A814" t="s">
        <v>16704</v>
      </c>
      <c r="B814">
        <v>7140</v>
      </c>
      <c r="C814" t="s">
        <v>15312</v>
      </c>
      <c r="D814">
        <v>1.2699999999999999E-2</v>
      </c>
      <c r="E814" t="s">
        <v>16705</v>
      </c>
      <c r="F814" t="s">
        <v>15314</v>
      </c>
    </row>
    <row r="815" spans="1:6" x14ac:dyDescent="0.3">
      <c r="A815" t="s">
        <v>16706</v>
      </c>
      <c r="B815">
        <v>7140</v>
      </c>
      <c r="C815" t="s">
        <v>15312</v>
      </c>
      <c r="D815">
        <v>1.2699999999999999E-2</v>
      </c>
      <c r="E815" t="s">
        <v>16707</v>
      </c>
      <c r="F815" t="s">
        <v>15314</v>
      </c>
    </row>
    <row r="816" spans="1:6" x14ac:dyDescent="0.3">
      <c r="A816" t="s">
        <v>16708</v>
      </c>
      <c r="B816">
        <v>7140</v>
      </c>
      <c r="C816" t="s">
        <v>15312</v>
      </c>
      <c r="D816">
        <v>1.2699999999999999E-2</v>
      </c>
      <c r="E816" t="s">
        <v>16709</v>
      </c>
      <c r="F816" t="s">
        <v>15314</v>
      </c>
    </row>
    <row r="817" spans="1:6" x14ac:dyDescent="0.3">
      <c r="A817" t="s">
        <v>16710</v>
      </c>
      <c r="B817">
        <v>7140</v>
      </c>
      <c r="C817" t="s">
        <v>15312</v>
      </c>
      <c r="D817">
        <v>1.2699999999999999E-2</v>
      </c>
      <c r="E817" t="s">
        <v>16711</v>
      </c>
      <c r="F817" t="s">
        <v>15314</v>
      </c>
    </row>
    <row r="818" spans="1:6" x14ac:dyDescent="0.3">
      <c r="A818" t="s">
        <v>16712</v>
      </c>
      <c r="B818">
        <v>7140</v>
      </c>
      <c r="C818" t="s">
        <v>15312</v>
      </c>
      <c r="D818">
        <v>1.2699999999999999E-2</v>
      </c>
      <c r="E818" t="s">
        <v>16713</v>
      </c>
      <c r="F818" t="s">
        <v>15314</v>
      </c>
    </row>
    <row r="819" spans="1:6" x14ac:dyDescent="0.3">
      <c r="A819" t="s">
        <v>16714</v>
      </c>
      <c r="B819">
        <v>7140</v>
      </c>
      <c r="C819" t="s">
        <v>15312</v>
      </c>
      <c r="D819">
        <v>1.2699999999999999E-2</v>
      </c>
      <c r="E819" t="s">
        <v>16715</v>
      </c>
      <c r="F819" t="s">
        <v>15314</v>
      </c>
    </row>
    <row r="820" spans="1:6" x14ac:dyDescent="0.3">
      <c r="A820" t="s">
        <v>16716</v>
      </c>
      <c r="B820">
        <v>7140</v>
      </c>
      <c r="C820" t="s">
        <v>15312</v>
      </c>
      <c r="D820">
        <v>1.2699999999999999E-2</v>
      </c>
      <c r="E820" t="s">
        <v>16717</v>
      </c>
      <c r="F820" t="s">
        <v>15314</v>
      </c>
    </row>
    <row r="821" spans="1:6" x14ac:dyDescent="0.3">
      <c r="A821" t="s">
        <v>16718</v>
      </c>
      <c r="B821">
        <v>7140</v>
      </c>
      <c r="C821" t="s">
        <v>15312</v>
      </c>
      <c r="D821">
        <v>1.2699999999999999E-2</v>
      </c>
      <c r="E821" t="s">
        <v>16719</v>
      </c>
      <c r="F821" t="s">
        <v>15314</v>
      </c>
    </row>
    <row r="822" spans="1:6" x14ac:dyDescent="0.3">
      <c r="A822" t="s">
        <v>16720</v>
      </c>
      <c r="B822">
        <v>7140</v>
      </c>
      <c r="C822" t="s">
        <v>15312</v>
      </c>
      <c r="D822">
        <v>1.2699999999999999E-2</v>
      </c>
      <c r="E822" t="s">
        <v>16721</v>
      </c>
      <c r="F822" t="s">
        <v>15314</v>
      </c>
    </row>
    <row r="823" spans="1:6" x14ac:dyDescent="0.3">
      <c r="A823" t="s">
        <v>16722</v>
      </c>
      <c r="B823">
        <v>7140</v>
      </c>
      <c r="C823" t="s">
        <v>15312</v>
      </c>
      <c r="D823">
        <v>1.2699999999999999E-2</v>
      </c>
      <c r="E823" t="s">
        <v>16723</v>
      </c>
      <c r="F823" t="s">
        <v>15314</v>
      </c>
    </row>
    <row r="824" spans="1:6" x14ac:dyDescent="0.3">
      <c r="A824" t="s">
        <v>16724</v>
      </c>
      <c r="B824">
        <v>7140</v>
      </c>
      <c r="C824" t="s">
        <v>15312</v>
      </c>
      <c r="D824">
        <v>1.2699999999999999E-2</v>
      </c>
      <c r="E824" t="s">
        <v>16725</v>
      </c>
      <c r="F824" t="s">
        <v>15314</v>
      </c>
    </row>
    <row r="825" spans="1:6" x14ac:dyDescent="0.3">
      <c r="A825" t="s">
        <v>16726</v>
      </c>
      <c r="B825">
        <v>7140</v>
      </c>
      <c r="C825" t="s">
        <v>15312</v>
      </c>
      <c r="D825">
        <v>1.2699999999999999E-2</v>
      </c>
      <c r="E825" t="s">
        <v>16727</v>
      </c>
      <c r="F825" t="s">
        <v>15314</v>
      </c>
    </row>
    <row r="826" spans="1:6" x14ac:dyDescent="0.3">
      <c r="A826" t="s">
        <v>16728</v>
      </c>
      <c r="B826">
        <v>7140</v>
      </c>
      <c r="C826" t="s">
        <v>15312</v>
      </c>
      <c r="D826">
        <v>1.2699999999999999E-2</v>
      </c>
      <c r="E826" t="s">
        <v>16729</v>
      </c>
      <c r="F826" t="s">
        <v>15314</v>
      </c>
    </row>
    <row r="827" spans="1:6" x14ac:dyDescent="0.3">
      <c r="A827" t="s">
        <v>16730</v>
      </c>
      <c r="B827">
        <v>7140</v>
      </c>
      <c r="C827" t="s">
        <v>15312</v>
      </c>
      <c r="D827">
        <v>1.2699999999999999E-2</v>
      </c>
      <c r="E827" t="s">
        <v>16731</v>
      </c>
      <c r="F827" t="s">
        <v>15314</v>
      </c>
    </row>
    <row r="828" spans="1:6" x14ac:dyDescent="0.3">
      <c r="A828" t="s">
        <v>16732</v>
      </c>
      <c r="B828">
        <v>7140</v>
      </c>
      <c r="C828" t="s">
        <v>15312</v>
      </c>
      <c r="D828">
        <v>1.2699999999999999E-2</v>
      </c>
      <c r="E828" t="s">
        <v>16733</v>
      </c>
      <c r="F828" t="s">
        <v>15314</v>
      </c>
    </row>
    <row r="829" spans="1:6" x14ac:dyDescent="0.3">
      <c r="A829" t="s">
        <v>16734</v>
      </c>
      <c r="B829">
        <v>7140</v>
      </c>
      <c r="C829" t="s">
        <v>15312</v>
      </c>
      <c r="D829">
        <v>1.2699999999999999E-2</v>
      </c>
      <c r="E829" t="s">
        <v>16735</v>
      </c>
      <c r="F829" t="s">
        <v>15314</v>
      </c>
    </row>
    <row r="830" spans="1:6" x14ac:dyDescent="0.3">
      <c r="A830" t="s">
        <v>16736</v>
      </c>
      <c r="B830">
        <v>7140</v>
      </c>
      <c r="C830" t="s">
        <v>15312</v>
      </c>
      <c r="D830">
        <v>1.2699999999999999E-2</v>
      </c>
      <c r="E830" t="s">
        <v>16737</v>
      </c>
      <c r="F830" t="s">
        <v>15314</v>
      </c>
    </row>
    <row r="831" spans="1:6" x14ac:dyDescent="0.3">
      <c r="A831" t="s">
        <v>16738</v>
      </c>
      <c r="B831">
        <v>7140</v>
      </c>
      <c r="C831" t="s">
        <v>15312</v>
      </c>
      <c r="D831">
        <v>1.2699999999999999E-2</v>
      </c>
      <c r="E831" t="s">
        <v>16739</v>
      </c>
      <c r="F831" t="s">
        <v>15314</v>
      </c>
    </row>
    <row r="832" spans="1:6" x14ac:dyDescent="0.3">
      <c r="A832" t="s">
        <v>16740</v>
      </c>
      <c r="B832">
        <v>7140</v>
      </c>
      <c r="C832" t="s">
        <v>15312</v>
      </c>
      <c r="D832">
        <v>1.2699999999999999E-2</v>
      </c>
      <c r="E832" t="s">
        <v>16741</v>
      </c>
      <c r="F832" t="s">
        <v>15314</v>
      </c>
    </row>
    <row r="833" spans="1:6" x14ac:dyDescent="0.3">
      <c r="A833" t="s">
        <v>16742</v>
      </c>
      <c r="B833">
        <v>7140</v>
      </c>
      <c r="C833" t="s">
        <v>15312</v>
      </c>
      <c r="D833">
        <v>1.2699999999999999E-2</v>
      </c>
      <c r="E833" t="s">
        <v>16743</v>
      </c>
      <c r="F833" t="s">
        <v>15314</v>
      </c>
    </row>
    <row r="834" spans="1:6" x14ac:dyDescent="0.3">
      <c r="A834" t="s">
        <v>16744</v>
      </c>
      <c r="B834">
        <v>7140</v>
      </c>
      <c r="C834" t="s">
        <v>15312</v>
      </c>
      <c r="D834">
        <v>1.2699999999999999E-2</v>
      </c>
      <c r="E834" t="s">
        <v>16745</v>
      </c>
      <c r="F834" t="s">
        <v>15314</v>
      </c>
    </row>
    <row r="835" spans="1:6" x14ac:dyDescent="0.3">
      <c r="A835" t="s">
        <v>16746</v>
      </c>
      <c r="B835">
        <v>7140</v>
      </c>
      <c r="C835" t="s">
        <v>15312</v>
      </c>
      <c r="D835">
        <v>1.2699999999999999E-2</v>
      </c>
      <c r="E835" t="s">
        <v>16747</v>
      </c>
      <c r="F835" t="s">
        <v>15314</v>
      </c>
    </row>
    <row r="836" spans="1:6" x14ac:dyDescent="0.3">
      <c r="A836" t="s">
        <v>16748</v>
      </c>
      <c r="B836">
        <v>7140</v>
      </c>
      <c r="C836" t="s">
        <v>15312</v>
      </c>
      <c r="D836">
        <v>1.2699999999999999E-2</v>
      </c>
      <c r="E836" t="s">
        <v>16749</v>
      </c>
      <c r="F836" t="s">
        <v>15314</v>
      </c>
    </row>
    <row r="837" spans="1:6" x14ac:dyDescent="0.3">
      <c r="A837" t="s">
        <v>16750</v>
      </c>
      <c r="B837">
        <v>7140</v>
      </c>
      <c r="C837" t="s">
        <v>15312</v>
      </c>
      <c r="D837">
        <v>1.2699999999999999E-2</v>
      </c>
      <c r="E837" t="s">
        <v>16751</v>
      </c>
      <c r="F837" t="s">
        <v>15314</v>
      </c>
    </row>
    <row r="838" spans="1:6" x14ac:dyDescent="0.3">
      <c r="A838" t="s">
        <v>16752</v>
      </c>
      <c r="B838">
        <v>7140</v>
      </c>
      <c r="C838" t="s">
        <v>15312</v>
      </c>
      <c r="D838">
        <v>1.2699999999999999E-2</v>
      </c>
      <c r="E838" t="s">
        <v>16753</v>
      </c>
      <c r="F838" t="s">
        <v>15314</v>
      </c>
    </row>
    <row r="839" spans="1:6" x14ac:dyDescent="0.3">
      <c r="A839" t="s">
        <v>16754</v>
      </c>
      <c r="B839">
        <v>7140</v>
      </c>
      <c r="C839" t="s">
        <v>15312</v>
      </c>
      <c r="D839">
        <v>1.2699999999999999E-2</v>
      </c>
      <c r="E839" t="s">
        <v>16755</v>
      </c>
      <c r="F839" t="s">
        <v>15314</v>
      </c>
    </row>
    <row r="840" spans="1:6" x14ac:dyDescent="0.3">
      <c r="A840" t="s">
        <v>16756</v>
      </c>
      <c r="B840">
        <v>7140</v>
      </c>
      <c r="C840" t="s">
        <v>15312</v>
      </c>
      <c r="D840">
        <v>1.2699999999999999E-2</v>
      </c>
      <c r="E840" t="s">
        <v>16757</v>
      </c>
      <c r="F840" t="s">
        <v>15314</v>
      </c>
    </row>
    <row r="841" spans="1:6" x14ac:dyDescent="0.3">
      <c r="A841" t="s">
        <v>16758</v>
      </c>
      <c r="B841">
        <v>7140</v>
      </c>
      <c r="C841" t="s">
        <v>15312</v>
      </c>
      <c r="D841">
        <v>1.2699999999999999E-2</v>
      </c>
      <c r="E841" t="s">
        <v>16759</v>
      </c>
      <c r="F841" t="s">
        <v>15314</v>
      </c>
    </row>
    <row r="842" spans="1:6" x14ac:dyDescent="0.3">
      <c r="A842" t="s">
        <v>16760</v>
      </c>
      <c r="B842">
        <v>7140</v>
      </c>
      <c r="C842" t="s">
        <v>15312</v>
      </c>
      <c r="D842">
        <v>1.2699999999999999E-2</v>
      </c>
      <c r="E842" t="s">
        <v>16761</v>
      </c>
      <c r="F842" t="s">
        <v>15314</v>
      </c>
    </row>
    <row r="843" spans="1:6" x14ac:dyDescent="0.3">
      <c r="A843" t="s">
        <v>16762</v>
      </c>
      <c r="B843">
        <v>7140</v>
      </c>
      <c r="C843" t="s">
        <v>15312</v>
      </c>
      <c r="D843">
        <v>1.2699999999999999E-2</v>
      </c>
      <c r="E843" t="s">
        <v>16763</v>
      </c>
      <c r="F843" t="s">
        <v>15314</v>
      </c>
    </row>
    <row r="844" spans="1:6" x14ac:dyDescent="0.3">
      <c r="A844" t="s">
        <v>16764</v>
      </c>
      <c r="B844">
        <v>7140</v>
      </c>
      <c r="C844" t="s">
        <v>15312</v>
      </c>
      <c r="D844">
        <v>1.2699999999999999E-2</v>
      </c>
      <c r="E844" t="s">
        <v>16765</v>
      </c>
      <c r="F844" t="s">
        <v>15314</v>
      </c>
    </row>
    <row r="845" spans="1:6" x14ac:dyDescent="0.3">
      <c r="A845" t="s">
        <v>16766</v>
      </c>
      <c r="B845">
        <v>7140</v>
      </c>
      <c r="C845" t="s">
        <v>15312</v>
      </c>
      <c r="D845">
        <v>1.2699999999999999E-2</v>
      </c>
      <c r="E845" t="s">
        <v>16767</v>
      </c>
      <c r="F845" t="s">
        <v>15314</v>
      </c>
    </row>
    <row r="846" spans="1:6" x14ac:dyDescent="0.3">
      <c r="A846" t="s">
        <v>16768</v>
      </c>
      <c r="B846">
        <v>7140</v>
      </c>
      <c r="C846" t="s">
        <v>15312</v>
      </c>
      <c r="D846">
        <v>1.2699999999999999E-2</v>
      </c>
      <c r="E846" t="s">
        <v>16769</v>
      </c>
      <c r="F846" t="s">
        <v>15314</v>
      </c>
    </row>
    <row r="847" spans="1:6" x14ac:dyDescent="0.3">
      <c r="A847" t="s">
        <v>16770</v>
      </c>
      <c r="B847">
        <v>7140</v>
      </c>
      <c r="C847" t="s">
        <v>15312</v>
      </c>
      <c r="D847">
        <v>1.3299999999999999E-2</v>
      </c>
      <c r="E847" t="s">
        <v>16771</v>
      </c>
      <c r="F847" t="s">
        <v>15314</v>
      </c>
    </row>
    <row r="848" spans="1:6" x14ac:dyDescent="0.3">
      <c r="A848" t="s">
        <v>16772</v>
      </c>
      <c r="B848">
        <v>7140</v>
      </c>
      <c r="C848" t="s">
        <v>15312</v>
      </c>
      <c r="D848">
        <v>1.3299999999999999E-2</v>
      </c>
      <c r="E848" t="s">
        <v>16773</v>
      </c>
      <c r="F848" t="s">
        <v>15314</v>
      </c>
    </row>
    <row r="849" spans="1:6" x14ac:dyDescent="0.3">
      <c r="A849" t="s">
        <v>16774</v>
      </c>
      <c r="B849">
        <v>7140</v>
      </c>
      <c r="C849" t="s">
        <v>15312</v>
      </c>
      <c r="D849">
        <v>1.3299999999999999E-2</v>
      </c>
      <c r="E849" t="s">
        <v>16775</v>
      </c>
      <c r="F849" t="s">
        <v>15314</v>
      </c>
    </row>
    <row r="850" spans="1:6" x14ac:dyDescent="0.3">
      <c r="A850" t="s">
        <v>16776</v>
      </c>
      <c r="B850">
        <v>7140</v>
      </c>
      <c r="C850" t="s">
        <v>15312</v>
      </c>
      <c r="D850">
        <v>1.3299999999999999E-2</v>
      </c>
      <c r="E850" t="s">
        <v>16777</v>
      </c>
      <c r="F850" t="s">
        <v>15314</v>
      </c>
    </row>
    <row r="851" spans="1:6" x14ac:dyDescent="0.3">
      <c r="A851" t="s">
        <v>16778</v>
      </c>
      <c r="B851">
        <v>7140</v>
      </c>
      <c r="C851" t="s">
        <v>15312</v>
      </c>
      <c r="D851">
        <v>1.3299999999999999E-2</v>
      </c>
      <c r="E851" t="s">
        <v>16779</v>
      </c>
      <c r="F851" t="s">
        <v>15314</v>
      </c>
    </row>
    <row r="852" spans="1:6" x14ac:dyDescent="0.3">
      <c r="A852" t="s">
        <v>16780</v>
      </c>
      <c r="B852">
        <v>7140</v>
      </c>
      <c r="C852" t="s">
        <v>15312</v>
      </c>
      <c r="D852">
        <v>1.3299999999999999E-2</v>
      </c>
      <c r="E852" t="s">
        <v>16781</v>
      </c>
      <c r="F852" t="s">
        <v>15314</v>
      </c>
    </row>
    <row r="853" spans="1:6" x14ac:dyDescent="0.3">
      <c r="A853" t="s">
        <v>16782</v>
      </c>
      <c r="B853">
        <v>7140</v>
      </c>
      <c r="C853" t="s">
        <v>15312</v>
      </c>
      <c r="D853">
        <v>1.3299999999999999E-2</v>
      </c>
      <c r="E853" t="s">
        <v>16783</v>
      </c>
      <c r="F853" t="s">
        <v>15314</v>
      </c>
    </row>
    <row r="854" spans="1:6" x14ac:dyDescent="0.3">
      <c r="A854" t="s">
        <v>16784</v>
      </c>
      <c r="B854">
        <v>7140</v>
      </c>
      <c r="C854" t="s">
        <v>15312</v>
      </c>
      <c r="D854">
        <v>1.3299999999999999E-2</v>
      </c>
      <c r="E854" t="s">
        <v>16785</v>
      </c>
      <c r="F854" t="s">
        <v>15314</v>
      </c>
    </row>
    <row r="855" spans="1:6" x14ac:dyDescent="0.3">
      <c r="A855" t="s">
        <v>16786</v>
      </c>
      <c r="B855">
        <v>7140</v>
      </c>
      <c r="C855" t="s">
        <v>15312</v>
      </c>
      <c r="D855">
        <v>1.3299999999999999E-2</v>
      </c>
      <c r="E855" t="s">
        <v>16787</v>
      </c>
      <c r="F855" t="s">
        <v>15314</v>
      </c>
    </row>
    <row r="856" spans="1:6" x14ac:dyDescent="0.3">
      <c r="A856" t="s">
        <v>16788</v>
      </c>
      <c r="B856">
        <v>7140</v>
      </c>
      <c r="C856" t="s">
        <v>15312</v>
      </c>
      <c r="D856">
        <v>1.3299999999999999E-2</v>
      </c>
      <c r="E856" t="s">
        <v>16789</v>
      </c>
      <c r="F856" t="s">
        <v>15314</v>
      </c>
    </row>
    <row r="857" spans="1:6" x14ac:dyDescent="0.3">
      <c r="A857" t="s">
        <v>16790</v>
      </c>
      <c r="B857">
        <v>7140</v>
      </c>
      <c r="C857" t="s">
        <v>15312</v>
      </c>
      <c r="D857">
        <v>1.3299999999999999E-2</v>
      </c>
      <c r="E857" t="s">
        <v>16791</v>
      </c>
      <c r="F857" t="s">
        <v>15314</v>
      </c>
    </row>
    <row r="858" spans="1:6" x14ac:dyDescent="0.3">
      <c r="A858" t="s">
        <v>16792</v>
      </c>
      <c r="B858">
        <v>1000000</v>
      </c>
      <c r="C858" t="s">
        <v>15312</v>
      </c>
      <c r="D858">
        <v>1.3299999999999999E-2</v>
      </c>
      <c r="E858" t="s">
        <v>16793</v>
      </c>
      <c r="F858" t="s">
        <v>15314</v>
      </c>
    </row>
    <row r="859" spans="1:6" x14ac:dyDescent="0.3">
      <c r="A859" t="s">
        <v>16794</v>
      </c>
      <c r="B859">
        <v>1000000</v>
      </c>
      <c r="C859" t="s">
        <v>15312</v>
      </c>
      <c r="D859">
        <v>1.4E-2</v>
      </c>
      <c r="E859" t="s">
        <v>16795</v>
      </c>
      <c r="F859" t="s">
        <v>15314</v>
      </c>
    </row>
    <row r="860" spans="1:6" x14ac:dyDescent="0.3">
      <c r="A860" t="s">
        <v>16796</v>
      </c>
      <c r="B860">
        <v>1000000</v>
      </c>
      <c r="C860" t="s">
        <v>15312</v>
      </c>
      <c r="D860">
        <v>1.4E-2</v>
      </c>
      <c r="E860" t="s">
        <v>16797</v>
      </c>
      <c r="F860" t="s">
        <v>15314</v>
      </c>
    </row>
    <row r="861" spans="1:6" x14ac:dyDescent="0.3">
      <c r="A861" t="s">
        <v>16798</v>
      </c>
      <c r="B861">
        <v>6720</v>
      </c>
      <c r="C861" t="s">
        <v>15312</v>
      </c>
      <c r="D861">
        <v>1.3299999999999999E-2</v>
      </c>
      <c r="E861" t="s">
        <v>16799</v>
      </c>
      <c r="F861" t="s">
        <v>15314</v>
      </c>
    </row>
    <row r="862" spans="1:6" x14ac:dyDescent="0.3">
      <c r="A862" t="s">
        <v>16800</v>
      </c>
      <c r="B862">
        <v>1000000</v>
      </c>
      <c r="C862" t="s">
        <v>15312</v>
      </c>
      <c r="D862">
        <v>1.3299999999999999E-2</v>
      </c>
      <c r="E862" t="s">
        <v>16801</v>
      </c>
      <c r="F862" t="s">
        <v>15314</v>
      </c>
    </row>
    <row r="863" spans="1:6" x14ac:dyDescent="0.3">
      <c r="A863" t="s">
        <v>16802</v>
      </c>
      <c r="B863">
        <v>6720</v>
      </c>
      <c r="C863" t="s">
        <v>15312</v>
      </c>
      <c r="D863">
        <v>1.3299999999999999E-2</v>
      </c>
      <c r="E863" t="s">
        <v>16803</v>
      </c>
      <c r="F863" t="s">
        <v>15314</v>
      </c>
    </row>
    <row r="864" spans="1:6" x14ac:dyDescent="0.3">
      <c r="A864" t="s">
        <v>16804</v>
      </c>
      <c r="B864">
        <v>6720</v>
      </c>
      <c r="C864" t="s">
        <v>15312</v>
      </c>
      <c r="D864">
        <v>1.3299999999999999E-2</v>
      </c>
      <c r="E864" t="s">
        <v>16805</v>
      </c>
      <c r="F864" t="s">
        <v>15314</v>
      </c>
    </row>
    <row r="865" spans="1:6" x14ac:dyDescent="0.3">
      <c r="A865" t="s">
        <v>16806</v>
      </c>
      <c r="B865">
        <v>6720</v>
      </c>
      <c r="C865" t="s">
        <v>15312</v>
      </c>
      <c r="D865">
        <v>1.3299999999999999E-2</v>
      </c>
      <c r="E865" t="s">
        <v>16807</v>
      </c>
      <c r="F865" t="s">
        <v>15314</v>
      </c>
    </row>
    <row r="866" spans="1:6" x14ac:dyDescent="0.3">
      <c r="A866" t="s">
        <v>16808</v>
      </c>
      <c r="B866">
        <v>6720</v>
      </c>
      <c r="C866" t="s">
        <v>15312</v>
      </c>
      <c r="D866">
        <v>1.3299999999999999E-2</v>
      </c>
      <c r="E866" t="s">
        <v>16809</v>
      </c>
      <c r="F866" t="s">
        <v>15314</v>
      </c>
    </row>
    <row r="867" spans="1:6" x14ac:dyDescent="0.3">
      <c r="A867" t="s">
        <v>16810</v>
      </c>
      <c r="B867">
        <v>6720</v>
      </c>
      <c r="C867" t="s">
        <v>15312</v>
      </c>
      <c r="D867">
        <v>1.3299999999999999E-2</v>
      </c>
      <c r="E867" t="s">
        <v>16811</v>
      </c>
      <c r="F867" t="s">
        <v>15314</v>
      </c>
    </row>
    <row r="868" spans="1:6" x14ac:dyDescent="0.3">
      <c r="A868" t="s">
        <v>16812</v>
      </c>
      <c r="B868">
        <v>6720</v>
      </c>
      <c r="C868" t="s">
        <v>15312</v>
      </c>
      <c r="D868">
        <v>1.3299999999999999E-2</v>
      </c>
      <c r="E868" t="s">
        <v>16813</v>
      </c>
      <c r="F868" t="s">
        <v>15314</v>
      </c>
    </row>
    <row r="869" spans="1:6" x14ac:dyDescent="0.3">
      <c r="A869" t="s">
        <v>16814</v>
      </c>
      <c r="B869">
        <v>6720</v>
      </c>
      <c r="C869" t="s">
        <v>15312</v>
      </c>
      <c r="D869">
        <v>1.3299999999999999E-2</v>
      </c>
      <c r="E869" t="s">
        <v>16815</v>
      </c>
      <c r="F869" t="s">
        <v>15314</v>
      </c>
    </row>
    <row r="870" spans="1:6" x14ac:dyDescent="0.3">
      <c r="A870" t="s">
        <v>16816</v>
      </c>
      <c r="B870">
        <v>6720</v>
      </c>
      <c r="C870" t="s">
        <v>15312</v>
      </c>
      <c r="D870">
        <v>1.3299999999999999E-2</v>
      </c>
      <c r="E870" t="s">
        <v>16817</v>
      </c>
      <c r="F870" t="s">
        <v>15314</v>
      </c>
    </row>
    <row r="871" spans="1:6" x14ac:dyDescent="0.3">
      <c r="A871" t="s">
        <v>16818</v>
      </c>
      <c r="B871">
        <v>6720</v>
      </c>
      <c r="C871" t="s">
        <v>15312</v>
      </c>
      <c r="D871">
        <v>1.3299999999999999E-2</v>
      </c>
      <c r="E871" t="s">
        <v>16819</v>
      </c>
      <c r="F871" t="s">
        <v>15314</v>
      </c>
    </row>
    <row r="872" spans="1:6" x14ac:dyDescent="0.3">
      <c r="A872" t="s">
        <v>16820</v>
      </c>
      <c r="B872">
        <v>6720</v>
      </c>
      <c r="C872" t="s">
        <v>15312</v>
      </c>
      <c r="D872">
        <v>1.3299999999999999E-2</v>
      </c>
      <c r="E872" t="s">
        <v>16821</v>
      </c>
      <c r="F872" t="s">
        <v>15314</v>
      </c>
    </row>
    <row r="873" spans="1:6" x14ac:dyDescent="0.3">
      <c r="A873" t="s">
        <v>647</v>
      </c>
      <c r="B873">
        <v>16380</v>
      </c>
      <c r="C873" t="s">
        <v>15169</v>
      </c>
      <c r="D873">
        <v>2.1000000000000001E-2</v>
      </c>
      <c r="E873" t="s">
        <v>648</v>
      </c>
      <c r="F873" t="s">
        <v>15195</v>
      </c>
    </row>
    <row r="874" spans="1:6" x14ac:dyDescent="0.3">
      <c r="A874" t="s">
        <v>693</v>
      </c>
      <c r="B874">
        <v>16380</v>
      </c>
      <c r="C874" t="s">
        <v>15169</v>
      </c>
      <c r="D874">
        <v>2.1000000000000001E-2</v>
      </c>
      <c r="E874" t="s">
        <v>694</v>
      </c>
      <c r="F874" t="s">
        <v>15195</v>
      </c>
    </row>
    <row r="875" spans="1:6" x14ac:dyDescent="0.3">
      <c r="A875" t="s">
        <v>115</v>
      </c>
      <c r="B875">
        <v>16380</v>
      </c>
      <c r="C875" t="s">
        <v>15169</v>
      </c>
      <c r="D875">
        <v>2.1000000000000001E-2</v>
      </c>
      <c r="E875" t="s">
        <v>116</v>
      </c>
      <c r="F875" t="s">
        <v>15195</v>
      </c>
    </row>
    <row r="876" spans="1:6" x14ac:dyDescent="0.3">
      <c r="A876" t="s">
        <v>16822</v>
      </c>
      <c r="B876">
        <v>16380</v>
      </c>
      <c r="C876" t="s">
        <v>15169</v>
      </c>
      <c r="D876">
        <v>2.1000000000000001E-2</v>
      </c>
      <c r="E876" t="s">
        <v>16823</v>
      </c>
      <c r="F876" t="s">
        <v>15195</v>
      </c>
    </row>
    <row r="877" spans="1:6" x14ac:dyDescent="0.3">
      <c r="A877" t="s">
        <v>16824</v>
      </c>
      <c r="B877">
        <v>11100</v>
      </c>
      <c r="C877" t="s">
        <v>15169</v>
      </c>
      <c r="D877">
        <v>2.1499999999999998E-2</v>
      </c>
      <c r="E877" t="s">
        <v>16825</v>
      </c>
      <c r="F877" t="s">
        <v>15195</v>
      </c>
    </row>
    <row r="878" spans="1:6" x14ac:dyDescent="0.3">
      <c r="A878" t="s">
        <v>16826</v>
      </c>
      <c r="B878">
        <v>11100</v>
      </c>
      <c r="C878" t="s">
        <v>15169</v>
      </c>
      <c r="D878">
        <v>2.1499999999999998E-2</v>
      </c>
      <c r="E878" t="s">
        <v>16827</v>
      </c>
      <c r="F878" t="s">
        <v>15195</v>
      </c>
    </row>
    <row r="879" spans="1:6" x14ac:dyDescent="0.3">
      <c r="A879" t="s">
        <v>16828</v>
      </c>
      <c r="B879">
        <v>11100</v>
      </c>
      <c r="C879" t="s">
        <v>15169</v>
      </c>
      <c r="D879">
        <v>2.1499999999999998E-2</v>
      </c>
      <c r="E879" t="s">
        <v>16829</v>
      </c>
      <c r="F879" t="s">
        <v>15195</v>
      </c>
    </row>
    <row r="880" spans="1:6" x14ac:dyDescent="0.3">
      <c r="A880" t="s">
        <v>16830</v>
      </c>
      <c r="B880">
        <v>15</v>
      </c>
      <c r="C880" t="s">
        <v>15169</v>
      </c>
      <c r="D880">
        <v>2.1999999999999999E-2</v>
      </c>
      <c r="E880" t="s">
        <v>16831</v>
      </c>
      <c r="F880" t="s">
        <v>15195</v>
      </c>
    </row>
    <row r="881" spans="1:6" x14ac:dyDescent="0.3">
      <c r="A881" t="s">
        <v>16832</v>
      </c>
      <c r="B881">
        <v>14496</v>
      </c>
      <c r="C881" t="s">
        <v>15169</v>
      </c>
      <c r="D881">
        <v>2.1999999999999999E-2</v>
      </c>
      <c r="E881" t="s">
        <v>16833</v>
      </c>
      <c r="F881" t="s">
        <v>15214</v>
      </c>
    </row>
    <row r="882" spans="1:6" x14ac:dyDescent="0.3">
      <c r="A882" t="s">
        <v>16834</v>
      </c>
      <c r="B882">
        <v>14496</v>
      </c>
      <c r="C882" t="s">
        <v>15169</v>
      </c>
      <c r="D882">
        <v>2.1999999999999999E-2</v>
      </c>
      <c r="E882" t="s">
        <v>16835</v>
      </c>
      <c r="F882" t="s">
        <v>15214</v>
      </c>
    </row>
    <row r="883" spans="1:6" x14ac:dyDescent="0.3">
      <c r="A883" t="s">
        <v>16836</v>
      </c>
      <c r="B883">
        <v>14496</v>
      </c>
      <c r="C883" t="s">
        <v>15169</v>
      </c>
      <c r="D883">
        <v>2.1999999999999999E-2</v>
      </c>
      <c r="E883" t="s">
        <v>16837</v>
      </c>
      <c r="F883" t="s">
        <v>15214</v>
      </c>
    </row>
    <row r="884" spans="1:6" x14ac:dyDescent="0.3">
      <c r="A884" t="s">
        <v>16838</v>
      </c>
      <c r="B884">
        <v>14</v>
      </c>
      <c r="C884" t="s">
        <v>15169</v>
      </c>
      <c r="D884">
        <v>2.1999999999999999E-2</v>
      </c>
      <c r="E884" t="s">
        <v>16839</v>
      </c>
      <c r="F884" t="s">
        <v>15214</v>
      </c>
    </row>
    <row r="885" spans="1:6" x14ac:dyDescent="0.3">
      <c r="A885" t="s">
        <v>16840</v>
      </c>
      <c r="B885">
        <v>14496</v>
      </c>
      <c r="C885" t="s">
        <v>15169</v>
      </c>
      <c r="D885">
        <v>2.1999999999999999E-2</v>
      </c>
      <c r="E885" t="s">
        <v>16841</v>
      </c>
      <c r="F885" t="s">
        <v>15214</v>
      </c>
    </row>
    <row r="886" spans="1:6" x14ac:dyDescent="0.3">
      <c r="A886" t="s">
        <v>16842</v>
      </c>
      <c r="B886">
        <v>14</v>
      </c>
      <c r="C886" t="s">
        <v>15169</v>
      </c>
      <c r="D886">
        <v>2.1999999999999999E-2</v>
      </c>
      <c r="E886" t="s">
        <v>16843</v>
      </c>
      <c r="F886" t="s">
        <v>15214</v>
      </c>
    </row>
    <row r="887" spans="1:6" x14ac:dyDescent="0.3">
      <c r="A887" t="s">
        <v>16844</v>
      </c>
      <c r="B887">
        <v>1248</v>
      </c>
      <c r="C887" t="s">
        <v>15169</v>
      </c>
      <c r="D887">
        <v>2.1999999999999999E-2</v>
      </c>
      <c r="E887" t="s">
        <v>16845</v>
      </c>
      <c r="F887" t="s">
        <v>15214</v>
      </c>
    </row>
    <row r="888" spans="1:6" x14ac:dyDescent="0.3">
      <c r="A888" t="s">
        <v>16846</v>
      </c>
      <c r="B888">
        <v>14496</v>
      </c>
      <c r="C888" t="s">
        <v>15169</v>
      </c>
      <c r="D888">
        <v>2.1999999999999999E-2</v>
      </c>
      <c r="E888" t="s">
        <v>16847</v>
      </c>
      <c r="F888" t="s">
        <v>15214</v>
      </c>
    </row>
    <row r="889" spans="1:6" x14ac:dyDescent="0.3">
      <c r="A889" t="s">
        <v>16848</v>
      </c>
      <c r="B889">
        <v>14</v>
      </c>
      <c r="C889" t="s">
        <v>15169</v>
      </c>
      <c r="D889">
        <v>2.1999999999999999E-2</v>
      </c>
      <c r="E889" t="s">
        <v>16849</v>
      </c>
      <c r="F889" t="s">
        <v>15214</v>
      </c>
    </row>
    <row r="890" spans="1:6" x14ac:dyDescent="0.3">
      <c r="A890" t="s">
        <v>16850</v>
      </c>
      <c r="B890">
        <v>14</v>
      </c>
      <c r="C890" t="s">
        <v>15169</v>
      </c>
      <c r="D890">
        <v>2.1999999999999999E-2</v>
      </c>
      <c r="E890" t="s">
        <v>16851</v>
      </c>
      <c r="F890" t="s">
        <v>15214</v>
      </c>
    </row>
    <row r="891" spans="1:6" x14ac:dyDescent="0.3">
      <c r="A891" t="s">
        <v>16852</v>
      </c>
      <c r="B891">
        <v>1248</v>
      </c>
      <c r="C891" t="s">
        <v>15169</v>
      </c>
      <c r="D891">
        <v>2.1999999999999999E-2</v>
      </c>
      <c r="E891" t="s">
        <v>16853</v>
      </c>
      <c r="F891" t="s">
        <v>15214</v>
      </c>
    </row>
    <row r="892" spans="1:6" x14ac:dyDescent="0.3">
      <c r="A892" t="s">
        <v>1017</v>
      </c>
      <c r="B892">
        <v>16380</v>
      </c>
      <c r="C892" t="s">
        <v>15169</v>
      </c>
      <c r="D892">
        <v>2.23E-2</v>
      </c>
      <c r="E892" t="s">
        <v>1018</v>
      </c>
      <c r="F892" t="s">
        <v>15195</v>
      </c>
    </row>
    <row r="893" spans="1:6" x14ac:dyDescent="0.3">
      <c r="A893" t="s">
        <v>13096</v>
      </c>
      <c r="B893">
        <v>16380</v>
      </c>
      <c r="C893" t="s">
        <v>15169</v>
      </c>
      <c r="D893">
        <v>2.23E-2</v>
      </c>
      <c r="E893" t="s">
        <v>13097</v>
      </c>
      <c r="F893" t="s">
        <v>15195</v>
      </c>
    </row>
    <row r="894" spans="1:6" x14ac:dyDescent="0.3">
      <c r="A894" t="s">
        <v>16854</v>
      </c>
      <c r="B894">
        <v>16380</v>
      </c>
      <c r="C894" t="s">
        <v>15169</v>
      </c>
      <c r="D894">
        <v>2.23E-2</v>
      </c>
      <c r="E894" t="s">
        <v>16855</v>
      </c>
      <c r="F894" t="s">
        <v>15195</v>
      </c>
    </row>
    <row r="895" spans="1:6" x14ac:dyDescent="0.3">
      <c r="A895" t="s">
        <v>16856</v>
      </c>
      <c r="B895">
        <v>13440</v>
      </c>
      <c r="C895" t="s">
        <v>15169</v>
      </c>
      <c r="D895">
        <v>2.2800000000000001E-2</v>
      </c>
      <c r="E895" t="s">
        <v>16857</v>
      </c>
      <c r="F895" t="s">
        <v>15314</v>
      </c>
    </row>
    <row r="896" spans="1:6" x14ac:dyDescent="0.3">
      <c r="A896" t="s">
        <v>16858</v>
      </c>
      <c r="B896">
        <v>16380</v>
      </c>
      <c r="C896" t="s">
        <v>15169</v>
      </c>
      <c r="D896">
        <v>2.2800000000000001E-2</v>
      </c>
      <c r="E896" t="s">
        <v>16859</v>
      </c>
      <c r="F896" t="s">
        <v>15314</v>
      </c>
    </row>
    <row r="897" spans="1:6" x14ac:dyDescent="0.3">
      <c r="A897" t="s">
        <v>16860</v>
      </c>
      <c r="B897">
        <v>11100</v>
      </c>
      <c r="C897" t="s">
        <v>15169</v>
      </c>
      <c r="D897">
        <v>2.3E-2</v>
      </c>
      <c r="E897" t="s">
        <v>16861</v>
      </c>
      <c r="F897" t="s">
        <v>15195</v>
      </c>
    </row>
    <row r="898" spans="1:6" x14ac:dyDescent="0.3">
      <c r="A898" t="s">
        <v>16862</v>
      </c>
      <c r="B898">
        <v>1140</v>
      </c>
      <c r="C898" t="s">
        <v>15169</v>
      </c>
      <c r="D898">
        <v>2.3E-2</v>
      </c>
      <c r="E898" t="s">
        <v>16863</v>
      </c>
      <c r="F898" t="s">
        <v>15195</v>
      </c>
    </row>
    <row r="899" spans="1:6" x14ac:dyDescent="0.3">
      <c r="A899" t="s">
        <v>16864</v>
      </c>
      <c r="B899">
        <v>1140</v>
      </c>
      <c r="C899" t="s">
        <v>15169</v>
      </c>
      <c r="D899">
        <v>2.3E-2</v>
      </c>
      <c r="E899" t="s">
        <v>16865</v>
      </c>
      <c r="F899" t="s">
        <v>15195</v>
      </c>
    </row>
    <row r="900" spans="1:6" x14ac:dyDescent="0.3">
      <c r="A900" t="s">
        <v>16866</v>
      </c>
      <c r="B900">
        <v>11100</v>
      </c>
      <c r="C900" t="s">
        <v>15169</v>
      </c>
      <c r="D900">
        <v>2.3E-2</v>
      </c>
      <c r="E900" t="s">
        <v>16867</v>
      </c>
      <c r="F900" t="s">
        <v>15195</v>
      </c>
    </row>
    <row r="901" spans="1:6" x14ac:dyDescent="0.3">
      <c r="A901" t="s">
        <v>16868</v>
      </c>
      <c r="B901">
        <v>11100</v>
      </c>
      <c r="C901" t="s">
        <v>15169</v>
      </c>
      <c r="D901">
        <v>2.4E-2</v>
      </c>
      <c r="E901" t="s">
        <v>16869</v>
      </c>
      <c r="F901" t="s">
        <v>15195</v>
      </c>
    </row>
    <row r="902" spans="1:6" x14ac:dyDescent="0.3">
      <c r="A902" t="s">
        <v>16870</v>
      </c>
      <c r="B902">
        <v>11100</v>
      </c>
      <c r="C902" t="s">
        <v>15169</v>
      </c>
      <c r="D902">
        <v>2.4E-2</v>
      </c>
      <c r="E902" t="s">
        <v>16871</v>
      </c>
      <c r="F902" t="s">
        <v>15195</v>
      </c>
    </row>
    <row r="903" spans="1:6" x14ac:dyDescent="0.3">
      <c r="A903" t="s">
        <v>16872</v>
      </c>
      <c r="B903">
        <v>11100</v>
      </c>
      <c r="C903" t="s">
        <v>15169</v>
      </c>
      <c r="D903">
        <v>2.4E-2</v>
      </c>
      <c r="E903" t="s">
        <v>16873</v>
      </c>
      <c r="F903" t="s">
        <v>15195</v>
      </c>
    </row>
    <row r="904" spans="1:6" x14ac:dyDescent="0.3">
      <c r="A904" t="s">
        <v>16874</v>
      </c>
      <c r="B904">
        <v>11100</v>
      </c>
      <c r="C904" t="s">
        <v>15169</v>
      </c>
      <c r="D904">
        <v>2.4E-2</v>
      </c>
      <c r="E904" t="s">
        <v>16875</v>
      </c>
      <c r="F904" t="s">
        <v>15195</v>
      </c>
    </row>
    <row r="905" spans="1:6" x14ac:dyDescent="0.3">
      <c r="A905" t="s">
        <v>16876</v>
      </c>
      <c r="B905">
        <v>1100</v>
      </c>
      <c r="C905" t="s">
        <v>15169</v>
      </c>
      <c r="D905">
        <v>2.4E-2</v>
      </c>
      <c r="E905" t="s">
        <v>16877</v>
      </c>
      <c r="F905" t="s">
        <v>15195</v>
      </c>
    </row>
    <row r="906" spans="1:6" x14ac:dyDescent="0.3">
      <c r="A906" t="s">
        <v>16878</v>
      </c>
      <c r="B906">
        <v>11100</v>
      </c>
      <c r="C906" t="s">
        <v>15169</v>
      </c>
      <c r="D906">
        <v>2.4E-2</v>
      </c>
      <c r="E906" t="s">
        <v>16879</v>
      </c>
      <c r="F906" t="s">
        <v>15195</v>
      </c>
    </row>
    <row r="907" spans="1:6" x14ac:dyDescent="0.3">
      <c r="A907" t="s">
        <v>16880</v>
      </c>
      <c r="B907">
        <v>6720</v>
      </c>
      <c r="C907" t="s">
        <v>15169</v>
      </c>
      <c r="D907">
        <v>2.4E-2</v>
      </c>
      <c r="E907" t="s">
        <v>16881</v>
      </c>
      <c r="F907" t="s">
        <v>15195</v>
      </c>
    </row>
    <row r="908" spans="1:6" x14ac:dyDescent="0.3">
      <c r="A908" t="s">
        <v>16882</v>
      </c>
      <c r="B908">
        <v>1200</v>
      </c>
      <c r="C908" t="s">
        <v>15169</v>
      </c>
      <c r="D908">
        <v>0.24</v>
      </c>
      <c r="E908" t="s">
        <v>16883</v>
      </c>
      <c r="F908" t="s">
        <v>15195</v>
      </c>
    </row>
    <row r="909" spans="1:6" x14ac:dyDescent="0.3">
      <c r="A909" t="s">
        <v>16884</v>
      </c>
      <c r="B909">
        <v>1200</v>
      </c>
      <c r="C909" t="s">
        <v>15169</v>
      </c>
      <c r="D909">
        <v>0.24</v>
      </c>
      <c r="E909" t="s">
        <v>16885</v>
      </c>
      <c r="F909" t="s">
        <v>15195</v>
      </c>
    </row>
    <row r="910" spans="1:6" x14ac:dyDescent="0.3">
      <c r="A910" t="s">
        <v>16886</v>
      </c>
      <c r="B910">
        <v>1200</v>
      </c>
      <c r="C910" t="s">
        <v>15169</v>
      </c>
      <c r="D910">
        <v>0.24</v>
      </c>
      <c r="E910" t="s">
        <v>16887</v>
      </c>
      <c r="F910" t="s">
        <v>15195</v>
      </c>
    </row>
    <row r="911" spans="1:6" x14ac:dyDescent="0.3">
      <c r="A911" t="s">
        <v>16888</v>
      </c>
      <c r="B911">
        <v>5733</v>
      </c>
      <c r="C911" t="s">
        <v>15312</v>
      </c>
      <c r="D911">
        <v>1.55E-2</v>
      </c>
      <c r="E911" t="s">
        <v>16889</v>
      </c>
      <c r="F911" t="s">
        <v>15314</v>
      </c>
    </row>
    <row r="912" spans="1:6" x14ac:dyDescent="0.3">
      <c r="A912" t="s">
        <v>16890</v>
      </c>
      <c r="B912">
        <v>6400</v>
      </c>
      <c r="C912" t="s">
        <v>15312</v>
      </c>
      <c r="D912">
        <v>1.55E-2</v>
      </c>
      <c r="E912" t="s">
        <v>16891</v>
      </c>
      <c r="F912" t="s">
        <v>15314</v>
      </c>
    </row>
    <row r="913" spans="1:6" x14ac:dyDescent="0.3">
      <c r="A913" t="s">
        <v>16892</v>
      </c>
      <c r="B913">
        <v>6400</v>
      </c>
      <c r="C913" t="s">
        <v>15312</v>
      </c>
      <c r="D913">
        <v>1.55E-2</v>
      </c>
      <c r="E913" t="s">
        <v>16893</v>
      </c>
      <c r="F913" t="s">
        <v>15314</v>
      </c>
    </row>
    <row r="914" spans="1:6" x14ac:dyDescent="0.3">
      <c r="A914" t="s">
        <v>16894</v>
      </c>
      <c r="B914">
        <v>6400</v>
      </c>
      <c r="C914" t="s">
        <v>15312</v>
      </c>
      <c r="D914">
        <v>1.55E-2</v>
      </c>
      <c r="E914" t="s">
        <v>16895</v>
      </c>
      <c r="F914" t="s">
        <v>15314</v>
      </c>
    </row>
    <row r="915" spans="1:6" x14ac:dyDescent="0.3">
      <c r="A915" t="s">
        <v>16896</v>
      </c>
      <c r="B915">
        <v>6400</v>
      </c>
      <c r="C915" t="s">
        <v>15312</v>
      </c>
      <c r="D915">
        <v>1.55E-2</v>
      </c>
      <c r="E915" t="s">
        <v>16897</v>
      </c>
      <c r="F915" t="s">
        <v>15314</v>
      </c>
    </row>
    <row r="916" spans="1:6" x14ac:dyDescent="0.3">
      <c r="A916" t="s">
        <v>16898</v>
      </c>
      <c r="B916">
        <v>6400</v>
      </c>
      <c r="C916" t="s">
        <v>15312</v>
      </c>
      <c r="D916">
        <v>1.55E-2</v>
      </c>
      <c r="E916" t="s">
        <v>16899</v>
      </c>
      <c r="F916" t="s">
        <v>15314</v>
      </c>
    </row>
    <row r="917" spans="1:6" x14ac:dyDescent="0.3">
      <c r="A917" t="s">
        <v>16900</v>
      </c>
      <c r="B917">
        <v>6400</v>
      </c>
      <c r="C917" t="s">
        <v>15312</v>
      </c>
      <c r="D917">
        <v>1.55E-2</v>
      </c>
      <c r="E917" t="s">
        <v>16901</v>
      </c>
      <c r="F917" t="s">
        <v>15314</v>
      </c>
    </row>
    <row r="918" spans="1:6" x14ac:dyDescent="0.3">
      <c r="A918" t="s">
        <v>16902</v>
      </c>
      <c r="B918">
        <v>6400</v>
      </c>
      <c r="C918" t="s">
        <v>15312</v>
      </c>
      <c r="D918">
        <v>1.55E-2</v>
      </c>
      <c r="E918" t="s">
        <v>16903</v>
      </c>
      <c r="F918" t="s">
        <v>15314</v>
      </c>
    </row>
    <row r="919" spans="1:6" x14ac:dyDescent="0.3">
      <c r="A919" t="s">
        <v>16904</v>
      </c>
      <c r="B919">
        <v>6400</v>
      </c>
      <c r="C919" t="s">
        <v>15312</v>
      </c>
      <c r="D919">
        <v>1.55E-2</v>
      </c>
      <c r="E919" t="s">
        <v>16905</v>
      </c>
      <c r="F919" t="s">
        <v>15314</v>
      </c>
    </row>
    <row r="920" spans="1:6" x14ac:dyDescent="0.3">
      <c r="A920" t="s">
        <v>16906</v>
      </c>
      <c r="B920">
        <v>6400</v>
      </c>
      <c r="C920" t="s">
        <v>15312</v>
      </c>
      <c r="D920">
        <v>1.55E-2</v>
      </c>
      <c r="E920" t="s">
        <v>16907</v>
      </c>
      <c r="F920" t="s">
        <v>15314</v>
      </c>
    </row>
    <row r="921" spans="1:6" x14ac:dyDescent="0.3">
      <c r="A921" t="s">
        <v>16908</v>
      </c>
      <c r="B921">
        <v>6400</v>
      </c>
      <c r="C921" t="s">
        <v>15312</v>
      </c>
      <c r="D921">
        <v>1.55E-2</v>
      </c>
      <c r="E921" t="s">
        <v>16909</v>
      </c>
      <c r="F921" t="s">
        <v>15314</v>
      </c>
    </row>
    <row r="922" spans="1:6" x14ac:dyDescent="0.3">
      <c r="A922" t="s">
        <v>16910</v>
      </c>
      <c r="B922">
        <v>6400</v>
      </c>
      <c r="C922" t="s">
        <v>15312</v>
      </c>
      <c r="D922">
        <v>1.55E-2</v>
      </c>
      <c r="E922" t="s">
        <v>16911</v>
      </c>
      <c r="F922" t="s">
        <v>15314</v>
      </c>
    </row>
    <row r="923" spans="1:6" x14ac:dyDescent="0.3">
      <c r="A923" t="s">
        <v>16912</v>
      </c>
      <c r="B923">
        <v>6400</v>
      </c>
      <c r="C923" t="s">
        <v>15312</v>
      </c>
      <c r="D923">
        <v>1.55E-2</v>
      </c>
      <c r="E923" t="s">
        <v>16913</v>
      </c>
      <c r="F923" t="s">
        <v>15314</v>
      </c>
    </row>
    <row r="924" spans="1:6" x14ac:dyDescent="0.3">
      <c r="A924" t="s">
        <v>16914</v>
      </c>
      <c r="B924">
        <v>6400</v>
      </c>
      <c r="C924" t="s">
        <v>15312</v>
      </c>
      <c r="D924">
        <v>1.55E-2</v>
      </c>
      <c r="E924" t="s">
        <v>16915</v>
      </c>
      <c r="F924" t="s">
        <v>15314</v>
      </c>
    </row>
    <row r="925" spans="1:6" x14ac:dyDescent="0.3">
      <c r="A925" t="s">
        <v>16916</v>
      </c>
      <c r="B925">
        <v>6400</v>
      </c>
      <c r="C925" t="s">
        <v>15312</v>
      </c>
      <c r="D925">
        <v>1.55E-2</v>
      </c>
      <c r="E925" t="s">
        <v>16917</v>
      </c>
      <c r="F925" t="s">
        <v>15314</v>
      </c>
    </row>
    <row r="926" spans="1:6" x14ac:dyDescent="0.3">
      <c r="A926" t="s">
        <v>16918</v>
      </c>
      <c r="B926">
        <v>6400</v>
      </c>
      <c r="C926" t="s">
        <v>15312</v>
      </c>
      <c r="D926">
        <v>1.55E-2</v>
      </c>
      <c r="E926" t="s">
        <v>16919</v>
      </c>
      <c r="F926" t="s">
        <v>15314</v>
      </c>
    </row>
    <row r="927" spans="1:6" x14ac:dyDescent="0.3">
      <c r="A927" t="s">
        <v>16920</v>
      </c>
      <c r="B927">
        <v>6400</v>
      </c>
      <c r="C927" t="s">
        <v>15312</v>
      </c>
      <c r="D927">
        <v>1.55E-2</v>
      </c>
      <c r="E927" t="s">
        <v>16921</v>
      </c>
      <c r="F927" t="s">
        <v>15314</v>
      </c>
    </row>
    <row r="928" spans="1:6" x14ac:dyDescent="0.3">
      <c r="A928" t="s">
        <v>16922</v>
      </c>
      <c r="B928">
        <v>6400</v>
      </c>
      <c r="C928" t="s">
        <v>15312</v>
      </c>
      <c r="D928">
        <v>1.55E-2</v>
      </c>
      <c r="E928" t="s">
        <v>16923</v>
      </c>
      <c r="F928" t="s">
        <v>15314</v>
      </c>
    </row>
    <row r="929" spans="1:6" x14ac:dyDescent="0.3">
      <c r="A929" t="s">
        <v>16924</v>
      </c>
      <c r="B929">
        <v>6400</v>
      </c>
      <c r="C929" t="s">
        <v>15312</v>
      </c>
      <c r="D929">
        <v>1.55E-2</v>
      </c>
      <c r="E929" t="s">
        <v>16925</v>
      </c>
      <c r="F929" t="s">
        <v>15314</v>
      </c>
    </row>
    <row r="930" spans="1:6" x14ac:dyDescent="0.3">
      <c r="A930" t="s">
        <v>16926</v>
      </c>
      <c r="B930">
        <v>6400</v>
      </c>
      <c r="C930" t="s">
        <v>15312</v>
      </c>
      <c r="D930">
        <v>1.55E-2</v>
      </c>
      <c r="E930" t="s">
        <v>16927</v>
      </c>
      <c r="F930" t="s">
        <v>15314</v>
      </c>
    </row>
    <row r="931" spans="1:6" x14ac:dyDescent="0.3">
      <c r="A931" t="s">
        <v>16928</v>
      </c>
      <c r="B931">
        <v>6400</v>
      </c>
      <c r="C931" t="s">
        <v>15312</v>
      </c>
      <c r="D931">
        <v>1.55E-2</v>
      </c>
      <c r="E931" t="s">
        <v>16929</v>
      </c>
      <c r="F931" t="s">
        <v>15314</v>
      </c>
    </row>
    <row r="932" spans="1:6" x14ac:dyDescent="0.3">
      <c r="A932" t="s">
        <v>16930</v>
      </c>
      <c r="B932">
        <v>6400</v>
      </c>
      <c r="C932" t="s">
        <v>15312</v>
      </c>
      <c r="D932">
        <v>1.55E-2</v>
      </c>
      <c r="E932" t="s">
        <v>16931</v>
      </c>
      <c r="F932" t="s">
        <v>15314</v>
      </c>
    </row>
    <row r="933" spans="1:6" x14ac:dyDescent="0.3">
      <c r="A933" t="s">
        <v>16932</v>
      </c>
      <c r="B933">
        <v>6400</v>
      </c>
      <c r="C933" t="s">
        <v>15312</v>
      </c>
      <c r="D933">
        <v>1.55E-2</v>
      </c>
      <c r="E933" t="s">
        <v>16933</v>
      </c>
      <c r="F933" t="s">
        <v>15314</v>
      </c>
    </row>
    <row r="934" spans="1:6" x14ac:dyDescent="0.3">
      <c r="A934" t="s">
        <v>16934</v>
      </c>
      <c r="B934">
        <v>5733</v>
      </c>
      <c r="C934" t="s">
        <v>15312</v>
      </c>
      <c r="D934">
        <v>1.55E-2</v>
      </c>
      <c r="E934" t="s">
        <v>16935</v>
      </c>
      <c r="F934" t="s">
        <v>15314</v>
      </c>
    </row>
    <row r="935" spans="1:6" x14ac:dyDescent="0.3">
      <c r="A935" t="s">
        <v>16936</v>
      </c>
      <c r="B935">
        <v>5733</v>
      </c>
      <c r="C935" t="s">
        <v>15312</v>
      </c>
      <c r="D935">
        <v>1.55E-2</v>
      </c>
      <c r="E935" t="s">
        <v>16937</v>
      </c>
      <c r="F935" t="s">
        <v>15314</v>
      </c>
    </row>
    <row r="936" spans="1:6" x14ac:dyDescent="0.3">
      <c r="A936" t="s">
        <v>16938</v>
      </c>
      <c r="B936">
        <v>5733</v>
      </c>
      <c r="C936" t="s">
        <v>15312</v>
      </c>
      <c r="D936">
        <v>1.55E-2</v>
      </c>
      <c r="E936" t="s">
        <v>16939</v>
      </c>
      <c r="F936" t="s">
        <v>15314</v>
      </c>
    </row>
    <row r="937" spans="1:6" x14ac:dyDescent="0.3">
      <c r="A937" t="s">
        <v>16940</v>
      </c>
      <c r="B937">
        <v>5733</v>
      </c>
      <c r="C937" t="s">
        <v>15312</v>
      </c>
      <c r="D937">
        <v>1.55E-2</v>
      </c>
      <c r="E937" t="s">
        <v>16941</v>
      </c>
      <c r="F937" t="s">
        <v>15314</v>
      </c>
    </row>
    <row r="938" spans="1:6" x14ac:dyDescent="0.3">
      <c r="A938" t="s">
        <v>16942</v>
      </c>
      <c r="B938">
        <v>5733</v>
      </c>
      <c r="C938" t="s">
        <v>15312</v>
      </c>
      <c r="D938">
        <v>1.55E-2</v>
      </c>
      <c r="E938" t="s">
        <v>16943</v>
      </c>
      <c r="F938" t="s">
        <v>15314</v>
      </c>
    </row>
    <row r="939" spans="1:6" x14ac:dyDescent="0.3">
      <c r="A939" t="s">
        <v>16944</v>
      </c>
      <c r="B939">
        <v>5733</v>
      </c>
      <c r="C939" t="s">
        <v>15312</v>
      </c>
      <c r="D939">
        <v>1.55E-2</v>
      </c>
      <c r="E939" t="s">
        <v>16945</v>
      </c>
      <c r="F939" t="s">
        <v>15314</v>
      </c>
    </row>
    <row r="940" spans="1:6" x14ac:dyDescent="0.3">
      <c r="A940" t="s">
        <v>16946</v>
      </c>
      <c r="B940">
        <v>5733</v>
      </c>
      <c r="C940" t="s">
        <v>15312</v>
      </c>
      <c r="D940">
        <v>1.55E-2</v>
      </c>
      <c r="E940" t="s">
        <v>16947</v>
      </c>
      <c r="F940" t="s">
        <v>15314</v>
      </c>
    </row>
    <row r="941" spans="1:6" x14ac:dyDescent="0.3">
      <c r="A941" t="s">
        <v>16948</v>
      </c>
      <c r="B941">
        <v>5733</v>
      </c>
      <c r="C941" t="s">
        <v>15312</v>
      </c>
      <c r="D941">
        <v>1.55E-2</v>
      </c>
      <c r="E941" t="s">
        <v>16949</v>
      </c>
      <c r="F941" t="s">
        <v>15314</v>
      </c>
    </row>
    <row r="942" spans="1:6" x14ac:dyDescent="0.3">
      <c r="A942" t="s">
        <v>16950</v>
      </c>
      <c r="B942">
        <v>5733</v>
      </c>
      <c r="C942" t="s">
        <v>15312</v>
      </c>
      <c r="D942">
        <v>1.55E-2</v>
      </c>
      <c r="E942" t="s">
        <v>16951</v>
      </c>
      <c r="F942" t="s">
        <v>15314</v>
      </c>
    </row>
    <row r="943" spans="1:6" x14ac:dyDescent="0.3">
      <c r="A943" t="s">
        <v>16952</v>
      </c>
      <c r="B943">
        <v>5733</v>
      </c>
      <c r="C943" t="s">
        <v>15312</v>
      </c>
      <c r="D943">
        <v>1.55E-2</v>
      </c>
      <c r="E943" t="s">
        <v>16953</v>
      </c>
      <c r="F943" t="s">
        <v>15314</v>
      </c>
    </row>
    <row r="944" spans="1:6" x14ac:dyDescent="0.3">
      <c r="A944" t="s">
        <v>16954</v>
      </c>
      <c r="B944">
        <v>5733</v>
      </c>
      <c r="C944" t="s">
        <v>15312</v>
      </c>
      <c r="D944">
        <v>1.55E-2</v>
      </c>
      <c r="E944" t="s">
        <v>16955</v>
      </c>
      <c r="F944" t="s">
        <v>15314</v>
      </c>
    </row>
    <row r="945" spans="1:6" x14ac:dyDescent="0.3">
      <c r="A945" t="s">
        <v>16956</v>
      </c>
      <c r="B945">
        <v>5733</v>
      </c>
      <c r="C945" t="s">
        <v>15312</v>
      </c>
      <c r="D945">
        <v>1.55E-2</v>
      </c>
      <c r="E945" t="s">
        <v>16957</v>
      </c>
      <c r="F945" t="s">
        <v>15314</v>
      </c>
    </row>
    <row r="946" spans="1:6" x14ac:dyDescent="0.3">
      <c r="A946" t="s">
        <v>16958</v>
      </c>
      <c r="B946">
        <v>5733</v>
      </c>
      <c r="C946" t="s">
        <v>15312</v>
      </c>
      <c r="D946">
        <v>1.55E-2</v>
      </c>
      <c r="E946" t="s">
        <v>16959</v>
      </c>
      <c r="F946" t="s">
        <v>15314</v>
      </c>
    </row>
    <row r="947" spans="1:6" x14ac:dyDescent="0.3">
      <c r="A947" t="s">
        <v>16960</v>
      </c>
      <c r="B947">
        <v>5733</v>
      </c>
      <c r="C947" t="s">
        <v>15312</v>
      </c>
      <c r="D947">
        <v>1.55E-2</v>
      </c>
      <c r="E947" t="s">
        <v>16961</v>
      </c>
      <c r="F947" t="s">
        <v>15314</v>
      </c>
    </row>
    <row r="948" spans="1:6" x14ac:dyDescent="0.3">
      <c r="A948" t="s">
        <v>16962</v>
      </c>
      <c r="B948">
        <v>5733</v>
      </c>
      <c r="C948" t="s">
        <v>15312</v>
      </c>
      <c r="D948">
        <v>1.55E-2</v>
      </c>
      <c r="E948" t="s">
        <v>16963</v>
      </c>
      <c r="F948" t="s">
        <v>15314</v>
      </c>
    </row>
    <row r="949" spans="1:6" x14ac:dyDescent="0.3">
      <c r="A949" t="s">
        <v>16964</v>
      </c>
      <c r="B949">
        <v>5733</v>
      </c>
      <c r="C949" t="s">
        <v>15312</v>
      </c>
      <c r="D949">
        <v>1.55E-2</v>
      </c>
      <c r="E949" t="s">
        <v>16965</v>
      </c>
      <c r="F949" t="s">
        <v>15314</v>
      </c>
    </row>
    <row r="950" spans="1:6" x14ac:dyDescent="0.3">
      <c r="A950" t="s">
        <v>16966</v>
      </c>
      <c r="B950">
        <v>5733</v>
      </c>
      <c r="C950" t="s">
        <v>15312</v>
      </c>
      <c r="D950">
        <v>1.55E-2</v>
      </c>
      <c r="E950" t="s">
        <v>16967</v>
      </c>
      <c r="F950" t="s">
        <v>15314</v>
      </c>
    </row>
    <row r="951" spans="1:6" x14ac:dyDescent="0.3">
      <c r="A951" t="s">
        <v>16968</v>
      </c>
      <c r="B951">
        <v>5733</v>
      </c>
      <c r="C951" t="s">
        <v>15312</v>
      </c>
      <c r="D951">
        <v>1.55E-2</v>
      </c>
      <c r="E951" t="s">
        <v>16969</v>
      </c>
      <c r="F951" t="s">
        <v>15314</v>
      </c>
    </row>
    <row r="952" spans="1:6" x14ac:dyDescent="0.3">
      <c r="A952" t="s">
        <v>16970</v>
      </c>
      <c r="B952">
        <v>5733</v>
      </c>
      <c r="C952" t="s">
        <v>15312</v>
      </c>
      <c r="D952">
        <v>1.55E-2</v>
      </c>
      <c r="E952" t="s">
        <v>16971</v>
      </c>
      <c r="F952" t="s">
        <v>15314</v>
      </c>
    </row>
    <row r="953" spans="1:6" x14ac:dyDescent="0.3">
      <c r="A953" t="s">
        <v>16972</v>
      </c>
      <c r="B953">
        <v>5733</v>
      </c>
      <c r="C953" t="s">
        <v>15312</v>
      </c>
      <c r="D953">
        <v>1.55E-2</v>
      </c>
      <c r="E953" t="s">
        <v>16973</v>
      </c>
      <c r="F953" t="s">
        <v>15314</v>
      </c>
    </row>
    <row r="954" spans="1:6" x14ac:dyDescent="0.3">
      <c r="A954" t="s">
        <v>16974</v>
      </c>
      <c r="B954">
        <v>6400</v>
      </c>
      <c r="C954" t="s">
        <v>15312</v>
      </c>
      <c r="D954">
        <v>1.7999999999999999E-2</v>
      </c>
      <c r="E954" t="s">
        <v>16897</v>
      </c>
      <c r="F954" t="s">
        <v>15314</v>
      </c>
    </row>
    <row r="955" spans="1:6" x14ac:dyDescent="0.3">
      <c r="A955" t="s">
        <v>16975</v>
      </c>
      <c r="B955">
        <v>6400</v>
      </c>
      <c r="C955" t="s">
        <v>15312</v>
      </c>
      <c r="D955">
        <v>1.7999999999999999E-2</v>
      </c>
      <c r="E955" t="s">
        <v>16976</v>
      </c>
      <c r="F955" t="s">
        <v>15314</v>
      </c>
    </row>
    <row r="956" spans="1:6" x14ac:dyDescent="0.3">
      <c r="A956" t="s">
        <v>16977</v>
      </c>
      <c r="B956">
        <v>6400</v>
      </c>
      <c r="C956" t="s">
        <v>15312</v>
      </c>
      <c r="D956">
        <v>1.7999999999999999E-2</v>
      </c>
      <c r="E956" t="s">
        <v>16903</v>
      </c>
      <c r="F956" t="s">
        <v>15314</v>
      </c>
    </row>
    <row r="957" spans="1:6" x14ac:dyDescent="0.3">
      <c r="A957" t="s">
        <v>16978</v>
      </c>
      <c r="B957">
        <v>6400</v>
      </c>
      <c r="C957" t="s">
        <v>15312</v>
      </c>
      <c r="D957">
        <v>1.7999999999999999E-2</v>
      </c>
      <c r="E957" t="s">
        <v>16979</v>
      </c>
      <c r="F957" t="s">
        <v>15314</v>
      </c>
    </row>
    <row r="958" spans="1:6" x14ac:dyDescent="0.3">
      <c r="A958" t="s">
        <v>16980</v>
      </c>
      <c r="B958">
        <v>6400</v>
      </c>
      <c r="C958" t="s">
        <v>15312</v>
      </c>
      <c r="D958">
        <v>1.7999999999999999E-2</v>
      </c>
      <c r="E958" t="s">
        <v>16917</v>
      </c>
      <c r="F958" t="s">
        <v>15314</v>
      </c>
    </row>
    <row r="959" spans="1:6" x14ac:dyDescent="0.3">
      <c r="A959" t="s">
        <v>16981</v>
      </c>
      <c r="B959">
        <v>6400</v>
      </c>
      <c r="C959" t="s">
        <v>15312</v>
      </c>
      <c r="D959">
        <v>1.7999999999999999E-2</v>
      </c>
      <c r="E959" t="s">
        <v>16925</v>
      </c>
      <c r="F959" t="s">
        <v>15314</v>
      </c>
    </row>
    <row r="960" spans="1:6" x14ac:dyDescent="0.3">
      <c r="A960" t="s">
        <v>16982</v>
      </c>
      <c r="B960">
        <v>6400</v>
      </c>
      <c r="C960" t="s">
        <v>15312</v>
      </c>
      <c r="D960">
        <v>1.7999999999999999E-2</v>
      </c>
      <c r="E960" t="s">
        <v>16933</v>
      </c>
      <c r="F960" t="s">
        <v>15314</v>
      </c>
    </row>
    <row r="961" spans="1:6" x14ac:dyDescent="0.3">
      <c r="A961" t="s">
        <v>16983</v>
      </c>
      <c r="B961">
        <v>5733</v>
      </c>
      <c r="C961" t="s">
        <v>15312</v>
      </c>
      <c r="D961">
        <v>1.7999999999999999E-2</v>
      </c>
      <c r="E961" t="s">
        <v>16984</v>
      </c>
      <c r="F961" t="s">
        <v>15314</v>
      </c>
    </row>
    <row r="962" spans="1:6" x14ac:dyDescent="0.3">
      <c r="A962" t="s">
        <v>16985</v>
      </c>
      <c r="B962">
        <v>5733</v>
      </c>
      <c r="C962" t="s">
        <v>15312</v>
      </c>
      <c r="D962">
        <v>1.7999999999999999E-2</v>
      </c>
      <c r="E962" t="s">
        <v>16986</v>
      </c>
      <c r="F962" t="s">
        <v>15314</v>
      </c>
    </row>
    <row r="963" spans="1:6" x14ac:dyDescent="0.3">
      <c r="A963" t="s">
        <v>16987</v>
      </c>
      <c r="B963">
        <v>5733</v>
      </c>
      <c r="C963" t="s">
        <v>15312</v>
      </c>
      <c r="D963">
        <v>1.7999999999999999E-2</v>
      </c>
      <c r="E963" t="s">
        <v>16988</v>
      </c>
      <c r="F963" t="s">
        <v>15314</v>
      </c>
    </row>
    <row r="964" spans="1:6" x14ac:dyDescent="0.3">
      <c r="A964" t="s">
        <v>16989</v>
      </c>
      <c r="B964">
        <v>5733</v>
      </c>
      <c r="C964" t="s">
        <v>15312</v>
      </c>
      <c r="D964">
        <v>1.7999999999999999E-2</v>
      </c>
      <c r="E964" t="s">
        <v>16990</v>
      </c>
      <c r="F964" t="s">
        <v>15314</v>
      </c>
    </row>
    <row r="965" spans="1:6" x14ac:dyDescent="0.3">
      <c r="A965" t="s">
        <v>16991</v>
      </c>
      <c r="B965">
        <v>5733</v>
      </c>
      <c r="C965" t="s">
        <v>15312</v>
      </c>
      <c r="D965">
        <v>1.7999999999999999E-2</v>
      </c>
      <c r="E965" t="s">
        <v>16992</v>
      </c>
      <c r="F965" t="s">
        <v>15314</v>
      </c>
    </row>
    <row r="966" spans="1:6" x14ac:dyDescent="0.3">
      <c r="A966" t="s">
        <v>16993</v>
      </c>
      <c r="B966">
        <v>5733</v>
      </c>
      <c r="C966" t="s">
        <v>15312</v>
      </c>
      <c r="D966">
        <v>1.7999999999999999E-2</v>
      </c>
      <c r="E966" t="s">
        <v>16994</v>
      </c>
      <c r="F966" t="s">
        <v>15314</v>
      </c>
    </row>
    <row r="967" spans="1:6" x14ac:dyDescent="0.3">
      <c r="A967" t="s">
        <v>16995</v>
      </c>
      <c r="B967">
        <v>5733</v>
      </c>
      <c r="C967" t="s">
        <v>15312</v>
      </c>
      <c r="D967">
        <v>1.7999999999999999E-2</v>
      </c>
      <c r="E967" t="s">
        <v>16996</v>
      </c>
      <c r="F967" t="s">
        <v>15314</v>
      </c>
    </row>
    <row r="968" spans="1:6" x14ac:dyDescent="0.3">
      <c r="A968" t="s">
        <v>16997</v>
      </c>
      <c r="B968">
        <v>5733</v>
      </c>
      <c r="C968" t="s">
        <v>15312</v>
      </c>
      <c r="D968">
        <v>1.7999999999999999E-2</v>
      </c>
      <c r="E968" t="s">
        <v>16998</v>
      </c>
      <c r="F968" t="s">
        <v>15314</v>
      </c>
    </row>
    <row r="969" spans="1:6" x14ac:dyDescent="0.3">
      <c r="A969" t="s">
        <v>16999</v>
      </c>
      <c r="B969">
        <v>5733</v>
      </c>
      <c r="C969" t="s">
        <v>15312</v>
      </c>
      <c r="D969">
        <v>1.7999999999999999E-2</v>
      </c>
      <c r="E969" t="s">
        <v>17000</v>
      </c>
      <c r="F969" t="s">
        <v>15314</v>
      </c>
    </row>
    <row r="970" spans="1:6" x14ac:dyDescent="0.3">
      <c r="A970" t="s">
        <v>17001</v>
      </c>
      <c r="B970">
        <v>5733</v>
      </c>
      <c r="C970" t="s">
        <v>15312</v>
      </c>
      <c r="D970">
        <v>1.7999999999999999E-2</v>
      </c>
      <c r="E970" t="s">
        <v>17002</v>
      </c>
      <c r="F970" t="s">
        <v>15314</v>
      </c>
    </row>
    <row r="971" spans="1:6" x14ac:dyDescent="0.3">
      <c r="A971" t="s">
        <v>17003</v>
      </c>
      <c r="B971">
        <v>5733</v>
      </c>
      <c r="C971" t="s">
        <v>15312</v>
      </c>
      <c r="D971">
        <v>1.7999999999999999E-2</v>
      </c>
      <c r="E971" t="s">
        <v>17004</v>
      </c>
      <c r="F971" t="s">
        <v>15314</v>
      </c>
    </row>
    <row r="972" spans="1:6" x14ac:dyDescent="0.3">
      <c r="A972" t="s">
        <v>17005</v>
      </c>
      <c r="B972">
        <v>5733</v>
      </c>
      <c r="C972" t="s">
        <v>15312</v>
      </c>
      <c r="D972">
        <v>1.7999999999999999E-2</v>
      </c>
      <c r="E972" t="s">
        <v>17006</v>
      </c>
      <c r="F972" t="s">
        <v>15314</v>
      </c>
    </row>
    <row r="973" spans="1:6" x14ac:dyDescent="0.3">
      <c r="A973" t="s">
        <v>17007</v>
      </c>
      <c r="B973">
        <v>5733</v>
      </c>
      <c r="C973" t="s">
        <v>15312</v>
      </c>
      <c r="D973">
        <v>1.7999999999999999E-2</v>
      </c>
      <c r="E973" t="s">
        <v>17008</v>
      </c>
      <c r="F973" t="s">
        <v>15314</v>
      </c>
    </row>
    <row r="974" spans="1:6" x14ac:dyDescent="0.3">
      <c r="A974" t="s">
        <v>17009</v>
      </c>
      <c r="B974">
        <v>5733</v>
      </c>
      <c r="C974" t="s">
        <v>15312</v>
      </c>
      <c r="D974">
        <v>1.7999999999999999E-2</v>
      </c>
      <c r="E974" t="s">
        <v>17010</v>
      </c>
      <c r="F974" t="s">
        <v>15314</v>
      </c>
    </row>
    <row r="975" spans="1:6" x14ac:dyDescent="0.3">
      <c r="A975" t="s">
        <v>17011</v>
      </c>
      <c r="B975">
        <v>5733</v>
      </c>
      <c r="C975" t="s">
        <v>15312</v>
      </c>
      <c r="D975">
        <v>1.7999999999999999E-2</v>
      </c>
      <c r="E975" t="s">
        <v>17012</v>
      </c>
      <c r="F975" t="s">
        <v>15314</v>
      </c>
    </row>
    <row r="976" spans="1:6" x14ac:dyDescent="0.3">
      <c r="A976" t="s">
        <v>17013</v>
      </c>
      <c r="B976">
        <v>5733</v>
      </c>
      <c r="C976" t="s">
        <v>15312</v>
      </c>
      <c r="D976">
        <v>1.7999999999999999E-2</v>
      </c>
      <c r="E976" t="s">
        <v>17014</v>
      </c>
      <c r="F976" t="s">
        <v>15314</v>
      </c>
    </row>
    <row r="977" spans="1:6" x14ac:dyDescent="0.3">
      <c r="A977" t="s">
        <v>17015</v>
      </c>
      <c r="B977">
        <v>5733</v>
      </c>
      <c r="C977" t="s">
        <v>15312</v>
      </c>
      <c r="D977">
        <v>1.7999999999999999E-2</v>
      </c>
      <c r="E977" t="s">
        <v>17016</v>
      </c>
      <c r="F977" t="s">
        <v>15314</v>
      </c>
    </row>
    <row r="978" spans="1:6" x14ac:dyDescent="0.3">
      <c r="A978" t="s">
        <v>17017</v>
      </c>
      <c r="B978">
        <v>5733</v>
      </c>
      <c r="C978" t="s">
        <v>15312</v>
      </c>
      <c r="D978">
        <v>1.7999999999999999E-2</v>
      </c>
      <c r="E978" t="s">
        <v>17018</v>
      </c>
      <c r="F978" t="s">
        <v>15314</v>
      </c>
    </row>
    <row r="979" spans="1:6" x14ac:dyDescent="0.3">
      <c r="A979" t="s">
        <v>17019</v>
      </c>
      <c r="B979">
        <v>5733</v>
      </c>
      <c r="C979" t="s">
        <v>15312</v>
      </c>
      <c r="D979">
        <v>1.7999999999999999E-2</v>
      </c>
      <c r="E979" t="s">
        <v>16951</v>
      </c>
      <c r="F979" t="s">
        <v>15314</v>
      </c>
    </row>
    <row r="980" spans="1:6" x14ac:dyDescent="0.3">
      <c r="A980" t="s">
        <v>17020</v>
      </c>
      <c r="B980">
        <v>6400</v>
      </c>
      <c r="C980" t="s">
        <v>15312</v>
      </c>
      <c r="D980">
        <v>1.2699999999999999E-2</v>
      </c>
      <c r="E980" t="s">
        <v>17021</v>
      </c>
      <c r="F980" t="s">
        <v>15314</v>
      </c>
    </row>
    <row r="981" spans="1:6" x14ac:dyDescent="0.3">
      <c r="A981" t="s">
        <v>17022</v>
      </c>
      <c r="B981">
        <v>6400</v>
      </c>
      <c r="C981" t="s">
        <v>15312</v>
      </c>
      <c r="D981">
        <v>1.2699999999999999E-2</v>
      </c>
      <c r="E981" t="s">
        <v>17023</v>
      </c>
      <c r="F981" t="s">
        <v>15314</v>
      </c>
    </row>
    <row r="982" spans="1:6" x14ac:dyDescent="0.3">
      <c r="A982" t="s">
        <v>17024</v>
      </c>
      <c r="B982">
        <v>6400</v>
      </c>
      <c r="C982" t="s">
        <v>15312</v>
      </c>
      <c r="D982">
        <v>1.2699999999999999E-2</v>
      </c>
      <c r="E982" t="s">
        <v>17025</v>
      </c>
      <c r="F982" t="s">
        <v>15314</v>
      </c>
    </row>
    <row r="983" spans="1:6" x14ac:dyDescent="0.3">
      <c r="A983" t="s">
        <v>17026</v>
      </c>
      <c r="B983">
        <v>6400</v>
      </c>
      <c r="C983" t="s">
        <v>15312</v>
      </c>
      <c r="D983">
        <v>1.2699999999999999E-2</v>
      </c>
      <c r="E983" t="s">
        <v>17027</v>
      </c>
      <c r="F983" t="s">
        <v>15314</v>
      </c>
    </row>
    <row r="984" spans="1:6" x14ac:dyDescent="0.3">
      <c r="A984" t="s">
        <v>17028</v>
      </c>
      <c r="B984">
        <v>6400</v>
      </c>
      <c r="C984" t="s">
        <v>15312</v>
      </c>
      <c r="D984">
        <v>1.2699999999999999E-2</v>
      </c>
      <c r="E984" t="s">
        <v>17025</v>
      </c>
      <c r="F984" t="s">
        <v>15314</v>
      </c>
    </row>
    <row r="985" spans="1:6" x14ac:dyDescent="0.3">
      <c r="A985" t="s">
        <v>17029</v>
      </c>
      <c r="B985">
        <v>6400</v>
      </c>
      <c r="C985" t="s">
        <v>15312</v>
      </c>
      <c r="D985">
        <v>1.2699999999999999E-2</v>
      </c>
      <c r="E985" t="s">
        <v>17030</v>
      </c>
      <c r="F985" t="s">
        <v>15314</v>
      </c>
    </row>
    <row r="986" spans="1:6" x14ac:dyDescent="0.3">
      <c r="A986" t="s">
        <v>17031</v>
      </c>
      <c r="B986">
        <v>6400</v>
      </c>
      <c r="C986" t="s">
        <v>15312</v>
      </c>
      <c r="D986">
        <v>1.2699999999999999E-2</v>
      </c>
      <c r="E986" t="s">
        <v>17032</v>
      </c>
      <c r="F986" t="s">
        <v>15314</v>
      </c>
    </row>
    <row r="987" spans="1:6" x14ac:dyDescent="0.3">
      <c r="A987" t="s">
        <v>17033</v>
      </c>
      <c r="B987">
        <v>6400</v>
      </c>
      <c r="C987" t="s">
        <v>15312</v>
      </c>
      <c r="D987">
        <v>1.2699999999999999E-2</v>
      </c>
      <c r="E987" t="s">
        <v>17034</v>
      </c>
      <c r="F987" t="s">
        <v>15314</v>
      </c>
    </row>
    <row r="988" spans="1:6" x14ac:dyDescent="0.3">
      <c r="A988" t="s">
        <v>17035</v>
      </c>
      <c r="B988">
        <v>6400</v>
      </c>
      <c r="C988" t="s">
        <v>15312</v>
      </c>
      <c r="D988">
        <v>1.2699999999999999E-2</v>
      </c>
      <c r="E988" t="s">
        <v>17036</v>
      </c>
      <c r="F988" t="s">
        <v>15314</v>
      </c>
    </row>
    <row r="989" spans="1:6" x14ac:dyDescent="0.3">
      <c r="A989" t="s">
        <v>17037</v>
      </c>
      <c r="B989">
        <v>9000</v>
      </c>
      <c r="C989" t="s">
        <v>15169</v>
      </c>
      <c r="D989">
        <v>2.5999999999999999E-2</v>
      </c>
      <c r="E989" t="s">
        <v>17038</v>
      </c>
      <c r="F989" t="s">
        <v>15195</v>
      </c>
    </row>
    <row r="990" spans="1:6" x14ac:dyDescent="0.3">
      <c r="A990" t="s">
        <v>17039</v>
      </c>
      <c r="B990">
        <v>10080</v>
      </c>
      <c r="C990" t="s">
        <v>15169</v>
      </c>
      <c r="D990">
        <v>2.6599999999999999E-2</v>
      </c>
      <c r="E990" t="s">
        <v>2009</v>
      </c>
      <c r="F990" t="s">
        <v>15214</v>
      </c>
    </row>
    <row r="991" spans="1:6" x14ac:dyDescent="0.3">
      <c r="A991" t="s">
        <v>17040</v>
      </c>
      <c r="B991">
        <v>10080</v>
      </c>
      <c r="C991" t="s">
        <v>15169</v>
      </c>
      <c r="D991">
        <v>2.6599999999999999E-2</v>
      </c>
      <c r="E991" t="s">
        <v>17041</v>
      </c>
      <c r="F991" t="s">
        <v>15214</v>
      </c>
    </row>
    <row r="992" spans="1:6" x14ac:dyDescent="0.3">
      <c r="A992" t="s">
        <v>17042</v>
      </c>
      <c r="B992">
        <v>10080</v>
      </c>
      <c r="C992" t="s">
        <v>15169</v>
      </c>
      <c r="D992">
        <v>2.6599999999999999E-2</v>
      </c>
      <c r="E992" t="s">
        <v>17043</v>
      </c>
      <c r="F992" t="s">
        <v>15214</v>
      </c>
    </row>
    <row r="993" spans="1:6" x14ac:dyDescent="0.3">
      <c r="A993" t="s">
        <v>17044</v>
      </c>
      <c r="B993">
        <v>10080</v>
      </c>
      <c r="C993" t="s">
        <v>15169</v>
      </c>
      <c r="D993">
        <v>2.6599999999999999E-2</v>
      </c>
      <c r="E993" t="s">
        <v>17045</v>
      </c>
      <c r="F993" t="s">
        <v>15214</v>
      </c>
    </row>
    <row r="994" spans="1:6" x14ac:dyDescent="0.3">
      <c r="A994" t="s">
        <v>2840</v>
      </c>
      <c r="B994">
        <v>10080</v>
      </c>
      <c r="C994" t="s">
        <v>15169</v>
      </c>
      <c r="D994">
        <v>2.6599999999999999E-2</v>
      </c>
      <c r="E994" t="s">
        <v>17046</v>
      </c>
      <c r="F994" t="s">
        <v>15214</v>
      </c>
    </row>
    <row r="995" spans="1:6" x14ac:dyDescent="0.3">
      <c r="A995" t="s">
        <v>17047</v>
      </c>
      <c r="B995">
        <v>10080</v>
      </c>
      <c r="C995" t="s">
        <v>15169</v>
      </c>
      <c r="D995">
        <v>2.6599999999999999E-2</v>
      </c>
      <c r="E995" t="s">
        <v>17048</v>
      </c>
      <c r="F995" t="s">
        <v>15214</v>
      </c>
    </row>
    <row r="996" spans="1:6" x14ac:dyDescent="0.3">
      <c r="A996" t="s">
        <v>17049</v>
      </c>
      <c r="B996">
        <v>10080</v>
      </c>
      <c r="C996" t="s">
        <v>15169</v>
      </c>
      <c r="D996">
        <v>2.6599999999999999E-2</v>
      </c>
      <c r="E996" t="s">
        <v>17050</v>
      </c>
      <c r="F996" t="s">
        <v>15214</v>
      </c>
    </row>
    <row r="997" spans="1:6" x14ac:dyDescent="0.3">
      <c r="A997" t="s">
        <v>2008</v>
      </c>
      <c r="B997">
        <v>10080</v>
      </c>
      <c r="C997" t="s">
        <v>15169</v>
      </c>
      <c r="D997">
        <v>2.6599999999999999E-2</v>
      </c>
      <c r="E997" t="s">
        <v>2009</v>
      </c>
      <c r="F997" t="s">
        <v>15214</v>
      </c>
    </row>
    <row r="998" spans="1:6" x14ac:dyDescent="0.3">
      <c r="A998" t="s">
        <v>17051</v>
      </c>
      <c r="B998">
        <v>10080</v>
      </c>
      <c r="C998" t="s">
        <v>15169</v>
      </c>
      <c r="D998">
        <v>2.6599999999999999E-2</v>
      </c>
      <c r="E998" t="s">
        <v>17052</v>
      </c>
      <c r="F998" t="s">
        <v>15214</v>
      </c>
    </row>
    <row r="999" spans="1:6" x14ac:dyDescent="0.3">
      <c r="A999" t="s">
        <v>17053</v>
      </c>
      <c r="B999">
        <v>10080</v>
      </c>
      <c r="C999" t="s">
        <v>15169</v>
      </c>
      <c r="D999">
        <v>2.6599999999999999E-2</v>
      </c>
      <c r="E999" t="s">
        <v>17054</v>
      </c>
      <c r="F999" t="s">
        <v>15214</v>
      </c>
    </row>
    <row r="1000" spans="1:6" x14ac:dyDescent="0.3">
      <c r="A1000" t="s">
        <v>17055</v>
      </c>
      <c r="B1000">
        <v>10080</v>
      </c>
      <c r="C1000" t="s">
        <v>15169</v>
      </c>
      <c r="D1000">
        <v>2.6599999999999999E-2</v>
      </c>
      <c r="E1000" t="s">
        <v>17056</v>
      </c>
      <c r="F1000" t="s">
        <v>15214</v>
      </c>
    </row>
    <row r="1001" spans="1:6" x14ac:dyDescent="0.3">
      <c r="A1001" t="s">
        <v>17057</v>
      </c>
      <c r="B1001">
        <v>10</v>
      </c>
      <c r="C1001" t="s">
        <v>15169</v>
      </c>
      <c r="D1001">
        <v>2.6599999999999999E-2</v>
      </c>
      <c r="E1001" t="s">
        <v>17058</v>
      </c>
      <c r="F1001" t="s">
        <v>15214</v>
      </c>
    </row>
    <row r="1002" spans="1:6" x14ac:dyDescent="0.3">
      <c r="A1002" t="s">
        <v>517</v>
      </c>
      <c r="B1002">
        <v>10080</v>
      </c>
      <c r="C1002" t="s">
        <v>15169</v>
      </c>
      <c r="D1002">
        <v>2.6599999999999999E-2</v>
      </c>
      <c r="E1002" t="s">
        <v>518</v>
      </c>
      <c r="F1002" t="s">
        <v>15214</v>
      </c>
    </row>
    <row r="1003" spans="1:6" x14ac:dyDescent="0.3">
      <c r="A1003" t="s">
        <v>3156</v>
      </c>
      <c r="B1003">
        <v>10080</v>
      </c>
      <c r="C1003" t="s">
        <v>15169</v>
      </c>
      <c r="D1003">
        <v>2.6599999999999999E-2</v>
      </c>
      <c r="E1003" t="s">
        <v>3157</v>
      </c>
      <c r="F1003" t="s">
        <v>15214</v>
      </c>
    </row>
    <row r="1004" spans="1:6" x14ac:dyDescent="0.3">
      <c r="A1004" t="s">
        <v>17059</v>
      </c>
      <c r="B1004">
        <v>10080</v>
      </c>
      <c r="C1004" t="s">
        <v>15169</v>
      </c>
      <c r="D1004">
        <v>2.6599999999999999E-2</v>
      </c>
      <c r="E1004" t="s">
        <v>17060</v>
      </c>
      <c r="F1004" t="s">
        <v>15214</v>
      </c>
    </row>
    <row r="1005" spans="1:6" x14ac:dyDescent="0.3">
      <c r="A1005" t="s">
        <v>17061</v>
      </c>
      <c r="B1005">
        <v>10080</v>
      </c>
      <c r="C1005" t="s">
        <v>15169</v>
      </c>
      <c r="D1005">
        <v>2.6599999999999999E-2</v>
      </c>
      <c r="E1005" t="s">
        <v>17062</v>
      </c>
      <c r="F1005" t="s">
        <v>15214</v>
      </c>
    </row>
    <row r="1006" spans="1:6" x14ac:dyDescent="0.3">
      <c r="A1006" t="s">
        <v>17063</v>
      </c>
      <c r="B1006">
        <v>10</v>
      </c>
      <c r="C1006" t="s">
        <v>15169</v>
      </c>
      <c r="D1006">
        <v>2.6599999999999999E-2</v>
      </c>
      <c r="E1006" t="s">
        <v>17064</v>
      </c>
      <c r="F1006" t="s">
        <v>15214</v>
      </c>
    </row>
    <row r="1007" spans="1:6" x14ac:dyDescent="0.3">
      <c r="A1007" t="s">
        <v>17065</v>
      </c>
      <c r="B1007">
        <v>960</v>
      </c>
      <c r="C1007" t="s">
        <v>15169</v>
      </c>
      <c r="D1007">
        <v>2.6599999999999999E-2</v>
      </c>
      <c r="E1007" t="s">
        <v>17066</v>
      </c>
      <c r="F1007" t="s">
        <v>15214</v>
      </c>
    </row>
    <row r="1008" spans="1:6" x14ac:dyDescent="0.3">
      <c r="A1008" t="s">
        <v>17067</v>
      </c>
      <c r="B1008">
        <v>10080</v>
      </c>
      <c r="C1008" t="s">
        <v>15169</v>
      </c>
      <c r="D1008">
        <v>2.6599999999999999E-2</v>
      </c>
      <c r="E1008" t="s">
        <v>17068</v>
      </c>
      <c r="F1008" t="s">
        <v>15214</v>
      </c>
    </row>
    <row r="1009" spans="1:6" x14ac:dyDescent="0.3">
      <c r="A1009" t="s">
        <v>17069</v>
      </c>
      <c r="B1009">
        <v>10080</v>
      </c>
      <c r="C1009" t="s">
        <v>15169</v>
      </c>
      <c r="D1009">
        <v>2.6599999999999999E-2</v>
      </c>
      <c r="E1009" t="s">
        <v>17070</v>
      </c>
      <c r="F1009" t="s">
        <v>15214</v>
      </c>
    </row>
    <row r="1010" spans="1:6" x14ac:dyDescent="0.3">
      <c r="A1010" t="s">
        <v>17071</v>
      </c>
      <c r="B1010">
        <v>10</v>
      </c>
      <c r="C1010" t="s">
        <v>15169</v>
      </c>
      <c r="D1010">
        <v>2.6599999999999999E-2</v>
      </c>
      <c r="E1010" t="s">
        <v>17072</v>
      </c>
      <c r="F1010" t="s">
        <v>15214</v>
      </c>
    </row>
    <row r="1011" spans="1:6" x14ac:dyDescent="0.3">
      <c r="A1011" t="s">
        <v>17073</v>
      </c>
      <c r="B1011">
        <v>6336</v>
      </c>
      <c r="C1011" t="s">
        <v>15169</v>
      </c>
      <c r="D1011">
        <v>2.6599999999999999E-2</v>
      </c>
      <c r="E1011" t="s">
        <v>17074</v>
      </c>
      <c r="F1011" t="s">
        <v>15214</v>
      </c>
    </row>
    <row r="1012" spans="1:6" x14ac:dyDescent="0.3">
      <c r="A1012" t="s">
        <v>2803</v>
      </c>
      <c r="B1012">
        <v>10080</v>
      </c>
      <c r="C1012" t="s">
        <v>15169</v>
      </c>
      <c r="D1012">
        <v>2.6599999999999999E-2</v>
      </c>
      <c r="E1012" t="s">
        <v>2804</v>
      </c>
      <c r="F1012" t="s">
        <v>15214</v>
      </c>
    </row>
    <row r="1013" spans="1:6" x14ac:dyDescent="0.3">
      <c r="A1013" t="s">
        <v>17075</v>
      </c>
      <c r="B1013">
        <v>10080</v>
      </c>
      <c r="C1013" t="s">
        <v>15169</v>
      </c>
      <c r="D1013">
        <v>2.6599999999999999E-2</v>
      </c>
      <c r="E1013" t="s">
        <v>17076</v>
      </c>
      <c r="F1013" t="s">
        <v>15214</v>
      </c>
    </row>
    <row r="1014" spans="1:6" x14ac:dyDescent="0.3">
      <c r="A1014" t="s">
        <v>17077</v>
      </c>
      <c r="B1014">
        <v>10080</v>
      </c>
      <c r="C1014" t="s">
        <v>15169</v>
      </c>
      <c r="D1014">
        <v>2.6599999999999999E-2</v>
      </c>
      <c r="E1014" t="s">
        <v>17078</v>
      </c>
      <c r="F1014" t="s">
        <v>15214</v>
      </c>
    </row>
    <row r="1015" spans="1:6" x14ac:dyDescent="0.3">
      <c r="A1015" t="s">
        <v>17079</v>
      </c>
      <c r="B1015">
        <v>1056</v>
      </c>
      <c r="C1015" t="s">
        <v>15169</v>
      </c>
      <c r="D1015">
        <v>2.6599999999999999E-2</v>
      </c>
      <c r="E1015" t="s">
        <v>17080</v>
      </c>
      <c r="F1015" t="s">
        <v>15214</v>
      </c>
    </row>
    <row r="1016" spans="1:6" x14ac:dyDescent="0.3">
      <c r="A1016" t="s">
        <v>17081</v>
      </c>
      <c r="B1016">
        <v>10080</v>
      </c>
      <c r="C1016" t="s">
        <v>15169</v>
      </c>
      <c r="D1016">
        <v>2.6599999999999999E-2</v>
      </c>
      <c r="E1016" t="s">
        <v>17082</v>
      </c>
      <c r="F1016" t="s">
        <v>15214</v>
      </c>
    </row>
    <row r="1017" spans="1:6" x14ac:dyDescent="0.3">
      <c r="A1017" t="s">
        <v>17083</v>
      </c>
      <c r="B1017">
        <v>10080</v>
      </c>
      <c r="C1017" t="s">
        <v>15169</v>
      </c>
      <c r="D1017">
        <v>2.6599999999999999E-2</v>
      </c>
      <c r="E1017" t="s">
        <v>17084</v>
      </c>
      <c r="F1017" t="s">
        <v>15214</v>
      </c>
    </row>
    <row r="1018" spans="1:6" x14ac:dyDescent="0.3">
      <c r="A1018" t="s">
        <v>17085</v>
      </c>
      <c r="B1018">
        <v>6336</v>
      </c>
      <c r="C1018" t="s">
        <v>15169</v>
      </c>
      <c r="D1018">
        <v>2.6599999999999999E-2</v>
      </c>
      <c r="E1018" t="s">
        <v>17086</v>
      </c>
      <c r="F1018" t="s">
        <v>15214</v>
      </c>
    </row>
    <row r="1019" spans="1:6" x14ac:dyDescent="0.3">
      <c r="A1019" t="s">
        <v>17087</v>
      </c>
      <c r="B1019">
        <v>9000</v>
      </c>
      <c r="C1019" t="s">
        <v>15169</v>
      </c>
      <c r="D1019">
        <v>2.8000000000000001E-2</v>
      </c>
      <c r="E1019" t="s">
        <v>17088</v>
      </c>
      <c r="F1019" t="s">
        <v>15195</v>
      </c>
    </row>
    <row r="1020" spans="1:6" x14ac:dyDescent="0.3">
      <c r="A1020" t="s">
        <v>17089</v>
      </c>
      <c r="B1020">
        <v>9</v>
      </c>
      <c r="C1020" t="s">
        <v>15169</v>
      </c>
      <c r="D1020">
        <v>2.8000000000000001E-2</v>
      </c>
      <c r="E1020" t="s">
        <v>17090</v>
      </c>
      <c r="F1020" t="s">
        <v>15195</v>
      </c>
    </row>
    <row r="1021" spans="1:6" x14ac:dyDescent="0.3">
      <c r="A1021" t="s">
        <v>17091</v>
      </c>
      <c r="B1021">
        <v>5880</v>
      </c>
      <c r="C1021" t="s">
        <v>15169</v>
      </c>
      <c r="D1021">
        <v>2.8000000000000001E-2</v>
      </c>
      <c r="E1021" t="s">
        <v>17092</v>
      </c>
      <c r="F1021" t="s">
        <v>15195</v>
      </c>
    </row>
    <row r="1022" spans="1:6" x14ac:dyDescent="0.3">
      <c r="A1022" t="s">
        <v>17093</v>
      </c>
      <c r="B1022">
        <v>5880</v>
      </c>
      <c r="C1022" t="s">
        <v>15169</v>
      </c>
      <c r="D1022">
        <v>2.8000000000000001E-2</v>
      </c>
      <c r="E1022" t="s">
        <v>17094</v>
      </c>
      <c r="F1022" t="s">
        <v>15195</v>
      </c>
    </row>
    <row r="1023" spans="1:6" x14ac:dyDescent="0.3">
      <c r="A1023" t="s">
        <v>17095</v>
      </c>
      <c r="B1023">
        <v>9120</v>
      </c>
      <c r="C1023" t="s">
        <v>15169</v>
      </c>
      <c r="D1023">
        <v>2.8000000000000001E-2</v>
      </c>
      <c r="E1023" t="s">
        <v>17096</v>
      </c>
      <c r="F1023" t="s">
        <v>15214</v>
      </c>
    </row>
    <row r="1024" spans="1:6" x14ac:dyDescent="0.3">
      <c r="A1024" t="s">
        <v>17097</v>
      </c>
      <c r="B1024">
        <v>9120</v>
      </c>
      <c r="C1024" t="s">
        <v>15169</v>
      </c>
      <c r="D1024">
        <v>2.8000000000000001E-2</v>
      </c>
      <c r="E1024" t="s">
        <v>17098</v>
      </c>
      <c r="F1024" t="s">
        <v>15214</v>
      </c>
    </row>
    <row r="1025" spans="1:6" x14ac:dyDescent="0.3">
      <c r="A1025" t="s">
        <v>17099</v>
      </c>
      <c r="B1025">
        <v>9120</v>
      </c>
      <c r="C1025" t="s">
        <v>15169</v>
      </c>
      <c r="D1025">
        <v>2.8000000000000001E-2</v>
      </c>
      <c r="E1025" t="s">
        <v>17100</v>
      </c>
      <c r="F1025" t="s">
        <v>15214</v>
      </c>
    </row>
    <row r="1026" spans="1:6" x14ac:dyDescent="0.3">
      <c r="A1026" t="s">
        <v>17101</v>
      </c>
      <c r="B1026">
        <v>864</v>
      </c>
      <c r="C1026" t="s">
        <v>15169</v>
      </c>
      <c r="D1026">
        <v>2.8000000000000001E-2</v>
      </c>
      <c r="E1026" t="s">
        <v>17102</v>
      </c>
      <c r="F1026" t="s">
        <v>15214</v>
      </c>
    </row>
    <row r="1027" spans="1:6" x14ac:dyDescent="0.3">
      <c r="A1027" t="s">
        <v>17103</v>
      </c>
      <c r="B1027">
        <v>9120</v>
      </c>
      <c r="C1027" t="s">
        <v>15169</v>
      </c>
      <c r="D1027">
        <v>2.8000000000000001E-2</v>
      </c>
      <c r="E1027" t="s">
        <v>17104</v>
      </c>
      <c r="F1027" t="s">
        <v>15214</v>
      </c>
    </row>
    <row r="1028" spans="1:6" x14ac:dyDescent="0.3">
      <c r="A1028" t="s">
        <v>17105</v>
      </c>
      <c r="B1028">
        <v>9120</v>
      </c>
      <c r="C1028" t="s">
        <v>15169</v>
      </c>
      <c r="D1028">
        <v>2.8000000000000001E-2</v>
      </c>
      <c r="E1028" t="s">
        <v>17106</v>
      </c>
      <c r="F1028" t="s">
        <v>15214</v>
      </c>
    </row>
    <row r="1029" spans="1:6" x14ac:dyDescent="0.3">
      <c r="A1029" t="s">
        <v>17107</v>
      </c>
      <c r="B1029">
        <v>9120</v>
      </c>
      <c r="C1029" t="s">
        <v>15169</v>
      </c>
      <c r="D1029">
        <v>2.8000000000000001E-2</v>
      </c>
      <c r="E1029" t="s">
        <v>17108</v>
      </c>
      <c r="F1029" t="s">
        <v>15214</v>
      </c>
    </row>
    <row r="1030" spans="1:6" x14ac:dyDescent="0.3">
      <c r="A1030" t="s">
        <v>17109</v>
      </c>
      <c r="B1030">
        <v>9120</v>
      </c>
      <c r="C1030" t="s">
        <v>15169</v>
      </c>
      <c r="D1030">
        <v>2.8000000000000001E-2</v>
      </c>
      <c r="E1030" t="s">
        <v>17110</v>
      </c>
      <c r="F1030" t="s">
        <v>15214</v>
      </c>
    </row>
    <row r="1031" spans="1:6" x14ac:dyDescent="0.3">
      <c r="A1031" t="s">
        <v>17111</v>
      </c>
      <c r="B1031">
        <v>5376</v>
      </c>
      <c r="C1031" t="s">
        <v>15169</v>
      </c>
      <c r="D1031">
        <v>2.8000000000000001E-2</v>
      </c>
      <c r="E1031" t="s">
        <v>17112</v>
      </c>
      <c r="F1031" t="s">
        <v>15214</v>
      </c>
    </row>
    <row r="1032" spans="1:6" x14ac:dyDescent="0.3">
      <c r="A1032" t="s">
        <v>17113</v>
      </c>
      <c r="B1032">
        <v>5376</v>
      </c>
      <c r="C1032" t="s">
        <v>15169</v>
      </c>
      <c r="D1032">
        <v>2.8000000000000001E-2</v>
      </c>
      <c r="E1032" t="s">
        <v>17114</v>
      </c>
      <c r="F1032" t="s">
        <v>15214</v>
      </c>
    </row>
    <row r="1033" spans="1:6" x14ac:dyDescent="0.3">
      <c r="A1033" t="s">
        <v>17115</v>
      </c>
      <c r="B1033">
        <v>864</v>
      </c>
      <c r="C1033" t="s">
        <v>15169</v>
      </c>
      <c r="D1033">
        <v>2.8000000000000001E-2</v>
      </c>
      <c r="E1033" t="s">
        <v>17116</v>
      </c>
      <c r="F1033" t="s">
        <v>15214</v>
      </c>
    </row>
    <row r="1034" spans="1:6" x14ac:dyDescent="0.3">
      <c r="A1034" t="s">
        <v>17117</v>
      </c>
      <c r="B1034">
        <v>9120</v>
      </c>
      <c r="C1034" t="s">
        <v>15169</v>
      </c>
      <c r="D1034">
        <v>2.8000000000000001E-2</v>
      </c>
      <c r="E1034" t="s">
        <v>17118</v>
      </c>
      <c r="F1034" t="s">
        <v>15214</v>
      </c>
    </row>
    <row r="1035" spans="1:6" x14ac:dyDescent="0.3">
      <c r="A1035" t="s">
        <v>17119</v>
      </c>
      <c r="B1035">
        <v>8640</v>
      </c>
      <c r="C1035" t="s">
        <v>15169</v>
      </c>
      <c r="D1035">
        <v>2.8000000000000001E-2</v>
      </c>
      <c r="E1035" t="s">
        <v>17120</v>
      </c>
      <c r="F1035" t="s">
        <v>15214</v>
      </c>
    </row>
    <row r="1036" spans="1:6" x14ac:dyDescent="0.3">
      <c r="A1036" t="s">
        <v>17121</v>
      </c>
      <c r="B1036">
        <v>9120</v>
      </c>
      <c r="C1036" t="s">
        <v>15169</v>
      </c>
      <c r="D1036">
        <v>2.8000000000000001E-2</v>
      </c>
      <c r="E1036" t="s">
        <v>17122</v>
      </c>
      <c r="F1036" t="s">
        <v>15214</v>
      </c>
    </row>
    <row r="1037" spans="1:6" x14ac:dyDescent="0.3">
      <c r="A1037" t="s">
        <v>17123</v>
      </c>
      <c r="B1037">
        <v>9120</v>
      </c>
      <c r="C1037" t="s">
        <v>15169</v>
      </c>
      <c r="D1037">
        <v>2.8000000000000001E-2</v>
      </c>
      <c r="E1037" t="s">
        <v>17124</v>
      </c>
      <c r="F1037" t="s">
        <v>15214</v>
      </c>
    </row>
    <row r="1038" spans="1:6" x14ac:dyDescent="0.3">
      <c r="A1038" t="s">
        <v>17125</v>
      </c>
      <c r="B1038">
        <v>864</v>
      </c>
      <c r="C1038" t="s">
        <v>15169</v>
      </c>
      <c r="D1038">
        <v>2.8000000000000001E-2</v>
      </c>
      <c r="E1038" t="s">
        <v>17126</v>
      </c>
      <c r="F1038" t="s">
        <v>15214</v>
      </c>
    </row>
    <row r="1039" spans="1:6" x14ac:dyDescent="0.3">
      <c r="A1039" t="s">
        <v>341</v>
      </c>
      <c r="B1039">
        <v>10080</v>
      </c>
      <c r="C1039" t="s">
        <v>15169</v>
      </c>
      <c r="D1039">
        <v>2.93E-2</v>
      </c>
      <c r="E1039" t="s">
        <v>17127</v>
      </c>
      <c r="F1039" t="s">
        <v>15214</v>
      </c>
    </row>
    <row r="1040" spans="1:6" x14ac:dyDescent="0.3">
      <c r="A1040" t="s">
        <v>17128</v>
      </c>
      <c r="B1040">
        <v>10080</v>
      </c>
      <c r="C1040" t="s">
        <v>15169</v>
      </c>
      <c r="D1040">
        <v>2.93E-2</v>
      </c>
      <c r="E1040" t="s">
        <v>17129</v>
      </c>
      <c r="F1040" t="s">
        <v>15214</v>
      </c>
    </row>
    <row r="1041" spans="1:6" x14ac:dyDescent="0.3">
      <c r="A1041" t="s">
        <v>17130</v>
      </c>
      <c r="B1041">
        <v>10080</v>
      </c>
      <c r="C1041" t="s">
        <v>15169</v>
      </c>
      <c r="D1041">
        <v>2.93E-2</v>
      </c>
      <c r="E1041" t="s">
        <v>17131</v>
      </c>
      <c r="F1041" t="s">
        <v>15214</v>
      </c>
    </row>
    <row r="1042" spans="1:6" x14ac:dyDescent="0.3">
      <c r="A1042" t="s">
        <v>17132</v>
      </c>
      <c r="B1042">
        <v>10080</v>
      </c>
      <c r="C1042" t="s">
        <v>15169</v>
      </c>
      <c r="D1042">
        <v>2.93E-2</v>
      </c>
      <c r="E1042" t="s">
        <v>17133</v>
      </c>
      <c r="F1042" t="s">
        <v>15214</v>
      </c>
    </row>
    <row r="1043" spans="1:6" x14ac:dyDescent="0.3">
      <c r="A1043" t="s">
        <v>17134</v>
      </c>
      <c r="B1043">
        <v>10080</v>
      </c>
      <c r="C1043" t="s">
        <v>15169</v>
      </c>
      <c r="D1043">
        <v>2.93E-2</v>
      </c>
      <c r="E1043" t="s">
        <v>17135</v>
      </c>
      <c r="F1043" t="s">
        <v>15214</v>
      </c>
    </row>
    <row r="1044" spans="1:6" x14ac:dyDescent="0.3">
      <c r="A1044" t="s">
        <v>17136</v>
      </c>
      <c r="B1044">
        <v>10080</v>
      </c>
      <c r="C1044" t="s">
        <v>15169</v>
      </c>
      <c r="D1044">
        <v>2.93E-2</v>
      </c>
      <c r="E1044" t="s">
        <v>17137</v>
      </c>
      <c r="F1044" t="s">
        <v>15214</v>
      </c>
    </row>
    <row r="1045" spans="1:6" x14ac:dyDescent="0.3">
      <c r="A1045" t="s">
        <v>1245</v>
      </c>
      <c r="B1045">
        <v>10080</v>
      </c>
      <c r="C1045" t="s">
        <v>15169</v>
      </c>
      <c r="D1045">
        <v>2.93E-2</v>
      </c>
      <c r="E1045" t="s">
        <v>1246</v>
      </c>
      <c r="F1045" t="s">
        <v>15214</v>
      </c>
    </row>
    <row r="1046" spans="1:6" x14ac:dyDescent="0.3">
      <c r="A1046" t="s">
        <v>17138</v>
      </c>
      <c r="B1046">
        <v>10080</v>
      </c>
      <c r="C1046" t="s">
        <v>15169</v>
      </c>
      <c r="D1046">
        <v>2.93E-2</v>
      </c>
      <c r="E1046" t="s">
        <v>17139</v>
      </c>
      <c r="F1046" t="s">
        <v>15214</v>
      </c>
    </row>
    <row r="1047" spans="1:6" x14ac:dyDescent="0.3">
      <c r="A1047" t="s">
        <v>17140</v>
      </c>
      <c r="B1047">
        <v>160000</v>
      </c>
      <c r="C1047" t="s">
        <v>17141</v>
      </c>
      <c r="D1047">
        <v>1.1999999999999999E-3</v>
      </c>
      <c r="E1047" t="s">
        <v>17142</v>
      </c>
      <c r="F1047" t="s">
        <v>17143</v>
      </c>
    </row>
    <row r="1048" spans="1:6" x14ac:dyDescent="0.3">
      <c r="A1048" t="s">
        <v>17144</v>
      </c>
      <c r="B1048">
        <v>160000</v>
      </c>
      <c r="C1048" t="s">
        <v>17141</v>
      </c>
      <c r="D1048">
        <v>1.1999999999999999E-3</v>
      </c>
      <c r="E1048" t="s">
        <v>17145</v>
      </c>
      <c r="F1048" t="s">
        <v>17143</v>
      </c>
    </row>
    <row r="1049" spans="1:6" x14ac:dyDescent="0.3">
      <c r="A1049" t="s">
        <v>17146</v>
      </c>
      <c r="B1049">
        <v>160000</v>
      </c>
      <c r="C1049" t="s">
        <v>17141</v>
      </c>
      <c r="D1049">
        <v>1.2999999999999999E-3</v>
      </c>
      <c r="E1049" t="s">
        <v>17147</v>
      </c>
      <c r="F1049" t="s">
        <v>17143</v>
      </c>
    </row>
    <row r="1050" spans="1:6" x14ac:dyDescent="0.3">
      <c r="A1050" t="s">
        <v>17148</v>
      </c>
      <c r="B1050">
        <v>160000</v>
      </c>
      <c r="C1050" t="s">
        <v>17141</v>
      </c>
      <c r="D1050">
        <v>1.2999999999999999E-3</v>
      </c>
      <c r="E1050" t="s">
        <v>17149</v>
      </c>
      <c r="F1050" t="s">
        <v>17143</v>
      </c>
    </row>
    <row r="1051" spans="1:6" x14ac:dyDescent="0.3">
      <c r="A1051" t="s">
        <v>17150</v>
      </c>
      <c r="B1051">
        <v>160000</v>
      </c>
      <c r="C1051" t="s">
        <v>17141</v>
      </c>
      <c r="D1051">
        <v>1.2999999999999999E-3</v>
      </c>
      <c r="E1051" t="s">
        <v>17151</v>
      </c>
      <c r="F1051" t="s">
        <v>17143</v>
      </c>
    </row>
    <row r="1052" spans="1:6" x14ac:dyDescent="0.3">
      <c r="A1052" t="s">
        <v>17152</v>
      </c>
      <c r="B1052">
        <v>160000</v>
      </c>
      <c r="C1052" t="s">
        <v>17141</v>
      </c>
      <c r="D1052">
        <v>1.2999999999999999E-3</v>
      </c>
      <c r="E1052" t="s">
        <v>17153</v>
      </c>
      <c r="F1052" t="s">
        <v>17143</v>
      </c>
    </row>
    <row r="1053" spans="1:6" x14ac:dyDescent="0.3">
      <c r="A1053" t="s">
        <v>17154</v>
      </c>
      <c r="B1053">
        <v>160000</v>
      </c>
      <c r="C1053" t="s">
        <v>17141</v>
      </c>
      <c r="D1053">
        <v>1.2999999999999999E-3</v>
      </c>
      <c r="E1053" t="s">
        <v>17155</v>
      </c>
      <c r="F1053" t="s">
        <v>17143</v>
      </c>
    </row>
    <row r="1054" spans="1:6" x14ac:dyDescent="0.3">
      <c r="A1054" t="s">
        <v>17156</v>
      </c>
      <c r="B1054">
        <v>160000</v>
      </c>
      <c r="C1054" t="s">
        <v>17141</v>
      </c>
      <c r="D1054">
        <v>1.2999999999999999E-3</v>
      </c>
      <c r="E1054" t="s">
        <v>17157</v>
      </c>
      <c r="F1054" t="s">
        <v>17143</v>
      </c>
    </row>
    <row r="1055" spans="1:6" x14ac:dyDescent="0.3">
      <c r="A1055" t="s">
        <v>50</v>
      </c>
      <c r="B1055">
        <v>160000</v>
      </c>
      <c r="C1055" t="s">
        <v>17141</v>
      </c>
      <c r="D1055">
        <v>1.2999999999999999E-3</v>
      </c>
      <c r="E1055" t="s">
        <v>51</v>
      </c>
      <c r="F1055" t="s">
        <v>17143</v>
      </c>
    </row>
    <row r="1056" spans="1:6" x14ac:dyDescent="0.3">
      <c r="A1056" t="s">
        <v>5229</v>
      </c>
      <c r="B1056">
        <v>200000</v>
      </c>
      <c r="C1056" t="s">
        <v>17141</v>
      </c>
      <c r="D1056">
        <v>1.2999999999999999E-3</v>
      </c>
      <c r="E1056" t="s">
        <v>5230</v>
      </c>
      <c r="F1056" t="s">
        <v>17143</v>
      </c>
    </row>
    <row r="1057" spans="1:6" x14ac:dyDescent="0.3">
      <c r="A1057" t="s">
        <v>17158</v>
      </c>
      <c r="B1057">
        <v>160000</v>
      </c>
      <c r="C1057" t="s">
        <v>17141</v>
      </c>
      <c r="D1057">
        <v>1.2999999999999999E-3</v>
      </c>
      <c r="E1057" t="s">
        <v>17159</v>
      </c>
      <c r="F1057" t="s">
        <v>17143</v>
      </c>
    </row>
    <row r="1058" spans="1:6" x14ac:dyDescent="0.3">
      <c r="A1058" t="s">
        <v>17160</v>
      </c>
      <c r="B1058">
        <v>160000</v>
      </c>
      <c r="C1058" t="s">
        <v>17141</v>
      </c>
      <c r="D1058">
        <v>1.4E-3</v>
      </c>
      <c r="E1058" t="s">
        <v>17161</v>
      </c>
      <c r="F1058" t="s">
        <v>17143</v>
      </c>
    </row>
    <row r="1059" spans="1:6" x14ac:dyDescent="0.3">
      <c r="A1059" t="s">
        <v>17162</v>
      </c>
      <c r="B1059">
        <v>160000</v>
      </c>
      <c r="C1059" t="s">
        <v>17141</v>
      </c>
      <c r="D1059">
        <v>1.4E-3</v>
      </c>
      <c r="E1059" t="s">
        <v>17163</v>
      </c>
      <c r="F1059" t="s">
        <v>17143</v>
      </c>
    </row>
    <row r="1060" spans="1:6" x14ac:dyDescent="0.3">
      <c r="A1060" t="s">
        <v>17164</v>
      </c>
      <c r="B1060">
        <v>160000</v>
      </c>
      <c r="C1060" t="s">
        <v>17141</v>
      </c>
      <c r="D1060">
        <v>1.4E-3</v>
      </c>
      <c r="E1060" t="s">
        <v>17165</v>
      </c>
      <c r="F1060" t="s">
        <v>17143</v>
      </c>
    </row>
    <row r="1061" spans="1:6" x14ac:dyDescent="0.3">
      <c r="A1061" t="s">
        <v>17166</v>
      </c>
      <c r="B1061">
        <v>160000</v>
      </c>
      <c r="C1061" t="s">
        <v>17141</v>
      </c>
      <c r="D1061">
        <v>1.4E-3</v>
      </c>
      <c r="E1061" t="s">
        <v>17167</v>
      </c>
      <c r="F1061" t="s">
        <v>17143</v>
      </c>
    </row>
    <row r="1062" spans="1:6" x14ac:dyDescent="0.3">
      <c r="A1062" t="s">
        <v>17168</v>
      </c>
      <c r="B1062">
        <v>160000</v>
      </c>
      <c r="C1062" t="s">
        <v>17141</v>
      </c>
      <c r="D1062">
        <v>1.4E-3</v>
      </c>
      <c r="E1062" t="s">
        <v>17169</v>
      </c>
      <c r="F1062" t="s">
        <v>17143</v>
      </c>
    </row>
    <row r="1063" spans="1:6" x14ac:dyDescent="0.3">
      <c r="A1063" t="s">
        <v>17170</v>
      </c>
      <c r="B1063">
        <v>160000</v>
      </c>
      <c r="C1063" t="s">
        <v>17141</v>
      </c>
      <c r="D1063">
        <v>1.4E-3</v>
      </c>
      <c r="E1063" t="s">
        <v>17171</v>
      </c>
      <c r="F1063" t="s">
        <v>17143</v>
      </c>
    </row>
    <row r="1064" spans="1:6" x14ac:dyDescent="0.3">
      <c r="A1064" t="s">
        <v>17172</v>
      </c>
      <c r="B1064">
        <v>160000</v>
      </c>
      <c r="C1064" t="s">
        <v>15169</v>
      </c>
      <c r="D1064">
        <v>1.1999999999999999E-3</v>
      </c>
      <c r="E1064" t="s">
        <v>17173</v>
      </c>
      <c r="F1064" t="s">
        <v>15314</v>
      </c>
    </row>
    <row r="1065" spans="1:6" x14ac:dyDescent="0.3">
      <c r="A1065" t="s">
        <v>17174</v>
      </c>
      <c r="B1065">
        <v>160000</v>
      </c>
      <c r="C1065" t="s">
        <v>17141</v>
      </c>
      <c r="D1065">
        <v>1.1999999999999999E-3</v>
      </c>
      <c r="E1065" t="s">
        <v>17175</v>
      </c>
      <c r="F1065" t="s">
        <v>17143</v>
      </c>
    </row>
    <row r="1066" spans="1:6" x14ac:dyDescent="0.3">
      <c r="A1066" t="s">
        <v>17176</v>
      </c>
      <c r="B1066">
        <v>10560</v>
      </c>
      <c r="C1066" t="s">
        <v>15169</v>
      </c>
      <c r="D1066">
        <v>3.0499999999999999E-2</v>
      </c>
      <c r="E1066" t="s">
        <v>17177</v>
      </c>
      <c r="F1066" t="s">
        <v>15195</v>
      </c>
    </row>
    <row r="1067" spans="1:6" x14ac:dyDescent="0.3">
      <c r="A1067" t="s">
        <v>17178</v>
      </c>
      <c r="B1067">
        <v>10560</v>
      </c>
      <c r="C1067" t="s">
        <v>15169</v>
      </c>
      <c r="D1067">
        <v>3.0499999999999999E-2</v>
      </c>
      <c r="E1067" t="s">
        <v>17179</v>
      </c>
      <c r="F1067" t="s">
        <v>15195</v>
      </c>
    </row>
    <row r="1068" spans="1:6" x14ac:dyDescent="0.3">
      <c r="A1068" t="s">
        <v>17180</v>
      </c>
      <c r="B1068">
        <v>10560</v>
      </c>
      <c r="C1068" t="s">
        <v>15169</v>
      </c>
      <c r="D1068">
        <v>3.0499999999999999E-2</v>
      </c>
      <c r="E1068" t="s">
        <v>17181</v>
      </c>
      <c r="F1068" t="s">
        <v>15195</v>
      </c>
    </row>
    <row r="1069" spans="1:6" x14ac:dyDescent="0.3">
      <c r="A1069" t="s">
        <v>17182</v>
      </c>
      <c r="B1069">
        <v>10560</v>
      </c>
      <c r="C1069" t="s">
        <v>15169</v>
      </c>
      <c r="D1069">
        <v>3.0499999999999999E-2</v>
      </c>
      <c r="E1069" t="s">
        <v>17183</v>
      </c>
      <c r="F1069" t="s">
        <v>15195</v>
      </c>
    </row>
    <row r="1070" spans="1:6" x14ac:dyDescent="0.3">
      <c r="A1070" t="s">
        <v>17184</v>
      </c>
      <c r="B1070">
        <v>10560</v>
      </c>
      <c r="C1070" t="s">
        <v>15169</v>
      </c>
      <c r="D1070">
        <v>3.0499999999999999E-2</v>
      </c>
      <c r="E1070" t="s">
        <v>17185</v>
      </c>
      <c r="F1070" t="s">
        <v>15195</v>
      </c>
    </row>
    <row r="1071" spans="1:6" x14ac:dyDescent="0.3">
      <c r="A1071" t="s">
        <v>17186</v>
      </c>
      <c r="B1071">
        <v>10560</v>
      </c>
      <c r="C1071" t="s">
        <v>15169</v>
      </c>
      <c r="D1071">
        <v>3.0499999999999999E-2</v>
      </c>
      <c r="E1071" t="s">
        <v>17187</v>
      </c>
      <c r="F1071" t="s">
        <v>15195</v>
      </c>
    </row>
    <row r="1072" spans="1:6" x14ac:dyDescent="0.3">
      <c r="A1072" t="s">
        <v>17188</v>
      </c>
      <c r="B1072">
        <v>10560</v>
      </c>
      <c r="C1072" t="s">
        <v>15169</v>
      </c>
      <c r="D1072">
        <v>3.0499999999999999E-2</v>
      </c>
      <c r="E1072" t="s">
        <v>17189</v>
      </c>
      <c r="F1072" t="s">
        <v>15195</v>
      </c>
    </row>
    <row r="1073" spans="1:6" x14ac:dyDescent="0.3">
      <c r="A1073" t="s">
        <v>103</v>
      </c>
      <c r="B1073">
        <v>10620</v>
      </c>
      <c r="C1073" t="s">
        <v>15169</v>
      </c>
      <c r="D1073">
        <v>3.0499999999999999E-2</v>
      </c>
      <c r="E1073" t="s">
        <v>104</v>
      </c>
      <c r="F1073" t="s">
        <v>15195</v>
      </c>
    </row>
    <row r="1074" spans="1:6" x14ac:dyDescent="0.3">
      <c r="A1074" t="s">
        <v>17190</v>
      </c>
      <c r="B1074">
        <v>10620</v>
      </c>
      <c r="C1074" t="s">
        <v>15169</v>
      </c>
      <c r="D1074">
        <v>3.0499999999999999E-2</v>
      </c>
      <c r="E1074" t="s">
        <v>17191</v>
      </c>
      <c r="F1074" t="s">
        <v>15195</v>
      </c>
    </row>
    <row r="1075" spans="1:6" x14ac:dyDescent="0.3">
      <c r="A1075" t="s">
        <v>740</v>
      </c>
      <c r="B1075">
        <v>10620</v>
      </c>
      <c r="C1075" t="s">
        <v>15169</v>
      </c>
      <c r="D1075">
        <v>3.0499999999999999E-2</v>
      </c>
      <c r="E1075" t="s">
        <v>741</v>
      </c>
      <c r="F1075" t="s">
        <v>15195</v>
      </c>
    </row>
    <row r="1076" spans="1:6" x14ac:dyDescent="0.3">
      <c r="A1076" t="s">
        <v>2100</v>
      </c>
      <c r="B1076">
        <v>10620</v>
      </c>
      <c r="C1076" t="s">
        <v>15169</v>
      </c>
      <c r="D1076">
        <v>3.0499999999999999E-2</v>
      </c>
      <c r="E1076" t="s">
        <v>2101</v>
      </c>
      <c r="F1076" t="s">
        <v>15195</v>
      </c>
    </row>
    <row r="1077" spans="1:6" x14ac:dyDescent="0.3">
      <c r="A1077" t="s">
        <v>17192</v>
      </c>
      <c r="B1077">
        <v>10560</v>
      </c>
      <c r="C1077" t="s">
        <v>15169</v>
      </c>
      <c r="D1077">
        <v>3.0499999999999999E-2</v>
      </c>
      <c r="E1077" t="s">
        <v>17193</v>
      </c>
      <c r="F1077" t="s">
        <v>15195</v>
      </c>
    </row>
    <row r="1078" spans="1:6" x14ac:dyDescent="0.3">
      <c r="A1078" t="s">
        <v>17194</v>
      </c>
      <c r="B1078">
        <v>10560</v>
      </c>
      <c r="C1078" t="s">
        <v>15169</v>
      </c>
      <c r="D1078">
        <v>3.0499999999999999E-2</v>
      </c>
      <c r="E1078" t="s">
        <v>17195</v>
      </c>
      <c r="F1078" t="s">
        <v>15195</v>
      </c>
    </row>
    <row r="1079" spans="1:6" x14ac:dyDescent="0.3">
      <c r="A1079" t="s">
        <v>17196</v>
      </c>
      <c r="B1079">
        <v>10560</v>
      </c>
      <c r="C1079" t="s">
        <v>15169</v>
      </c>
      <c r="D1079">
        <v>3.0499999999999999E-2</v>
      </c>
      <c r="E1079" t="s">
        <v>17197</v>
      </c>
      <c r="F1079" t="s">
        <v>15195</v>
      </c>
    </row>
    <row r="1080" spans="1:6" x14ac:dyDescent="0.3">
      <c r="A1080" t="s">
        <v>17198</v>
      </c>
      <c r="B1080">
        <v>10560</v>
      </c>
      <c r="C1080" t="s">
        <v>15169</v>
      </c>
      <c r="D1080">
        <v>3.0499999999999999E-2</v>
      </c>
      <c r="E1080" t="s">
        <v>17199</v>
      </c>
      <c r="F1080" t="s">
        <v>15195</v>
      </c>
    </row>
    <row r="1081" spans="1:6" x14ac:dyDescent="0.3">
      <c r="A1081" t="s">
        <v>17200</v>
      </c>
      <c r="B1081">
        <v>10560</v>
      </c>
      <c r="C1081" t="s">
        <v>15169</v>
      </c>
      <c r="D1081">
        <v>3.0499999999999999E-2</v>
      </c>
      <c r="E1081" t="s">
        <v>17201</v>
      </c>
      <c r="F1081" t="s">
        <v>15195</v>
      </c>
    </row>
    <row r="1082" spans="1:6" x14ac:dyDescent="0.3">
      <c r="A1082" t="s">
        <v>17202</v>
      </c>
      <c r="B1082">
        <v>10560</v>
      </c>
      <c r="C1082" t="s">
        <v>15169</v>
      </c>
      <c r="D1082">
        <v>3.0499999999999999E-2</v>
      </c>
      <c r="E1082" t="s">
        <v>17203</v>
      </c>
      <c r="F1082" t="s">
        <v>15195</v>
      </c>
    </row>
    <row r="1083" spans="1:6" x14ac:dyDescent="0.3">
      <c r="A1083" t="s">
        <v>17204</v>
      </c>
      <c r="B1083">
        <v>10560</v>
      </c>
      <c r="C1083" t="s">
        <v>15169</v>
      </c>
      <c r="D1083">
        <v>3.0499999999999999E-2</v>
      </c>
      <c r="E1083" t="s">
        <v>17205</v>
      </c>
      <c r="F1083" t="s">
        <v>15195</v>
      </c>
    </row>
    <row r="1084" spans="1:6" x14ac:dyDescent="0.3">
      <c r="A1084" t="s">
        <v>17206</v>
      </c>
      <c r="B1084">
        <v>10560</v>
      </c>
      <c r="C1084" t="s">
        <v>15169</v>
      </c>
      <c r="D1084">
        <v>3.0499999999999999E-2</v>
      </c>
      <c r="E1084" t="s">
        <v>17207</v>
      </c>
      <c r="F1084" t="s">
        <v>15195</v>
      </c>
    </row>
    <row r="1085" spans="1:6" x14ac:dyDescent="0.3">
      <c r="A1085" t="s">
        <v>2168</v>
      </c>
      <c r="B1085">
        <v>10620</v>
      </c>
      <c r="C1085" t="s">
        <v>15169</v>
      </c>
      <c r="D1085">
        <v>3.0499999999999999E-2</v>
      </c>
      <c r="E1085" t="s">
        <v>2169</v>
      </c>
      <c r="F1085" t="s">
        <v>15195</v>
      </c>
    </row>
    <row r="1086" spans="1:6" x14ac:dyDescent="0.3">
      <c r="A1086" t="s">
        <v>10227</v>
      </c>
      <c r="B1086">
        <v>10620</v>
      </c>
      <c r="C1086" t="s">
        <v>15169</v>
      </c>
      <c r="D1086">
        <v>3.0499999999999999E-2</v>
      </c>
      <c r="E1086" t="s">
        <v>10228</v>
      </c>
      <c r="F1086" t="s">
        <v>15195</v>
      </c>
    </row>
    <row r="1087" spans="1:6" x14ac:dyDescent="0.3">
      <c r="A1087" t="s">
        <v>1027</v>
      </c>
      <c r="B1087">
        <v>10620</v>
      </c>
      <c r="C1087" t="s">
        <v>15169</v>
      </c>
      <c r="D1087">
        <v>3.0499999999999999E-2</v>
      </c>
      <c r="E1087" t="s">
        <v>1028</v>
      </c>
      <c r="F1087" t="s">
        <v>15195</v>
      </c>
    </row>
    <row r="1088" spans="1:6" x14ac:dyDescent="0.3">
      <c r="A1088" t="s">
        <v>1512</v>
      </c>
      <c r="B1088">
        <v>10620</v>
      </c>
      <c r="C1088" t="s">
        <v>15169</v>
      </c>
      <c r="D1088">
        <v>3.0499999999999999E-2</v>
      </c>
      <c r="E1088" t="s">
        <v>1513</v>
      </c>
      <c r="F1088" t="s">
        <v>15195</v>
      </c>
    </row>
    <row r="1089" spans="1:6" x14ac:dyDescent="0.3">
      <c r="A1089" t="s">
        <v>17208</v>
      </c>
      <c r="B1089">
        <v>10560</v>
      </c>
      <c r="C1089" t="s">
        <v>15169</v>
      </c>
      <c r="D1089">
        <v>3.0499999999999999E-2</v>
      </c>
      <c r="E1089" t="s">
        <v>17209</v>
      </c>
      <c r="F1089" t="s">
        <v>15195</v>
      </c>
    </row>
    <row r="1090" spans="1:6" x14ac:dyDescent="0.3">
      <c r="A1090" t="s">
        <v>17210</v>
      </c>
      <c r="B1090">
        <v>10560</v>
      </c>
      <c r="C1090" t="s">
        <v>15169</v>
      </c>
      <c r="D1090">
        <v>3.0499999999999999E-2</v>
      </c>
      <c r="E1090" t="s">
        <v>17211</v>
      </c>
      <c r="F1090" t="s">
        <v>15195</v>
      </c>
    </row>
    <row r="1091" spans="1:6" x14ac:dyDescent="0.3">
      <c r="A1091" t="s">
        <v>17212</v>
      </c>
      <c r="B1091">
        <v>5415</v>
      </c>
      <c r="C1091" t="s">
        <v>15312</v>
      </c>
      <c r="D1091">
        <v>1.9E-2</v>
      </c>
      <c r="E1091" t="s">
        <v>17213</v>
      </c>
      <c r="F1091" t="s">
        <v>15314</v>
      </c>
    </row>
    <row r="1092" spans="1:6" x14ac:dyDescent="0.3">
      <c r="A1092" t="s">
        <v>17214</v>
      </c>
      <c r="B1092">
        <v>5415</v>
      </c>
      <c r="C1092" t="s">
        <v>15312</v>
      </c>
      <c r="D1092">
        <v>1.9E-2</v>
      </c>
      <c r="E1092" t="s">
        <v>17213</v>
      </c>
      <c r="F1092" t="s">
        <v>15314</v>
      </c>
    </row>
    <row r="1093" spans="1:6" x14ac:dyDescent="0.3">
      <c r="A1093" t="s">
        <v>17215</v>
      </c>
      <c r="B1093">
        <v>5415</v>
      </c>
      <c r="C1093" t="s">
        <v>15312</v>
      </c>
      <c r="D1093">
        <v>1.9E-2</v>
      </c>
      <c r="E1093" t="s">
        <v>17216</v>
      </c>
      <c r="F1093" t="s">
        <v>15314</v>
      </c>
    </row>
    <row r="1094" spans="1:6" x14ac:dyDescent="0.3">
      <c r="A1094" t="s">
        <v>17217</v>
      </c>
      <c r="B1094">
        <v>5415</v>
      </c>
      <c r="C1094" t="s">
        <v>15312</v>
      </c>
      <c r="D1094">
        <v>1.9E-2</v>
      </c>
      <c r="E1094" t="s">
        <v>17218</v>
      </c>
      <c r="F1094" t="s">
        <v>15314</v>
      </c>
    </row>
    <row r="1095" spans="1:6" x14ac:dyDescent="0.3">
      <c r="A1095" t="s">
        <v>17219</v>
      </c>
      <c r="B1095">
        <v>5415</v>
      </c>
      <c r="C1095" t="s">
        <v>15312</v>
      </c>
      <c r="D1095">
        <v>1.9E-2</v>
      </c>
      <c r="E1095" t="s">
        <v>17220</v>
      </c>
      <c r="F1095" t="s">
        <v>15314</v>
      </c>
    </row>
    <row r="1096" spans="1:6" x14ac:dyDescent="0.3">
      <c r="A1096" t="s">
        <v>17221</v>
      </c>
      <c r="B1096">
        <v>5415</v>
      </c>
      <c r="C1096" t="s">
        <v>15312</v>
      </c>
      <c r="D1096">
        <v>1.9E-2</v>
      </c>
      <c r="E1096" t="s">
        <v>17222</v>
      </c>
      <c r="F1096" t="s">
        <v>15314</v>
      </c>
    </row>
    <row r="1097" spans="1:6" x14ac:dyDescent="0.3">
      <c r="A1097" t="s">
        <v>17223</v>
      </c>
      <c r="B1097">
        <v>5415</v>
      </c>
      <c r="C1097" t="s">
        <v>15312</v>
      </c>
      <c r="D1097">
        <v>1.9E-2</v>
      </c>
      <c r="E1097" t="s">
        <v>17224</v>
      </c>
      <c r="F1097" t="s">
        <v>15314</v>
      </c>
    </row>
    <row r="1098" spans="1:6" x14ac:dyDescent="0.3">
      <c r="A1098" t="s">
        <v>17225</v>
      </c>
      <c r="B1098">
        <v>5415</v>
      </c>
      <c r="C1098" t="s">
        <v>15312</v>
      </c>
      <c r="D1098">
        <v>1.9E-2</v>
      </c>
      <c r="E1098" t="s">
        <v>17226</v>
      </c>
      <c r="F1098" t="s">
        <v>15314</v>
      </c>
    </row>
    <row r="1099" spans="1:6" x14ac:dyDescent="0.3">
      <c r="A1099" t="s">
        <v>17227</v>
      </c>
      <c r="B1099">
        <v>5415</v>
      </c>
      <c r="C1099" t="s">
        <v>15312</v>
      </c>
      <c r="D1099">
        <v>1.9E-2</v>
      </c>
      <c r="E1099" t="s">
        <v>17228</v>
      </c>
      <c r="F1099" t="s">
        <v>15314</v>
      </c>
    </row>
    <row r="1100" spans="1:6" x14ac:dyDescent="0.3">
      <c r="A1100" t="s">
        <v>17229</v>
      </c>
      <c r="B1100">
        <v>5415</v>
      </c>
      <c r="C1100" t="s">
        <v>15312</v>
      </c>
      <c r="D1100">
        <v>1.9E-2</v>
      </c>
      <c r="E1100" t="s">
        <v>17230</v>
      </c>
      <c r="F1100" t="s">
        <v>15314</v>
      </c>
    </row>
    <row r="1101" spans="1:6" x14ac:dyDescent="0.3">
      <c r="A1101" t="s">
        <v>17231</v>
      </c>
      <c r="B1101">
        <v>5415</v>
      </c>
      <c r="C1101" t="s">
        <v>15312</v>
      </c>
      <c r="D1101">
        <v>1.9E-2</v>
      </c>
      <c r="E1101" t="s">
        <v>17232</v>
      </c>
      <c r="F1101" t="s">
        <v>15314</v>
      </c>
    </row>
    <row r="1102" spans="1:6" x14ac:dyDescent="0.3">
      <c r="A1102" t="s">
        <v>17233</v>
      </c>
      <c r="B1102">
        <v>5415</v>
      </c>
      <c r="C1102" t="s">
        <v>15312</v>
      </c>
      <c r="D1102">
        <v>1.9E-2</v>
      </c>
      <c r="E1102" t="s">
        <v>17234</v>
      </c>
      <c r="F1102" t="s">
        <v>15314</v>
      </c>
    </row>
    <row r="1103" spans="1:6" x14ac:dyDescent="0.3">
      <c r="A1103" t="s">
        <v>17235</v>
      </c>
      <c r="B1103">
        <v>5415</v>
      </c>
      <c r="C1103" t="s">
        <v>15312</v>
      </c>
      <c r="D1103">
        <v>1.9E-2</v>
      </c>
      <c r="E1103" t="s">
        <v>17236</v>
      </c>
      <c r="F1103" t="s">
        <v>15314</v>
      </c>
    </row>
    <row r="1104" spans="1:6" x14ac:dyDescent="0.3">
      <c r="A1104" t="s">
        <v>17237</v>
      </c>
      <c r="B1104">
        <v>5415</v>
      </c>
      <c r="C1104" t="s">
        <v>15312</v>
      </c>
      <c r="D1104">
        <v>1.9E-2</v>
      </c>
      <c r="E1104" t="s">
        <v>17238</v>
      </c>
      <c r="F1104" t="s">
        <v>15314</v>
      </c>
    </row>
    <row r="1105" spans="1:6" x14ac:dyDescent="0.3">
      <c r="A1105" t="s">
        <v>17239</v>
      </c>
      <c r="B1105">
        <v>5415</v>
      </c>
      <c r="C1105" t="s">
        <v>15312</v>
      </c>
      <c r="D1105">
        <v>1.9E-2</v>
      </c>
      <c r="E1105" t="s">
        <v>17240</v>
      </c>
      <c r="F1105" t="s">
        <v>15314</v>
      </c>
    </row>
    <row r="1106" spans="1:6" x14ac:dyDescent="0.3">
      <c r="A1106" t="s">
        <v>17241</v>
      </c>
      <c r="B1106">
        <v>5415</v>
      </c>
      <c r="C1106" t="s">
        <v>15312</v>
      </c>
      <c r="D1106">
        <v>1.9E-2</v>
      </c>
      <c r="E1106" t="s">
        <v>17242</v>
      </c>
      <c r="F1106" t="s">
        <v>15314</v>
      </c>
    </row>
    <row r="1107" spans="1:6" x14ac:dyDescent="0.3">
      <c r="A1107" t="s">
        <v>17243</v>
      </c>
      <c r="B1107">
        <v>5415</v>
      </c>
      <c r="C1107" t="s">
        <v>15312</v>
      </c>
      <c r="D1107">
        <v>1.9E-2</v>
      </c>
      <c r="E1107" t="s">
        <v>17244</v>
      </c>
      <c r="F1107" t="s">
        <v>15314</v>
      </c>
    </row>
    <row r="1108" spans="1:6" x14ac:dyDescent="0.3">
      <c r="A1108" t="s">
        <v>17245</v>
      </c>
      <c r="B1108">
        <v>5415</v>
      </c>
      <c r="C1108" t="s">
        <v>15312</v>
      </c>
      <c r="D1108">
        <v>1.9E-2</v>
      </c>
      <c r="E1108" t="s">
        <v>17246</v>
      </c>
      <c r="F1108" t="s">
        <v>15314</v>
      </c>
    </row>
    <row r="1109" spans="1:6" x14ac:dyDescent="0.3">
      <c r="A1109" t="s">
        <v>17247</v>
      </c>
      <c r="B1109">
        <v>5415</v>
      </c>
      <c r="C1109" t="s">
        <v>15312</v>
      </c>
      <c r="D1109">
        <v>1.9E-2</v>
      </c>
      <c r="E1109" t="s">
        <v>17248</v>
      </c>
      <c r="F1109" t="s">
        <v>15314</v>
      </c>
    </row>
    <row r="1110" spans="1:6" x14ac:dyDescent="0.3">
      <c r="A1110" t="s">
        <v>17249</v>
      </c>
      <c r="B1110">
        <v>5415</v>
      </c>
      <c r="C1110" t="s">
        <v>15312</v>
      </c>
      <c r="D1110">
        <v>1.9E-2</v>
      </c>
      <c r="E1110" t="s">
        <v>17250</v>
      </c>
      <c r="F1110" t="s">
        <v>15314</v>
      </c>
    </row>
    <row r="1111" spans="1:6" x14ac:dyDescent="0.3">
      <c r="A1111" t="s">
        <v>17251</v>
      </c>
      <c r="B1111">
        <v>5415</v>
      </c>
      <c r="C1111" t="s">
        <v>15312</v>
      </c>
      <c r="D1111">
        <v>1.9E-2</v>
      </c>
      <c r="E1111" t="s">
        <v>17252</v>
      </c>
      <c r="F1111" t="s">
        <v>15314</v>
      </c>
    </row>
    <row r="1112" spans="1:6" x14ac:dyDescent="0.3">
      <c r="A1112" t="s">
        <v>17253</v>
      </c>
      <c r="B1112">
        <v>5415</v>
      </c>
      <c r="C1112" t="s">
        <v>15312</v>
      </c>
      <c r="D1112">
        <v>1.9E-2</v>
      </c>
      <c r="E1112" t="s">
        <v>17254</v>
      </c>
      <c r="F1112" t="s">
        <v>15314</v>
      </c>
    </row>
    <row r="1113" spans="1:6" x14ac:dyDescent="0.3">
      <c r="A1113" t="s">
        <v>17255</v>
      </c>
      <c r="B1113">
        <v>5415</v>
      </c>
      <c r="C1113" t="s">
        <v>15312</v>
      </c>
      <c r="D1113">
        <v>1.9E-2</v>
      </c>
      <c r="E1113" t="s">
        <v>17256</v>
      </c>
      <c r="F1113" t="s">
        <v>15314</v>
      </c>
    </row>
    <row r="1114" spans="1:6" x14ac:dyDescent="0.3">
      <c r="A1114" t="s">
        <v>17257</v>
      </c>
      <c r="B1114">
        <v>5415</v>
      </c>
      <c r="C1114" t="s">
        <v>15312</v>
      </c>
      <c r="D1114">
        <v>1.9E-2</v>
      </c>
      <c r="E1114" t="s">
        <v>17258</v>
      </c>
      <c r="F1114" t="s">
        <v>15314</v>
      </c>
    </row>
    <row r="1115" spans="1:6" x14ac:dyDescent="0.3">
      <c r="A1115" t="s">
        <v>17259</v>
      </c>
      <c r="B1115">
        <v>5415</v>
      </c>
      <c r="C1115" t="s">
        <v>15312</v>
      </c>
      <c r="D1115">
        <v>1.9E-2</v>
      </c>
      <c r="E1115" t="s">
        <v>17260</v>
      </c>
      <c r="F1115" t="s">
        <v>15314</v>
      </c>
    </row>
    <row r="1116" spans="1:6" x14ac:dyDescent="0.3">
      <c r="A1116" t="s">
        <v>17261</v>
      </c>
      <c r="B1116">
        <v>4788</v>
      </c>
      <c r="C1116" t="s">
        <v>15312</v>
      </c>
      <c r="D1116">
        <v>1.9E-2</v>
      </c>
      <c r="E1116" t="s">
        <v>17262</v>
      </c>
      <c r="F1116" t="s">
        <v>15314</v>
      </c>
    </row>
    <row r="1117" spans="1:6" x14ac:dyDescent="0.3">
      <c r="A1117" t="s">
        <v>17263</v>
      </c>
      <c r="B1117">
        <v>5415</v>
      </c>
      <c r="C1117" t="s">
        <v>15312</v>
      </c>
      <c r="D1117">
        <v>1.9E-2</v>
      </c>
      <c r="E1117" t="s">
        <v>17264</v>
      </c>
      <c r="F1117" t="s">
        <v>15314</v>
      </c>
    </row>
    <row r="1118" spans="1:6" x14ac:dyDescent="0.3">
      <c r="A1118" t="s">
        <v>17265</v>
      </c>
      <c r="B1118">
        <v>5415</v>
      </c>
      <c r="C1118" t="s">
        <v>15312</v>
      </c>
      <c r="D1118">
        <v>1.9E-2</v>
      </c>
      <c r="E1118" t="s">
        <v>17266</v>
      </c>
      <c r="F1118" t="s">
        <v>15314</v>
      </c>
    </row>
    <row r="1119" spans="1:6" x14ac:dyDescent="0.3">
      <c r="A1119" t="s">
        <v>17267</v>
      </c>
      <c r="B1119">
        <v>5415</v>
      </c>
      <c r="C1119" t="s">
        <v>15312</v>
      </c>
      <c r="D1119">
        <v>1.9E-2</v>
      </c>
      <c r="E1119" t="s">
        <v>17268</v>
      </c>
      <c r="F1119" t="s">
        <v>15314</v>
      </c>
    </row>
    <row r="1120" spans="1:6" x14ac:dyDescent="0.3">
      <c r="A1120" t="s">
        <v>17269</v>
      </c>
      <c r="B1120">
        <v>5415</v>
      </c>
      <c r="C1120" t="s">
        <v>15312</v>
      </c>
      <c r="D1120">
        <v>1.9E-2</v>
      </c>
      <c r="E1120" t="s">
        <v>17270</v>
      </c>
      <c r="F1120" t="s">
        <v>15314</v>
      </c>
    </row>
    <row r="1121" spans="1:6" x14ac:dyDescent="0.3">
      <c r="A1121" t="s">
        <v>17271</v>
      </c>
      <c r="B1121">
        <v>5415</v>
      </c>
      <c r="C1121" t="s">
        <v>15312</v>
      </c>
      <c r="D1121">
        <v>1.9E-2</v>
      </c>
      <c r="E1121" t="s">
        <v>17272</v>
      </c>
      <c r="F1121" t="s">
        <v>15314</v>
      </c>
    </row>
    <row r="1122" spans="1:6" x14ac:dyDescent="0.3">
      <c r="A1122" t="s">
        <v>17273</v>
      </c>
      <c r="B1122">
        <v>5415</v>
      </c>
      <c r="C1122" t="s">
        <v>15312</v>
      </c>
      <c r="D1122">
        <v>1.9E-2</v>
      </c>
      <c r="E1122" t="s">
        <v>17274</v>
      </c>
      <c r="F1122" t="s">
        <v>15314</v>
      </c>
    </row>
    <row r="1123" spans="1:6" x14ac:dyDescent="0.3">
      <c r="A1123" t="s">
        <v>17275</v>
      </c>
      <c r="B1123">
        <v>5415</v>
      </c>
      <c r="C1123" t="s">
        <v>15312</v>
      </c>
      <c r="D1123">
        <v>1.9E-2</v>
      </c>
      <c r="E1123" t="s">
        <v>17276</v>
      </c>
      <c r="F1123" t="s">
        <v>15314</v>
      </c>
    </row>
    <row r="1124" spans="1:6" x14ac:dyDescent="0.3">
      <c r="A1124" t="s">
        <v>17277</v>
      </c>
      <c r="B1124">
        <v>5415</v>
      </c>
      <c r="C1124" t="s">
        <v>15312</v>
      </c>
      <c r="D1124">
        <v>1.9E-2</v>
      </c>
      <c r="E1124" t="s">
        <v>17278</v>
      </c>
      <c r="F1124" t="s">
        <v>15314</v>
      </c>
    </row>
    <row r="1125" spans="1:6" x14ac:dyDescent="0.3">
      <c r="A1125" t="s">
        <v>17279</v>
      </c>
      <c r="B1125">
        <v>5415</v>
      </c>
      <c r="C1125" t="s">
        <v>15312</v>
      </c>
      <c r="D1125">
        <v>1.9E-2</v>
      </c>
      <c r="E1125" t="s">
        <v>17280</v>
      </c>
      <c r="F1125" t="s">
        <v>15314</v>
      </c>
    </row>
    <row r="1126" spans="1:6" x14ac:dyDescent="0.3">
      <c r="A1126" t="s">
        <v>17281</v>
      </c>
      <c r="B1126">
        <v>5415</v>
      </c>
      <c r="C1126" t="s">
        <v>15312</v>
      </c>
      <c r="D1126">
        <v>1.9E-2</v>
      </c>
      <c r="E1126" t="s">
        <v>17282</v>
      </c>
      <c r="F1126" t="s">
        <v>15314</v>
      </c>
    </row>
    <row r="1127" spans="1:6" x14ac:dyDescent="0.3">
      <c r="A1127" t="s">
        <v>17283</v>
      </c>
      <c r="B1127">
        <v>5415</v>
      </c>
      <c r="C1127" t="s">
        <v>15312</v>
      </c>
      <c r="D1127">
        <v>1.9E-2</v>
      </c>
      <c r="E1127" t="s">
        <v>17284</v>
      </c>
      <c r="F1127" t="s">
        <v>15314</v>
      </c>
    </row>
    <row r="1128" spans="1:6" x14ac:dyDescent="0.3">
      <c r="A1128" t="s">
        <v>17285</v>
      </c>
      <c r="B1128">
        <v>5415</v>
      </c>
      <c r="C1128" t="s">
        <v>15312</v>
      </c>
      <c r="D1128">
        <v>1.9E-2</v>
      </c>
      <c r="E1128" t="s">
        <v>17286</v>
      </c>
      <c r="F1128" t="s">
        <v>15314</v>
      </c>
    </row>
    <row r="1129" spans="1:6" x14ac:dyDescent="0.3">
      <c r="A1129" t="s">
        <v>17287</v>
      </c>
      <c r="B1129">
        <v>5415</v>
      </c>
      <c r="C1129" t="s">
        <v>15312</v>
      </c>
      <c r="D1129">
        <v>1.9E-2</v>
      </c>
      <c r="E1129" t="s">
        <v>17288</v>
      </c>
      <c r="F1129" t="s">
        <v>15314</v>
      </c>
    </row>
    <row r="1130" spans="1:6" x14ac:dyDescent="0.3">
      <c r="A1130" t="s">
        <v>17289</v>
      </c>
      <c r="B1130">
        <v>5415</v>
      </c>
      <c r="C1130" t="s">
        <v>15312</v>
      </c>
      <c r="D1130">
        <v>1.9E-2</v>
      </c>
      <c r="E1130" t="s">
        <v>17288</v>
      </c>
      <c r="F1130" t="s">
        <v>15314</v>
      </c>
    </row>
    <row r="1131" spans="1:6" x14ac:dyDescent="0.3">
      <c r="A1131" t="s">
        <v>17290</v>
      </c>
      <c r="B1131">
        <v>5415</v>
      </c>
      <c r="C1131" t="s">
        <v>15312</v>
      </c>
      <c r="D1131">
        <v>1.9E-2</v>
      </c>
      <c r="E1131" t="s">
        <v>17291</v>
      </c>
      <c r="F1131" t="s">
        <v>15314</v>
      </c>
    </row>
    <row r="1132" spans="1:6" x14ac:dyDescent="0.3">
      <c r="A1132" t="s">
        <v>17292</v>
      </c>
      <c r="B1132">
        <v>5415</v>
      </c>
      <c r="C1132" t="s">
        <v>15312</v>
      </c>
      <c r="D1132">
        <v>1.9E-2</v>
      </c>
      <c r="E1132" t="s">
        <v>17293</v>
      </c>
      <c r="F1132" t="s">
        <v>15314</v>
      </c>
    </row>
    <row r="1133" spans="1:6" x14ac:dyDescent="0.3">
      <c r="A1133" t="s">
        <v>17294</v>
      </c>
      <c r="B1133">
        <v>5415</v>
      </c>
      <c r="C1133" t="s">
        <v>15312</v>
      </c>
      <c r="D1133">
        <v>1.9E-2</v>
      </c>
      <c r="E1133" t="s">
        <v>17295</v>
      </c>
      <c r="F1133" t="s">
        <v>15314</v>
      </c>
    </row>
    <row r="1134" spans="1:6" x14ac:dyDescent="0.3">
      <c r="A1134" t="s">
        <v>17296</v>
      </c>
      <c r="B1134">
        <v>5415</v>
      </c>
      <c r="C1134" t="s">
        <v>15312</v>
      </c>
      <c r="D1134">
        <v>1.9E-2</v>
      </c>
      <c r="E1134" t="s">
        <v>17297</v>
      </c>
      <c r="F1134" t="s">
        <v>15314</v>
      </c>
    </row>
    <row r="1135" spans="1:6" x14ac:dyDescent="0.3">
      <c r="A1135" t="s">
        <v>17298</v>
      </c>
      <c r="B1135">
        <v>5415</v>
      </c>
      <c r="C1135" t="s">
        <v>15312</v>
      </c>
      <c r="D1135">
        <v>1.9E-2</v>
      </c>
      <c r="E1135" t="s">
        <v>17299</v>
      </c>
      <c r="F1135" t="s">
        <v>15314</v>
      </c>
    </row>
    <row r="1136" spans="1:6" x14ac:dyDescent="0.3">
      <c r="A1136" t="s">
        <v>17300</v>
      </c>
      <c r="B1136">
        <v>5415</v>
      </c>
      <c r="C1136" t="s">
        <v>15312</v>
      </c>
      <c r="D1136">
        <v>1.9E-2</v>
      </c>
      <c r="E1136" t="s">
        <v>17301</v>
      </c>
      <c r="F1136" t="s">
        <v>15314</v>
      </c>
    </row>
    <row r="1137" spans="1:6" x14ac:dyDescent="0.3">
      <c r="A1137" t="s">
        <v>17302</v>
      </c>
      <c r="B1137">
        <v>5415</v>
      </c>
      <c r="C1137" t="s">
        <v>15312</v>
      </c>
      <c r="D1137">
        <v>1.9E-2</v>
      </c>
      <c r="E1137" t="s">
        <v>17303</v>
      </c>
      <c r="F1137" t="s">
        <v>15314</v>
      </c>
    </row>
    <row r="1138" spans="1:6" x14ac:dyDescent="0.3">
      <c r="A1138" t="s">
        <v>17304</v>
      </c>
      <c r="B1138">
        <v>5415</v>
      </c>
      <c r="C1138" t="s">
        <v>15312</v>
      </c>
      <c r="D1138">
        <v>1.9E-2</v>
      </c>
      <c r="E1138" t="s">
        <v>17305</v>
      </c>
      <c r="F1138" t="s">
        <v>15314</v>
      </c>
    </row>
    <row r="1139" spans="1:6" x14ac:dyDescent="0.3">
      <c r="A1139" t="s">
        <v>17306</v>
      </c>
      <c r="B1139">
        <v>5415</v>
      </c>
      <c r="C1139" t="s">
        <v>15312</v>
      </c>
      <c r="D1139">
        <v>1.9E-2</v>
      </c>
      <c r="E1139" t="s">
        <v>17307</v>
      </c>
      <c r="F1139" t="s">
        <v>15314</v>
      </c>
    </row>
    <row r="1140" spans="1:6" x14ac:dyDescent="0.3">
      <c r="A1140" t="s">
        <v>17308</v>
      </c>
      <c r="B1140">
        <v>5415</v>
      </c>
      <c r="C1140" t="s">
        <v>15312</v>
      </c>
      <c r="D1140">
        <v>1.9E-2</v>
      </c>
      <c r="E1140" t="s">
        <v>17309</v>
      </c>
      <c r="F1140" t="s">
        <v>15314</v>
      </c>
    </row>
    <row r="1141" spans="1:6" x14ac:dyDescent="0.3">
      <c r="A1141" t="s">
        <v>17310</v>
      </c>
      <c r="B1141">
        <v>5415</v>
      </c>
      <c r="C1141" t="s">
        <v>15312</v>
      </c>
      <c r="D1141">
        <v>1.9E-2</v>
      </c>
      <c r="E1141" t="s">
        <v>17311</v>
      </c>
      <c r="F1141" t="s">
        <v>15314</v>
      </c>
    </row>
    <row r="1142" spans="1:6" x14ac:dyDescent="0.3">
      <c r="A1142" t="s">
        <v>17312</v>
      </c>
      <c r="B1142">
        <v>5415</v>
      </c>
      <c r="C1142" t="s">
        <v>15312</v>
      </c>
      <c r="D1142">
        <v>1.9E-2</v>
      </c>
      <c r="E1142" t="s">
        <v>17313</v>
      </c>
      <c r="F1142" t="s">
        <v>15314</v>
      </c>
    </row>
    <row r="1143" spans="1:6" x14ac:dyDescent="0.3">
      <c r="A1143" t="s">
        <v>17314</v>
      </c>
      <c r="B1143">
        <v>5415</v>
      </c>
      <c r="C1143" t="s">
        <v>15312</v>
      </c>
      <c r="D1143">
        <v>1.9E-2</v>
      </c>
      <c r="E1143" t="s">
        <v>17315</v>
      </c>
      <c r="F1143" t="s">
        <v>15314</v>
      </c>
    </row>
    <row r="1144" spans="1:6" x14ac:dyDescent="0.3">
      <c r="A1144" t="s">
        <v>17316</v>
      </c>
      <c r="B1144">
        <v>5415</v>
      </c>
      <c r="C1144" t="s">
        <v>15312</v>
      </c>
      <c r="D1144">
        <v>1.9E-2</v>
      </c>
      <c r="E1144" t="s">
        <v>17317</v>
      </c>
      <c r="F1144" t="s">
        <v>15314</v>
      </c>
    </row>
    <row r="1145" spans="1:6" x14ac:dyDescent="0.3">
      <c r="A1145" t="s">
        <v>17318</v>
      </c>
      <c r="B1145">
        <v>5415</v>
      </c>
      <c r="C1145" t="s">
        <v>15312</v>
      </c>
      <c r="D1145">
        <v>1.9E-2</v>
      </c>
      <c r="E1145" t="s">
        <v>17319</v>
      </c>
      <c r="F1145" t="s">
        <v>15314</v>
      </c>
    </row>
    <row r="1146" spans="1:6" x14ac:dyDescent="0.3">
      <c r="A1146" t="s">
        <v>17320</v>
      </c>
      <c r="B1146">
        <v>5415</v>
      </c>
      <c r="C1146" t="s">
        <v>15312</v>
      </c>
      <c r="D1146">
        <v>1.9E-2</v>
      </c>
      <c r="E1146" t="s">
        <v>17321</v>
      </c>
      <c r="F1146" t="s">
        <v>15314</v>
      </c>
    </row>
    <row r="1147" spans="1:6" x14ac:dyDescent="0.3">
      <c r="A1147" t="s">
        <v>17322</v>
      </c>
      <c r="B1147">
        <v>5415</v>
      </c>
      <c r="C1147" t="s">
        <v>15312</v>
      </c>
      <c r="D1147">
        <v>1.9E-2</v>
      </c>
      <c r="E1147" t="s">
        <v>17323</v>
      </c>
      <c r="F1147" t="s">
        <v>15314</v>
      </c>
    </row>
    <row r="1148" spans="1:6" x14ac:dyDescent="0.3">
      <c r="A1148" t="s">
        <v>17324</v>
      </c>
      <c r="B1148">
        <v>5415</v>
      </c>
      <c r="C1148" t="s">
        <v>15312</v>
      </c>
      <c r="D1148">
        <v>1.9E-2</v>
      </c>
      <c r="E1148" t="s">
        <v>17325</v>
      </c>
      <c r="F1148" t="s">
        <v>15314</v>
      </c>
    </row>
    <row r="1149" spans="1:6" x14ac:dyDescent="0.3">
      <c r="A1149" t="s">
        <v>17326</v>
      </c>
      <c r="B1149">
        <v>5415</v>
      </c>
      <c r="C1149" t="s">
        <v>15312</v>
      </c>
      <c r="D1149">
        <v>1.9E-2</v>
      </c>
      <c r="E1149" t="s">
        <v>17327</v>
      </c>
      <c r="F1149" t="s">
        <v>15314</v>
      </c>
    </row>
    <row r="1150" spans="1:6" x14ac:dyDescent="0.3">
      <c r="A1150" t="s">
        <v>17328</v>
      </c>
      <c r="B1150">
        <v>5415</v>
      </c>
      <c r="C1150" t="s">
        <v>15312</v>
      </c>
      <c r="D1150">
        <v>1.9E-2</v>
      </c>
      <c r="E1150" t="s">
        <v>17329</v>
      </c>
      <c r="F1150" t="s">
        <v>15314</v>
      </c>
    </row>
    <row r="1151" spans="1:6" x14ac:dyDescent="0.3">
      <c r="A1151" t="s">
        <v>17330</v>
      </c>
      <c r="B1151">
        <v>5415</v>
      </c>
      <c r="C1151" t="s">
        <v>15312</v>
      </c>
      <c r="D1151">
        <v>1.9E-2</v>
      </c>
      <c r="E1151" t="s">
        <v>17331</v>
      </c>
      <c r="F1151" t="s">
        <v>15314</v>
      </c>
    </row>
    <row r="1152" spans="1:6" x14ac:dyDescent="0.3">
      <c r="A1152" t="s">
        <v>17332</v>
      </c>
      <c r="B1152">
        <v>5415</v>
      </c>
      <c r="C1152" t="s">
        <v>15312</v>
      </c>
      <c r="D1152">
        <v>1.9E-2</v>
      </c>
      <c r="E1152" t="s">
        <v>17333</v>
      </c>
      <c r="F1152" t="s">
        <v>15314</v>
      </c>
    </row>
    <row r="1153" spans="1:6" x14ac:dyDescent="0.3">
      <c r="A1153" t="s">
        <v>17334</v>
      </c>
      <c r="B1153">
        <v>5415</v>
      </c>
      <c r="C1153" t="s">
        <v>15312</v>
      </c>
      <c r="D1153">
        <v>1.9E-2</v>
      </c>
      <c r="E1153" t="s">
        <v>17335</v>
      </c>
      <c r="F1153" t="s">
        <v>15314</v>
      </c>
    </row>
    <row r="1154" spans="1:6" x14ac:dyDescent="0.3">
      <c r="A1154" t="s">
        <v>17336</v>
      </c>
      <c r="B1154">
        <v>5415</v>
      </c>
      <c r="C1154" t="s">
        <v>15312</v>
      </c>
      <c r="D1154">
        <v>1.9E-2</v>
      </c>
      <c r="E1154" t="s">
        <v>17337</v>
      </c>
      <c r="F1154" t="s">
        <v>15314</v>
      </c>
    </row>
    <row r="1155" spans="1:6" x14ac:dyDescent="0.3">
      <c r="A1155" t="s">
        <v>17338</v>
      </c>
      <c r="B1155">
        <v>5415</v>
      </c>
      <c r="C1155" t="s">
        <v>15312</v>
      </c>
      <c r="D1155">
        <v>1.9E-2</v>
      </c>
      <c r="E1155" t="s">
        <v>17339</v>
      </c>
      <c r="F1155" t="s">
        <v>15314</v>
      </c>
    </row>
    <row r="1156" spans="1:6" x14ac:dyDescent="0.3">
      <c r="A1156" t="s">
        <v>17340</v>
      </c>
      <c r="B1156">
        <v>5415</v>
      </c>
      <c r="C1156" t="s">
        <v>15312</v>
      </c>
      <c r="D1156">
        <v>1.9E-2</v>
      </c>
      <c r="E1156" t="s">
        <v>17341</v>
      </c>
      <c r="F1156" t="s">
        <v>15314</v>
      </c>
    </row>
    <row r="1157" spans="1:6" x14ac:dyDescent="0.3">
      <c r="A1157" t="s">
        <v>17342</v>
      </c>
      <c r="B1157">
        <v>5415</v>
      </c>
      <c r="C1157" t="s">
        <v>15312</v>
      </c>
      <c r="D1157">
        <v>1.9E-2</v>
      </c>
      <c r="E1157" t="s">
        <v>17343</v>
      </c>
      <c r="F1157" t="s">
        <v>15314</v>
      </c>
    </row>
    <row r="1158" spans="1:6" x14ac:dyDescent="0.3">
      <c r="A1158" t="s">
        <v>17344</v>
      </c>
      <c r="B1158">
        <v>5415</v>
      </c>
      <c r="C1158" t="s">
        <v>15312</v>
      </c>
      <c r="D1158">
        <v>1.9E-2</v>
      </c>
      <c r="E1158" t="s">
        <v>17345</v>
      </c>
      <c r="F1158" t="s">
        <v>15314</v>
      </c>
    </row>
    <row r="1159" spans="1:6" x14ac:dyDescent="0.3">
      <c r="A1159" t="s">
        <v>17346</v>
      </c>
      <c r="B1159">
        <v>5415</v>
      </c>
      <c r="C1159" t="s">
        <v>15312</v>
      </c>
      <c r="D1159">
        <v>1.9E-2</v>
      </c>
      <c r="E1159" t="s">
        <v>17347</v>
      </c>
      <c r="F1159" t="s">
        <v>15314</v>
      </c>
    </row>
    <row r="1160" spans="1:6" x14ac:dyDescent="0.3">
      <c r="A1160" t="s">
        <v>17348</v>
      </c>
      <c r="B1160">
        <v>5415</v>
      </c>
      <c r="C1160" t="s">
        <v>15312</v>
      </c>
      <c r="D1160">
        <v>1.9E-2</v>
      </c>
      <c r="E1160" t="s">
        <v>17349</v>
      </c>
      <c r="F1160" t="s">
        <v>15314</v>
      </c>
    </row>
    <row r="1161" spans="1:6" x14ac:dyDescent="0.3">
      <c r="A1161" t="s">
        <v>17350</v>
      </c>
      <c r="B1161">
        <v>5415</v>
      </c>
      <c r="C1161" t="s">
        <v>15312</v>
      </c>
      <c r="D1161">
        <v>1.55E-2</v>
      </c>
      <c r="E1161" t="s">
        <v>17351</v>
      </c>
      <c r="F1161" t="s">
        <v>15314</v>
      </c>
    </row>
    <row r="1162" spans="1:6" x14ac:dyDescent="0.3">
      <c r="A1162" t="s">
        <v>17352</v>
      </c>
      <c r="B1162">
        <v>5415</v>
      </c>
      <c r="C1162" t="s">
        <v>15312</v>
      </c>
      <c r="D1162">
        <v>1.9E-2</v>
      </c>
      <c r="E1162" t="s">
        <v>17353</v>
      </c>
      <c r="F1162" t="s">
        <v>15314</v>
      </c>
    </row>
    <row r="1163" spans="1:6" x14ac:dyDescent="0.3">
      <c r="A1163" t="s">
        <v>17354</v>
      </c>
      <c r="B1163">
        <v>5415</v>
      </c>
      <c r="C1163" t="s">
        <v>15312</v>
      </c>
      <c r="D1163">
        <v>1.9E-2</v>
      </c>
      <c r="E1163" t="s">
        <v>17355</v>
      </c>
      <c r="F1163" t="s">
        <v>15314</v>
      </c>
    </row>
    <row r="1164" spans="1:6" x14ac:dyDescent="0.3">
      <c r="A1164" t="s">
        <v>17356</v>
      </c>
      <c r="B1164">
        <v>5415</v>
      </c>
      <c r="C1164" t="s">
        <v>15312</v>
      </c>
      <c r="D1164">
        <v>1.9E-2</v>
      </c>
      <c r="E1164" t="s">
        <v>17357</v>
      </c>
      <c r="F1164" t="s">
        <v>15314</v>
      </c>
    </row>
    <row r="1165" spans="1:6" x14ac:dyDescent="0.3">
      <c r="A1165" t="s">
        <v>17358</v>
      </c>
      <c r="B1165">
        <v>5415</v>
      </c>
      <c r="C1165" t="s">
        <v>15312</v>
      </c>
      <c r="D1165">
        <v>1.9E-2</v>
      </c>
      <c r="E1165" t="s">
        <v>17359</v>
      </c>
      <c r="F1165" t="s">
        <v>15314</v>
      </c>
    </row>
    <row r="1166" spans="1:6" x14ac:dyDescent="0.3">
      <c r="A1166" t="s">
        <v>17360</v>
      </c>
      <c r="B1166">
        <v>5415</v>
      </c>
      <c r="C1166" t="s">
        <v>15312</v>
      </c>
      <c r="D1166">
        <v>1.9E-2</v>
      </c>
      <c r="E1166" t="s">
        <v>17361</v>
      </c>
      <c r="F1166" t="s">
        <v>15314</v>
      </c>
    </row>
    <row r="1167" spans="1:6" x14ac:dyDescent="0.3">
      <c r="A1167" t="s">
        <v>17362</v>
      </c>
      <c r="B1167">
        <v>5415</v>
      </c>
      <c r="C1167" t="s">
        <v>15312</v>
      </c>
      <c r="D1167">
        <v>1.9E-2</v>
      </c>
      <c r="E1167" t="s">
        <v>17363</v>
      </c>
      <c r="F1167" t="s">
        <v>15314</v>
      </c>
    </row>
    <row r="1168" spans="1:6" x14ac:dyDescent="0.3">
      <c r="A1168" t="s">
        <v>17364</v>
      </c>
      <c r="B1168">
        <v>5415</v>
      </c>
      <c r="C1168" t="s">
        <v>15312</v>
      </c>
      <c r="D1168">
        <v>1.9E-2</v>
      </c>
      <c r="E1168" t="s">
        <v>17365</v>
      </c>
      <c r="F1168" t="s">
        <v>15314</v>
      </c>
    </row>
    <row r="1169" spans="1:6" x14ac:dyDescent="0.3">
      <c r="A1169" t="s">
        <v>17366</v>
      </c>
      <c r="B1169">
        <v>5415</v>
      </c>
      <c r="C1169" t="s">
        <v>15312</v>
      </c>
      <c r="D1169">
        <v>1.9E-2</v>
      </c>
      <c r="E1169" t="s">
        <v>17367</v>
      </c>
      <c r="F1169" t="s">
        <v>15314</v>
      </c>
    </row>
    <row r="1170" spans="1:6" x14ac:dyDescent="0.3">
      <c r="A1170" t="s">
        <v>17368</v>
      </c>
      <c r="B1170">
        <v>5415</v>
      </c>
      <c r="C1170" t="s">
        <v>15312</v>
      </c>
      <c r="D1170">
        <v>1.9E-2</v>
      </c>
      <c r="E1170" t="s">
        <v>17369</v>
      </c>
      <c r="F1170" t="s">
        <v>15314</v>
      </c>
    </row>
    <row r="1171" spans="1:6" x14ac:dyDescent="0.3">
      <c r="A1171" t="s">
        <v>17370</v>
      </c>
      <c r="B1171">
        <v>5415</v>
      </c>
      <c r="C1171" t="s">
        <v>15312</v>
      </c>
      <c r="D1171">
        <v>1.9E-2</v>
      </c>
      <c r="E1171" t="s">
        <v>17371</v>
      </c>
      <c r="F1171" t="s">
        <v>15314</v>
      </c>
    </row>
    <row r="1172" spans="1:6" x14ac:dyDescent="0.3">
      <c r="A1172" t="s">
        <v>17372</v>
      </c>
      <c r="B1172">
        <v>5415</v>
      </c>
      <c r="C1172" t="s">
        <v>15312</v>
      </c>
      <c r="D1172">
        <v>1.9E-2</v>
      </c>
      <c r="E1172" t="s">
        <v>17373</v>
      </c>
      <c r="F1172" t="s">
        <v>15314</v>
      </c>
    </row>
    <row r="1173" spans="1:6" x14ac:dyDescent="0.3">
      <c r="A1173" t="s">
        <v>17374</v>
      </c>
      <c r="B1173">
        <v>5415</v>
      </c>
      <c r="C1173" t="s">
        <v>15312</v>
      </c>
      <c r="D1173">
        <v>1.9E-2</v>
      </c>
      <c r="E1173" t="s">
        <v>17375</v>
      </c>
      <c r="F1173" t="s">
        <v>15314</v>
      </c>
    </row>
    <row r="1174" spans="1:6" x14ac:dyDescent="0.3">
      <c r="A1174" t="s">
        <v>17376</v>
      </c>
      <c r="B1174">
        <v>5415</v>
      </c>
      <c r="C1174" t="s">
        <v>15312</v>
      </c>
      <c r="D1174">
        <v>1.9E-2</v>
      </c>
      <c r="E1174" t="s">
        <v>17377</v>
      </c>
      <c r="F1174" t="s">
        <v>15314</v>
      </c>
    </row>
    <row r="1175" spans="1:6" x14ac:dyDescent="0.3">
      <c r="A1175" t="s">
        <v>17378</v>
      </c>
      <c r="B1175">
        <v>5415</v>
      </c>
      <c r="C1175" t="s">
        <v>15312</v>
      </c>
      <c r="D1175">
        <v>1.9E-2</v>
      </c>
      <c r="E1175" t="s">
        <v>17379</v>
      </c>
      <c r="F1175" t="s">
        <v>15314</v>
      </c>
    </row>
    <row r="1176" spans="1:6" x14ac:dyDescent="0.3">
      <c r="A1176" t="s">
        <v>17380</v>
      </c>
      <c r="B1176">
        <v>5415</v>
      </c>
      <c r="C1176" t="s">
        <v>15312</v>
      </c>
      <c r="D1176">
        <v>1.9E-2</v>
      </c>
      <c r="E1176" t="s">
        <v>17381</v>
      </c>
      <c r="F1176" t="s">
        <v>15314</v>
      </c>
    </row>
    <row r="1177" spans="1:6" x14ac:dyDescent="0.3">
      <c r="A1177" t="s">
        <v>17382</v>
      </c>
      <c r="B1177">
        <v>5415</v>
      </c>
      <c r="C1177" t="s">
        <v>15312</v>
      </c>
      <c r="D1177">
        <v>1.9E-2</v>
      </c>
      <c r="E1177" t="s">
        <v>17383</v>
      </c>
      <c r="F1177" t="s">
        <v>15314</v>
      </c>
    </row>
    <row r="1178" spans="1:6" x14ac:dyDescent="0.3">
      <c r="A1178" t="s">
        <v>17384</v>
      </c>
      <c r="B1178">
        <v>5415</v>
      </c>
      <c r="C1178" t="s">
        <v>15312</v>
      </c>
      <c r="D1178">
        <v>1.9E-2</v>
      </c>
      <c r="E1178" t="s">
        <v>17385</v>
      </c>
      <c r="F1178" t="s">
        <v>15314</v>
      </c>
    </row>
    <row r="1179" spans="1:6" x14ac:dyDescent="0.3">
      <c r="A1179" t="s">
        <v>17386</v>
      </c>
      <c r="B1179">
        <v>5415</v>
      </c>
      <c r="C1179" t="s">
        <v>15312</v>
      </c>
      <c r="D1179">
        <v>1.9E-2</v>
      </c>
      <c r="E1179" t="s">
        <v>17387</v>
      </c>
      <c r="F1179" t="s">
        <v>15314</v>
      </c>
    </row>
    <row r="1180" spans="1:6" x14ac:dyDescent="0.3">
      <c r="A1180" t="s">
        <v>17388</v>
      </c>
      <c r="B1180">
        <v>5415</v>
      </c>
      <c r="C1180" t="s">
        <v>15312</v>
      </c>
      <c r="D1180">
        <v>1.9E-2</v>
      </c>
      <c r="E1180" t="s">
        <v>17389</v>
      </c>
      <c r="F1180" t="s">
        <v>15314</v>
      </c>
    </row>
    <row r="1181" spans="1:6" x14ac:dyDescent="0.3">
      <c r="A1181" t="s">
        <v>17390</v>
      </c>
      <c r="B1181">
        <v>5415</v>
      </c>
      <c r="C1181" t="s">
        <v>15312</v>
      </c>
      <c r="D1181">
        <v>1.9E-2</v>
      </c>
      <c r="E1181" t="s">
        <v>17391</v>
      </c>
      <c r="F1181" t="s">
        <v>15314</v>
      </c>
    </row>
    <row r="1182" spans="1:6" x14ac:dyDescent="0.3">
      <c r="A1182" t="s">
        <v>17392</v>
      </c>
      <c r="B1182">
        <v>5415</v>
      </c>
      <c r="C1182" t="s">
        <v>15312</v>
      </c>
      <c r="D1182">
        <v>1.9E-2</v>
      </c>
      <c r="E1182" t="s">
        <v>17393</v>
      </c>
      <c r="F1182" t="s">
        <v>15314</v>
      </c>
    </row>
    <row r="1183" spans="1:6" x14ac:dyDescent="0.3">
      <c r="A1183" t="s">
        <v>17394</v>
      </c>
      <c r="B1183">
        <v>5415</v>
      </c>
      <c r="C1183" t="s">
        <v>15312</v>
      </c>
      <c r="D1183">
        <v>1.9E-2</v>
      </c>
      <c r="E1183" t="s">
        <v>17395</v>
      </c>
      <c r="F1183" t="s">
        <v>15314</v>
      </c>
    </row>
    <row r="1184" spans="1:6" x14ac:dyDescent="0.3">
      <c r="A1184" t="s">
        <v>17396</v>
      </c>
      <c r="B1184">
        <v>5415</v>
      </c>
      <c r="C1184" t="s">
        <v>15312</v>
      </c>
      <c r="D1184">
        <v>1.9E-2</v>
      </c>
      <c r="E1184" t="s">
        <v>17397</v>
      </c>
      <c r="F1184" t="s">
        <v>15314</v>
      </c>
    </row>
    <row r="1185" spans="1:6" x14ac:dyDescent="0.3">
      <c r="A1185" t="s">
        <v>17398</v>
      </c>
      <c r="B1185">
        <v>5415</v>
      </c>
      <c r="C1185" t="s">
        <v>15312</v>
      </c>
      <c r="D1185">
        <v>1.9E-2</v>
      </c>
      <c r="E1185" t="s">
        <v>17399</v>
      </c>
      <c r="F1185" t="s">
        <v>15314</v>
      </c>
    </row>
    <row r="1186" spans="1:6" x14ac:dyDescent="0.3">
      <c r="A1186" t="s">
        <v>17400</v>
      </c>
      <c r="B1186">
        <v>5415</v>
      </c>
      <c r="C1186" t="s">
        <v>15312</v>
      </c>
      <c r="D1186">
        <v>1.9E-2</v>
      </c>
      <c r="E1186" t="s">
        <v>17401</v>
      </c>
      <c r="F1186" t="s">
        <v>15314</v>
      </c>
    </row>
    <row r="1187" spans="1:6" x14ac:dyDescent="0.3">
      <c r="A1187" t="s">
        <v>17402</v>
      </c>
      <c r="B1187">
        <v>5415</v>
      </c>
      <c r="C1187" t="s">
        <v>15312</v>
      </c>
      <c r="D1187">
        <v>1.9E-2</v>
      </c>
      <c r="E1187" t="s">
        <v>17403</v>
      </c>
      <c r="F1187" t="s">
        <v>15314</v>
      </c>
    </row>
    <row r="1188" spans="1:6" x14ac:dyDescent="0.3">
      <c r="A1188" t="s">
        <v>17404</v>
      </c>
      <c r="B1188">
        <v>5415</v>
      </c>
      <c r="C1188" t="s">
        <v>15312</v>
      </c>
      <c r="D1188">
        <v>1.9E-2</v>
      </c>
      <c r="E1188" t="s">
        <v>17405</v>
      </c>
      <c r="F1188" t="s">
        <v>15314</v>
      </c>
    </row>
    <row r="1189" spans="1:6" x14ac:dyDescent="0.3">
      <c r="A1189" t="s">
        <v>17406</v>
      </c>
      <c r="B1189">
        <v>5415</v>
      </c>
      <c r="C1189" t="s">
        <v>15312</v>
      </c>
      <c r="D1189">
        <v>1.9E-2</v>
      </c>
      <c r="E1189" t="s">
        <v>17407</v>
      </c>
      <c r="F1189" t="s">
        <v>15314</v>
      </c>
    </row>
    <row r="1190" spans="1:6" x14ac:dyDescent="0.3">
      <c r="A1190" t="s">
        <v>17408</v>
      </c>
      <c r="B1190">
        <v>5415</v>
      </c>
      <c r="C1190" t="s">
        <v>15312</v>
      </c>
      <c r="D1190">
        <v>1.9E-2</v>
      </c>
      <c r="E1190" t="s">
        <v>17409</v>
      </c>
      <c r="F1190" t="s">
        <v>15314</v>
      </c>
    </row>
    <row r="1191" spans="1:6" x14ac:dyDescent="0.3">
      <c r="A1191" t="s">
        <v>17410</v>
      </c>
      <c r="B1191">
        <v>5415</v>
      </c>
      <c r="C1191" t="s">
        <v>15312</v>
      </c>
      <c r="D1191">
        <v>1.9E-2</v>
      </c>
      <c r="E1191" t="s">
        <v>17411</v>
      </c>
      <c r="F1191" t="s">
        <v>15314</v>
      </c>
    </row>
    <row r="1192" spans="1:6" x14ac:dyDescent="0.3">
      <c r="A1192" t="s">
        <v>17412</v>
      </c>
      <c r="B1192">
        <v>5415</v>
      </c>
      <c r="C1192" t="s">
        <v>15312</v>
      </c>
      <c r="D1192">
        <v>1.9E-2</v>
      </c>
      <c r="E1192" t="s">
        <v>17413</v>
      </c>
      <c r="F1192" t="s">
        <v>15314</v>
      </c>
    </row>
    <row r="1193" spans="1:6" x14ac:dyDescent="0.3">
      <c r="A1193" t="s">
        <v>17414</v>
      </c>
      <c r="B1193">
        <v>5415</v>
      </c>
      <c r="C1193" t="s">
        <v>15312</v>
      </c>
      <c r="D1193">
        <v>1.9E-2</v>
      </c>
      <c r="E1193" t="s">
        <v>17415</v>
      </c>
      <c r="F1193" t="s">
        <v>15314</v>
      </c>
    </row>
    <row r="1194" spans="1:6" x14ac:dyDescent="0.3">
      <c r="A1194" t="s">
        <v>17416</v>
      </c>
      <c r="B1194">
        <v>5415</v>
      </c>
      <c r="C1194" t="s">
        <v>15312</v>
      </c>
      <c r="D1194">
        <v>1.9E-2</v>
      </c>
      <c r="E1194" t="s">
        <v>17417</v>
      </c>
      <c r="F1194" t="s">
        <v>15314</v>
      </c>
    </row>
    <row r="1195" spans="1:6" x14ac:dyDescent="0.3">
      <c r="A1195" t="s">
        <v>17418</v>
      </c>
      <c r="B1195">
        <v>5415</v>
      </c>
      <c r="C1195" t="s">
        <v>15312</v>
      </c>
      <c r="D1195">
        <v>1.9E-2</v>
      </c>
      <c r="E1195" t="s">
        <v>17419</v>
      </c>
      <c r="F1195" t="s">
        <v>15314</v>
      </c>
    </row>
    <row r="1196" spans="1:6" x14ac:dyDescent="0.3">
      <c r="A1196" t="s">
        <v>17420</v>
      </c>
      <c r="B1196">
        <v>5415</v>
      </c>
      <c r="C1196" t="s">
        <v>15312</v>
      </c>
      <c r="D1196">
        <v>1.9E-2</v>
      </c>
      <c r="E1196" t="s">
        <v>17421</v>
      </c>
      <c r="F1196" t="s">
        <v>15314</v>
      </c>
    </row>
    <row r="1197" spans="1:6" x14ac:dyDescent="0.3">
      <c r="A1197" t="s">
        <v>17422</v>
      </c>
      <c r="B1197">
        <v>5415</v>
      </c>
      <c r="C1197" t="s">
        <v>15312</v>
      </c>
      <c r="D1197">
        <v>1.9E-2</v>
      </c>
      <c r="E1197" t="s">
        <v>17423</v>
      </c>
      <c r="F1197" t="s">
        <v>15314</v>
      </c>
    </row>
    <row r="1198" spans="1:6" x14ac:dyDescent="0.3">
      <c r="A1198" t="s">
        <v>17424</v>
      </c>
      <c r="B1198">
        <v>5415</v>
      </c>
      <c r="C1198" t="s">
        <v>15312</v>
      </c>
      <c r="D1198">
        <v>1.9E-2</v>
      </c>
      <c r="E1198" t="s">
        <v>17425</v>
      </c>
      <c r="F1198" t="s">
        <v>15314</v>
      </c>
    </row>
    <row r="1199" spans="1:6" x14ac:dyDescent="0.3">
      <c r="A1199" t="s">
        <v>17426</v>
      </c>
      <c r="B1199">
        <v>5415</v>
      </c>
      <c r="C1199" t="s">
        <v>15312</v>
      </c>
      <c r="D1199">
        <v>1.9E-2</v>
      </c>
      <c r="E1199" t="s">
        <v>17427</v>
      </c>
      <c r="F1199" t="s">
        <v>15314</v>
      </c>
    </row>
    <row r="1200" spans="1:6" x14ac:dyDescent="0.3">
      <c r="A1200" t="s">
        <v>17428</v>
      </c>
      <c r="B1200">
        <v>4788</v>
      </c>
      <c r="C1200" t="s">
        <v>15312</v>
      </c>
      <c r="D1200">
        <v>1.9E-2</v>
      </c>
      <c r="E1200" t="s">
        <v>17429</v>
      </c>
      <c r="F1200" t="s">
        <v>15314</v>
      </c>
    </row>
    <row r="1201" spans="1:6" x14ac:dyDescent="0.3">
      <c r="A1201" t="s">
        <v>17430</v>
      </c>
      <c r="B1201">
        <v>5415</v>
      </c>
      <c r="C1201" t="s">
        <v>15312</v>
      </c>
      <c r="D1201">
        <v>1.9E-2</v>
      </c>
      <c r="E1201" t="s">
        <v>17431</v>
      </c>
      <c r="F1201" t="s">
        <v>15314</v>
      </c>
    </row>
    <row r="1202" spans="1:6" x14ac:dyDescent="0.3">
      <c r="A1202" t="s">
        <v>17432</v>
      </c>
      <c r="B1202">
        <v>5415</v>
      </c>
      <c r="C1202" t="s">
        <v>15312</v>
      </c>
      <c r="D1202">
        <v>1.9E-2</v>
      </c>
      <c r="E1202" t="s">
        <v>17433</v>
      </c>
      <c r="F1202" t="s">
        <v>15314</v>
      </c>
    </row>
    <row r="1203" spans="1:6" x14ac:dyDescent="0.3">
      <c r="A1203" t="s">
        <v>17434</v>
      </c>
      <c r="B1203">
        <v>5415</v>
      </c>
      <c r="C1203" t="s">
        <v>15312</v>
      </c>
      <c r="D1203">
        <v>1.9E-2</v>
      </c>
      <c r="E1203" t="s">
        <v>17435</v>
      </c>
      <c r="F1203" t="s">
        <v>15314</v>
      </c>
    </row>
    <row r="1204" spans="1:6" x14ac:dyDescent="0.3">
      <c r="A1204" t="s">
        <v>17436</v>
      </c>
      <c r="B1204">
        <v>5415</v>
      </c>
      <c r="C1204" t="s">
        <v>15312</v>
      </c>
      <c r="D1204">
        <v>1.9E-2</v>
      </c>
      <c r="E1204" t="s">
        <v>17437</v>
      </c>
      <c r="F1204" t="s">
        <v>15314</v>
      </c>
    </row>
    <row r="1205" spans="1:6" x14ac:dyDescent="0.3">
      <c r="A1205" t="s">
        <v>17438</v>
      </c>
      <c r="B1205">
        <v>5415</v>
      </c>
      <c r="C1205" t="s">
        <v>15312</v>
      </c>
      <c r="D1205">
        <v>1.9E-2</v>
      </c>
      <c r="E1205" t="s">
        <v>17439</v>
      </c>
      <c r="F1205" t="s">
        <v>15314</v>
      </c>
    </row>
    <row r="1206" spans="1:6" x14ac:dyDescent="0.3">
      <c r="A1206" t="s">
        <v>17440</v>
      </c>
      <c r="B1206">
        <v>5415</v>
      </c>
      <c r="C1206" t="s">
        <v>15312</v>
      </c>
      <c r="D1206">
        <v>1.9E-2</v>
      </c>
      <c r="E1206" t="s">
        <v>17441</v>
      </c>
      <c r="F1206" t="s">
        <v>15314</v>
      </c>
    </row>
    <row r="1207" spans="1:6" x14ac:dyDescent="0.3">
      <c r="A1207" t="s">
        <v>17442</v>
      </c>
      <c r="B1207">
        <v>5415</v>
      </c>
      <c r="C1207" t="s">
        <v>15312</v>
      </c>
      <c r="D1207">
        <v>1.7999999999999999E-2</v>
      </c>
      <c r="E1207" t="s">
        <v>17443</v>
      </c>
      <c r="F1207" t="s">
        <v>15314</v>
      </c>
    </row>
    <row r="1208" spans="1:6" x14ac:dyDescent="0.3">
      <c r="A1208" t="s">
        <v>17444</v>
      </c>
      <c r="B1208">
        <v>5415</v>
      </c>
      <c r="C1208" t="s">
        <v>15312</v>
      </c>
      <c r="D1208">
        <v>1.9E-2</v>
      </c>
      <c r="E1208" t="s">
        <v>17445</v>
      </c>
      <c r="F1208" t="s">
        <v>15314</v>
      </c>
    </row>
    <row r="1209" spans="1:6" x14ac:dyDescent="0.3">
      <c r="A1209" t="s">
        <v>17446</v>
      </c>
      <c r="B1209">
        <v>5415</v>
      </c>
      <c r="C1209" t="s">
        <v>15312</v>
      </c>
      <c r="D1209">
        <v>1.9E-2</v>
      </c>
      <c r="E1209" t="s">
        <v>17447</v>
      </c>
      <c r="F1209" t="s">
        <v>15314</v>
      </c>
    </row>
    <row r="1210" spans="1:6" x14ac:dyDescent="0.3">
      <c r="A1210" t="s">
        <v>17448</v>
      </c>
      <c r="B1210">
        <v>5415</v>
      </c>
      <c r="C1210" t="s">
        <v>15312</v>
      </c>
      <c r="D1210">
        <v>1.9E-2</v>
      </c>
      <c r="E1210" t="s">
        <v>17449</v>
      </c>
      <c r="F1210" t="s">
        <v>15314</v>
      </c>
    </row>
    <row r="1211" spans="1:6" x14ac:dyDescent="0.3">
      <c r="A1211" t="s">
        <v>17450</v>
      </c>
      <c r="B1211">
        <v>5415</v>
      </c>
      <c r="C1211" t="s">
        <v>15312</v>
      </c>
      <c r="D1211">
        <v>1.9E-2</v>
      </c>
      <c r="E1211" t="s">
        <v>17451</v>
      </c>
      <c r="F1211" t="s">
        <v>15314</v>
      </c>
    </row>
    <row r="1212" spans="1:6" x14ac:dyDescent="0.3">
      <c r="A1212" t="s">
        <v>17452</v>
      </c>
      <c r="B1212">
        <v>5415</v>
      </c>
      <c r="C1212" t="s">
        <v>15312</v>
      </c>
      <c r="D1212">
        <v>1.9E-2</v>
      </c>
      <c r="E1212" t="s">
        <v>17453</v>
      </c>
      <c r="F1212" t="s">
        <v>15314</v>
      </c>
    </row>
    <row r="1213" spans="1:6" x14ac:dyDescent="0.3">
      <c r="A1213" t="s">
        <v>17454</v>
      </c>
      <c r="B1213">
        <v>5415</v>
      </c>
      <c r="C1213" t="s">
        <v>15312</v>
      </c>
      <c r="D1213">
        <v>1.9E-2</v>
      </c>
      <c r="E1213" t="s">
        <v>17455</v>
      </c>
      <c r="F1213" t="s">
        <v>15314</v>
      </c>
    </row>
    <row r="1214" spans="1:6" x14ac:dyDescent="0.3">
      <c r="A1214" t="s">
        <v>17456</v>
      </c>
      <c r="B1214">
        <v>5415</v>
      </c>
      <c r="C1214" t="s">
        <v>15312</v>
      </c>
      <c r="D1214">
        <v>1.9E-2</v>
      </c>
      <c r="E1214" t="s">
        <v>17457</v>
      </c>
      <c r="F1214" t="s">
        <v>15314</v>
      </c>
    </row>
    <row r="1215" spans="1:6" x14ac:dyDescent="0.3">
      <c r="A1215" t="s">
        <v>17458</v>
      </c>
      <c r="B1215">
        <v>5415</v>
      </c>
      <c r="C1215" t="s">
        <v>15312</v>
      </c>
      <c r="D1215">
        <v>1.9E-2</v>
      </c>
      <c r="E1215" t="s">
        <v>17459</v>
      </c>
      <c r="F1215" t="s">
        <v>15314</v>
      </c>
    </row>
    <row r="1216" spans="1:6" x14ac:dyDescent="0.3">
      <c r="A1216" t="s">
        <v>17460</v>
      </c>
      <c r="B1216">
        <v>5415</v>
      </c>
      <c r="C1216" t="s">
        <v>15312</v>
      </c>
      <c r="D1216">
        <v>1.9E-2</v>
      </c>
      <c r="E1216" t="s">
        <v>17461</v>
      </c>
      <c r="F1216" t="s">
        <v>15314</v>
      </c>
    </row>
    <row r="1217" spans="1:6" x14ac:dyDescent="0.3">
      <c r="A1217" t="s">
        <v>17462</v>
      </c>
      <c r="B1217">
        <v>5415</v>
      </c>
      <c r="C1217" t="s">
        <v>15312</v>
      </c>
      <c r="D1217">
        <v>1.9E-2</v>
      </c>
      <c r="E1217" t="s">
        <v>17463</v>
      </c>
      <c r="F1217" t="s">
        <v>15314</v>
      </c>
    </row>
    <row r="1218" spans="1:6" x14ac:dyDescent="0.3">
      <c r="A1218" t="s">
        <v>17464</v>
      </c>
      <c r="B1218">
        <v>5415</v>
      </c>
      <c r="C1218" t="s">
        <v>15312</v>
      </c>
      <c r="D1218">
        <v>1.9E-2</v>
      </c>
      <c r="E1218" t="s">
        <v>17463</v>
      </c>
      <c r="F1218" t="s">
        <v>15314</v>
      </c>
    </row>
    <row r="1219" spans="1:6" x14ac:dyDescent="0.3">
      <c r="A1219" t="s">
        <v>17465</v>
      </c>
      <c r="B1219">
        <v>5415</v>
      </c>
      <c r="C1219" t="s">
        <v>15312</v>
      </c>
      <c r="D1219">
        <v>1.9E-2</v>
      </c>
      <c r="E1219" t="s">
        <v>17466</v>
      </c>
      <c r="F1219" t="s">
        <v>15314</v>
      </c>
    </row>
    <row r="1220" spans="1:6" x14ac:dyDescent="0.3">
      <c r="A1220" t="s">
        <v>17467</v>
      </c>
      <c r="B1220">
        <v>5415</v>
      </c>
      <c r="C1220" t="s">
        <v>15312</v>
      </c>
      <c r="D1220">
        <v>1.9E-2</v>
      </c>
      <c r="E1220" t="s">
        <v>17468</v>
      </c>
      <c r="F1220" t="s">
        <v>15314</v>
      </c>
    </row>
    <row r="1221" spans="1:6" x14ac:dyDescent="0.3">
      <c r="A1221" t="s">
        <v>17469</v>
      </c>
      <c r="B1221">
        <v>5415</v>
      </c>
      <c r="C1221" t="s">
        <v>15312</v>
      </c>
      <c r="D1221">
        <v>1.9E-2</v>
      </c>
      <c r="E1221" t="s">
        <v>17470</v>
      </c>
      <c r="F1221" t="s">
        <v>15314</v>
      </c>
    </row>
    <row r="1222" spans="1:6" x14ac:dyDescent="0.3">
      <c r="A1222" t="s">
        <v>17471</v>
      </c>
      <c r="B1222">
        <v>5415</v>
      </c>
      <c r="C1222" t="s">
        <v>15312</v>
      </c>
      <c r="D1222">
        <v>1.9E-2</v>
      </c>
      <c r="E1222" t="s">
        <v>17472</v>
      </c>
      <c r="F1222" t="s">
        <v>15314</v>
      </c>
    </row>
    <row r="1223" spans="1:6" x14ac:dyDescent="0.3">
      <c r="A1223" t="s">
        <v>17473</v>
      </c>
      <c r="B1223">
        <v>5415</v>
      </c>
      <c r="C1223" t="s">
        <v>15312</v>
      </c>
      <c r="D1223">
        <v>1.9E-2</v>
      </c>
      <c r="E1223" t="s">
        <v>17474</v>
      </c>
      <c r="F1223" t="s">
        <v>15314</v>
      </c>
    </row>
    <row r="1224" spans="1:6" x14ac:dyDescent="0.3">
      <c r="A1224" t="s">
        <v>17475</v>
      </c>
      <c r="B1224">
        <v>5415</v>
      </c>
      <c r="C1224" t="s">
        <v>15312</v>
      </c>
      <c r="D1224">
        <v>1.9E-2</v>
      </c>
      <c r="E1224" t="s">
        <v>17476</v>
      </c>
      <c r="F1224" t="s">
        <v>15314</v>
      </c>
    </row>
    <row r="1225" spans="1:6" x14ac:dyDescent="0.3">
      <c r="A1225" t="s">
        <v>17477</v>
      </c>
      <c r="B1225">
        <v>5415</v>
      </c>
      <c r="C1225" t="s">
        <v>15312</v>
      </c>
      <c r="D1225">
        <v>1.9E-2</v>
      </c>
      <c r="E1225" t="s">
        <v>17478</v>
      </c>
      <c r="F1225" t="s">
        <v>15314</v>
      </c>
    </row>
    <row r="1226" spans="1:6" x14ac:dyDescent="0.3">
      <c r="A1226" t="s">
        <v>17479</v>
      </c>
      <c r="B1226">
        <v>5415</v>
      </c>
      <c r="C1226" t="s">
        <v>15312</v>
      </c>
      <c r="D1226">
        <v>1.9E-2</v>
      </c>
      <c r="E1226" t="s">
        <v>17480</v>
      </c>
      <c r="F1226" t="s">
        <v>15314</v>
      </c>
    </row>
    <row r="1227" spans="1:6" x14ac:dyDescent="0.3">
      <c r="A1227" t="s">
        <v>17481</v>
      </c>
      <c r="B1227">
        <v>5415</v>
      </c>
      <c r="C1227" t="s">
        <v>15312</v>
      </c>
      <c r="D1227">
        <v>1.9E-2</v>
      </c>
      <c r="E1227" t="s">
        <v>17482</v>
      </c>
      <c r="F1227" t="s">
        <v>15314</v>
      </c>
    </row>
    <row r="1228" spans="1:6" x14ac:dyDescent="0.3">
      <c r="A1228" t="s">
        <v>17483</v>
      </c>
      <c r="B1228">
        <v>4788</v>
      </c>
      <c r="C1228" t="s">
        <v>15312</v>
      </c>
      <c r="D1228">
        <v>1.9E-2</v>
      </c>
      <c r="E1228" t="s">
        <v>17484</v>
      </c>
      <c r="F1228" t="s">
        <v>15314</v>
      </c>
    </row>
    <row r="1229" spans="1:6" x14ac:dyDescent="0.3">
      <c r="A1229" t="s">
        <v>17485</v>
      </c>
      <c r="B1229">
        <v>5415</v>
      </c>
      <c r="C1229" t="s">
        <v>15312</v>
      </c>
      <c r="D1229">
        <v>1.9E-2</v>
      </c>
      <c r="E1229" t="s">
        <v>17486</v>
      </c>
      <c r="F1229" t="s">
        <v>15314</v>
      </c>
    </row>
    <row r="1230" spans="1:6" x14ac:dyDescent="0.3">
      <c r="A1230" t="s">
        <v>17487</v>
      </c>
      <c r="B1230">
        <v>5415</v>
      </c>
      <c r="C1230" t="s">
        <v>15312</v>
      </c>
      <c r="D1230">
        <v>1.9E-2</v>
      </c>
      <c r="E1230" t="s">
        <v>17488</v>
      </c>
      <c r="F1230" t="s">
        <v>15314</v>
      </c>
    </row>
    <row r="1231" spans="1:6" x14ac:dyDescent="0.3">
      <c r="A1231" t="s">
        <v>17489</v>
      </c>
      <c r="B1231">
        <v>5415</v>
      </c>
      <c r="C1231" t="s">
        <v>15312</v>
      </c>
      <c r="D1231">
        <v>1.9E-2</v>
      </c>
      <c r="E1231" t="s">
        <v>17490</v>
      </c>
      <c r="F1231" t="s">
        <v>15314</v>
      </c>
    </row>
    <row r="1232" spans="1:6" x14ac:dyDescent="0.3">
      <c r="A1232" t="s">
        <v>17491</v>
      </c>
      <c r="B1232">
        <v>1000000</v>
      </c>
      <c r="C1232" t="s">
        <v>15312</v>
      </c>
      <c r="D1232">
        <v>1.9E-2</v>
      </c>
      <c r="E1232" t="s">
        <v>17492</v>
      </c>
      <c r="F1232" t="s">
        <v>15314</v>
      </c>
    </row>
    <row r="1233" spans="1:6" x14ac:dyDescent="0.3">
      <c r="A1233" t="s">
        <v>17493</v>
      </c>
      <c r="B1233">
        <v>5415</v>
      </c>
      <c r="C1233" t="s">
        <v>15312</v>
      </c>
      <c r="D1233">
        <v>1.9E-2</v>
      </c>
      <c r="E1233" t="s">
        <v>17494</v>
      </c>
      <c r="F1233" t="s">
        <v>15314</v>
      </c>
    </row>
    <row r="1234" spans="1:6" x14ac:dyDescent="0.3">
      <c r="A1234" t="s">
        <v>17495</v>
      </c>
      <c r="B1234">
        <v>5415</v>
      </c>
      <c r="C1234" t="s">
        <v>15312</v>
      </c>
      <c r="D1234">
        <v>1.9E-2</v>
      </c>
      <c r="E1234" t="s">
        <v>17496</v>
      </c>
      <c r="F1234" t="s">
        <v>15314</v>
      </c>
    </row>
    <row r="1235" spans="1:6" x14ac:dyDescent="0.3">
      <c r="A1235" t="s">
        <v>17497</v>
      </c>
      <c r="B1235">
        <v>10560</v>
      </c>
      <c r="C1235" t="s">
        <v>15169</v>
      </c>
      <c r="D1235">
        <v>3.2500000000000001E-2</v>
      </c>
      <c r="E1235" t="s">
        <v>17498</v>
      </c>
      <c r="F1235" t="s">
        <v>15195</v>
      </c>
    </row>
    <row r="1236" spans="1:6" x14ac:dyDescent="0.3">
      <c r="A1236" t="s">
        <v>17499</v>
      </c>
      <c r="B1236">
        <v>10560</v>
      </c>
      <c r="C1236" t="s">
        <v>15169</v>
      </c>
      <c r="D1236">
        <v>3.2500000000000001E-2</v>
      </c>
      <c r="E1236" t="s">
        <v>17500</v>
      </c>
      <c r="F1236" t="s">
        <v>15195</v>
      </c>
    </row>
    <row r="1237" spans="1:6" x14ac:dyDescent="0.3">
      <c r="A1237" t="s">
        <v>17501</v>
      </c>
      <c r="B1237">
        <v>10560</v>
      </c>
      <c r="C1237" t="s">
        <v>15169</v>
      </c>
      <c r="D1237">
        <v>3.2500000000000001E-2</v>
      </c>
      <c r="E1237" t="s">
        <v>17502</v>
      </c>
      <c r="F1237" t="s">
        <v>15195</v>
      </c>
    </row>
    <row r="1238" spans="1:6" x14ac:dyDescent="0.3">
      <c r="A1238" t="s">
        <v>17503</v>
      </c>
      <c r="B1238">
        <v>10560</v>
      </c>
      <c r="C1238" t="s">
        <v>15169</v>
      </c>
      <c r="D1238">
        <v>3.2500000000000001E-2</v>
      </c>
      <c r="E1238" t="s">
        <v>17504</v>
      </c>
      <c r="F1238" t="s">
        <v>15195</v>
      </c>
    </row>
    <row r="1239" spans="1:6" x14ac:dyDescent="0.3">
      <c r="A1239" t="s">
        <v>17505</v>
      </c>
      <c r="B1239">
        <v>10560</v>
      </c>
      <c r="C1239" t="s">
        <v>15169</v>
      </c>
      <c r="D1239">
        <v>3.2500000000000001E-2</v>
      </c>
      <c r="E1239" t="s">
        <v>17506</v>
      </c>
      <c r="F1239" t="s">
        <v>15195</v>
      </c>
    </row>
    <row r="1240" spans="1:6" x14ac:dyDescent="0.3">
      <c r="A1240" t="s">
        <v>17507</v>
      </c>
      <c r="B1240">
        <v>11</v>
      </c>
      <c r="C1240" t="s">
        <v>15169</v>
      </c>
      <c r="D1240">
        <v>3.2500000000000001E-2</v>
      </c>
      <c r="E1240" t="s">
        <v>17508</v>
      </c>
      <c r="F1240" t="s">
        <v>15195</v>
      </c>
    </row>
    <row r="1241" spans="1:6" x14ac:dyDescent="0.3">
      <c r="A1241" t="s">
        <v>17509</v>
      </c>
      <c r="B1241">
        <v>11</v>
      </c>
      <c r="C1241" t="s">
        <v>15169</v>
      </c>
      <c r="D1241">
        <v>3.2500000000000001E-2</v>
      </c>
      <c r="E1241" t="s">
        <v>17510</v>
      </c>
      <c r="F1241" t="s">
        <v>15195</v>
      </c>
    </row>
    <row r="1242" spans="1:6" x14ac:dyDescent="0.3">
      <c r="A1242" t="s">
        <v>17511</v>
      </c>
      <c r="B1242">
        <v>10560</v>
      </c>
      <c r="C1242" t="s">
        <v>15169</v>
      </c>
      <c r="D1242">
        <v>3.2500000000000001E-2</v>
      </c>
      <c r="E1242" t="s">
        <v>17512</v>
      </c>
      <c r="F1242" t="s">
        <v>15195</v>
      </c>
    </row>
    <row r="1243" spans="1:6" x14ac:dyDescent="0.3">
      <c r="A1243" t="s">
        <v>17513</v>
      </c>
      <c r="B1243">
        <v>11</v>
      </c>
      <c r="C1243" t="s">
        <v>15169</v>
      </c>
      <c r="D1243">
        <v>3.2500000000000001E-2</v>
      </c>
      <c r="E1243" t="s">
        <v>17514</v>
      </c>
      <c r="F1243" t="s">
        <v>15195</v>
      </c>
    </row>
    <row r="1244" spans="1:6" x14ac:dyDescent="0.3">
      <c r="A1244" t="s">
        <v>17515</v>
      </c>
      <c r="B1244">
        <v>10560</v>
      </c>
      <c r="C1244" t="s">
        <v>15169</v>
      </c>
      <c r="D1244">
        <v>3.2500000000000001E-2</v>
      </c>
      <c r="E1244" t="s">
        <v>17516</v>
      </c>
      <c r="F1244" t="s">
        <v>15195</v>
      </c>
    </row>
    <row r="1245" spans="1:6" x14ac:dyDescent="0.3">
      <c r="A1245" t="s">
        <v>17517</v>
      </c>
      <c r="B1245">
        <v>10560</v>
      </c>
      <c r="C1245" t="s">
        <v>15169</v>
      </c>
      <c r="D1245">
        <v>3.2500000000000001E-2</v>
      </c>
      <c r="E1245" t="s">
        <v>17518</v>
      </c>
      <c r="F1245" t="s">
        <v>15195</v>
      </c>
    </row>
    <row r="1246" spans="1:6" x14ac:dyDescent="0.3">
      <c r="A1246" t="s">
        <v>17519</v>
      </c>
      <c r="B1246">
        <v>10560</v>
      </c>
      <c r="C1246" t="s">
        <v>15169</v>
      </c>
      <c r="D1246">
        <v>3.2500000000000001E-2</v>
      </c>
      <c r="E1246" t="s">
        <v>17520</v>
      </c>
      <c r="F1246" t="s">
        <v>15195</v>
      </c>
    </row>
    <row r="1247" spans="1:6" x14ac:dyDescent="0.3">
      <c r="A1247" t="s">
        <v>17521</v>
      </c>
      <c r="B1247">
        <v>11</v>
      </c>
      <c r="C1247" t="s">
        <v>15169</v>
      </c>
      <c r="D1247">
        <v>3.2500000000000001E-2</v>
      </c>
      <c r="E1247" t="s">
        <v>17522</v>
      </c>
      <c r="F1247" t="s">
        <v>15195</v>
      </c>
    </row>
    <row r="1248" spans="1:6" x14ac:dyDescent="0.3">
      <c r="A1248" t="s">
        <v>17523</v>
      </c>
      <c r="B1248">
        <v>10560</v>
      </c>
      <c r="C1248" t="s">
        <v>15169</v>
      </c>
      <c r="D1248">
        <v>3.2500000000000001E-2</v>
      </c>
      <c r="E1248" t="s">
        <v>17524</v>
      </c>
      <c r="F1248" t="s">
        <v>15195</v>
      </c>
    </row>
    <row r="1249" spans="1:6" x14ac:dyDescent="0.3">
      <c r="A1249" t="s">
        <v>17525</v>
      </c>
      <c r="B1249">
        <v>10560</v>
      </c>
      <c r="C1249" t="s">
        <v>15169</v>
      </c>
      <c r="D1249">
        <v>3.2500000000000001E-2</v>
      </c>
      <c r="E1249" t="s">
        <v>17526</v>
      </c>
      <c r="F1249" t="s">
        <v>15195</v>
      </c>
    </row>
    <row r="1250" spans="1:6" x14ac:dyDescent="0.3">
      <c r="A1250" t="s">
        <v>17527</v>
      </c>
      <c r="B1250">
        <v>10560</v>
      </c>
      <c r="C1250" t="s">
        <v>15169</v>
      </c>
      <c r="D1250">
        <v>3.2500000000000001E-2</v>
      </c>
      <c r="E1250" t="s">
        <v>17528</v>
      </c>
      <c r="F1250" t="s">
        <v>15195</v>
      </c>
    </row>
    <row r="1251" spans="1:6" x14ac:dyDescent="0.3">
      <c r="A1251" t="s">
        <v>17529</v>
      </c>
      <c r="B1251">
        <v>10560</v>
      </c>
      <c r="C1251" t="s">
        <v>15169</v>
      </c>
      <c r="D1251">
        <v>3.2500000000000001E-2</v>
      </c>
      <c r="E1251" t="s">
        <v>17530</v>
      </c>
      <c r="F1251" t="s">
        <v>15195</v>
      </c>
    </row>
    <row r="1252" spans="1:6" x14ac:dyDescent="0.3">
      <c r="A1252" t="s">
        <v>17531</v>
      </c>
      <c r="B1252">
        <v>10560</v>
      </c>
      <c r="C1252" t="s">
        <v>15169</v>
      </c>
      <c r="D1252">
        <v>3.2500000000000001E-2</v>
      </c>
      <c r="E1252" t="s">
        <v>17532</v>
      </c>
      <c r="F1252" t="s">
        <v>15195</v>
      </c>
    </row>
    <row r="1253" spans="1:6" x14ac:dyDescent="0.3">
      <c r="A1253" t="s">
        <v>17533</v>
      </c>
      <c r="B1253">
        <v>11</v>
      </c>
      <c r="C1253" t="s">
        <v>15169</v>
      </c>
      <c r="D1253">
        <v>3.2500000000000001E-2</v>
      </c>
      <c r="E1253" t="s">
        <v>17534</v>
      </c>
      <c r="F1253" t="s">
        <v>15195</v>
      </c>
    </row>
    <row r="1254" spans="1:6" x14ac:dyDescent="0.3">
      <c r="A1254" t="s">
        <v>17535</v>
      </c>
      <c r="B1254">
        <v>11</v>
      </c>
      <c r="C1254" t="s">
        <v>15169</v>
      </c>
      <c r="D1254">
        <v>3.2500000000000001E-2</v>
      </c>
      <c r="E1254" t="s">
        <v>17536</v>
      </c>
      <c r="F1254" t="s">
        <v>15195</v>
      </c>
    </row>
    <row r="1255" spans="1:6" x14ac:dyDescent="0.3">
      <c r="A1255" t="s">
        <v>17537</v>
      </c>
      <c r="B1255">
        <v>4800</v>
      </c>
      <c r="C1255" t="s">
        <v>15312</v>
      </c>
      <c r="D1255">
        <v>1.7999999999999999E-2</v>
      </c>
      <c r="E1255" t="s">
        <v>17538</v>
      </c>
      <c r="F1255" t="s">
        <v>15314</v>
      </c>
    </row>
    <row r="1256" spans="1:6" x14ac:dyDescent="0.3">
      <c r="A1256" t="s">
        <v>17539</v>
      </c>
      <c r="B1256">
        <v>4800</v>
      </c>
      <c r="C1256" t="s">
        <v>15312</v>
      </c>
      <c r="D1256">
        <v>1.7999999999999999E-2</v>
      </c>
      <c r="E1256" t="s">
        <v>17540</v>
      </c>
      <c r="F1256" t="s">
        <v>15314</v>
      </c>
    </row>
    <row r="1257" spans="1:6" x14ac:dyDescent="0.3">
      <c r="A1257" t="s">
        <v>17541</v>
      </c>
      <c r="B1257">
        <v>4800</v>
      </c>
      <c r="C1257" t="s">
        <v>15312</v>
      </c>
      <c r="D1257">
        <v>1.7999999999999999E-2</v>
      </c>
      <c r="E1257" t="s">
        <v>17542</v>
      </c>
      <c r="F1257" t="s">
        <v>15314</v>
      </c>
    </row>
    <row r="1258" spans="1:6" x14ac:dyDescent="0.3">
      <c r="A1258" t="s">
        <v>17543</v>
      </c>
      <c r="B1258">
        <v>4800</v>
      </c>
      <c r="C1258" t="s">
        <v>15312</v>
      </c>
      <c r="D1258">
        <v>1.7999999999999999E-2</v>
      </c>
      <c r="E1258" t="s">
        <v>17544</v>
      </c>
      <c r="F1258" t="s">
        <v>15314</v>
      </c>
    </row>
    <row r="1259" spans="1:6" x14ac:dyDescent="0.3">
      <c r="A1259" t="s">
        <v>17545</v>
      </c>
      <c r="B1259">
        <v>4800</v>
      </c>
      <c r="C1259" t="s">
        <v>15312</v>
      </c>
      <c r="D1259">
        <v>1.7999999999999999E-2</v>
      </c>
      <c r="E1259" t="s">
        <v>17546</v>
      </c>
      <c r="F1259" t="s">
        <v>15314</v>
      </c>
    </row>
    <row r="1260" spans="1:6" x14ac:dyDescent="0.3">
      <c r="A1260" t="s">
        <v>17547</v>
      </c>
      <c r="B1260">
        <v>4800</v>
      </c>
      <c r="C1260" t="s">
        <v>15312</v>
      </c>
      <c r="D1260">
        <v>1.7999999999999999E-2</v>
      </c>
      <c r="E1260" t="s">
        <v>17548</v>
      </c>
      <c r="F1260" t="s">
        <v>15314</v>
      </c>
    </row>
    <row r="1261" spans="1:6" x14ac:dyDescent="0.3">
      <c r="A1261" t="s">
        <v>17549</v>
      </c>
      <c r="B1261">
        <v>4800</v>
      </c>
      <c r="C1261" t="s">
        <v>15312</v>
      </c>
      <c r="D1261">
        <v>1.7999999999999999E-2</v>
      </c>
      <c r="E1261" t="s">
        <v>17550</v>
      </c>
      <c r="F1261" t="s">
        <v>15314</v>
      </c>
    </row>
    <row r="1262" spans="1:6" x14ac:dyDescent="0.3">
      <c r="A1262" t="s">
        <v>17551</v>
      </c>
      <c r="B1262">
        <v>4800</v>
      </c>
      <c r="C1262" t="s">
        <v>15312</v>
      </c>
      <c r="D1262">
        <v>1.7999999999999999E-2</v>
      </c>
      <c r="E1262" t="s">
        <v>17552</v>
      </c>
      <c r="F1262" t="s">
        <v>15314</v>
      </c>
    </row>
    <row r="1263" spans="1:6" x14ac:dyDescent="0.3">
      <c r="A1263" t="s">
        <v>17553</v>
      </c>
      <c r="B1263">
        <v>4800</v>
      </c>
      <c r="C1263" t="s">
        <v>15312</v>
      </c>
      <c r="D1263">
        <v>1.7999999999999999E-2</v>
      </c>
      <c r="E1263" t="s">
        <v>17554</v>
      </c>
      <c r="F1263" t="s">
        <v>15314</v>
      </c>
    </row>
    <row r="1264" spans="1:6" x14ac:dyDescent="0.3">
      <c r="A1264" t="s">
        <v>17555</v>
      </c>
      <c r="B1264">
        <v>4800</v>
      </c>
      <c r="C1264" t="s">
        <v>15312</v>
      </c>
      <c r="D1264">
        <v>1.7999999999999999E-2</v>
      </c>
      <c r="E1264" t="s">
        <v>17556</v>
      </c>
      <c r="F1264" t="s">
        <v>15314</v>
      </c>
    </row>
    <row r="1265" spans="1:6" x14ac:dyDescent="0.3">
      <c r="A1265" t="s">
        <v>17557</v>
      </c>
      <c r="B1265">
        <v>4800</v>
      </c>
      <c r="C1265" t="s">
        <v>15312</v>
      </c>
      <c r="D1265">
        <v>1.7999999999999999E-2</v>
      </c>
      <c r="E1265" t="s">
        <v>17558</v>
      </c>
      <c r="F1265" t="s">
        <v>15314</v>
      </c>
    </row>
    <row r="1266" spans="1:6" x14ac:dyDescent="0.3">
      <c r="A1266" t="s">
        <v>17559</v>
      </c>
      <c r="B1266">
        <v>4800</v>
      </c>
      <c r="C1266" t="s">
        <v>15312</v>
      </c>
      <c r="D1266">
        <v>1.7999999999999999E-2</v>
      </c>
      <c r="E1266" t="s">
        <v>17560</v>
      </c>
      <c r="F1266" t="s">
        <v>15314</v>
      </c>
    </row>
    <row r="1267" spans="1:6" x14ac:dyDescent="0.3">
      <c r="A1267" t="s">
        <v>17561</v>
      </c>
      <c r="B1267">
        <v>4800</v>
      </c>
      <c r="C1267" t="s">
        <v>15312</v>
      </c>
      <c r="D1267">
        <v>1.7999999999999999E-2</v>
      </c>
      <c r="E1267" t="s">
        <v>17562</v>
      </c>
      <c r="F1267" t="s">
        <v>15314</v>
      </c>
    </row>
    <row r="1268" spans="1:6" x14ac:dyDescent="0.3">
      <c r="A1268" t="s">
        <v>17563</v>
      </c>
      <c r="B1268">
        <v>4800</v>
      </c>
      <c r="C1268" t="s">
        <v>15312</v>
      </c>
      <c r="D1268">
        <v>1.7999999999999999E-2</v>
      </c>
      <c r="E1268" t="s">
        <v>17564</v>
      </c>
      <c r="F1268" t="s">
        <v>15314</v>
      </c>
    </row>
    <row r="1269" spans="1:6" x14ac:dyDescent="0.3">
      <c r="A1269" t="s">
        <v>17565</v>
      </c>
      <c r="B1269">
        <v>4800</v>
      </c>
      <c r="C1269" t="s">
        <v>15312</v>
      </c>
      <c r="D1269">
        <v>1.7999999999999999E-2</v>
      </c>
      <c r="E1269" t="s">
        <v>17566</v>
      </c>
      <c r="F1269" t="s">
        <v>15314</v>
      </c>
    </row>
    <row r="1270" spans="1:6" x14ac:dyDescent="0.3">
      <c r="A1270" t="s">
        <v>17567</v>
      </c>
      <c r="B1270">
        <v>4800</v>
      </c>
      <c r="C1270" t="s">
        <v>15312</v>
      </c>
      <c r="D1270">
        <v>1.7999999999999999E-2</v>
      </c>
      <c r="E1270" t="s">
        <v>17568</v>
      </c>
      <c r="F1270" t="s">
        <v>15314</v>
      </c>
    </row>
    <row r="1271" spans="1:6" x14ac:dyDescent="0.3">
      <c r="A1271" t="s">
        <v>17569</v>
      </c>
      <c r="B1271">
        <v>4800</v>
      </c>
      <c r="C1271" t="s">
        <v>15312</v>
      </c>
      <c r="D1271">
        <v>1.7999999999999999E-2</v>
      </c>
      <c r="E1271" t="s">
        <v>17570</v>
      </c>
      <c r="F1271" t="s">
        <v>15314</v>
      </c>
    </row>
    <row r="1272" spans="1:6" x14ac:dyDescent="0.3">
      <c r="A1272" t="s">
        <v>17571</v>
      </c>
      <c r="B1272">
        <v>4800</v>
      </c>
      <c r="C1272" t="s">
        <v>15312</v>
      </c>
      <c r="D1272">
        <v>1.7999999999999999E-2</v>
      </c>
      <c r="E1272" t="s">
        <v>17572</v>
      </c>
      <c r="F1272" t="s">
        <v>15314</v>
      </c>
    </row>
    <row r="1273" spans="1:6" x14ac:dyDescent="0.3">
      <c r="A1273" t="s">
        <v>17573</v>
      </c>
      <c r="B1273">
        <v>4800</v>
      </c>
      <c r="C1273" t="s">
        <v>15312</v>
      </c>
      <c r="D1273">
        <v>1.7999999999999999E-2</v>
      </c>
      <c r="E1273" t="s">
        <v>17574</v>
      </c>
      <c r="F1273" t="s">
        <v>15314</v>
      </c>
    </row>
    <row r="1274" spans="1:6" x14ac:dyDescent="0.3">
      <c r="A1274" t="s">
        <v>17575</v>
      </c>
      <c r="B1274">
        <v>4800</v>
      </c>
      <c r="C1274" t="s">
        <v>15312</v>
      </c>
      <c r="D1274">
        <v>1.7999999999999999E-2</v>
      </c>
      <c r="E1274" t="s">
        <v>17576</v>
      </c>
      <c r="F1274" t="s">
        <v>15314</v>
      </c>
    </row>
    <row r="1275" spans="1:6" x14ac:dyDescent="0.3">
      <c r="A1275" t="s">
        <v>17577</v>
      </c>
      <c r="B1275">
        <v>4800</v>
      </c>
      <c r="C1275" t="s">
        <v>15312</v>
      </c>
      <c r="D1275">
        <v>1.7999999999999999E-2</v>
      </c>
      <c r="E1275" t="s">
        <v>17578</v>
      </c>
      <c r="F1275" t="s">
        <v>15314</v>
      </c>
    </row>
    <row r="1276" spans="1:6" x14ac:dyDescent="0.3">
      <c r="A1276" t="s">
        <v>17579</v>
      </c>
      <c r="B1276">
        <v>4800</v>
      </c>
      <c r="C1276" t="s">
        <v>15312</v>
      </c>
      <c r="D1276">
        <v>1.7999999999999999E-2</v>
      </c>
      <c r="E1276" t="s">
        <v>17580</v>
      </c>
      <c r="F1276" t="s">
        <v>15314</v>
      </c>
    </row>
    <row r="1277" spans="1:6" x14ac:dyDescent="0.3">
      <c r="A1277" t="s">
        <v>17581</v>
      </c>
      <c r="B1277">
        <v>4800</v>
      </c>
      <c r="C1277" t="s">
        <v>15312</v>
      </c>
      <c r="D1277">
        <v>1.7999999999999999E-2</v>
      </c>
      <c r="E1277" t="s">
        <v>17582</v>
      </c>
      <c r="F1277" t="s">
        <v>15314</v>
      </c>
    </row>
    <row r="1278" spans="1:6" x14ac:dyDescent="0.3">
      <c r="A1278" t="s">
        <v>17583</v>
      </c>
      <c r="B1278">
        <v>4800</v>
      </c>
      <c r="C1278" t="s">
        <v>15312</v>
      </c>
      <c r="D1278">
        <v>1.7999999999999999E-2</v>
      </c>
      <c r="E1278" t="s">
        <v>17584</v>
      </c>
      <c r="F1278" t="s">
        <v>15314</v>
      </c>
    </row>
    <row r="1279" spans="1:6" x14ac:dyDescent="0.3">
      <c r="A1279" t="s">
        <v>17585</v>
      </c>
      <c r="B1279">
        <v>4800</v>
      </c>
      <c r="C1279" t="s">
        <v>15312</v>
      </c>
      <c r="D1279">
        <v>1.7999999999999999E-2</v>
      </c>
      <c r="E1279" t="s">
        <v>17586</v>
      </c>
      <c r="F1279" t="s">
        <v>15314</v>
      </c>
    </row>
    <row r="1280" spans="1:6" x14ac:dyDescent="0.3">
      <c r="A1280" t="s">
        <v>17587</v>
      </c>
      <c r="B1280">
        <v>4800</v>
      </c>
      <c r="C1280" t="s">
        <v>15312</v>
      </c>
      <c r="D1280">
        <v>1.7999999999999999E-2</v>
      </c>
      <c r="E1280" t="s">
        <v>17588</v>
      </c>
      <c r="F1280" t="s">
        <v>15314</v>
      </c>
    </row>
    <row r="1281" spans="1:6" x14ac:dyDescent="0.3">
      <c r="A1281" t="s">
        <v>17589</v>
      </c>
      <c r="B1281">
        <v>4800</v>
      </c>
      <c r="C1281" t="s">
        <v>15312</v>
      </c>
      <c r="D1281">
        <v>1.7999999999999999E-2</v>
      </c>
      <c r="E1281" t="s">
        <v>17590</v>
      </c>
      <c r="F1281" t="s">
        <v>15314</v>
      </c>
    </row>
    <row r="1282" spans="1:6" x14ac:dyDescent="0.3">
      <c r="A1282" t="s">
        <v>17591</v>
      </c>
      <c r="B1282">
        <v>4800</v>
      </c>
      <c r="C1282" t="s">
        <v>15312</v>
      </c>
      <c r="D1282">
        <v>1.9E-2</v>
      </c>
      <c r="E1282" t="s">
        <v>17592</v>
      </c>
      <c r="F1282" t="s">
        <v>15314</v>
      </c>
    </row>
    <row r="1283" spans="1:6" x14ac:dyDescent="0.3">
      <c r="A1283" t="s">
        <v>17593</v>
      </c>
      <c r="B1283">
        <v>8544</v>
      </c>
      <c r="C1283" t="s">
        <v>15169</v>
      </c>
      <c r="D1283">
        <v>3.3000000000000002E-2</v>
      </c>
      <c r="E1283" t="s">
        <v>17594</v>
      </c>
      <c r="F1283" t="s">
        <v>15214</v>
      </c>
    </row>
    <row r="1284" spans="1:6" x14ac:dyDescent="0.3">
      <c r="A1284" t="s">
        <v>17595</v>
      </c>
      <c r="B1284">
        <v>8544</v>
      </c>
      <c r="C1284" t="s">
        <v>15169</v>
      </c>
      <c r="D1284">
        <v>3.3000000000000002E-2</v>
      </c>
      <c r="E1284" t="s">
        <v>17596</v>
      </c>
      <c r="F1284" t="s">
        <v>15214</v>
      </c>
    </row>
    <row r="1285" spans="1:6" x14ac:dyDescent="0.3">
      <c r="A1285" t="s">
        <v>17597</v>
      </c>
      <c r="B1285">
        <v>8544</v>
      </c>
      <c r="C1285" t="s">
        <v>15169</v>
      </c>
      <c r="D1285">
        <v>3.3000000000000002E-2</v>
      </c>
      <c r="E1285" t="s">
        <v>17598</v>
      </c>
      <c r="F1285" t="s">
        <v>15214</v>
      </c>
    </row>
    <row r="1286" spans="1:6" x14ac:dyDescent="0.3">
      <c r="A1286" t="s">
        <v>17599</v>
      </c>
      <c r="B1286">
        <v>9</v>
      </c>
      <c r="C1286" t="s">
        <v>15169</v>
      </c>
      <c r="D1286">
        <v>3.3000000000000002E-2</v>
      </c>
      <c r="E1286" t="s">
        <v>17600</v>
      </c>
      <c r="F1286" t="s">
        <v>15214</v>
      </c>
    </row>
    <row r="1287" spans="1:6" x14ac:dyDescent="0.3">
      <c r="A1287" t="s">
        <v>17601</v>
      </c>
      <c r="B1287">
        <v>9</v>
      </c>
      <c r="C1287" t="s">
        <v>15169</v>
      </c>
      <c r="D1287">
        <v>3.3000000000000002E-2</v>
      </c>
      <c r="E1287" t="s">
        <v>17602</v>
      </c>
      <c r="F1287" t="s">
        <v>15214</v>
      </c>
    </row>
    <row r="1288" spans="1:6" x14ac:dyDescent="0.3">
      <c r="A1288" t="s">
        <v>17603</v>
      </c>
      <c r="B1288">
        <v>816</v>
      </c>
      <c r="C1288" t="s">
        <v>15169</v>
      </c>
      <c r="D1288">
        <v>3.3000000000000002E-2</v>
      </c>
      <c r="E1288" t="s">
        <v>17604</v>
      </c>
      <c r="F1288" t="s">
        <v>15214</v>
      </c>
    </row>
    <row r="1289" spans="1:6" x14ac:dyDescent="0.3">
      <c r="A1289" t="s">
        <v>17605</v>
      </c>
      <c r="B1289">
        <v>20400</v>
      </c>
      <c r="C1289" t="s">
        <v>15169</v>
      </c>
      <c r="D1289">
        <v>3.3000000000000002E-2</v>
      </c>
      <c r="E1289" t="s">
        <v>17606</v>
      </c>
      <c r="F1289" t="s">
        <v>15214</v>
      </c>
    </row>
    <row r="1290" spans="1:6" x14ac:dyDescent="0.3">
      <c r="A1290" t="s">
        <v>17607</v>
      </c>
      <c r="B1290">
        <v>9</v>
      </c>
      <c r="C1290" t="s">
        <v>15169</v>
      </c>
      <c r="D1290">
        <v>3.3000000000000002E-2</v>
      </c>
      <c r="E1290" t="s">
        <v>17608</v>
      </c>
      <c r="F1290" t="s">
        <v>15214</v>
      </c>
    </row>
    <row r="1291" spans="1:6" x14ac:dyDescent="0.3">
      <c r="A1291" t="s">
        <v>17609</v>
      </c>
      <c r="B1291">
        <v>8544</v>
      </c>
      <c r="C1291" t="s">
        <v>15169</v>
      </c>
      <c r="D1291">
        <v>3.3000000000000002E-2</v>
      </c>
      <c r="E1291" t="s">
        <v>17610</v>
      </c>
      <c r="F1291" t="s">
        <v>15214</v>
      </c>
    </row>
    <row r="1292" spans="1:6" x14ac:dyDescent="0.3">
      <c r="A1292" t="s">
        <v>17611</v>
      </c>
      <c r="B1292">
        <v>8160</v>
      </c>
      <c r="C1292" t="s">
        <v>15169</v>
      </c>
      <c r="D1292">
        <v>3.4000000000000002E-2</v>
      </c>
      <c r="E1292" t="s">
        <v>17612</v>
      </c>
      <c r="F1292" t="s">
        <v>15195</v>
      </c>
    </row>
    <row r="1293" spans="1:6" x14ac:dyDescent="0.3">
      <c r="A1293" t="s">
        <v>17613</v>
      </c>
      <c r="B1293">
        <v>8</v>
      </c>
      <c r="C1293" t="s">
        <v>15169</v>
      </c>
      <c r="D1293">
        <v>3.4000000000000002E-2</v>
      </c>
      <c r="E1293" t="s">
        <v>17614</v>
      </c>
      <c r="F1293" t="s">
        <v>15195</v>
      </c>
    </row>
    <row r="1294" spans="1:6" x14ac:dyDescent="0.3">
      <c r="A1294" t="s">
        <v>17615</v>
      </c>
      <c r="B1294">
        <v>8160</v>
      </c>
      <c r="C1294" t="s">
        <v>15169</v>
      </c>
      <c r="D1294">
        <v>3.4000000000000002E-2</v>
      </c>
      <c r="E1294" t="s">
        <v>17616</v>
      </c>
      <c r="F1294" t="s">
        <v>15195</v>
      </c>
    </row>
    <row r="1295" spans="1:6" x14ac:dyDescent="0.3">
      <c r="A1295" t="s">
        <v>17617</v>
      </c>
      <c r="B1295">
        <v>8</v>
      </c>
      <c r="C1295" t="s">
        <v>15169</v>
      </c>
      <c r="D1295">
        <v>3.4000000000000002E-2</v>
      </c>
      <c r="E1295" t="s">
        <v>17618</v>
      </c>
      <c r="F1295" t="s">
        <v>15195</v>
      </c>
    </row>
    <row r="1296" spans="1:6" x14ac:dyDescent="0.3">
      <c r="A1296" t="s">
        <v>17619</v>
      </c>
      <c r="B1296">
        <v>8160</v>
      </c>
      <c r="C1296" t="s">
        <v>15169</v>
      </c>
      <c r="D1296">
        <v>3.4000000000000002E-2</v>
      </c>
      <c r="E1296" t="s">
        <v>17620</v>
      </c>
      <c r="F1296" t="s">
        <v>15195</v>
      </c>
    </row>
    <row r="1297" spans="1:6" x14ac:dyDescent="0.3">
      <c r="A1297" t="s">
        <v>17621</v>
      </c>
      <c r="B1297">
        <v>4920</v>
      </c>
      <c r="C1297" t="s">
        <v>15169</v>
      </c>
      <c r="D1297">
        <v>3.4000000000000002E-2</v>
      </c>
      <c r="E1297" t="s">
        <v>17622</v>
      </c>
      <c r="F1297" t="s">
        <v>15195</v>
      </c>
    </row>
    <row r="1298" spans="1:6" x14ac:dyDescent="0.3">
      <c r="A1298" t="s">
        <v>17623</v>
      </c>
      <c r="B1298">
        <v>8160</v>
      </c>
      <c r="C1298" t="s">
        <v>15169</v>
      </c>
      <c r="D1298">
        <v>3.4000000000000002E-2</v>
      </c>
      <c r="E1298" t="s">
        <v>17624</v>
      </c>
      <c r="F1298" t="s">
        <v>15195</v>
      </c>
    </row>
    <row r="1299" spans="1:6" x14ac:dyDescent="0.3">
      <c r="A1299" t="s">
        <v>17625</v>
      </c>
      <c r="B1299">
        <v>4920</v>
      </c>
      <c r="C1299" t="s">
        <v>15169</v>
      </c>
      <c r="D1299">
        <v>3.4000000000000002E-2</v>
      </c>
      <c r="E1299" t="s">
        <v>17626</v>
      </c>
      <c r="F1299" t="s">
        <v>15195</v>
      </c>
    </row>
    <row r="1300" spans="1:6" x14ac:dyDescent="0.3">
      <c r="A1300" t="s">
        <v>17627</v>
      </c>
      <c r="B1300">
        <v>4920</v>
      </c>
      <c r="C1300" t="s">
        <v>15169</v>
      </c>
      <c r="D1300">
        <v>3.4000000000000002E-2</v>
      </c>
      <c r="E1300" t="s">
        <v>17628</v>
      </c>
      <c r="F1300" t="s">
        <v>15195</v>
      </c>
    </row>
    <row r="1301" spans="1:6" x14ac:dyDescent="0.3">
      <c r="A1301" t="s">
        <v>17629</v>
      </c>
      <c r="B1301">
        <v>6300</v>
      </c>
      <c r="C1301" t="s">
        <v>15169</v>
      </c>
      <c r="D1301">
        <v>3.4500000000000003E-2</v>
      </c>
      <c r="E1301" t="s">
        <v>17630</v>
      </c>
      <c r="F1301" t="s">
        <v>15195</v>
      </c>
    </row>
    <row r="1302" spans="1:6" x14ac:dyDescent="0.3">
      <c r="A1302" t="s">
        <v>17631</v>
      </c>
      <c r="B1302">
        <v>4332</v>
      </c>
      <c r="C1302" t="s">
        <v>15312</v>
      </c>
      <c r="D1302">
        <v>1.9E-2</v>
      </c>
      <c r="E1302" t="s">
        <v>17632</v>
      </c>
      <c r="F1302" t="s">
        <v>15314</v>
      </c>
    </row>
    <row r="1303" spans="1:6" x14ac:dyDescent="0.3">
      <c r="A1303" t="s">
        <v>17633</v>
      </c>
      <c r="B1303">
        <v>4332</v>
      </c>
      <c r="C1303" t="s">
        <v>15312</v>
      </c>
      <c r="D1303">
        <v>1.9E-2</v>
      </c>
      <c r="E1303" t="s">
        <v>17634</v>
      </c>
      <c r="F1303" t="s">
        <v>15314</v>
      </c>
    </row>
    <row r="1304" spans="1:6" x14ac:dyDescent="0.3">
      <c r="A1304" t="s">
        <v>17635</v>
      </c>
      <c r="B1304">
        <v>4332</v>
      </c>
      <c r="C1304" t="s">
        <v>15312</v>
      </c>
      <c r="D1304">
        <v>1.9E-2</v>
      </c>
      <c r="E1304" t="s">
        <v>17636</v>
      </c>
      <c r="F1304" t="s">
        <v>15314</v>
      </c>
    </row>
    <row r="1305" spans="1:6" x14ac:dyDescent="0.3">
      <c r="A1305" t="s">
        <v>17637</v>
      </c>
      <c r="B1305">
        <v>4332</v>
      </c>
      <c r="C1305" t="s">
        <v>15312</v>
      </c>
      <c r="D1305">
        <v>1.9E-2</v>
      </c>
      <c r="E1305" t="s">
        <v>17638</v>
      </c>
      <c r="F1305" t="s">
        <v>15314</v>
      </c>
    </row>
    <row r="1306" spans="1:6" x14ac:dyDescent="0.3">
      <c r="A1306" t="s">
        <v>17639</v>
      </c>
      <c r="B1306">
        <v>6336</v>
      </c>
      <c r="C1306" t="s">
        <v>15169</v>
      </c>
      <c r="D1306">
        <v>3.5999999999999997E-2</v>
      </c>
      <c r="E1306" t="s">
        <v>17640</v>
      </c>
      <c r="F1306" t="s">
        <v>15214</v>
      </c>
    </row>
    <row r="1307" spans="1:6" x14ac:dyDescent="0.3">
      <c r="A1307" t="s">
        <v>17641</v>
      </c>
      <c r="B1307">
        <v>4224</v>
      </c>
      <c r="C1307" t="s">
        <v>15169</v>
      </c>
      <c r="D1307">
        <v>3.5999999999999997E-2</v>
      </c>
      <c r="E1307" t="s">
        <v>17642</v>
      </c>
      <c r="F1307" t="s">
        <v>15195</v>
      </c>
    </row>
    <row r="1308" spans="1:6" x14ac:dyDescent="0.3">
      <c r="A1308" t="s">
        <v>4237</v>
      </c>
      <c r="B1308">
        <v>6336</v>
      </c>
      <c r="C1308" t="s">
        <v>15169</v>
      </c>
      <c r="D1308">
        <v>3.5999999999999997E-2</v>
      </c>
      <c r="E1308" t="s">
        <v>4238</v>
      </c>
      <c r="F1308" t="s">
        <v>15195</v>
      </c>
    </row>
    <row r="1309" spans="1:6" x14ac:dyDescent="0.3">
      <c r="A1309" t="s">
        <v>70</v>
      </c>
      <c r="B1309">
        <v>6336</v>
      </c>
      <c r="C1309" t="s">
        <v>15169</v>
      </c>
      <c r="D1309">
        <v>3.5999999999999997E-2</v>
      </c>
      <c r="E1309" t="s">
        <v>71</v>
      </c>
      <c r="F1309" t="s">
        <v>15195</v>
      </c>
    </row>
    <row r="1310" spans="1:6" x14ac:dyDescent="0.3">
      <c r="A1310" t="s">
        <v>17643</v>
      </c>
      <c r="B1310">
        <v>4224</v>
      </c>
      <c r="C1310" t="s">
        <v>15169</v>
      </c>
      <c r="D1310">
        <v>3.5999999999999997E-2</v>
      </c>
      <c r="E1310" t="s">
        <v>17644</v>
      </c>
      <c r="F1310" t="s">
        <v>15195</v>
      </c>
    </row>
    <row r="1311" spans="1:6" x14ac:dyDescent="0.3">
      <c r="A1311" t="s">
        <v>17645</v>
      </c>
      <c r="B1311">
        <v>6336</v>
      </c>
      <c r="C1311" t="s">
        <v>15169</v>
      </c>
      <c r="D1311">
        <v>3.5999999999999997E-2</v>
      </c>
      <c r="E1311" t="s">
        <v>17646</v>
      </c>
      <c r="F1311" t="s">
        <v>15195</v>
      </c>
    </row>
    <row r="1312" spans="1:6" x14ac:dyDescent="0.3">
      <c r="A1312" t="s">
        <v>17647</v>
      </c>
      <c r="B1312">
        <v>6336</v>
      </c>
      <c r="C1312" t="s">
        <v>15169</v>
      </c>
      <c r="D1312">
        <v>3.5999999999999997E-2</v>
      </c>
      <c r="E1312" t="s">
        <v>17648</v>
      </c>
      <c r="F1312" t="s">
        <v>15195</v>
      </c>
    </row>
    <row r="1313" spans="1:6" x14ac:dyDescent="0.3">
      <c r="A1313" t="s">
        <v>17649</v>
      </c>
      <c r="B1313">
        <v>6336</v>
      </c>
      <c r="C1313" t="s">
        <v>15169</v>
      </c>
      <c r="D1313">
        <v>3.5999999999999997E-2</v>
      </c>
      <c r="E1313" t="s">
        <v>17650</v>
      </c>
      <c r="F1313" t="s">
        <v>15195</v>
      </c>
    </row>
    <row r="1314" spans="1:6" x14ac:dyDescent="0.3">
      <c r="A1314" t="s">
        <v>17651</v>
      </c>
      <c r="B1314">
        <v>4224</v>
      </c>
      <c r="C1314" t="s">
        <v>15169</v>
      </c>
      <c r="D1314">
        <v>3.5999999999999997E-2</v>
      </c>
      <c r="E1314" t="s">
        <v>17652</v>
      </c>
      <c r="F1314" t="s">
        <v>15195</v>
      </c>
    </row>
    <row r="1315" spans="1:6" x14ac:dyDescent="0.3">
      <c r="A1315" t="s">
        <v>17653</v>
      </c>
      <c r="B1315">
        <v>8544</v>
      </c>
      <c r="C1315" t="s">
        <v>15169</v>
      </c>
      <c r="D1315">
        <v>3.6499999999999998E-2</v>
      </c>
      <c r="E1315" t="s">
        <v>17654</v>
      </c>
      <c r="F1315" t="s">
        <v>15314</v>
      </c>
    </row>
    <row r="1316" spans="1:6" x14ac:dyDescent="0.3">
      <c r="A1316" t="s">
        <v>17655</v>
      </c>
      <c r="B1316">
        <v>8544</v>
      </c>
      <c r="C1316" t="s">
        <v>15169</v>
      </c>
      <c r="D1316">
        <v>3.6499999999999998E-2</v>
      </c>
      <c r="E1316" t="s">
        <v>17656</v>
      </c>
      <c r="F1316" t="s">
        <v>15314</v>
      </c>
    </row>
    <row r="1317" spans="1:6" x14ac:dyDescent="0.3">
      <c r="A1317" t="s">
        <v>17657</v>
      </c>
      <c r="B1317">
        <v>8544</v>
      </c>
      <c r="C1317" t="s">
        <v>15169</v>
      </c>
      <c r="D1317">
        <v>3.6499999999999998E-2</v>
      </c>
      <c r="E1317" t="s">
        <v>17658</v>
      </c>
      <c r="F1317" t="s">
        <v>15314</v>
      </c>
    </row>
    <row r="1318" spans="1:6" x14ac:dyDescent="0.3">
      <c r="A1318" t="s">
        <v>17659</v>
      </c>
      <c r="B1318">
        <v>9</v>
      </c>
      <c r="C1318" t="s">
        <v>15169</v>
      </c>
      <c r="D1318">
        <v>3.6499999999999998E-2</v>
      </c>
      <c r="E1318" t="s">
        <v>17660</v>
      </c>
      <c r="F1318" t="s">
        <v>15195</v>
      </c>
    </row>
    <row r="1319" spans="1:6" x14ac:dyDescent="0.3">
      <c r="A1319" t="s">
        <v>17661</v>
      </c>
      <c r="B1319">
        <v>8544</v>
      </c>
      <c r="C1319" t="s">
        <v>15169</v>
      </c>
      <c r="D1319">
        <v>3.6499999999999998E-2</v>
      </c>
      <c r="E1319" t="s">
        <v>17662</v>
      </c>
      <c r="F1319" t="s">
        <v>15314</v>
      </c>
    </row>
    <row r="1320" spans="1:6" x14ac:dyDescent="0.3">
      <c r="A1320" t="s">
        <v>17663</v>
      </c>
      <c r="B1320">
        <v>8544</v>
      </c>
      <c r="C1320" t="s">
        <v>15169</v>
      </c>
      <c r="D1320">
        <v>3.6499999999999998E-2</v>
      </c>
      <c r="E1320" t="s">
        <v>17664</v>
      </c>
      <c r="F1320" t="s">
        <v>15314</v>
      </c>
    </row>
    <row r="1321" spans="1:6" x14ac:dyDescent="0.3">
      <c r="A1321" t="s">
        <v>17665</v>
      </c>
      <c r="B1321">
        <v>8544</v>
      </c>
      <c r="C1321" t="s">
        <v>15169</v>
      </c>
      <c r="D1321">
        <v>3.6499999999999998E-2</v>
      </c>
      <c r="E1321" t="s">
        <v>17666</v>
      </c>
      <c r="F1321" t="s">
        <v>15314</v>
      </c>
    </row>
    <row r="1322" spans="1:6" x14ac:dyDescent="0.3">
      <c r="A1322" t="s">
        <v>17667</v>
      </c>
      <c r="B1322">
        <v>9</v>
      </c>
      <c r="C1322" t="s">
        <v>15169</v>
      </c>
      <c r="D1322">
        <v>3.6499999999999998E-2</v>
      </c>
      <c r="E1322" t="s">
        <v>17668</v>
      </c>
      <c r="F1322" t="s">
        <v>15195</v>
      </c>
    </row>
    <row r="1323" spans="1:6" x14ac:dyDescent="0.3">
      <c r="A1323" t="s">
        <v>17669</v>
      </c>
      <c r="B1323">
        <v>6300</v>
      </c>
      <c r="C1323" t="s">
        <v>15169</v>
      </c>
      <c r="D1323">
        <v>3.6499999999999998E-2</v>
      </c>
      <c r="E1323" t="s">
        <v>17670</v>
      </c>
      <c r="F1323" t="s">
        <v>15314</v>
      </c>
    </row>
    <row r="1324" spans="1:6" x14ac:dyDescent="0.3">
      <c r="A1324" t="s">
        <v>17671</v>
      </c>
      <c r="B1324">
        <v>8544</v>
      </c>
      <c r="C1324" t="s">
        <v>15169</v>
      </c>
      <c r="D1324">
        <v>3.6499999999999998E-2</v>
      </c>
      <c r="E1324" t="s">
        <v>17672</v>
      </c>
      <c r="F1324" t="s">
        <v>15314</v>
      </c>
    </row>
    <row r="1325" spans="1:6" x14ac:dyDescent="0.3">
      <c r="A1325" t="s">
        <v>17673</v>
      </c>
      <c r="B1325">
        <v>4332</v>
      </c>
      <c r="C1325" t="s">
        <v>15312</v>
      </c>
      <c r="D1325">
        <v>1.9E-2</v>
      </c>
      <c r="E1325" t="s">
        <v>17674</v>
      </c>
      <c r="F1325" t="s">
        <v>15314</v>
      </c>
    </row>
    <row r="1326" spans="1:6" x14ac:dyDescent="0.3">
      <c r="A1326" t="s">
        <v>17675</v>
      </c>
      <c r="B1326">
        <v>4332</v>
      </c>
      <c r="C1326" t="s">
        <v>15312</v>
      </c>
      <c r="D1326">
        <v>1.9E-2</v>
      </c>
      <c r="E1326" t="s">
        <v>17676</v>
      </c>
      <c r="F1326" t="s">
        <v>15314</v>
      </c>
    </row>
    <row r="1327" spans="1:6" x14ac:dyDescent="0.3">
      <c r="A1327" t="s">
        <v>17677</v>
      </c>
      <c r="B1327">
        <v>4332</v>
      </c>
      <c r="C1327" t="s">
        <v>15312</v>
      </c>
      <c r="D1327">
        <v>1.9E-2</v>
      </c>
      <c r="E1327" t="s">
        <v>17678</v>
      </c>
      <c r="F1327" t="s">
        <v>15314</v>
      </c>
    </row>
    <row r="1328" spans="1:6" x14ac:dyDescent="0.3">
      <c r="A1328" t="s">
        <v>17679</v>
      </c>
      <c r="B1328">
        <v>4332</v>
      </c>
      <c r="C1328" t="s">
        <v>15312</v>
      </c>
      <c r="D1328">
        <v>1.9E-2</v>
      </c>
      <c r="E1328" t="s">
        <v>17680</v>
      </c>
      <c r="F1328" t="s">
        <v>15314</v>
      </c>
    </row>
    <row r="1329" spans="1:6" x14ac:dyDescent="0.3">
      <c r="A1329" t="s">
        <v>17681</v>
      </c>
      <c r="B1329">
        <v>4332</v>
      </c>
      <c r="C1329" t="s">
        <v>15312</v>
      </c>
      <c r="D1329">
        <v>1.9E-2</v>
      </c>
      <c r="E1329" t="s">
        <v>17682</v>
      </c>
      <c r="F1329" t="s">
        <v>15314</v>
      </c>
    </row>
    <row r="1330" spans="1:6" x14ac:dyDescent="0.3">
      <c r="A1330" t="s">
        <v>17683</v>
      </c>
      <c r="B1330">
        <v>4332</v>
      </c>
      <c r="C1330" t="s">
        <v>15312</v>
      </c>
      <c r="D1330">
        <v>1.9E-2</v>
      </c>
      <c r="E1330" t="s">
        <v>17684</v>
      </c>
      <c r="F1330" t="s">
        <v>15314</v>
      </c>
    </row>
    <row r="1331" spans="1:6" x14ac:dyDescent="0.3">
      <c r="A1331" t="s">
        <v>17685</v>
      </c>
      <c r="B1331">
        <v>4332</v>
      </c>
      <c r="C1331" t="s">
        <v>15312</v>
      </c>
      <c r="D1331">
        <v>1.9E-2</v>
      </c>
      <c r="E1331" t="s">
        <v>17686</v>
      </c>
      <c r="F1331" t="s">
        <v>15314</v>
      </c>
    </row>
    <row r="1332" spans="1:6" x14ac:dyDescent="0.3">
      <c r="A1332" t="s">
        <v>17687</v>
      </c>
      <c r="B1332">
        <v>4332</v>
      </c>
      <c r="C1332" t="s">
        <v>15312</v>
      </c>
      <c r="D1332">
        <v>1.9E-2</v>
      </c>
      <c r="E1332" t="s">
        <v>17688</v>
      </c>
      <c r="F1332" t="s">
        <v>15314</v>
      </c>
    </row>
    <row r="1333" spans="1:6" x14ac:dyDescent="0.3">
      <c r="A1333" t="s">
        <v>17689</v>
      </c>
      <c r="B1333">
        <v>4332</v>
      </c>
      <c r="C1333" t="s">
        <v>15312</v>
      </c>
      <c r="D1333">
        <v>1.9E-2</v>
      </c>
      <c r="E1333" t="s">
        <v>17690</v>
      </c>
      <c r="F1333" t="s">
        <v>15314</v>
      </c>
    </row>
    <row r="1334" spans="1:6" x14ac:dyDescent="0.3">
      <c r="A1334" t="s">
        <v>17691</v>
      </c>
      <c r="B1334">
        <v>4332</v>
      </c>
      <c r="C1334" t="s">
        <v>15312</v>
      </c>
      <c r="D1334">
        <v>1.9E-2</v>
      </c>
      <c r="E1334" t="s">
        <v>17692</v>
      </c>
      <c r="F1334" t="s">
        <v>15314</v>
      </c>
    </row>
    <row r="1335" spans="1:6" x14ac:dyDescent="0.3">
      <c r="A1335" t="s">
        <v>17693</v>
      </c>
      <c r="B1335">
        <v>4332</v>
      </c>
      <c r="C1335" t="s">
        <v>15312</v>
      </c>
      <c r="D1335">
        <v>1.9E-2</v>
      </c>
      <c r="E1335" t="s">
        <v>17694</v>
      </c>
      <c r="F1335" t="s">
        <v>15314</v>
      </c>
    </row>
    <row r="1336" spans="1:6" x14ac:dyDescent="0.3">
      <c r="A1336" t="s">
        <v>17695</v>
      </c>
      <c r="B1336">
        <v>4332</v>
      </c>
      <c r="C1336" t="s">
        <v>15312</v>
      </c>
      <c r="D1336">
        <v>1.9E-2</v>
      </c>
      <c r="E1336" t="s">
        <v>17696</v>
      </c>
      <c r="F1336" t="s">
        <v>15314</v>
      </c>
    </row>
    <row r="1337" spans="1:6" x14ac:dyDescent="0.3">
      <c r="A1337" t="s">
        <v>17697</v>
      </c>
      <c r="B1337">
        <v>4332</v>
      </c>
      <c r="C1337" t="s">
        <v>15312</v>
      </c>
      <c r="D1337">
        <v>1.9E-2</v>
      </c>
      <c r="E1337" t="s">
        <v>17698</v>
      </c>
      <c r="F1337" t="s">
        <v>15314</v>
      </c>
    </row>
    <row r="1338" spans="1:6" x14ac:dyDescent="0.3">
      <c r="A1338" t="s">
        <v>17699</v>
      </c>
      <c r="B1338">
        <v>4332</v>
      </c>
      <c r="C1338" t="s">
        <v>15312</v>
      </c>
      <c r="D1338">
        <v>1.9E-2</v>
      </c>
      <c r="E1338" t="s">
        <v>17700</v>
      </c>
      <c r="F1338" t="s">
        <v>15314</v>
      </c>
    </row>
    <row r="1339" spans="1:6" x14ac:dyDescent="0.3">
      <c r="A1339" t="s">
        <v>17701</v>
      </c>
      <c r="B1339">
        <v>4332</v>
      </c>
      <c r="C1339" t="s">
        <v>15312</v>
      </c>
      <c r="D1339">
        <v>1.9E-2</v>
      </c>
      <c r="E1339" t="s">
        <v>17702</v>
      </c>
      <c r="F1339" t="s">
        <v>15314</v>
      </c>
    </row>
    <row r="1340" spans="1:6" x14ac:dyDescent="0.3">
      <c r="A1340" t="s">
        <v>17703</v>
      </c>
      <c r="B1340">
        <v>4332</v>
      </c>
      <c r="C1340" t="s">
        <v>15312</v>
      </c>
      <c r="D1340">
        <v>1.9E-2</v>
      </c>
      <c r="E1340" t="s">
        <v>17704</v>
      </c>
      <c r="F1340" t="s">
        <v>15314</v>
      </c>
    </row>
    <row r="1341" spans="1:6" x14ac:dyDescent="0.3">
      <c r="A1341" t="s">
        <v>17705</v>
      </c>
      <c r="B1341">
        <v>4332</v>
      </c>
      <c r="C1341" t="s">
        <v>15312</v>
      </c>
      <c r="D1341">
        <v>1.9E-2</v>
      </c>
      <c r="E1341" t="s">
        <v>17706</v>
      </c>
      <c r="F1341" t="s">
        <v>15314</v>
      </c>
    </row>
    <row r="1342" spans="1:6" x14ac:dyDescent="0.3">
      <c r="A1342" t="s">
        <v>17707</v>
      </c>
      <c r="B1342">
        <v>4332</v>
      </c>
      <c r="C1342" t="s">
        <v>15312</v>
      </c>
      <c r="D1342">
        <v>1.9E-2</v>
      </c>
      <c r="E1342" t="s">
        <v>17708</v>
      </c>
      <c r="F1342" t="s">
        <v>15314</v>
      </c>
    </row>
    <row r="1343" spans="1:6" x14ac:dyDescent="0.3">
      <c r="A1343" t="s">
        <v>17709</v>
      </c>
      <c r="B1343">
        <v>4332</v>
      </c>
      <c r="C1343" t="s">
        <v>15312</v>
      </c>
      <c r="D1343">
        <v>1.9E-2</v>
      </c>
      <c r="E1343" t="s">
        <v>17710</v>
      </c>
      <c r="F1343" t="s">
        <v>15314</v>
      </c>
    </row>
    <row r="1344" spans="1:6" x14ac:dyDescent="0.3">
      <c r="A1344" t="s">
        <v>17711</v>
      </c>
      <c r="B1344">
        <v>4332</v>
      </c>
      <c r="C1344" t="s">
        <v>15312</v>
      </c>
      <c r="D1344">
        <v>1.9E-2</v>
      </c>
      <c r="E1344" t="s">
        <v>17712</v>
      </c>
      <c r="F1344" t="s">
        <v>15314</v>
      </c>
    </row>
    <row r="1345" spans="1:6" x14ac:dyDescent="0.3">
      <c r="A1345" t="s">
        <v>17713</v>
      </c>
      <c r="B1345">
        <v>4332</v>
      </c>
      <c r="C1345" t="s">
        <v>15312</v>
      </c>
      <c r="D1345">
        <v>1.9E-2</v>
      </c>
      <c r="E1345" t="s">
        <v>17714</v>
      </c>
      <c r="F1345" t="s">
        <v>15314</v>
      </c>
    </row>
    <row r="1346" spans="1:6" x14ac:dyDescent="0.3">
      <c r="A1346" t="s">
        <v>17715</v>
      </c>
      <c r="B1346">
        <v>4332</v>
      </c>
      <c r="C1346" t="s">
        <v>15312</v>
      </c>
      <c r="D1346">
        <v>1.9E-2</v>
      </c>
      <c r="E1346" t="s">
        <v>17716</v>
      </c>
      <c r="F1346" t="s">
        <v>15314</v>
      </c>
    </row>
    <row r="1347" spans="1:6" x14ac:dyDescent="0.3">
      <c r="A1347" t="s">
        <v>17717</v>
      </c>
      <c r="B1347">
        <v>4332</v>
      </c>
      <c r="C1347" t="s">
        <v>15312</v>
      </c>
      <c r="D1347">
        <v>1.9E-2</v>
      </c>
      <c r="E1347" t="s">
        <v>17718</v>
      </c>
      <c r="F1347" t="s">
        <v>15314</v>
      </c>
    </row>
    <row r="1348" spans="1:6" x14ac:dyDescent="0.3">
      <c r="A1348" t="s">
        <v>17719</v>
      </c>
      <c r="B1348">
        <v>4332</v>
      </c>
      <c r="C1348" t="s">
        <v>15312</v>
      </c>
      <c r="D1348">
        <v>1.9E-2</v>
      </c>
      <c r="E1348" t="s">
        <v>17720</v>
      </c>
      <c r="F1348" t="s">
        <v>15314</v>
      </c>
    </row>
    <row r="1349" spans="1:6" x14ac:dyDescent="0.3">
      <c r="A1349" t="s">
        <v>17721</v>
      </c>
      <c r="B1349">
        <v>4332</v>
      </c>
      <c r="C1349" t="s">
        <v>15312</v>
      </c>
      <c r="D1349">
        <v>1.9E-2</v>
      </c>
      <c r="E1349" t="s">
        <v>17722</v>
      </c>
      <c r="F1349" t="s">
        <v>15314</v>
      </c>
    </row>
    <row r="1350" spans="1:6" x14ac:dyDescent="0.3">
      <c r="A1350" t="s">
        <v>17723</v>
      </c>
      <c r="B1350">
        <v>4332</v>
      </c>
      <c r="C1350" t="s">
        <v>15312</v>
      </c>
      <c r="D1350">
        <v>1.9E-2</v>
      </c>
      <c r="E1350" t="s">
        <v>17724</v>
      </c>
      <c r="F1350" t="s">
        <v>15314</v>
      </c>
    </row>
    <row r="1351" spans="1:6" x14ac:dyDescent="0.3">
      <c r="A1351" t="s">
        <v>17725</v>
      </c>
      <c r="B1351">
        <v>4332</v>
      </c>
      <c r="C1351" t="s">
        <v>15312</v>
      </c>
      <c r="D1351">
        <v>1.9E-2</v>
      </c>
      <c r="E1351" t="s">
        <v>17726</v>
      </c>
      <c r="F1351" t="s">
        <v>15314</v>
      </c>
    </row>
    <row r="1352" spans="1:6" x14ac:dyDescent="0.3">
      <c r="A1352" t="s">
        <v>17727</v>
      </c>
      <c r="B1352">
        <v>4332</v>
      </c>
      <c r="C1352" t="s">
        <v>15312</v>
      </c>
      <c r="D1352">
        <v>1.9E-2</v>
      </c>
      <c r="E1352" t="s">
        <v>17728</v>
      </c>
      <c r="F1352" t="s">
        <v>15314</v>
      </c>
    </row>
    <row r="1353" spans="1:6" x14ac:dyDescent="0.3">
      <c r="A1353" t="s">
        <v>17729</v>
      </c>
      <c r="B1353">
        <v>4332</v>
      </c>
      <c r="C1353" t="s">
        <v>15312</v>
      </c>
      <c r="D1353">
        <v>1.9E-2</v>
      </c>
      <c r="E1353" t="s">
        <v>17730</v>
      </c>
      <c r="F1353" t="s">
        <v>15314</v>
      </c>
    </row>
    <row r="1354" spans="1:6" x14ac:dyDescent="0.3">
      <c r="A1354" t="s">
        <v>17731</v>
      </c>
      <c r="B1354">
        <v>4332</v>
      </c>
      <c r="C1354" t="s">
        <v>15312</v>
      </c>
      <c r="D1354">
        <v>1.9E-2</v>
      </c>
      <c r="E1354" t="s">
        <v>17732</v>
      </c>
      <c r="F1354" t="s">
        <v>15314</v>
      </c>
    </row>
    <row r="1355" spans="1:6" x14ac:dyDescent="0.3">
      <c r="A1355" t="s">
        <v>17733</v>
      </c>
      <c r="B1355">
        <v>4332</v>
      </c>
      <c r="C1355" t="s">
        <v>15312</v>
      </c>
      <c r="D1355">
        <v>1.9E-2</v>
      </c>
      <c r="E1355" t="s">
        <v>17734</v>
      </c>
      <c r="F1355" t="s">
        <v>15314</v>
      </c>
    </row>
    <row r="1356" spans="1:6" x14ac:dyDescent="0.3">
      <c r="A1356" t="s">
        <v>17735</v>
      </c>
      <c r="B1356">
        <v>4332</v>
      </c>
      <c r="C1356" t="s">
        <v>15312</v>
      </c>
      <c r="D1356">
        <v>1.9E-2</v>
      </c>
      <c r="E1356" t="s">
        <v>17736</v>
      </c>
      <c r="F1356" t="s">
        <v>15314</v>
      </c>
    </row>
    <row r="1357" spans="1:6" x14ac:dyDescent="0.3">
      <c r="A1357" t="s">
        <v>17737</v>
      </c>
      <c r="B1357">
        <v>4332</v>
      </c>
      <c r="C1357" t="s">
        <v>15312</v>
      </c>
      <c r="D1357">
        <v>1.9E-2</v>
      </c>
      <c r="E1357" t="s">
        <v>17738</v>
      </c>
      <c r="F1357" t="s">
        <v>15314</v>
      </c>
    </row>
    <row r="1358" spans="1:6" x14ac:dyDescent="0.3">
      <c r="A1358" t="s">
        <v>17739</v>
      </c>
      <c r="B1358">
        <v>4332</v>
      </c>
      <c r="C1358" t="s">
        <v>15312</v>
      </c>
      <c r="D1358">
        <v>1.9E-2</v>
      </c>
      <c r="E1358" t="s">
        <v>17740</v>
      </c>
      <c r="F1358" t="s">
        <v>15314</v>
      </c>
    </row>
    <row r="1359" spans="1:6" x14ac:dyDescent="0.3">
      <c r="A1359" t="s">
        <v>17741</v>
      </c>
      <c r="B1359">
        <v>4332</v>
      </c>
      <c r="C1359" t="s">
        <v>15312</v>
      </c>
      <c r="D1359">
        <v>1.9E-2</v>
      </c>
      <c r="E1359" t="s">
        <v>17742</v>
      </c>
      <c r="F1359" t="s">
        <v>15314</v>
      </c>
    </row>
    <row r="1360" spans="1:6" x14ac:dyDescent="0.3">
      <c r="A1360" t="s">
        <v>17743</v>
      </c>
      <c r="B1360">
        <v>4332</v>
      </c>
      <c r="C1360" t="s">
        <v>15312</v>
      </c>
      <c r="D1360">
        <v>1.9E-2</v>
      </c>
      <c r="E1360" t="s">
        <v>17744</v>
      </c>
      <c r="F1360" t="s">
        <v>15314</v>
      </c>
    </row>
    <row r="1361" spans="1:6" x14ac:dyDescent="0.3">
      <c r="A1361" t="s">
        <v>17745</v>
      </c>
      <c r="B1361">
        <v>4332</v>
      </c>
      <c r="C1361" t="s">
        <v>15312</v>
      </c>
      <c r="D1361">
        <v>1.9E-2</v>
      </c>
      <c r="E1361" t="s">
        <v>17746</v>
      </c>
      <c r="F1361" t="s">
        <v>15314</v>
      </c>
    </row>
    <row r="1362" spans="1:6" x14ac:dyDescent="0.3">
      <c r="A1362" t="s">
        <v>17747</v>
      </c>
      <c r="B1362">
        <v>4332</v>
      </c>
      <c r="C1362" t="s">
        <v>15312</v>
      </c>
      <c r="D1362">
        <v>1.9E-2</v>
      </c>
      <c r="E1362" t="s">
        <v>17748</v>
      </c>
      <c r="F1362" t="s">
        <v>15314</v>
      </c>
    </row>
    <row r="1363" spans="1:6" x14ac:dyDescent="0.3">
      <c r="A1363" t="s">
        <v>17749</v>
      </c>
      <c r="B1363">
        <v>4332</v>
      </c>
      <c r="C1363" t="s">
        <v>15312</v>
      </c>
      <c r="D1363">
        <v>1.9E-2</v>
      </c>
      <c r="E1363" t="s">
        <v>17750</v>
      </c>
      <c r="F1363" t="s">
        <v>15314</v>
      </c>
    </row>
    <row r="1364" spans="1:6" x14ac:dyDescent="0.3">
      <c r="A1364" t="s">
        <v>17751</v>
      </c>
      <c r="B1364">
        <v>4332</v>
      </c>
      <c r="C1364" t="s">
        <v>15312</v>
      </c>
      <c r="D1364">
        <v>1.9E-2</v>
      </c>
      <c r="E1364" t="s">
        <v>17752</v>
      </c>
      <c r="F1364" t="s">
        <v>15314</v>
      </c>
    </row>
    <row r="1365" spans="1:6" x14ac:dyDescent="0.3">
      <c r="A1365" t="s">
        <v>17753</v>
      </c>
      <c r="B1365">
        <v>4332</v>
      </c>
      <c r="C1365" t="s">
        <v>15312</v>
      </c>
      <c r="D1365">
        <v>1.9E-2</v>
      </c>
      <c r="E1365" t="s">
        <v>17754</v>
      </c>
      <c r="F1365" t="s">
        <v>15314</v>
      </c>
    </row>
    <row r="1366" spans="1:6" x14ac:dyDescent="0.3">
      <c r="A1366" t="s">
        <v>17755</v>
      </c>
      <c r="B1366">
        <v>4332</v>
      </c>
      <c r="C1366" t="s">
        <v>15312</v>
      </c>
      <c r="D1366">
        <v>1.9E-2</v>
      </c>
      <c r="E1366" t="s">
        <v>17756</v>
      </c>
      <c r="F1366" t="s">
        <v>15314</v>
      </c>
    </row>
    <row r="1367" spans="1:6" x14ac:dyDescent="0.3">
      <c r="A1367" t="s">
        <v>17757</v>
      </c>
      <c r="B1367">
        <v>4332</v>
      </c>
      <c r="C1367" t="s">
        <v>15312</v>
      </c>
      <c r="D1367">
        <v>1.9E-2</v>
      </c>
      <c r="E1367" t="s">
        <v>17758</v>
      </c>
      <c r="F1367" t="s">
        <v>15314</v>
      </c>
    </row>
    <row r="1368" spans="1:6" x14ac:dyDescent="0.3">
      <c r="A1368" t="s">
        <v>17759</v>
      </c>
      <c r="B1368">
        <v>4332</v>
      </c>
      <c r="C1368" t="s">
        <v>15312</v>
      </c>
      <c r="D1368">
        <v>1.9E-2</v>
      </c>
      <c r="E1368" t="s">
        <v>17760</v>
      </c>
      <c r="F1368" t="s">
        <v>15314</v>
      </c>
    </row>
    <row r="1369" spans="1:6" x14ac:dyDescent="0.3">
      <c r="A1369" t="s">
        <v>17761</v>
      </c>
      <c r="B1369">
        <v>4332</v>
      </c>
      <c r="C1369" t="s">
        <v>15312</v>
      </c>
      <c r="D1369">
        <v>1.9E-2</v>
      </c>
      <c r="E1369" t="s">
        <v>17762</v>
      </c>
      <c r="F1369" t="s">
        <v>15314</v>
      </c>
    </row>
    <row r="1370" spans="1:6" x14ac:dyDescent="0.3">
      <c r="A1370" t="s">
        <v>17763</v>
      </c>
      <c r="B1370">
        <v>4332</v>
      </c>
      <c r="C1370" t="s">
        <v>15312</v>
      </c>
      <c r="D1370">
        <v>1.9E-2</v>
      </c>
      <c r="E1370" t="s">
        <v>17764</v>
      </c>
      <c r="F1370" t="s">
        <v>15314</v>
      </c>
    </row>
    <row r="1371" spans="1:6" x14ac:dyDescent="0.3">
      <c r="A1371" t="s">
        <v>17765</v>
      </c>
      <c r="B1371">
        <v>4332</v>
      </c>
      <c r="C1371" t="s">
        <v>15312</v>
      </c>
      <c r="D1371">
        <v>1.9E-2</v>
      </c>
      <c r="E1371" t="s">
        <v>17766</v>
      </c>
      <c r="F1371" t="s">
        <v>15314</v>
      </c>
    </row>
    <row r="1372" spans="1:6" x14ac:dyDescent="0.3">
      <c r="A1372" t="s">
        <v>17767</v>
      </c>
      <c r="B1372">
        <v>4332</v>
      </c>
      <c r="C1372" t="s">
        <v>15312</v>
      </c>
      <c r="D1372">
        <v>1.9E-2</v>
      </c>
      <c r="E1372" t="s">
        <v>17768</v>
      </c>
      <c r="F1372" t="s">
        <v>15314</v>
      </c>
    </row>
    <row r="1373" spans="1:6" x14ac:dyDescent="0.3">
      <c r="A1373" t="s">
        <v>17769</v>
      </c>
      <c r="B1373">
        <v>4332</v>
      </c>
      <c r="C1373" t="s">
        <v>15312</v>
      </c>
      <c r="D1373">
        <v>1.9E-2</v>
      </c>
      <c r="E1373" t="s">
        <v>17770</v>
      </c>
      <c r="F1373" t="s">
        <v>15314</v>
      </c>
    </row>
    <row r="1374" spans="1:6" x14ac:dyDescent="0.3">
      <c r="A1374" t="s">
        <v>17771</v>
      </c>
      <c r="B1374">
        <v>4332</v>
      </c>
      <c r="C1374" t="s">
        <v>15312</v>
      </c>
      <c r="D1374">
        <v>1.9E-2</v>
      </c>
      <c r="E1374" t="s">
        <v>17772</v>
      </c>
      <c r="F1374" t="s">
        <v>15314</v>
      </c>
    </row>
    <row r="1375" spans="1:6" x14ac:dyDescent="0.3">
      <c r="A1375" t="s">
        <v>17773</v>
      </c>
      <c r="B1375">
        <v>4332</v>
      </c>
      <c r="C1375" t="s">
        <v>15312</v>
      </c>
      <c r="D1375">
        <v>1.9E-2</v>
      </c>
      <c r="E1375" t="s">
        <v>17774</v>
      </c>
      <c r="F1375" t="s">
        <v>15314</v>
      </c>
    </row>
    <row r="1376" spans="1:6" x14ac:dyDescent="0.3">
      <c r="A1376" t="s">
        <v>17775</v>
      </c>
      <c r="B1376">
        <v>4332</v>
      </c>
      <c r="C1376" t="s">
        <v>15312</v>
      </c>
      <c r="D1376">
        <v>1.9E-2</v>
      </c>
      <c r="E1376" t="s">
        <v>17776</v>
      </c>
      <c r="F1376" t="s">
        <v>15314</v>
      </c>
    </row>
    <row r="1377" spans="1:6" x14ac:dyDescent="0.3">
      <c r="A1377" t="s">
        <v>17777</v>
      </c>
      <c r="B1377">
        <v>4332</v>
      </c>
      <c r="C1377" t="s">
        <v>15312</v>
      </c>
      <c r="D1377">
        <v>1.9E-2</v>
      </c>
      <c r="E1377" t="s">
        <v>17778</v>
      </c>
      <c r="F1377" t="s">
        <v>15314</v>
      </c>
    </row>
    <row r="1378" spans="1:6" x14ac:dyDescent="0.3">
      <c r="A1378" t="s">
        <v>17779</v>
      </c>
      <c r="B1378">
        <v>4332</v>
      </c>
      <c r="C1378" t="s">
        <v>15312</v>
      </c>
      <c r="D1378">
        <v>1.9E-2</v>
      </c>
      <c r="E1378" t="s">
        <v>17780</v>
      </c>
      <c r="F1378" t="s">
        <v>15314</v>
      </c>
    </row>
    <row r="1379" spans="1:6" x14ac:dyDescent="0.3">
      <c r="A1379" t="s">
        <v>17781</v>
      </c>
      <c r="B1379">
        <v>4332</v>
      </c>
      <c r="C1379" t="s">
        <v>15312</v>
      </c>
      <c r="D1379">
        <v>1.9E-2</v>
      </c>
      <c r="E1379" t="s">
        <v>17782</v>
      </c>
      <c r="F1379" t="s">
        <v>15314</v>
      </c>
    </row>
    <row r="1380" spans="1:6" x14ac:dyDescent="0.3">
      <c r="A1380" t="s">
        <v>17783</v>
      </c>
      <c r="B1380">
        <v>4332</v>
      </c>
      <c r="C1380" t="s">
        <v>15312</v>
      </c>
      <c r="D1380">
        <v>1.9E-2</v>
      </c>
      <c r="E1380" t="s">
        <v>17784</v>
      </c>
      <c r="F1380" t="s">
        <v>15314</v>
      </c>
    </row>
    <row r="1381" spans="1:6" x14ac:dyDescent="0.3">
      <c r="A1381" t="s">
        <v>17785</v>
      </c>
      <c r="B1381">
        <v>4332</v>
      </c>
      <c r="C1381" t="s">
        <v>15312</v>
      </c>
      <c r="D1381">
        <v>1.9E-2</v>
      </c>
      <c r="E1381" t="s">
        <v>17786</v>
      </c>
      <c r="F1381" t="s">
        <v>15314</v>
      </c>
    </row>
    <row r="1382" spans="1:6" x14ac:dyDescent="0.3">
      <c r="A1382" t="s">
        <v>17787</v>
      </c>
      <c r="B1382">
        <v>6336</v>
      </c>
      <c r="C1382" t="s">
        <v>15169</v>
      </c>
      <c r="D1382">
        <v>3.7999999999999999E-2</v>
      </c>
      <c r="E1382" t="s">
        <v>16835</v>
      </c>
      <c r="F1382" t="s">
        <v>15195</v>
      </c>
    </row>
    <row r="1383" spans="1:6" x14ac:dyDescent="0.3">
      <c r="A1383" t="s">
        <v>17788</v>
      </c>
      <c r="B1383">
        <v>6</v>
      </c>
      <c r="C1383" t="s">
        <v>15169</v>
      </c>
      <c r="D1383">
        <v>3.7999999999999999E-2</v>
      </c>
      <c r="E1383" t="s">
        <v>17789</v>
      </c>
      <c r="F1383" t="s">
        <v>15195</v>
      </c>
    </row>
    <row r="1384" spans="1:6" x14ac:dyDescent="0.3">
      <c r="A1384" t="s">
        <v>17790</v>
      </c>
      <c r="B1384">
        <v>4200</v>
      </c>
      <c r="C1384" t="s">
        <v>15169</v>
      </c>
      <c r="D1384">
        <v>3.7999999999999999E-2</v>
      </c>
      <c r="E1384" t="s">
        <v>17791</v>
      </c>
      <c r="F1384" t="s">
        <v>15195</v>
      </c>
    </row>
    <row r="1385" spans="1:6" x14ac:dyDescent="0.3">
      <c r="A1385" t="s">
        <v>17792</v>
      </c>
      <c r="B1385">
        <v>672</v>
      </c>
      <c r="C1385" t="s">
        <v>15169</v>
      </c>
      <c r="D1385">
        <v>3.7999999999999999E-2</v>
      </c>
      <c r="E1385" t="s">
        <v>17793</v>
      </c>
      <c r="F1385" t="s">
        <v>15195</v>
      </c>
    </row>
    <row r="1386" spans="1:6" x14ac:dyDescent="0.3">
      <c r="A1386" t="s">
        <v>17794</v>
      </c>
      <c r="B1386">
        <v>672</v>
      </c>
      <c r="C1386" t="s">
        <v>15169</v>
      </c>
      <c r="D1386">
        <v>3.7999999999999999E-2</v>
      </c>
      <c r="E1386" t="s">
        <v>17795</v>
      </c>
      <c r="F1386" t="s">
        <v>15195</v>
      </c>
    </row>
    <row r="1387" spans="1:6" x14ac:dyDescent="0.3">
      <c r="A1387" t="s">
        <v>14810</v>
      </c>
      <c r="B1387">
        <v>6336</v>
      </c>
      <c r="C1387" t="s">
        <v>15169</v>
      </c>
      <c r="D1387">
        <v>3.7999999999999999E-2</v>
      </c>
      <c r="E1387" t="s">
        <v>14811</v>
      </c>
      <c r="F1387" t="s">
        <v>15195</v>
      </c>
    </row>
    <row r="1388" spans="1:6" x14ac:dyDescent="0.3">
      <c r="A1388" t="s">
        <v>17796</v>
      </c>
      <c r="B1388">
        <v>6336</v>
      </c>
      <c r="C1388" t="s">
        <v>15169</v>
      </c>
      <c r="D1388">
        <v>3.7999999999999999E-2</v>
      </c>
      <c r="E1388" t="s">
        <v>17797</v>
      </c>
      <c r="F1388" t="s">
        <v>15195</v>
      </c>
    </row>
    <row r="1389" spans="1:6" x14ac:dyDescent="0.3">
      <c r="A1389" t="s">
        <v>17798</v>
      </c>
      <c r="B1389">
        <v>4320</v>
      </c>
      <c r="C1389" t="s">
        <v>15169</v>
      </c>
      <c r="D1389">
        <v>3.7999999999999999E-2</v>
      </c>
      <c r="E1389" t="s">
        <v>17799</v>
      </c>
      <c r="F1389" t="s">
        <v>15195</v>
      </c>
    </row>
    <row r="1390" spans="1:6" x14ac:dyDescent="0.3">
      <c r="A1390" t="s">
        <v>17800</v>
      </c>
      <c r="B1390">
        <v>6336</v>
      </c>
      <c r="C1390" t="s">
        <v>15169</v>
      </c>
      <c r="D1390">
        <v>3.7999999999999999E-2</v>
      </c>
      <c r="E1390" t="s">
        <v>17801</v>
      </c>
      <c r="F1390" t="s">
        <v>15195</v>
      </c>
    </row>
    <row r="1391" spans="1:6" x14ac:dyDescent="0.3">
      <c r="A1391" t="s">
        <v>17802</v>
      </c>
      <c r="B1391">
        <v>6336</v>
      </c>
      <c r="C1391" t="s">
        <v>15169</v>
      </c>
      <c r="D1391">
        <v>3.7999999999999999E-2</v>
      </c>
      <c r="E1391" t="s">
        <v>17803</v>
      </c>
      <c r="F1391" t="s">
        <v>15195</v>
      </c>
    </row>
    <row r="1392" spans="1:6" x14ac:dyDescent="0.3">
      <c r="A1392" t="s">
        <v>17804</v>
      </c>
      <c r="B1392">
        <v>7200</v>
      </c>
      <c r="C1392" t="s">
        <v>15169</v>
      </c>
      <c r="D1392">
        <v>3.8399999999999997E-2</v>
      </c>
      <c r="E1392" t="s">
        <v>17805</v>
      </c>
      <c r="F1392" t="s">
        <v>15214</v>
      </c>
    </row>
    <row r="1393" spans="1:6" x14ac:dyDescent="0.3">
      <c r="A1393" t="s">
        <v>17806</v>
      </c>
      <c r="B1393">
        <v>7200</v>
      </c>
      <c r="C1393" t="s">
        <v>15169</v>
      </c>
      <c r="D1393">
        <v>3.8399999999999997E-2</v>
      </c>
      <c r="E1393" t="s">
        <v>17807</v>
      </c>
      <c r="F1393" t="s">
        <v>15214</v>
      </c>
    </row>
    <row r="1394" spans="1:6" x14ac:dyDescent="0.3">
      <c r="A1394" t="s">
        <v>17808</v>
      </c>
      <c r="B1394">
        <v>672</v>
      </c>
      <c r="C1394" t="s">
        <v>15169</v>
      </c>
      <c r="D1394">
        <v>3.8399999999999997E-2</v>
      </c>
      <c r="E1394" t="s">
        <v>17809</v>
      </c>
      <c r="F1394" t="s">
        <v>15214</v>
      </c>
    </row>
    <row r="1395" spans="1:6" x14ac:dyDescent="0.3">
      <c r="A1395" t="s">
        <v>17810</v>
      </c>
      <c r="B1395">
        <v>7200</v>
      </c>
      <c r="C1395" t="s">
        <v>15169</v>
      </c>
      <c r="D1395">
        <v>3.8399999999999997E-2</v>
      </c>
      <c r="E1395" t="s">
        <v>17811</v>
      </c>
      <c r="F1395" t="s">
        <v>15214</v>
      </c>
    </row>
    <row r="1396" spans="1:6" x14ac:dyDescent="0.3">
      <c r="A1396" t="s">
        <v>17812</v>
      </c>
      <c r="B1396">
        <v>672</v>
      </c>
      <c r="C1396" t="s">
        <v>15169</v>
      </c>
      <c r="D1396">
        <v>3.8399999999999997E-2</v>
      </c>
      <c r="E1396" t="s">
        <v>17813</v>
      </c>
      <c r="F1396" t="s">
        <v>15214</v>
      </c>
    </row>
    <row r="1397" spans="1:6" x14ac:dyDescent="0.3">
      <c r="A1397" t="s">
        <v>17814</v>
      </c>
      <c r="B1397">
        <v>8544</v>
      </c>
      <c r="C1397" t="s">
        <v>15169</v>
      </c>
      <c r="D1397">
        <v>3.95E-2</v>
      </c>
      <c r="E1397" t="s">
        <v>17815</v>
      </c>
      <c r="F1397" t="s">
        <v>15314</v>
      </c>
    </row>
    <row r="1398" spans="1:6" x14ac:dyDescent="0.3">
      <c r="A1398" t="s">
        <v>17816</v>
      </c>
      <c r="B1398">
        <v>8544</v>
      </c>
      <c r="C1398" t="s">
        <v>15169</v>
      </c>
      <c r="D1398">
        <v>3.95E-2</v>
      </c>
      <c r="E1398" t="s">
        <v>17817</v>
      </c>
      <c r="F1398" t="s">
        <v>15314</v>
      </c>
    </row>
    <row r="1399" spans="1:6" x14ac:dyDescent="0.3">
      <c r="A1399" t="s">
        <v>17818</v>
      </c>
      <c r="B1399">
        <v>9</v>
      </c>
      <c r="C1399" t="s">
        <v>15169</v>
      </c>
      <c r="D1399">
        <v>3.95E-2</v>
      </c>
      <c r="E1399" t="s">
        <v>17819</v>
      </c>
      <c r="F1399" t="s">
        <v>15195</v>
      </c>
    </row>
    <row r="1400" spans="1:6" x14ac:dyDescent="0.3">
      <c r="A1400" t="s">
        <v>17820</v>
      </c>
      <c r="B1400">
        <v>9</v>
      </c>
      <c r="C1400" t="s">
        <v>15169</v>
      </c>
      <c r="D1400">
        <v>3.95E-2</v>
      </c>
      <c r="E1400" t="s">
        <v>17821</v>
      </c>
      <c r="F1400" t="s">
        <v>15314</v>
      </c>
    </row>
    <row r="1401" spans="1:6" x14ac:dyDescent="0.3">
      <c r="A1401" t="s">
        <v>17822</v>
      </c>
      <c r="B1401">
        <v>8544</v>
      </c>
      <c r="C1401" t="s">
        <v>15169</v>
      </c>
      <c r="D1401">
        <v>3.95E-2</v>
      </c>
      <c r="E1401" t="s">
        <v>17823</v>
      </c>
      <c r="F1401" t="s">
        <v>15314</v>
      </c>
    </row>
    <row r="1402" spans="1:6" x14ac:dyDescent="0.3">
      <c r="A1402" t="s">
        <v>17824</v>
      </c>
      <c r="B1402">
        <v>8544</v>
      </c>
      <c r="C1402" t="s">
        <v>15169</v>
      </c>
      <c r="D1402">
        <v>3.95E-2</v>
      </c>
      <c r="E1402" t="s">
        <v>17825</v>
      </c>
      <c r="F1402" t="s">
        <v>15314</v>
      </c>
    </row>
    <row r="1403" spans="1:6" x14ac:dyDescent="0.3">
      <c r="A1403" t="s">
        <v>17826</v>
      </c>
      <c r="B1403">
        <v>8544</v>
      </c>
      <c r="C1403" t="s">
        <v>15169</v>
      </c>
      <c r="D1403">
        <v>3.95E-2</v>
      </c>
      <c r="E1403" t="s">
        <v>17827</v>
      </c>
      <c r="F1403" t="s">
        <v>15314</v>
      </c>
    </row>
    <row r="1404" spans="1:6" x14ac:dyDescent="0.3">
      <c r="A1404" t="s">
        <v>17828</v>
      </c>
      <c r="B1404">
        <v>9</v>
      </c>
      <c r="C1404" t="s">
        <v>15169</v>
      </c>
      <c r="D1404">
        <v>3.95E-2</v>
      </c>
      <c r="E1404" t="s">
        <v>17829</v>
      </c>
      <c r="F1404" t="s">
        <v>15314</v>
      </c>
    </row>
    <row r="1405" spans="1:6" x14ac:dyDescent="0.3">
      <c r="A1405" t="s">
        <v>17830</v>
      </c>
      <c r="B1405">
        <v>8544</v>
      </c>
      <c r="C1405" t="s">
        <v>15169</v>
      </c>
      <c r="D1405">
        <v>3.95E-2</v>
      </c>
      <c r="E1405" t="s">
        <v>17831</v>
      </c>
      <c r="F1405" t="s">
        <v>15314</v>
      </c>
    </row>
    <row r="1406" spans="1:6" x14ac:dyDescent="0.3">
      <c r="A1406" t="s">
        <v>17832</v>
      </c>
      <c r="B1406">
        <v>6720</v>
      </c>
      <c r="C1406" t="s">
        <v>15169</v>
      </c>
      <c r="D1406">
        <v>4.3999999999999997E-2</v>
      </c>
      <c r="E1406" t="s">
        <v>17833</v>
      </c>
      <c r="F1406" t="s">
        <v>15314</v>
      </c>
    </row>
    <row r="1407" spans="1:6" x14ac:dyDescent="0.3">
      <c r="A1407" t="s">
        <v>17834</v>
      </c>
      <c r="B1407">
        <v>6624</v>
      </c>
      <c r="C1407" t="s">
        <v>15169</v>
      </c>
      <c r="D1407">
        <v>4.4999999999999998E-2</v>
      </c>
      <c r="E1407" t="s">
        <v>17835</v>
      </c>
      <c r="F1407" t="s">
        <v>15195</v>
      </c>
    </row>
    <row r="1408" spans="1:6" x14ac:dyDescent="0.3">
      <c r="A1408" t="s">
        <v>426</v>
      </c>
      <c r="B1408">
        <v>6624</v>
      </c>
      <c r="C1408" t="s">
        <v>15169</v>
      </c>
      <c r="D1408">
        <v>4.4999999999999998E-2</v>
      </c>
      <c r="E1408" t="s">
        <v>427</v>
      </c>
      <c r="F1408" t="s">
        <v>15195</v>
      </c>
    </row>
    <row r="1409" spans="1:6" x14ac:dyDescent="0.3">
      <c r="A1409" t="s">
        <v>17836</v>
      </c>
      <c r="B1409">
        <v>6624</v>
      </c>
      <c r="C1409" t="s">
        <v>15169</v>
      </c>
      <c r="D1409">
        <v>4.4999999999999998E-2</v>
      </c>
      <c r="E1409" t="s">
        <v>17837</v>
      </c>
      <c r="F1409" t="s">
        <v>15195</v>
      </c>
    </row>
    <row r="1410" spans="1:6" x14ac:dyDescent="0.3">
      <c r="A1410" t="s">
        <v>17838</v>
      </c>
      <c r="B1410">
        <v>672</v>
      </c>
      <c r="C1410" t="s">
        <v>15169</v>
      </c>
      <c r="D1410">
        <v>4.4999999999999998E-2</v>
      </c>
      <c r="E1410" t="s">
        <v>17839</v>
      </c>
      <c r="F1410" t="s">
        <v>15195</v>
      </c>
    </row>
    <row r="1411" spans="1:6" x14ac:dyDescent="0.3">
      <c r="A1411" t="s">
        <v>1113</v>
      </c>
      <c r="B1411">
        <v>6624</v>
      </c>
      <c r="C1411" t="s">
        <v>15169</v>
      </c>
      <c r="D1411">
        <v>4.4999999999999998E-2</v>
      </c>
      <c r="E1411" t="s">
        <v>17840</v>
      </c>
      <c r="F1411" t="s">
        <v>15195</v>
      </c>
    </row>
    <row r="1412" spans="1:6" x14ac:dyDescent="0.3">
      <c r="A1412" t="s">
        <v>17841</v>
      </c>
      <c r="B1412">
        <v>6624</v>
      </c>
      <c r="C1412" t="s">
        <v>15169</v>
      </c>
      <c r="D1412">
        <v>4.4999999999999998E-2</v>
      </c>
      <c r="E1412" t="s">
        <v>17842</v>
      </c>
      <c r="F1412" t="s">
        <v>15195</v>
      </c>
    </row>
    <row r="1413" spans="1:6" x14ac:dyDescent="0.3">
      <c r="A1413" t="s">
        <v>17843</v>
      </c>
      <c r="B1413">
        <v>6624</v>
      </c>
      <c r="C1413" t="s">
        <v>15169</v>
      </c>
      <c r="D1413">
        <v>4.4999999999999998E-2</v>
      </c>
      <c r="E1413" t="s">
        <v>17844</v>
      </c>
      <c r="F1413" t="s">
        <v>15195</v>
      </c>
    </row>
    <row r="1414" spans="1:6" x14ac:dyDescent="0.3">
      <c r="A1414" t="s">
        <v>27</v>
      </c>
      <c r="B1414">
        <v>6624</v>
      </c>
      <c r="C1414" t="s">
        <v>15169</v>
      </c>
      <c r="D1414">
        <v>4.4999999999999998E-2</v>
      </c>
      <c r="E1414" t="s">
        <v>28</v>
      </c>
      <c r="F1414" t="s">
        <v>15195</v>
      </c>
    </row>
    <row r="1415" spans="1:6" x14ac:dyDescent="0.3">
      <c r="A1415" t="s">
        <v>17845</v>
      </c>
      <c r="B1415">
        <v>6624</v>
      </c>
      <c r="C1415" t="s">
        <v>15169</v>
      </c>
      <c r="D1415">
        <v>4.4999999999999998E-2</v>
      </c>
      <c r="E1415" t="s">
        <v>17846</v>
      </c>
      <c r="F1415" t="s">
        <v>15195</v>
      </c>
    </row>
    <row r="1416" spans="1:6" x14ac:dyDescent="0.3">
      <c r="A1416" t="s">
        <v>17847</v>
      </c>
      <c r="B1416">
        <v>672</v>
      </c>
      <c r="C1416" t="s">
        <v>15169</v>
      </c>
      <c r="D1416">
        <v>4.4999999999999998E-2</v>
      </c>
      <c r="E1416" t="s">
        <v>17848</v>
      </c>
      <c r="F1416" t="s">
        <v>15195</v>
      </c>
    </row>
    <row r="1417" spans="1:6" x14ac:dyDescent="0.3">
      <c r="A1417" t="s">
        <v>10506</v>
      </c>
      <c r="B1417">
        <v>6624</v>
      </c>
      <c r="C1417" t="s">
        <v>15169</v>
      </c>
      <c r="D1417">
        <v>4.4999999999999998E-2</v>
      </c>
      <c r="E1417" t="s">
        <v>10507</v>
      </c>
      <c r="F1417" t="s">
        <v>15195</v>
      </c>
    </row>
    <row r="1418" spans="1:6" x14ac:dyDescent="0.3">
      <c r="A1418" t="s">
        <v>17849</v>
      </c>
      <c r="B1418">
        <v>6624</v>
      </c>
      <c r="C1418" t="s">
        <v>15169</v>
      </c>
      <c r="D1418">
        <v>4.4999999999999998E-2</v>
      </c>
      <c r="E1418" t="s">
        <v>17850</v>
      </c>
      <c r="F1418" t="s">
        <v>15195</v>
      </c>
    </row>
    <row r="1419" spans="1:6" x14ac:dyDescent="0.3">
      <c r="A1419" t="s">
        <v>17851</v>
      </c>
      <c r="B1419">
        <v>3600</v>
      </c>
      <c r="C1419" t="s">
        <v>15169</v>
      </c>
      <c r="D1419">
        <v>4.65E-2</v>
      </c>
      <c r="E1419" t="s">
        <v>17852</v>
      </c>
      <c r="F1419" t="s">
        <v>15195</v>
      </c>
    </row>
    <row r="1420" spans="1:6" x14ac:dyDescent="0.3">
      <c r="A1420" t="s">
        <v>17853</v>
      </c>
      <c r="B1420">
        <v>3600</v>
      </c>
      <c r="C1420" t="s">
        <v>15169</v>
      </c>
      <c r="D1420">
        <v>4.65E-2</v>
      </c>
      <c r="E1420" t="s">
        <v>17854</v>
      </c>
      <c r="F1420" t="s">
        <v>15195</v>
      </c>
    </row>
    <row r="1421" spans="1:6" x14ac:dyDescent="0.3">
      <c r="A1421" t="s">
        <v>17855</v>
      </c>
      <c r="B1421">
        <v>6624</v>
      </c>
      <c r="C1421" t="s">
        <v>15169</v>
      </c>
      <c r="D1421">
        <v>4.7500000000000001E-2</v>
      </c>
      <c r="E1421" t="s">
        <v>17856</v>
      </c>
      <c r="F1421" t="s">
        <v>15195</v>
      </c>
    </row>
    <row r="1422" spans="1:6" x14ac:dyDescent="0.3">
      <c r="A1422" t="s">
        <v>17857</v>
      </c>
      <c r="B1422">
        <v>6624</v>
      </c>
      <c r="C1422" t="s">
        <v>15169</v>
      </c>
      <c r="D1422">
        <v>4.7500000000000001E-2</v>
      </c>
      <c r="E1422" t="s">
        <v>17858</v>
      </c>
      <c r="F1422" t="s">
        <v>15195</v>
      </c>
    </row>
    <row r="1423" spans="1:6" x14ac:dyDescent="0.3">
      <c r="A1423" t="s">
        <v>17859</v>
      </c>
      <c r="B1423">
        <v>6624</v>
      </c>
      <c r="C1423" t="s">
        <v>15169</v>
      </c>
      <c r="D1423">
        <v>4.7500000000000001E-2</v>
      </c>
      <c r="E1423" t="s">
        <v>17860</v>
      </c>
      <c r="F1423" t="s">
        <v>15195</v>
      </c>
    </row>
    <row r="1424" spans="1:6" x14ac:dyDescent="0.3">
      <c r="A1424" t="s">
        <v>2468</v>
      </c>
      <c r="B1424">
        <v>6624</v>
      </c>
      <c r="C1424" t="s">
        <v>15169</v>
      </c>
      <c r="D1424">
        <v>4.7500000000000001E-2</v>
      </c>
      <c r="E1424" t="s">
        <v>2469</v>
      </c>
      <c r="F1424" t="s">
        <v>15195</v>
      </c>
    </row>
    <row r="1425" spans="1:6" x14ac:dyDescent="0.3">
      <c r="A1425" t="s">
        <v>17861</v>
      </c>
      <c r="B1425">
        <v>3840</v>
      </c>
      <c r="C1425" t="s">
        <v>15312</v>
      </c>
      <c r="D1425">
        <v>3.4000000000000002E-2</v>
      </c>
      <c r="E1425" t="s">
        <v>17862</v>
      </c>
      <c r="F1425" t="s">
        <v>15314</v>
      </c>
    </row>
    <row r="1426" spans="1:6" x14ac:dyDescent="0.3">
      <c r="A1426" t="s">
        <v>4796</v>
      </c>
      <c r="B1426">
        <v>4864</v>
      </c>
      <c r="C1426" t="s">
        <v>15169</v>
      </c>
      <c r="D1426">
        <v>4.8000000000000001E-2</v>
      </c>
      <c r="E1426" t="s">
        <v>4797</v>
      </c>
      <c r="F1426" t="s">
        <v>15195</v>
      </c>
    </row>
    <row r="1427" spans="1:6" x14ac:dyDescent="0.3">
      <c r="A1427" t="s">
        <v>17863</v>
      </c>
      <c r="B1427">
        <v>4800</v>
      </c>
      <c r="C1427" t="s">
        <v>15169</v>
      </c>
      <c r="D1427">
        <v>4.8000000000000001E-2</v>
      </c>
      <c r="E1427" t="s">
        <v>17864</v>
      </c>
      <c r="F1427" t="s">
        <v>15195</v>
      </c>
    </row>
    <row r="1428" spans="1:6" x14ac:dyDescent="0.3">
      <c r="A1428" t="s">
        <v>17865</v>
      </c>
      <c r="B1428">
        <v>3168</v>
      </c>
      <c r="C1428" t="s">
        <v>15169</v>
      </c>
      <c r="D1428">
        <v>4.8000000000000001E-2</v>
      </c>
      <c r="E1428" t="s">
        <v>17866</v>
      </c>
      <c r="F1428" t="s">
        <v>15195</v>
      </c>
    </row>
    <row r="1429" spans="1:6" x14ac:dyDescent="0.3">
      <c r="A1429" t="s">
        <v>17867</v>
      </c>
      <c r="B1429">
        <v>4800</v>
      </c>
      <c r="C1429" t="s">
        <v>15169</v>
      </c>
      <c r="D1429">
        <v>4.9500000000000002E-2</v>
      </c>
      <c r="E1429" t="s">
        <v>17868</v>
      </c>
      <c r="F1429" t="s">
        <v>15195</v>
      </c>
    </row>
    <row r="1430" spans="1:6" x14ac:dyDescent="0.3">
      <c r="A1430" t="s">
        <v>17869</v>
      </c>
      <c r="B1430">
        <v>6624</v>
      </c>
      <c r="C1430" t="s">
        <v>15169</v>
      </c>
      <c r="D1430">
        <v>0.05</v>
      </c>
      <c r="E1430" t="s">
        <v>17870</v>
      </c>
      <c r="F1430" t="s">
        <v>15195</v>
      </c>
    </row>
    <row r="1431" spans="1:6" x14ac:dyDescent="0.3">
      <c r="A1431" t="s">
        <v>17871</v>
      </c>
      <c r="B1431">
        <v>6624</v>
      </c>
      <c r="C1431" t="s">
        <v>15169</v>
      </c>
      <c r="D1431">
        <v>0.05</v>
      </c>
      <c r="E1431" t="s">
        <v>17872</v>
      </c>
      <c r="F1431" t="s">
        <v>15195</v>
      </c>
    </row>
    <row r="1432" spans="1:6" x14ac:dyDescent="0.3">
      <c r="A1432" t="s">
        <v>17873</v>
      </c>
      <c r="B1432">
        <v>6624</v>
      </c>
      <c r="C1432" t="s">
        <v>15169</v>
      </c>
      <c r="D1432">
        <v>0.05</v>
      </c>
      <c r="E1432" t="s">
        <v>17874</v>
      </c>
      <c r="F1432" t="s">
        <v>15195</v>
      </c>
    </row>
    <row r="1433" spans="1:6" x14ac:dyDescent="0.3">
      <c r="A1433" t="s">
        <v>17875</v>
      </c>
      <c r="B1433">
        <v>6624</v>
      </c>
      <c r="C1433" t="s">
        <v>15169</v>
      </c>
      <c r="D1433">
        <v>0.05</v>
      </c>
      <c r="E1433" t="s">
        <v>17876</v>
      </c>
      <c r="F1433" t="s">
        <v>15195</v>
      </c>
    </row>
    <row r="1434" spans="1:6" x14ac:dyDescent="0.3">
      <c r="A1434" t="s">
        <v>17877</v>
      </c>
      <c r="B1434">
        <v>6624</v>
      </c>
      <c r="C1434" t="s">
        <v>15169</v>
      </c>
      <c r="D1434">
        <v>0.05</v>
      </c>
      <c r="E1434" t="s">
        <v>17878</v>
      </c>
      <c r="F1434" t="s">
        <v>15195</v>
      </c>
    </row>
    <row r="1435" spans="1:6" x14ac:dyDescent="0.3">
      <c r="A1435" t="s">
        <v>17879</v>
      </c>
      <c r="B1435">
        <v>6624</v>
      </c>
      <c r="C1435" t="s">
        <v>15169</v>
      </c>
      <c r="D1435">
        <v>0.05</v>
      </c>
      <c r="E1435" t="s">
        <v>17880</v>
      </c>
      <c r="F1435" t="s">
        <v>15195</v>
      </c>
    </row>
    <row r="1436" spans="1:6" x14ac:dyDescent="0.3">
      <c r="A1436" t="s">
        <v>5986</v>
      </c>
      <c r="B1436">
        <v>6624</v>
      </c>
      <c r="C1436" t="s">
        <v>15169</v>
      </c>
      <c r="D1436">
        <v>5.0099999999999999E-2</v>
      </c>
      <c r="E1436" t="s">
        <v>5987</v>
      </c>
      <c r="F1436" t="s">
        <v>15195</v>
      </c>
    </row>
    <row r="1437" spans="1:6" x14ac:dyDescent="0.3">
      <c r="A1437" t="s">
        <v>17881</v>
      </c>
      <c r="B1437">
        <v>6624</v>
      </c>
      <c r="C1437" t="s">
        <v>15169</v>
      </c>
      <c r="D1437">
        <v>5.0099999999999999E-2</v>
      </c>
      <c r="E1437" t="s">
        <v>17882</v>
      </c>
      <c r="F1437" t="s">
        <v>15195</v>
      </c>
    </row>
    <row r="1438" spans="1:6" x14ac:dyDescent="0.3">
      <c r="A1438" t="s">
        <v>17883</v>
      </c>
      <c r="B1438">
        <v>6624</v>
      </c>
      <c r="C1438" t="s">
        <v>15169</v>
      </c>
      <c r="D1438">
        <v>5.0099999999999999E-2</v>
      </c>
      <c r="E1438" t="s">
        <v>17884</v>
      </c>
      <c r="F1438" t="s">
        <v>15195</v>
      </c>
    </row>
    <row r="1439" spans="1:6" x14ac:dyDescent="0.3">
      <c r="A1439" t="s">
        <v>3142</v>
      </c>
      <c r="B1439">
        <v>6624</v>
      </c>
      <c r="C1439" t="s">
        <v>15169</v>
      </c>
      <c r="D1439">
        <v>5.0099999999999999E-2</v>
      </c>
      <c r="E1439" t="s">
        <v>3143</v>
      </c>
      <c r="F1439" t="s">
        <v>15195</v>
      </c>
    </row>
    <row r="1440" spans="1:6" x14ac:dyDescent="0.3">
      <c r="A1440" t="s">
        <v>17885</v>
      </c>
      <c r="B1440">
        <v>6624</v>
      </c>
      <c r="C1440" t="s">
        <v>15169</v>
      </c>
      <c r="D1440">
        <v>5.0099999999999999E-2</v>
      </c>
      <c r="E1440" t="s">
        <v>17886</v>
      </c>
      <c r="F1440" t="s">
        <v>15195</v>
      </c>
    </row>
    <row r="1441" spans="1:6" x14ac:dyDescent="0.3">
      <c r="A1441" t="s">
        <v>17887</v>
      </c>
      <c r="B1441">
        <v>6624</v>
      </c>
      <c r="C1441" t="s">
        <v>15169</v>
      </c>
      <c r="D1441">
        <v>5.0099999999999999E-2</v>
      </c>
      <c r="E1441" t="s">
        <v>17888</v>
      </c>
      <c r="F1441" t="s">
        <v>15195</v>
      </c>
    </row>
    <row r="1442" spans="1:6" x14ac:dyDescent="0.3">
      <c r="A1442" t="s">
        <v>17889</v>
      </c>
      <c r="B1442">
        <v>6624</v>
      </c>
      <c r="C1442" t="s">
        <v>15169</v>
      </c>
      <c r="D1442">
        <v>5.0099999999999999E-2</v>
      </c>
      <c r="E1442" t="s">
        <v>17890</v>
      </c>
      <c r="F1442" t="s">
        <v>15195</v>
      </c>
    </row>
    <row r="1443" spans="1:6" x14ac:dyDescent="0.3">
      <c r="A1443" t="s">
        <v>17891</v>
      </c>
      <c r="B1443">
        <v>6624</v>
      </c>
      <c r="C1443" t="s">
        <v>15169</v>
      </c>
      <c r="D1443">
        <v>5.0099999999999999E-2</v>
      </c>
      <c r="E1443" t="s">
        <v>17892</v>
      </c>
      <c r="F1443" t="s">
        <v>15195</v>
      </c>
    </row>
    <row r="1444" spans="1:6" x14ac:dyDescent="0.3">
      <c r="A1444" t="s">
        <v>17893</v>
      </c>
      <c r="B1444">
        <v>6624</v>
      </c>
      <c r="C1444" t="s">
        <v>15169</v>
      </c>
      <c r="D1444">
        <v>5.0099999999999999E-2</v>
      </c>
      <c r="E1444" t="s">
        <v>17894</v>
      </c>
      <c r="F1444" t="s">
        <v>15195</v>
      </c>
    </row>
    <row r="1445" spans="1:6" x14ac:dyDescent="0.3">
      <c r="A1445" t="s">
        <v>17895</v>
      </c>
      <c r="B1445">
        <v>6624</v>
      </c>
      <c r="C1445" t="s">
        <v>15169</v>
      </c>
      <c r="D1445">
        <v>5.0099999999999999E-2</v>
      </c>
      <c r="E1445" t="s">
        <v>17896</v>
      </c>
      <c r="F1445" t="s">
        <v>15195</v>
      </c>
    </row>
    <row r="1446" spans="1:6" x14ac:dyDescent="0.3">
      <c r="A1446" t="s">
        <v>3608</v>
      </c>
      <c r="B1446">
        <v>6624</v>
      </c>
      <c r="C1446" t="s">
        <v>15169</v>
      </c>
      <c r="D1446">
        <v>5.0099999999999999E-2</v>
      </c>
      <c r="E1446" t="s">
        <v>3609</v>
      </c>
      <c r="F1446" t="s">
        <v>15195</v>
      </c>
    </row>
    <row r="1447" spans="1:6" x14ac:dyDescent="0.3">
      <c r="A1447" t="s">
        <v>17897</v>
      </c>
      <c r="B1447">
        <v>6624</v>
      </c>
      <c r="C1447" t="s">
        <v>15169</v>
      </c>
      <c r="D1447">
        <v>5.0099999999999999E-2</v>
      </c>
      <c r="E1447" t="s">
        <v>17898</v>
      </c>
      <c r="F1447" t="s">
        <v>15195</v>
      </c>
    </row>
    <row r="1448" spans="1:6" x14ac:dyDescent="0.3">
      <c r="A1448" t="s">
        <v>17899</v>
      </c>
      <c r="B1448">
        <v>6624</v>
      </c>
      <c r="C1448" t="s">
        <v>15169</v>
      </c>
      <c r="D1448">
        <v>5.0099999999999999E-2</v>
      </c>
      <c r="E1448" t="s">
        <v>17900</v>
      </c>
      <c r="F1448" t="s">
        <v>15195</v>
      </c>
    </row>
    <row r="1449" spans="1:6" x14ac:dyDescent="0.3">
      <c r="A1449" t="s">
        <v>6244</v>
      </c>
      <c r="B1449">
        <v>6624</v>
      </c>
      <c r="C1449" t="s">
        <v>15169</v>
      </c>
      <c r="D1449">
        <v>5.0099999999999999E-2</v>
      </c>
      <c r="E1449" t="s">
        <v>6245</v>
      </c>
      <c r="F1449" t="s">
        <v>15195</v>
      </c>
    </row>
    <row r="1450" spans="1:6" x14ac:dyDescent="0.3">
      <c r="A1450" t="s">
        <v>17901</v>
      </c>
      <c r="B1450">
        <v>6624</v>
      </c>
      <c r="C1450" t="s">
        <v>15169</v>
      </c>
      <c r="D1450">
        <v>5.0099999999999999E-2</v>
      </c>
      <c r="E1450" t="s">
        <v>17902</v>
      </c>
      <c r="F1450" t="s">
        <v>15195</v>
      </c>
    </row>
    <row r="1451" spans="1:6" x14ac:dyDescent="0.3">
      <c r="A1451" t="s">
        <v>17903</v>
      </c>
      <c r="B1451">
        <v>6624</v>
      </c>
      <c r="C1451" t="s">
        <v>15169</v>
      </c>
      <c r="D1451">
        <v>5.0099999999999999E-2</v>
      </c>
      <c r="E1451" t="s">
        <v>17904</v>
      </c>
      <c r="F1451" t="s">
        <v>15195</v>
      </c>
    </row>
    <row r="1452" spans="1:6" x14ac:dyDescent="0.3">
      <c r="A1452" t="s">
        <v>17905</v>
      </c>
      <c r="B1452">
        <v>6624</v>
      </c>
      <c r="C1452" t="s">
        <v>15169</v>
      </c>
      <c r="D1452">
        <v>5.0099999999999999E-2</v>
      </c>
      <c r="E1452" t="s">
        <v>17906</v>
      </c>
      <c r="F1452" t="s">
        <v>15195</v>
      </c>
    </row>
    <row r="1453" spans="1:6" x14ac:dyDescent="0.3">
      <c r="A1453" t="s">
        <v>17907</v>
      </c>
      <c r="B1453">
        <v>6624</v>
      </c>
      <c r="C1453" t="s">
        <v>15169</v>
      </c>
      <c r="D1453">
        <v>5.0099999999999999E-2</v>
      </c>
      <c r="E1453" t="s">
        <v>17908</v>
      </c>
      <c r="F1453" t="s">
        <v>15195</v>
      </c>
    </row>
    <row r="1454" spans="1:6" x14ac:dyDescent="0.3">
      <c r="A1454" t="s">
        <v>17909</v>
      </c>
      <c r="B1454">
        <v>6624</v>
      </c>
      <c r="C1454" t="s">
        <v>15169</v>
      </c>
      <c r="D1454">
        <v>5.0099999999999999E-2</v>
      </c>
      <c r="E1454" t="s">
        <v>17910</v>
      </c>
      <c r="F1454" t="s">
        <v>15195</v>
      </c>
    </row>
    <row r="1455" spans="1:6" x14ac:dyDescent="0.3">
      <c r="A1455" t="s">
        <v>17911</v>
      </c>
      <c r="B1455">
        <v>6624</v>
      </c>
      <c r="C1455" t="s">
        <v>15169</v>
      </c>
      <c r="D1455">
        <v>5.0099999999999999E-2</v>
      </c>
      <c r="E1455" t="s">
        <v>17912</v>
      </c>
      <c r="F1455" t="s">
        <v>15195</v>
      </c>
    </row>
    <row r="1456" spans="1:6" x14ac:dyDescent="0.3">
      <c r="A1456" t="s">
        <v>17913</v>
      </c>
      <c r="B1456">
        <v>6624</v>
      </c>
      <c r="C1456" t="s">
        <v>15169</v>
      </c>
      <c r="D1456">
        <v>5.0099999999999999E-2</v>
      </c>
      <c r="E1456" t="s">
        <v>17914</v>
      </c>
      <c r="F1456" t="s">
        <v>15195</v>
      </c>
    </row>
    <row r="1457" spans="1:6" x14ac:dyDescent="0.3">
      <c r="A1457" t="s">
        <v>17915</v>
      </c>
      <c r="B1457">
        <v>6624</v>
      </c>
      <c r="C1457" t="s">
        <v>15169</v>
      </c>
      <c r="D1457">
        <v>5.0099999999999999E-2</v>
      </c>
      <c r="E1457" t="s">
        <v>17916</v>
      </c>
      <c r="F1457" t="s">
        <v>15195</v>
      </c>
    </row>
    <row r="1458" spans="1:6" x14ac:dyDescent="0.3">
      <c r="A1458" t="s">
        <v>17917</v>
      </c>
      <c r="B1458">
        <v>2700</v>
      </c>
      <c r="C1458" t="s">
        <v>15312</v>
      </c>
      <c r="D1458">
        <v>2.8000000000000001E-2</v>
      </c>
      <c r="E1458" t="s">
        <v>17918</v>
      </c>
      <c r="F1458" t="s">
        <v>15314</v>
      </c>
    </row>
    <row r="1459" spans="1:6" x14ac:dyDescent="0.3">
      <c r="A1459" t="s">
        <v>17919</v>
      </c>
      <c r="B1459">
        <v>6120</v>
      </c>
      <c r="C1459" t="s">
        <v>15169</v>
      </c>
      <c r="D1459">
        <v>5.0999999999999997E-2</v>
      </c>
      <c r="E1459" t="s">
        <v>17920</v>
      </c>
      <c r="F1459" t="s">
        <v>15195</v>
      </c>
    </row>
    <row r="1460" spans="1:6" x14ac:dyDescent="0.3">
      <c r="A1460" t="s">
        <v>17921</v>
      </c>
      <c r="B1460">
        <v>6120</v>
      </c>
      <c r="C1460" t="s">
        <v>15169</v>
      </c>
      <c r="D1460">
        <v>5.0999999999999997E-2</v>
      </c>
      <c r="E1460" t="s">
        <v>17922</v>
      </c>
      <c r="F1460" t="s">
        <v>15195</v>
      </c>
    </row>
    <row r="1461" spans="1:6" x14ac:dyDescent="0.3">
      <c r="A1461" t="s">
        <v>17923</v>
      </c>
      <c r="B1461">
        <v>6120</v>
      </c>
      <c r="C1461" t="s">
        <v>15169</v>
      </c>
      <c r="D1461">
        <v>5.0999999999999997E-2</v>
      </c>
      <c r="E1461" t="s">
        <v>17924</v>
      </c>
      <c r="F1461" t="s">
        <v>15195</v>
      </c>
    </row>
    <row r="1462" spans="1:6" x14ac:dyDescent="0.3">
      <c r="A1462" t="s">
        <v>17925</v>
      </c>
      <c r="B1462">
        <v>6120</v>
      </c>
      <c r="C1462" t="s">
        <v>15169</v>
      </c>
      <c r="D1462">
        <v>5.0999999999999997E-2</v>
      </c>
      <c r="E1462" t="s">
        <v>17926</v>
      </c>
      <c r="F1462" t="s">
        <v>15195</v>
      </c>
    </row>
    <row r="1463" spans="1:6" x14ac:dyDescent="0.3">
      <c r="A1463" t="s">
        <v>17927</v>
      </c>
      <c r="B1463">
        <v>6120</v>
      </c>
      <c r="C1463" t="s">
        <v>15169</v>
      </c>
      <c r="D1463">
        <v>5.0999999999999997E-2</v>
      </c>
      <c r="E1463" t="s">
        <v>17928</v>
      </c>
      <c r="F1463" t="s">
        <v>15195</v>
      </c>
    </row>
    <row r="1464" spans="1:6" x14ac:dyDescent="0.3">
      <c r="A1464" t="s">
        <v>2115</v>
      </c>
      <c r="B1464">
        <v>3600</v>
      </c>
      <c r="C1464" t="s">
        <v>15169</v>
      </c>
      <c r="D1464">
        <v>5.0999999999999997E-2</v>
      </c>
      <c r="E1464" t="s">
        <v>2116</v>
      </c>
      <c r="F1464" t="s">
        <v>15195</v>
      </c>
    </row>
    <row r="1465" spans="1:6" x14ac:dyDescent="0.3">
      <c r="A1465" t="s">
        <v>17929</v>
      </c>
      <c r="B1465">
        <v>576</v>
      </c>
      <c r="C1465" t="s">
        <v>15169</v>
      </c>
      <c r="D1465">
        <v>5.0999999999999997E-2</v>
      </c>
      <c r="E1465" t="s">
        <v>17930</v>
      </c>
      <c r="F1465" t="s">
        <v>15195</v>
      </c>
    </row>
    <row r="1466" spans="1:6" x14ac:dyDescent="0.3">
      <c r="A1466" t="s">
        <v>416</v>
      </c>
      <c r="B1466">
        <v>6120</v>
      </c>
      <c r="C1466" t="s">
        <v>15169</v>
      </c>
      <c r="D1466">
        <v>5.0999999999999997E-2</v>
      </c>
      <c r="E1466" t="s">
        <v>417</v>
      </c>
      <c r="F1466" t="s">
        <v>15214</v>
      </c>
    </row>
    <row r="1467" spans="1:6" x14ac:dyDescent="0.3">
      <c r="A1467" t="s">
        <v>17931</v>
      </c>
      <c r="B1467">
        <v>3600</v>
      </c>
      <c r="C1467" t="s">
        <v>15169</v>
      </c>
      <c r="D1467">
        <v>5.0999999999999997E-2</v>
      </c>
      <c r="E1467" t="s">
        <v>17932</v>
      </c>
      <c r="F1467" t="s">
        <v>15195</v>
      </c>
    </row>
    <row r="1468" spans="1:6" x14ac:dyDescent="0.3">
      <c r="A1468" t="s">
        <v>17933</v>
      </c>
      <c r="B1468">
        <v>6120</v>
      </c>
      <c r="C1468" t="s">
        <v>15169</v>
      </c>
      <c r="D1468">
        <v>5.0999999999999997E-2</v>
      </c>
      <c r="E1468" t="s">
        <v>17934</v>
      </c>
      <c r="F1468" t="s">
        <v>15195</v>
      </c>
    </row>
    <row r="1469" spans="1:6" x14ac:dyDescent="0.3">
      <c r="A1469" t="s">
        <v>17935</v>
      </c>
      <c r="B1469">
        <v>3600</v>
      </c>
      <c r="C1469" t="s">
        <v>15169</v>
      </c>
      <c r="D1469">
        <v>5.0999999999999997E-2</v>
      </c>
      <c r="E1469" t="s">
        <v>17936</v>
      </c>
      <c r="F1469" t="s">
        <v>15195</v>
      </c>
    </row>
    <row r="1470" spans="1:6" x14ac:dyDescent="0.3">
      <c r="A1470" t="s">
        <v>17937</v>
      </c>
      <c r="B1470">
        <v>4800</v>
      </c>
      <c r="C1470" t="s">
        <v>15169</v>
      </c>
      <c r="D1470">
        <v>5.1999999999999998E-2</v>
      </c>
      <c r="E1470" t="s">
        <v>17938</v>
      </c>
      <c r="F1470" t="s">
        <v>15195</v>
      </c>
    </row>
    <row r="1471" spans="1:6" x14ac:dyDescent="0.3">
      <c r="A1471" t="s">
        <v>1170</v>
      </c>
      <c r="B1471">
        <v>4800</v>
      </c>
      <c r="C1471" t="s">
        <v>15169</v>
      </c>
      <c r="D1471">
        <v>5.1999999999999998E-2</v>
      </c>
      <c r="E1471" t="s">
        <v>1171</v>
      </c>
      <c r="F1471" t="s">
        <v>15195</v>
      </c>
    </row>
    <row r="1472" spans="1:6" x14ac:dyDescent="0.3">
      <c r="A1472" t="s">
        <v>17939</v>
      </c>
      <c r="B1472">
        <v>3168</v>
      </c>
      <c r="C1472" t="s">
        <v>15169</v>
      </c>
      <c r="D1472">
        <v>5.1999999999999998E-2</v>
      </c>
      <c r="E1472" t="s">
        <v>17940</v>
      </c>
      <c r="F1472" t="s">
        <v>15195</v>
      </c>
    </row>
    <row r="1473" spans="1:6" x14ac:dyDescent="0.3">
      <c r="A1473" t="s">
        <v>17941</v>
      </c>
      <c r="B1473">
        <v>12000</v>
      </c>
      <c r="C1473" t="s">
        <v>15169</v>
      </c>
      <c r="D1473">
        <v>5.1999999999999998E-2</v>
      </c>
      <c r="E1473" t="s">
        <v>17942</v>
      </c>
      <c r="F1473" t="s">
        <v>15195</v>
      </c>
    </row>
    <row r="1474" spans="1:6" x14ac:dyDescent="0.3">
      <c r="A1474" t="s">
        <v>1180</v>
      </c>
      <c r="B1474">
        <v>4800</v>
      </c>
      <c r="C1474" t="s">
        <v>15169</v>
      </c>
      <c r="D1474">
        <v>5.1999999999999998E-2</v>
      </c>
      <c r="E1474" t="s">
        <v>1181</v>
      </c>
      <c r="F1474" t="s">
        <v>15195</v>
      </c>
    </row>
    <row r="1475" spans="1:6" x14ac:dyDescent="0.3">
      <c r="A1475" t="s">
        <v>17943</v>
      </c>
      <c r="B1475">
        <v>12000</v>
      </c>
      <c r="C1475" t="s">
        <v>15169</v>
      </c>
      <c r="D1475">
        <v>5.1999999999999998E-2</v>
      </c>
      <c r="E1475" t="s">
        <v>17944</v>
      </c>
      <c r="F1475" t="s">
        <v>15195</v>
      </c>
    </row>
    <row r="1476" spans="1:6" x14ac:dyDescent="0.3">
      <c r="A1476" t="s">
        <v>7558</v>
      </c>
      <c r="B1476">
        <v>4800</v>
      </c>
      <c r="C1476" t="s">
        <v>15169</v>
      </c>
      <c r="D1476">
        <v>5.1999999999999998E-2</v>
      </c>
      <c r="E1476" t="s">
        <v>7559</v>
      </c>
      <c r="F1476" t="s">
        <v>15195</v>
      </c>
    </row>
    <row r="1477" spans="1:6" x14ac:dyDescent="0.3">
      <c r="A1477" t="s">
        <v>17945</v>
      </c>
      <c r="B1477">
        <v>4800</v>
      </c>
      <c r="C1477" t="s">
        <v>15169</v>
      </c>
      <c r="D1477">
        <v>5.1999999999999998E-2</v>
      </c>
      <c r="E1477" t="s">
        <v>17946</v>
      </c>
      <c r="F1477" t="s">
        <v>15195</v>
      </c>
    </row>
    <row r="1478" spans="1:6" x14ac:dyDescent="0.3">
      <c r="A1478" t="s">
        <v>17947</v>
      </c>
      <c r="B1478">
        <v>4800</v>
      </c>
      <c r="C1478" t="s">
        <v>15169</v>
      </c>
      <c r="D1478">
        <v>5.1999999999999998E-2</v>
      </c>
      <c r="E1478" t="s">
        <v>17948</v>
      </c>
      <c r="F1478" t="s">
        <v>15195</v>
      </c>
    </row>
    <row r="1479" spans="1:6" x14ac:dyDescent="0.3">
      <c r="A1479" t="s">
        <v>17949</v>
      </c>
      <c r="B1479">
        <v>480</v>
      </c>
      <c r="C1479" t="s">
        <v>15169</v>
      </c>
      <c r="D1479">
        <v>5.1999999999999998E-2</v>
      </c>
      <c r="E1479" t="s">
        <v>17950</v>
      </c>
      <c r="F1479" t="s">
        <v>15195</v>
      </c>
    </row>
    <row r="1480" spans="1:6" x14ac:dyDescent="0.3">
      <c r="A1480" t="s">
        <v>17951</v>
      </c>
      <c r="B1480">
        <v>4800</v>
      </c>
      <c r="C1480" t="s">
        <v>15169</v>
      </c>
      <c r="D1480">
        <v>5.1999999999999998E-2</v>
      </c>
      <c r="E1480" t="s">
        <v>17952</v>
      </c>
      <c r="F1480" t="s">
        <v>15195</v>
      </c>
    </row>
    <row r="1481" spans="1:6" x14ac:dyDescent="0.3">
      <c r="A1481" t="s">
        <v>17953</v>
      </c>
      <c r="B1481">
        <v>6192</v>
      </c>
      <c r="C1481" t="s">
        <v>15169</v>
      </c>
      <c r="D1481">
        <v>5.3499999999999999E-2</v>
      </c>
      <c r="E1481" t="s">
        <v>17954</v>
      </c>
      <c r="F1481" t="s">
        <v>15314</v>
      </c>
    </row>
    <row r="1482" spans="1:6" x14ac:dyDescent="0.3">
      <c r="A1482" t="s">
        <v>17955</v>
      </c>
      <c r="B1482">
        <v>6048</v>
      </c>
      <c r="C1482" t="s">
        <v>15169</v>
      </c>
      <c r="D1482">
        <v>5.4300000000000001E-2</v>
      </c>
      <c r="E1482" t="s">
        <v>17956</v>
      </c>
      <c r="F1482" t="s">
        <v>15314</v>
      </c>
    </row>
    <row r="1483" spans="1:6" x14ac:dyDescent="0.3">
      <c r="A1483" t="s">
        <v>17957</v>
      </c>
      <c r="B1483">
        <v>6048</v>
      </c>
      <c r="C1483" t="s">
        <v>15169</v>
      </c>
      <c r="D1483">
        <v>5.4300000000000001E-2</v>
      </c>
      <c r="E1483" t="s">
        <v>17958</v>
      </c>
      <c r="F1483" t="s">
        <v>15314</v>
      </c>
    </row>
    <row r="1484" spans="1:6" x14ac:dyDescent="0.3">
      <c r="A1484" t="s">
        <v>17959</v>
      </c>
      <c r="B1484">
        <v>6</v>
      </c>
      <c r="C1484" t="s">
        <v>15169</v>
      </c>
      <c r="D1484">
        <v>5.4300000000000001E-2</v>
      </c>
      <c r="E1484" t="s">
        <v>17960</v>
      </c>
      <c r="F1484" t="s">
        <v>15314</v>
      </c>
    </row>
    <row r="1485" spans="1:6" x14ac:dyDescent="0.3">
      <c r="A1485" t="s">
        <v>17961</v>
      </c>
      <c r="B1485">
        <v>6048</v>
      </c>
      <c r="C1485" t="s">
        <v>15169</v>
      </c>
      <c r="D1485">
        <v>5.4300000000000001E-2</v>
      </c>
      <c r="E1485" t="s">
        <v>17962</v>
      </c>
      <c r="F1485" t="s">
        <v>15314</v>
      </c>
    </row>
    <row r="1486" spans="1:6" x14ac:dyDescent="0.3">
      <c r="A1486" t="s">
        <v>17963</v>
      </c>
      <c r="B1486">
        <v>6048</v>
      </c>
      <c r="C1486" t="s">
        <v>15169</v>
      </c>
      <c r="D1486">
        <v>5.4300000000000001E-2</v>
      </c>
      <c r="E1486" t="s">
        <v>17964</v>
      </c>
      <c r="F1486" t="s">
        <v>15314</v>
      </c>
    </row>
    <row r="1487" spans="1:6" x14ac:dyDescent="0.3">
      <c r="A1487" t="s">
        <v>17965</v>
      </c>
      <c r="B1487">
        <v>6048</v>
      </c>
      <c r="C1487" t="s">
        <v>15169</v>
      </c>
      <c r="D1487">
        <v>5.4300000000000001E-2</v>
      </c>
      <c r="E1487" t="s">
        <v>17966</v>
      </c>
      <c r="F1487" t="s">
        <v>15314</v>
      </c>
    </row>
    <row r="1488" spans="1:6" x14ac:dyDescent="0.3">
      <c r="A1488" t="s">
        <v>17967</v>
      </c>
      <c r="B1488">
        <v>6048</v>
      </c>
      <c r="C1488" t="s">
        <v>15169</v>
      </c>
      <c r="D1488">
        <v>5.4300000000000001E-2</v>
      </c>
      <c r="E1488" t="s">
        <v>17968</v>
      </c>
      <c r="F1488" t="s">
        <v>15314</v>
      </c>
    </row>
    <row r="1489" spans="1:6" x14ac:dyDescent="0.3">
      <c r="A1489" t="s">
        <v>17969</v>
      </c>
      <c r="B1489">
        <v>6048</v>
      </c>
      <c r="C1489" t="s">
        <v>15169</v>
      </c>
      <c r="D1489">
        <v>5.4300000000000001E-2</v>
      </c>
      <c r="E1489" t="s">
        <v>17970</v>
      </c>
      <c r="F1489" t="s">
        <v>15314</v>
      </c>
    </row>
    <row r="1490" spans="1:6" x14ac:dyDescent="0.3">
      <c r="A1490" t="s">
        <v>17971</v>
      </c>
      <c r="B1490">
        <v>6</v>
      </c>
      <c r="C1490" t="s">
        <v>15169</v>
      </c>
      <c r="D1490">
        <v>5.4300000000000001E-2</v>
      </c>
      <c r="E1490" t="s">
        <v>17972</v>
      </c>
      <c r="F1490" t="s">
        <v>15314</v>
      </c>
    </row>
    <row r="1491" spans="1:6" x14ac:dyDescent="0.3">
      <c r="A1491" t="s">
        <v>17973</v>
      </c>
      <c r="B1491">
        <v>6048</v>
      </c>
      <c r="C1491" t="s">
        <v>15169</v>
      </c>
      <c r="D1491">
        <v>5.4300000000000001E-2</v>
      </c>
      <c r="E1491" t="s">
        <v>17974</v>
      </c>
      <c r="F1491" t="s">
        <v>15314</v>
      </c>
    </row>
    <row r="1492" spans="1:6" x14ac:dyDescent="0.3">
      <c r="A1492" t="s">
        <v>17975</v>
      </c>
      <c r="B1492">
        <v>6048</v>
      </c>
      <c r="C1492" t="s">
        <v>15169</v>
      </c>
      <c r="D1492">
        <v>5.4300000000000001E-2</v>
      </c>
      <c r="E1492" t="s">
        <v>17976</v>
      </c>
      <c r="F1492" t="s">
        <v>15314</v>
      </c>
    </row>
    <row r="1493" spans="1:6" x14ac:dyDescent="0.3">
      <c r="A1493" t="s">
        <v>17977</v>
      </c>
      <c r="B1493">
        <v>4800</v>
      </c>
      <c r="C1493" t="s">
        <v>15169</v>
      </c>
      <c r="D1493">
        <v>5.5E-2</v>
      </c>
      <c r="E1493" t="s">
        <v>17978</v>
      </c>
      <c r="F1493" t="s">
        <v>15195</v>
      </c>
    </row>
    <row r="1494" spans="1:6" x14ac:dyDescent="0.3">
      <c r="A1494" t="s">
        <v>17979</v>
      </c>
      <c r="B1494">
        <v>4800</v>
      </c>
      <c r="C1494" t="s">
        <v>15169</v>
      </c>
      <c r="D1494">
        <v>5.8000000000000003E-2</v>
      </c>
      <c r="E1494" t="s">
        <v>17980</v>
      </c>
      <c r="F1494" t="s">
        <v>15195</v>
      </c>
    </row>
    <row r="1495" spans="1:6" x14ac:dyDescent="0.3">
      <c r="A1495" t="s">
        <v>17981</v>
      </c>
      <c r="B1495">
        <v>3168</v>
      </c>
      <c r="C1495" t="s">
        <v>15169</v>
      </c>
      <c r="D1495">
        <v>5.8000000000000003E-2</v>
      </c>
      <c r="E1495" t="s">
        <v>17982</v>
      </c>
      <c r="F1495" t="s">
        <v>15195</v>
      </c>
    </row>
    <row r="1496" spans="1:6" x14ac:dyDescent="0.3">
      <c r="A1496" t="s">
        <v>17983</v>
      </c>
      <c r="B1496">
        <v>4800</v>
      </c>
      <c r="C1496" t="s">
        <v>15169</v>
      </c>
      <c r="D1496">
        <v>5.8000000000000003E-2</v>
      </c>
      <c r="E1496" t="s">
        <v>17984</v>
      </c>
      <c r="F1496" t="s">
        <v>15195</v>
      </c>
    </row>
    <row r="1497" spans="1:6" x14ac:dyDescent="0.3">
      <c r="A1497" t="s">
        <v>17985</v>
      </c>
      <c r="B1497">
        <v>3168</v>
      </c>
      <c r="C1497" t="s">
        <v>15169</v>
      </c>
      <c r="D1497">
        <v>5.8000000000000003E-2</v>
      </c>
      <c r="E1497" t="s">
        <v>17986</v>
      </c>
      <c r="F1497" t="s">
        <v>15195</v>
      </c>
    </row>
    <row r="1498" spans="1:6" x14ac:dyDescent="0.3">
      <c r="A1498" t="s">
        <v>7562</v>
      </c>
      <c r="B1498">
        <v>4800</v>
      </c>
      <c r="C1498" t="s">
        <v>15169</v>
      </c>
      <c r="D1498">
        <v>0.06</v>
      </c>
      <c r="E1498" t="s">
        <v>17987</v>
      </c>
      <c r="F1498" t="s">
        <v>15195</v>
      </c>
    </row>
    <row r="1499" spans="1:6" x14ac:dyDescent="0.3">
      <c r="A1499" t="s">
        <v>17988</v>
      </c>
      <c r="B1499">
        <v>480</v>
      </c>
      <c r="C1499" t="s">
        <v>15169</v>
      </c>
      <c r="D1499">
        <v>0.06</v>
      </c>
      <c r="E1499" t="s">
        <v>17989</v>
      </c>
      <c r="F1499" t="s">
        <v>15195</v>
      </c>
    </row>
    <row r="1500" spans="1:6" x14ac:dyDescent="0.3">
      <c r="A1500" t="s">
        <v>17990</v>
      </c>
      <c r="B1500">
        <v>4800</v>
      </c>
      <c r="C1500" t="s">
        <v>15169</v>
      </c>
      <c r="D1500">
        <v>0.06</v>
      </c>
      <c r="E1500" t="s">
        <v>17991</v>
      </c>
      <c r="F1500" t="s">
        <v>15195</v>
      </c>
    </row>
    <row r="1501" spans="1:6" x14ac:dyDescent="0.3">
      <c r="A1501" t="s">
        <v>17992</v>
      </c>
      <c r="B1501">
        <v>480</v>
      </c>
      <c r="C1501" t="s">
        <v>15169</v>
      </c>
      <c r="D1501">
        <v>0.06</v>
      </c>
      <c r="E1501" t="s">
        <v>17993</v>
      </c>
      <c r="F1501" t="s">
        <v>15195</v>
      </c>
    </row>
    <row r="1502" spans="1:6" x14ac:dyDescent="0.3">
      <c r="A1502" t="s">
        <v>17994</v>
      </c>
      <c r="B1502">
        <v>2736</v>
      </c>
      <c r="C1502" t="s">
        <v>15169</v>
      </c>
      <c r="D1502">
        <v>6.5000000000000002E-2</v>
      </c>
      <c r="E1502" t="s">
        <v>17995</v>
      </c>
      <c r="F1502" t="s">
        <v>15195</v>
      </c>
    </row>
    <row r="1503" spans="1:6" x14ac:dyDescent="0.3">
      <c r="A1503" t="s">
        <v>17996</v>
      </c>
      <c r="B1503">
        <v>2736</v>
      </c>
      <c r="C1503" t="s">
        <v>15169</v>
      </c>
      <c r="D1503">
        <v>6.5000000000000002E-2</v>
      </c>
      <c r="E1503" t="s">
        <v>17997</v>
      </c>
      <c r="F1503" t="s">
        <v>15195</v>
      </c>
    </row>
    <row r="1504" spans="1:6" x14ac:dyDescent="0.3">
      <c r="A1504" t="s">
        <v>17998</v>
      </c>
      <c r="B1504">
        <v>29880</v>
      </c>
      <c r="C1504" t="s">
        <v>15169</v>
      </c>
      <c r="D1504">
        <v>7.4999999999999997E-3</v>
      </c>
      <c r="E1504" t="s">
        <v>17999</v>
      </c>
      <c r="F1504" t="s">
        <v>15214</v>
      </c>
    </row>
    <row r="1505" spans="1:6" x14ac:dyDescent="0.3">
      <c r="A1505" t="s">
        <v>18000</v>
      </c>
      <c r="B1505">
        <v>29880</v>
      </c>
      <c r="C1505" t="s">
        <v>15169</v>
      </c>
      <c r="D1505">
        <v>7.4999999999999997E-3</v>
      </c>
      <c r="E1505" t="s">
        <v>17999</v>
      </c>
      <c r="F1505" t="s">
        <v>15214</v>
      </c>
    </row>
    <row r="1506" spans="1:6" x14ac:dyDescent="0.3">
      <c r="A1506" t="s">
        <v>18001</v>
      </c>
      <c r="B1506">
        <v>29880</v>
      </c>
      <c r="C1506" t="s">
        <v>15169</v>
      </c>
      <c r="D1506">
        <v>7.4999999999999997E-3</v>
      </c>
      <c r="E1506" t="s">
        <v>18002</v>
      </c>
      <c r="F1506" t="s">
        <v>15214</v>
      </c>
    </row>
    <row r="1507" spans="1:6" x14ac:dyDescent="0.3">
      <c r="A1507" t="s">
        <v>18003</v>
      </c>
      <c r="B1507">
        <v>29880</v>
      </c>
      <c r="C1507" t="s">
        <v>15169</v>
      </c>
      <c r="D1507">
        <v>7.4999999999999997E-3</v>
      </c>
      <c r="E1507" t="s">
        <v>18004</v>
      </c>
      <c r="F1507" t="s">
        <v>15214</v>
      </c>
    </row>
    <row r="1508" spans="1:6" x14ac:dyDescent="0.3">
      <c r="A1508" t="s">
        <v>3759</v>
      </c>
      <c r="B1508">
        <v>29880</v>
      </c>
      <c r="C1508" t="s">
        <v>15169</v>
      </c>
      <c r="D1508">
        <v>7.4999999999999997E-3</v>
      </c>
      <c r="E1508" t="s">
        <v>18005</v>
      </c>
      <c r="F1508" t="s">
        <v>15214</v>
      </c>
    </row>
    <row r="1509" spans="1:6" x14ac:dyDescent="0.3">
      <c r="A1509" t="s">
        <v>797</v>
      </c>
      <c r="B1509">
        <v>29880</v>
      </c>
      <c r="C1509" t="s">
        <v>15169</v>
      </c>
      <c r="D1509">
        <v>7.4999999999999997E-3</v>
      </c>
      <c r="E1509" t="s">
        <v>798</v>
      </c>
      <c r="F1509" t="s">
        <v>15214</v>
      </c>
    </row>
    <row r="1510" spans="1:6" x14ac:dyDescent="0.3">
      <c r="A1510" t="s">
        <v>18006</v>
      </c>
      <c r="B1510">
        <v>18720</v>
      </c>
      <c r="C1510" t="s">
        <v>15169</v>
      </c>
      <c r="D1510">
        <v>7.4999999999999997E-3</v>
      </c>
      <c r="E1510" t="s">
        <v>18007</v>
      </c>
      <c r="F1510" t="s">
        <v>15214</v>
      </c>
    </row>
    <row r="1511" spans="1:6" x14ac:dyDescent="0.3">
      <c r="A1511" t="s">
        <v>1445</v>
      </c>
      <c r="B1511">
        <v>29880</v>
      </c>
      <c r="C1511" t="s">
        <v>15169</v>
      </c>
      <c r="D1511">
        <v>7.7999999999999996E-3</v>
      </c>
      <c r="E1511" t="s">
        <v>18008</v>
      </c>
      <c r="F1511" t="s">
        <v>15214</v>
      </c>
    </row>
    <row r="1512" spans="1:6" x14ac:dyDescent="0.3">
      <c r="A1512" t="s">
        <v>18009</v>
      </c>
      <c r="B1512">
        <v>29880</v>
      </c>
      <c r="C1512" t="s">
        <v>15169</v>
      </c>
      <c r="D1512">
        <v>7.7999999999999996E-3</v>
      </c>
      <c r="E1512" t="s">
        <v>18010</v>
      </c>
      <c r="F1512" t="s">
        <v>15214</v>
      </c>
    </row>
    <row r="1513" spans="1:6" x14ac:dyDescent="0.3">
      <c r="A1513" t="s">
        <v>18011</v>
      </c>
      <c r="B1513">
        <v>29880</v>
      </c>
      <c r="C1513" t="s">
        <v>15169</v>
      </c>
      <c r="D1513">
        <v>7.7999999999999996E-3</v>
      </c>
      <c r="E1513" t="s">
        <v>18012</v>
      </c>
      <c r="F1513" t="s">
        <v>15214</v>
      </c>
    </row>
    <row r="1514" spans="1:6" x14ac:dyDescent="0.3">
      <c r="A1514" t="s">
        <v>769</v>
      </c>
      <c r="B1514">
        <v>29880</v>
      </c>
      <c r="C1514" t="s">
        <v>15169</v>
      </c>
      <c r="D1514">
        <v>7.7999999999999996E-3</v>
      </c>
      <c r="E1514" t="s">
        <v>770</v>
      </c>
      <c r="F1514" t="s">
        <v>15214</v>
      </c>
    </row>
    <row r="1515" spans="1:6" x14ac:dyDescent="0.3">
      <c r="A1515" t="s">
        <v>18013</v>
      </c>
      <c r="B1515">
        <v>29880</v>
      </c>
      <c r="C1515" t="s">
        <v>15169</v>
      </c>
      <c r="D1515">
        <v>7.7999999999999996E-3</v>
      </c>
      <c r="E1515" t="s">
        <v>18014</v>
      </c>
      <c r="F1515" t="s">
        <v>15214</v>
      </c>
    </row>
    <row r="1516" spans="1:6" x14ac:dyDescent="0.3">
      <c r="A1516" t="s">
        <v>18015</v>
      </c>
      <c r="B1516">
        <v>29880</v>
      </c>
      <c r="C1516" t="s">
        <v>15169</v>
      </c>
      <c r="D1516">
        <v>7.7999999999999996E-3</v>
      </c>
      <c r="E1516" t="s">
        <v>18016</v>
      </c>
      <c r="F1516" t="s">
        <v>15214</v>
      </c>
    </row>
    <row r="1517" spans="1:6" x14ac:dyDescent="0.3">
      <c r="A1517" t="s">
        <v>1590</v>
      </c>
      <c r="B1517">
        <v>29880</v>
      </c>
      <c r="C1517" t="s">
        <v>15169</v>
      </c>
      <c r="D1517">
        <v>7.7999999999999996E-3</v>
      </c>
      <c r="E1517" t="s">
        <v>18017</v>
      </c>
      <c r="F1517" t="s">
        <v>15214</v>
      </c>
    </row>
    <row r="1518" spans="1:6" x14ac:dyDescent="0.3">
      <c r="A1518" t="s">
        <v>18018</v>
      </c>
      <c r="B1518">
        <v>29880</v>
      </c>
      <c r="C1518" t="s">
        <v>15169</v>
      </c>
      <c r="D1518">
        <v>7.7999999999999996E-3</v>
      </c>
      <c r="E1518" t="s">
        <v>18019</v>
      </c>
      <c r="F1518" t="s">
        <v>15214</v>
      </c>
    </row>
    <row r="1519" spans="1:6" x14ac:dyDescent="0.3">
      <c r="A1519" t="s">
        <v>18020</v>
      </c>
      <c r="B1519">
        <v>29880</v>
      </c>
      <c r="C1519" t="s">
        <v>15169</v>
      </c>
      <c r="D1519">
        <v>7.7999999999999996E-3</v>
      </c>
      <c r="E1519" t="s">
        <v>18021</v>
      </c>
      <c r="F1519" t="s">
        <v>15214</v>
      </c>
    </row>
    <row r="1520" spans="1:6" x14ac:dyDescent="0.3">
      <c r="A1520" t="s">
        <v>18022</v>
      </c>
      <c r="B1520">
        <v>27000</v>
      </c>
      <c r="C1520" t="s">
        <v>15169</v>
      </c>
      <c r="D1520">
        <v>8.3000000000000001E-3</v>
      </c>
      <c r="E1520" t="s">
        <v>18023</v>
      </c>
      <c r="F1520" t="s">
        <v>15214</v>
      </c>
    </row>
    <row r="1521" spans="1:6" x14ac:dyDescent="0.3">
      <c r="A1521" t="s">
        <v>18024</v>
      </c>
      <c r="B1521">
        <v>29880</v>
      </c>
      <c r="C1521" t="s">
        <v>15169</v>
      </c>
      <c r="D1521">
        <v>8.3000000000000001E-3</v>
      </c>
      <c r="E1521" t="s">
        <v>18025</v>
      </c>
      <c r="F1521" t="s">
        <v>15214</v>
      </c>
    </row>
    <row r="1522" spans="1:6" x14ac:dyDescent="0.3">
      <c r="A1522" t="s">
        <v>396</v>
      </c>
      <c r="B1522">
        <v>27000</v>
      </c>
      <c r="C1522" t="s">
        <v>15169</v>
      </c>
      <c r="D1522">
        <v>8.3000000000000001E-3</v>
      </c>
      <c r="E1522" t="s">
        <v>397</v>
      </c>
      <c r="F1522" t="s">
        <v>15214</v>
      </c>
    </row>
    <row r="1523" spans="1:6" x14ac:dyDescent="0.3">
      <c r="A1523" t="s">
        <v>18026</v>
      </c>
      <c r="B1523">
        <v>29824</v>
      </c>
      <c r="C1523" t="s">
        <v>15169</v>
      </c>
      <c r="D1523">
        <v>8.3000000000000001E-3</v>
      </c>
      <c r="E1523" t="s">
        <v>18027</v>
      </c>
      <c r="F1523" t="s">
        <v>15214</v>
      </c>
    </row>
    <row r="1524" spans="1:6" x14ac:dyDescent="0.3">
      <c r="A1524" t="s">
        <v>308</v>
      </c>
      <c r="B1524">
        <v>27000</v>
      </c>
      <c r="C1524" t="s">
        <v>15169</v>
      </c>
      <c r="D1524">
        <v>8.3000000000000001E-3</v>
      </c>
      <c r="E1524" t="s">
        <v>18028</v>
      </c>
      <c r="F1524" t="s">
        <v>15214</v>
      </c>
    </row>
    <row r="1525" spans="1:6" x14ac:dyDescent="0.3">
      <c r="A1525" t="s">
        <v>91</v>
      </c>
      <c r="B1525">
        <v>27000</v>
      </c>
      <c r="C1525" t="s">
        <v>15169</v>
      </c>
      <c r="D1525">
        <v>8.3000000000000001E-3</v>
      </c>
      <c r="E1525" t="s">
        <v>92</v>
      </c>
      <c r="F1525" t="s">
        <v>15214</v>
      </c>
    </row>
    <row r="1526" spans="1:6" x14ac:dyDescent="0.3">
      <c r="A1526" t="s">
        <v>18029</v>
      </c>
      <c r="B1526">
        <v>27000</v>
      </c>
      <c r="C1526" t="s">
        <v>15169</v>
      </c>
      <c r="D1526">
        <v>8.6E-3</v>
      </c>
      <c r="E1526" t="s">
        <v>18030</v>
      </c>
      <c r="F1526" t="s">
        <v>15214</v>
      </c>
    </row>
    <row r="1527" spans="1:6" x14ac:dyDescent="0.3">
      <c r="A1527" t="s">
        <v>18031</v>
      </c>
      <c r="B1527">
        <v>27000</v>
      </c>
      <c r="C1527" t="s">
        <v>15169</v>
      </c>
      <c r="D1527">
        <v>8.6E-3</v>
      </c>
      <c r="E1527" t="s">
        <v>18032</v>
      </c>
      <c r="F1527" t="s">
        <v>15214</v>
      </c>
    </row>
    <row r="1528" spans="1:6" x14ac:dyDescent="0.3">
      <c r="A1528" t="s">
        <v>18033</v>
      </c>
      <c r="B1528">
        <v>27000</v>
      </c>
      <c r="C1528" t="s">
        <v>15169</v>
      </c>
      <c r="D1528">
        <v>8.6E-3</v>
      </c>
      <c r="E1528" t="s">
        <v>18034</v>
      </c>
      <c r="F1528" t="s">
        <v>15214</v>
      </c>
    </row>
    <row r="1529" spans="1:6" x14ac:dyDescent="0.3">
      <c r="A1529" t="s">
        <v>18035</v>
      </c>
      <c r="B1529">
        <v>27000</v>
      </c>
      <c r="C1529" t="s">
        <v>15169</v>
      </c>
      <c r="D1529">
        <v>8.6E-3</v>
      </c>
      <c r="E1529" t="s">
        <v>18036</v>
      </c>
      <c r="F1529" t="s">
        <v>15214</v>
      </c>
    </row>
    <row r="1530" spans="1:6" x14ac:dyDescent="0.3">
      <c r="A1530" t="s">
        <v>18037</v>
      </c>
      <c r="B1530">
        <v>27000</v>
      </c>
      <c r="C1530" t="s">
        <v>15169</v>
      </c>
      <c r="D1530">
        <v>8.6E-3</v>
      </c>
      <c r="E1530" t="s">
        <v>18038</v>
      </c>
      <c r="F1530" t="s">
        <v>15214</v>
      </c>
    </row>
    <row r="1531" spans="1:6" x14ac:dyDescent="0.3">
      <c r="A1531" t="s">
        <v>18039</v>
      </c>
      <c r="B1531">
        <v>27000</v>
      </c>
      <c r="C1531" t="s">
        <v>15169</v>
      </c>
      <c r="D1531">
        <v>8.6E-3</v>
      </c>
      <c r="E1531" t="s">
        <v>18040</v>
      </c>
      <c r="F1531" t="s">
        <v>15214</v>
      </c>
    </row>
    <row r="1532" spans="1:6" x14ac:dyDescent="0.3">
      <c r="A1532" t="s">
        <v>18041</v>
      </c>
      <c r="B1532">
        <v>27000</v>
      </c>
      <c r="C1532" t="s">
        <v>15169</v>
      </c>
      <c r="D1532">
        <v>8.8000000000000005E-3</v>
      </c>
      <c r="E1532" t="s">
        <v>18042</v>
      </c>
      <c r="F1532" t="s">
        <v>15214</v>
      </c>
    </row>
    <row r="1533" spans="1:6" x14ac:dyDescent="0.3">
      <c r="A1533" t="s">
        <v>18043</v>
      </c>
      <c r="B1533">
        <v>27000</v>
      </c>
      <c r="C1533" t="s">
        <v>15169</v>
      </c>
      <c r="D1533">
        <v>8.8000000000000005E-3</v>
      </c>
      <c r="E1533" t="s">
        <v>18044</v>
      </c>
      <c r="F1533" t="s">
        <v>15214</v>
      </c>
    </row>
    <row r="1534" spans="1:6" x14ac:dyDescent="0.3">
      <c r="A1534" t="s">
        <v>18045</v>
      </c>
      <c r="B1534">
        <v>27000</v>
      </c>
      <c r="C1534" t="s">
        <v>15169</v>
      </c>
      <c r="D1534">
        <v>8.8000000000000005E-3</v>
      </c>
      <c r="E1534" t="s">
        <v>18046</v>
      </c>
      <c r="F1534" t="s">
        <v>15214</v>
      </c>
    </row>
    <row r="1535" spans="1:6" x14ac:dyDescent="0.3">
      <c r="A1535" t="s">
        <v>18047</v>
      </c>
      <c r="B1535">
        <v>27000</v>
      </c>
      <c r="C1535" t="s">
        <v>15169</v>
      </c>
      <c r="D1535">
        <v>8.8000000000000005E-3</v>
      </c>
      <c r="E1535" t="s">
        <v>18048</v>
      </c>
      <c r="F1535" t="s">
        <v>15214</v>
      </c>
    </row>
    <row r="1536" spans="1:6" x14ac:dyDescent="0.3">
      <c r="A1536" t="s">
        <v>18049</v>
      </c>
      <c r="B1536">
        <v>27000</v>
      </c>
      <c r="C1536" t="s">
        <v>15169</v>
      </c>
      <c r="D1536">
        <v>8.8000000000000005E-3</v>
      </c>
      <c r="E1536" t="s">
        <v>18050</v>
      </c>
      <c r="F1536" t="s">
        <v>15214</v>
      </c>
    </row>
    <row r="1537" spans="1:6" x14ac:dyDescent="0.3">
      <c r="A1537" t="s">
        <v>18051</v>
      </c>
      <c r="B1537">
        <v>27000</v>
      </c>
      <c r="C1537" t="s">
        <v>15169</v>
      </c>
      <c r="D1537">
        <v>8.8000000000000005E-3</v>
      </c>
      <c r="E1537" t="s">
        <v>18052</v>
      </c>
      <c r="F1537" t="s">
        <v>15214</v>
      </c>
    </row>
    <row r="1538" spans="1:6" x14ac:dyDescent="0.3">
      <c r="A1538" t="s">
        <v>18053</v>
      </c>
      <c r="B1538">
        <v>27000</v>
      </c>
      <c r="C1538" t="s">
        <v>15169</v>
      </c>
      <c r="D1538">
        <v>8.8000000000000005E-3</v>
      </c>
      <c r="E1538" t="s">
        <v>18054</v>
      </c>
      <c r="F1538" t="s">
        <v>15214</v>
      </c>
    </row>
    <row r="1539" spans="1:6" x14ac:dyDescent="0.3">
      <c r="A1539" t="s">
        <v>109</v>
      </c>
      <c r="B1539">
        <v>27000</v>
      </c>
      <c r="C1539" t="s">
        <v>15169</v>
      </c>
      <c r="D1539">
        <v>8.8000000000000005E-3</v>
      </c>
      <c r="E1539" t="s">
        <v>110</v>
      </c>
      <c r="F1539" t="s">
        <v>15214</v>
      </c>
    </row>
    <row r="1540" spans="1:6" x14ac:dyDescent="0.3">
      <c r="A1540" t="s">
        <v>18055</v>
      </c>
      <c r="B1540">
        <v>2025</v>
      </c>
      <c r="C1540" t="s">
        <v>15312</v>
      </c>
      <c r="D1540">
        <v>3.4000000000000002E-2</v>
      </c>
      <c r="E1540" t="s">
        <v>18056</v>
      </c>
      <c r="F1540" t="s">
        <v>15314</v>
      </c>
    </row>
    <row r="1541" spans="1:6" x14ac:dyDescent="0.3">
      <c r="A1541" t="s">
        <v>18057</v>
      </c>
      <c r="B1541">
        <v>2025</v>
      </c>
      <c r="C1541" t="s">
        <v>15312</v>
      </c>
      <c r="D1541">
        <v>3.4000000000000002E-2</v>
      </c>
      <c r="E1541" t="s">
        <v>18058</v>
      </c>
      <c r="F1541" t="s">
        <v>15314</v>
      </c>
    </row>
    <row r="1542" spans="1:6" x14ac:dyDescent="0.3">
      <c r="A1542" t="s">
        <v>18059</v>
      </c>
      <c r="B1542">
        <v>2025</v>
      </c>
      <c r="C1542" t="s">
        <v>15312</v>
      </c>
      <c r="D1542">
        <v>3.4000000000000002E-2</v>
      </c>
      <c r="E1542" t="s">
        <v>18060</v>
      </c>
      <c r="F1542" t="s">
        <v>15314</v>
      </c>
    </row>
    <row r="1543" spans="1:6" x14ac:dyDescent="0.3">
      <c r="A1543" t="s">
        <v>18061</v>
      </c>
      <c r="B1543">
        <v>2025</v>
      </c>
      <c r="C1543" t="s">
        <v>15312</v>
      </c>
      <c r="D1543">
        <v>3.4000000000000002E-2</v>
      </c>
      <c r="E1543" t="s">
        <v>18062</v>
      </c>
      <c r="F1543" t="s">
        <v>15314</v>
      </c>
    </row>
    <row r="1544" spans="1:6" x14ac:dyDescent="0.3">
      <c r="A1544" t="s">
        <v>18063</v>
      </c>
      <c r="B1544">
        <v>2025</v>
      </c>
      <c r="C1544" t="s">
        <v>15312</v>
      </c>
      <c r="D1544">
        <v>3.4000000000000002E-2</v>
      </c>
      <c r="E1544" t="s">
        <v>18064</v>
      </c>
      <c r="F1544" t="s">
        <v>15314</v>
      </c>
    </row>
    <row r="1545" spans="1:6" x14ac:dyDescent="0.3">
      <c r="A1545" t="s">
        <v>18065</v>
      </c>
      <c r="B1545">
        <v>2025</v>
      </c>
      <c r="C1545" t="s">
        <v>15312</v>
      </c>
      <c r="D1545">
        <v>3.4000000000000002E-2</v>
      </c>
      <c r="E1545" t="s">
        <v>18066</v>
      </c>
      <c r="F1545" t="s">
        <v>15314</v>
      </c>
    </row>
    <row r="1546" spans="1:6" x14ac:dyDescent="0.3">
      <c r="A1546" t="s">
        <v>18067</v>
      </c>
      <c r="B1546">
        <v>2025</v>
      </c>
      <c r="C1546" t="s">
        <v>15312</v>
      </c>
      <c r="D1546">
        <v>3.4000000000000002E-2</v>
      </c>
      <c r="E1546" t="s">
        <v>18068</v>
      </c>
      <c r="F1546" t="s">
        <v>15314</v>
      </c>
    </row>
    <row r="1547" spans="1:6" x14ac:dyDescent="0.3">
      <c r="A1547" t="s">
        <v>18069</v>
      </c>
      <c r="B1547">
        <v>2025</v>
      </c>
      <c r="C1547" t="s">
        <v>15312</v>
      </c>
      <c r="D1547">
        <v>3.4000000000000002E-2</v>
      </c>
      <c r="E1547" t="s">
        <v>18070</v>
      </c>
      <c r="F1547" t="s">
        <v>15314</v>
      </c>
    </row>
    <row r="1548" spans="1:6" x14ac:dyDescent="0.3">
      <c r="A1548" t="s">
        <v>18071</v>
      </c>
      <c r="B1548">
        <v>2025</v>
      </c>
      <c r="C1548" t="s">
        <v>15312</v>
      </c>
      <c r="D1548">
        <v>3.4000000000000002E-2</v>
      </c>
      <c r="E1548" t="s">
        <v>18072</v>
      </c>
      <c r="F1548" t="s">
        <v>15314</v>
      </c>
    </row>
    <row r="1549" spans="1:6" x14ac:dyDescent="0.3">
      <c r="A1549" t="s">
        <v>18073</v>
      </c>
      <c r="B1549">
        <v>2025</v>
      </c>
      <c r="C1549" t="s">
        <v>15312</v>
      </c>
      <c r="D1549">
        <v>3.4500000000000003E-2</v>
      </c>
      <c r="E1549" t="s">
        <v>18074</v>
      </c>
      <c r="F1549" t="s">
        <v>15314</v>
      </c>
    </row>
    <row r="1550" spans="1:6" x14ac:dyDescent="0.3">
      <c r="A1550" t="s">
        <v>18075</v>
      </c>
      <c r="B1550">
        <v>2025</v>
      </c>
      <c r="C1550" t="s">
        <v>15312</v>
      </c>
      <c r="D1550">
        <v>3.4500000000000003E-2</v>
      </c>
      <c r="E1550" t="s">
        <v>18076</v>
      </c>
      <c r="F1550" t="s">
        <v>15314</v>
      </c>
    </row>
    <row r="1551" spans="1:6" x14ac:dyDescent="0.3">
      <c r="A1551" t="s">
        <v>18077</v>
      </c>
      <c r="B1551">
        <v>2025</v>
      </c>
      <c r="C1551" t="s">
        <v>15312</v>
      </c>
      <c r="D1551">
        <v>3.4500000000000003E-2</v>
      </c>
      <c r="E1551" t="s">
        <v>18078</v>
      </c>
      <c r="F1551" t="s">
        <v>15314</v>
      </c>
    </row>
    <row r="1552" spans="1:6" x14ac:dyDescent="0.3">
      <c r="A1552" t="s">
        <v>18079</v>
      </c>
      <c r="B1552">
        <v>2025</v>
      </c>
      <c r="C1552" t="s">
        <v>15312</v>
      </c>
      <c r="D1552">
        <v>3.4500000000000003E-2</v>
      </c>
      <c r="E1552" t="s">
        <v>18080</v>
      </c>
      <c r="F1552" t="s">
        <v>15314</v>
      </c>
    </row>
    <row r="1553" spans="1:6" x14ac:dyDescent="0.3">
      <c r="A1553" t="s">
        <v>18081</v>
      </c>
      <c r="B1553">
        <v>2025</v>
      </c>
      <c r="C1553" t="s">
        <v>15312</v>
      </c>
      <c r="D1553">
        <v>3.4500000000000003E-2</v>
      </c>
      <c r="E1553" t="s">
        <v>18082</v>
      </c>
      <c r="F1553" t="s">
        <v>15314</v>
      </c>
    </row>
    <row r="1554" spans="1:6" x14ac:dyDescent="0.3">
      <c r="A1554" t="s">
        <v>18083</v>
      </c>
      <c r="B1554">
        <v>2025</v>
      </c>
      <c r="C1554" t="s">
        <v>15312</v>
      </c>
      <c r="D1554">
        <v>3.4500000000000003E-2</v>
      </c>
      <c r="E1554" t="s">
        <v>18084</v>
      </c>
      <c r="F1554" t="s">
        <v>15314</v>
      </c>
    </row>
    <row r="1555" spans="1:6" x14ac:dyDescent="0.3">
      <c r="A1555" t="s">
        <v>18085</v>
      </c>
      <c r="B1555">
        <v>2025</v>
      </c>
      <c r="C1555" t="s">
        <v>15312</v>
      </c>
      <c r="D1555">
        <v>3.4500000000000003E-2</v>
      </c>
      <c r="E1555" t="s">
        <v>18086</v>
      </c>
      <c r="F1555" t="s">
        <v>15314</v>
      </c>
    </row>
    <row r="1556" spans="1:6" x14ac:dyDescent="0.3">
      <c r="A1556" t="s">
        <v>18087</v>
      </c>
      <c r="B1556">
        <v>2025</v>
      </c>
      <c r="C1556" t="s">
        <v>15312</v>
      </c>
      <c r="D1556">
        <v>3.4000000000000002E-2</v>
      </c>
      <c r="E1556" t="s">
        <v>18088</v>
      </c>
      <c r="F1556" t="s">
        <v>15314</v>
      </c>
    </row>
    <row r="1557" spans="1:6" x14ac:dyDescent="0.3">
      <c r="A1557" t="s">
        <v>18089</v>
      </c>
      <c r="B1557">
        <v>2025</v>
      </c>
      <c r="C1557" t="s">
        <v>15312</v>
      </c>
      <c r="D1557">
        <v>3.4000000000000002E-2</v>
      </c>
      <c r="E1557" t="s">
        <v>18090</v>
      </c>
      <c r="F1557" t="s">
        <v>15314</v>
      </c>
    </row>
    <row r="1558" spans="1:6" x14ac:dyDescent="0.3">
      <c r="A1558" t="s">
        <v>18091</v>
      </c>
      <c r="B1558">
        <v>2025</v>
      </c>
      <c r="C1558" t="s">
        <v>15312</v>
      </c>
      <c r="D1558">
        <v>3.4000000000000002E-2</v>
      </c>
      <c r="E1558" t="s">
        <v>18092</v>
      </c>
      <c r="F1558" t="s">
        <v>15314</v>
      </c>
    </row>
    <row r="1559" spans="1:6" x14ac:dyDescent="0.3">
      <c r="A1559" t="s">
        <v>18093</v>
      </c>
      <c r="B1559">
        <v>2025</v>
      </c>
      <c r="C1559" t="s">
        <v>15312</v>
      </c>
      <c r="D1559">
        <v>3.4000000000000002E-2</v>
      </c>
      <c r="E1559" t="s">
        <v>18094</v>
      </c>
      <c r="F1559" t="s">
        <v>15314</v>
      </c>
    </row>
    <row r="1560" spans="1:6" x14ac:dyDescent="0.3">
      <c r="A1560" t="s">
        <v>18095</v>
      </c>
      <c r="B1560">
        <v>2025</v>
      </c>
      <c r="C1560" t="s">
        <v>15312</v>
      </c>
      <c r="D1560">
        <v>3.4000000000000002E-2</v>
      </c>
      <c r="E1560" t="s">
        <v>18096</v>
      </c>
      <c r="F1560" t="s">
        <v>15314</v>
      </c>
    </row>
    <row r="1561" spans="1:6" x14ac:dyDescent="0.3">
      <c r="A1561" t="s">
        <v>18097</v>
      </c>
      <c r="B1561">
        <v>2025</v>
      </c>
      <c r="C1561" t="s">
        <v>15312</v>
      </c>
      <c r="D1561">
        <v>3.4000000000000002E-2</v>
      </c>
      <c r="E1561" t="s">
        <v>18098</v>
      </c>
      <c r="F1561" t="s">
        <v>15314</v>
      </c>
    </row>
    <row r="1562" spans="1:6" x14ac:dyDescent="0.3">
      <c r="A1562" t="s">
        <v>18099</v>
      </c>
      <c r="B1562">
        <v>2025</v>
      </c>
      <c r="C1562" t="s">
        <v>15312</v>
      </c>
      <c r="D1562">
        <v>3.4000000000000002E-2</v>
      </c>
      <c r="E1562" t="s">
        <v>18100</v>
      </c>
      <c r="F1562" t="s">
        <v>15314</v>
      </c>
    </row>
    <row r="1563" spans="1:6" x14ac:dyDescent="0.3">
      <c r="A1563" t="s">
        <v>18101</v>
      </c>
      <c r="B1563">
        <v>2025</v>
      </c>
      <c r="C1563" t="s">
        <v>15312</v>
      </c>
      <c r="D1563">
        <v>3.4000000000000002E-2</v>
      </c>
      <c r="E1563" t="s">
        <v>18102</v>
      </c>
      <c r="F1563" t="s">
        <v>15314</v>
      </c>
    </row>
    <row r="1564" spans="1:6" x14ac:dyDescent="0.3">
      <c r="A1564" t="s">
        <v>18103</v>
      </c>
      <c r="B1564">
        <v>2025</v>
      </c>
      <c r="C1564" t="s">
        <v>15312</v>
      </c>
      <c r="D1564">
        <v>3.4000000000000002E-2</v>
      </c>
      <c r="E1564" t="s">
        <v>18104</v>
      </c>
      <c r="F1564" t="s">
        <v>15314</v>
      </c>
    </row>
    <row r="1565" spans="1:6" x14ac:dyDescent="0.3">
      <c r="A1565" t="s">
        <v>18105</v>
      </c>
      <c r="B1565">
        <v>2025</v>
      </c>
      <c r="C1565" t="s">
        <v>15312</v>
      </c>
      <c r="D1565">
        <v>3.4000000000000002E-2</v>
      </c>
      <c r="E1565" t="s">
        <v>18106</v>
      </c>
      <c r="F1565" t="s">
        <v>15314</v>
      </c>
    </row>
    <row r="1566" spans="1:6" x14ac:dyDescent="0.3">
      <c r="A1566" t="s">
        <v>18107</v>
      </c>
      <c r="B1566">
        <v>2025</v>
      </c>
      <c r="C1566" t="s">
        <v>15312</v>
      </c>
      <c r="D1566">
        <v>3.4000000000000002E-2</v>
      </c>
      <c r="E1566" t="s">
        <v>18108</v>
      </c>
      <c r="F1566" t="s">
        <v>15314</v>
      </c>
    </row>
    <row r="1567" spans="1:6" x14ac:dyDescent="0.3">
      <c r="A1567" t="s">
        <v>18109</v>
      </c>
      <c r="B1567">
        <v>2025</v>
      </c>
      <c r="C1567" t="s">
        <v>15312</v>
      </c>
      <c r="D1567">
        <v>3.4000000000000002E-2</v>
      </c>
      <c r="E1567" t="s">
        <v>18110</v>
      </c>
      <c r="F1567" t="s">
        <v>15314</v>
      </c>
    </row>
    <row r="1568" spans="1:6" x14ac:dyDescent="0.3">
      <c r="A1568" t="s">
        <v>18111</v>
      </c>
      <c r="B1568">
        <v>2025</v>
      </c>
      <c r="C1568" t="s">
        <v>15312</v>
      </c>
      <c r="D1568">
        <v>3.4000000000000002E-2</v>
      </c>
      <c r="E1568" t="s">
        <v>18112</v>
      </c>
      <c r="F1568" t="s">
        <v>15314</v>
      </c>
    </row>
    <row r="1569" spans="1:6" x14ac:dyDescent="0.3">
      <c r="A1569" t="s">
        <v>18113</v>
      </c>
      <c r="B1569">
        <v>2025</v>
      </c>
      <c r="C1569" t="s">
        <v>15312</v>
      </c>
      <c r="D1569">
        <v>3.4000000000000002E-2</v>
      </c>
      <c r="E1569" t="s">
        <v>18114</v>
      </c>
      <c r="F1569" t="s">
        <v>15314</v>
      </c>
    </row>
    <row r="1570" spans="1:6" x14ac:dyDescent="0.3">
      <c r="A1570" t="s">
        <v>18115</v>
      </c>
      <c r="B1570">
        <v>2025</v>
      </c>
      <c r="C1570" t="s">
        <v>15312</v>
      </c>
      <c r="D1570">
        <v>3.4000000000000002E-2</v>
      </c>
      <c r="E1570" t="s">
        <v>18116</v>
      </c>
      <c r="F1570" t="s">
        <v>15314</v>
      </c>
    </row>
    <row r="1571" spans="1:6" x14ac:dyDescent="0.3">
      <c r="A1571" t="s">
        <v>18117</v>
      </c>
      <c r="B1571">
        <v>2025</v>
      </c>
      <c r="C1571" t="s">
        <v>15312</v>
      </c>
      <c r="D1571">
        <v>3.4000000000000002E-2</v>
      </c>
      <c r="E1571" t="s">
        <v>18118</v>
      </c>
      <c r="F1571" t="s">
        <v>15314</v>
      </c>
    </row>
    <row r="1572" spans="1:6" x14ac:dyDescent="0.3">
      <c r="A1572" t="s">
        <v>18119</v>
      </c>
      <c r="B1572">
        <v>2025</v>
      </c>
      <c r="C1572" t="s">
        <v>15312</v>
      </c>
      <c r="D1572">
        <v>3.4000000000000002E-2</v>
      </c>
      <c r="E1572" t="s">
        <v>18120</v>
      </c>
      <c r="F1572" t="s">
        <v>15314</v>
      </c>
    </row>
    <row r="1573" spans="1:6" x14ac:dyDescent="0.3">
      <c r="A1573" t="s">
        <v>18121</v>
      </c>
      <c r="B1573">
        <v>2025</v>
      </c>
      <c r="C1573" t="s">
        <v>15312</v>
      </c>
      <c r="D1573">
        <v>3.4000000000000002E-2</v>
      </c>
      <c r="E1573" t="s">
        <v>18122</v>
      </c>
      <c r="F1573" t="s">
        <v>15314</v>
      </c>
    </row>
    <row r="1574" spans="1:6" x14ac:dyDescent="0.3">
      <c r="A1574" t="s">
        <v>18123</v>
      </c>
      <c r="B1574">
        <v>2025</v>
      </c>
      <c r="C1574" t="s">
        <v>15312</v>
      </c>
      <c r="D1574">
        <v>3.4000000000000002E-2</v>
      </c>
      <c r="E1574" t="s">
        <v>18124</v>
      </c>
      <c r="F1574" t="s">
        <v>15314</v>
      </c>
    </row>
    <row r="1575" spans="1:6" x14ac:dyDescent="0.3">
      <c r="A1575" t="s">
        <v>18125</v>
      </c>
      <c r="B1575">
        <v>2025</v>
      </c>
      <c r="C1575" t="s">
        <v>15312</v>
      </c>
      <c r="D1575">
        <v>3.4000000000000002E-2</v>
      </c>
      <c r="E1575" t="s">
        <v>18126</v>
      </c>
      <c r="F1575" t="s">
        <v>15314</v>
      </c>
    </row>
    <row r="1576" spans="1:6" x14ac:dyDescent="0.3">
      <c r="A1576" t="s">
        <v>18127</v>
      </c>
      <c r="B1576">
        <v>2025</v>
      </c>
      <c r="C1576" t="s">
        <v>15312</v>
      </c>
      <c r="D1576">
        <v>3.4000000000000002E-2</v>
      </c>
      <c r="E1576" t="s">
        <v>18128</v>
      </c>
      <c r="F1576" t="s">
        <v>15314</v>
      </c>
    </row>
    <row r="1577" spans="1:6" x14ac:dyDescent="0.3">
      <c r="A1577" t="s">
        <v>18129</v>
      </c>
      <c r="B1577">
        <v>2025</v>
      </c>
      <c r="C1577" t="s">
        <v>15312</v>
      </c>
      <c r="D1577">
        <v>3.4000000000000002E-2</v>
      </c>
      <c r="E1577" t="s">
        <v>18130</v>
      </c>
      <c r="F1577" t="s">
        <v>15314</v>
      </c>
    </row>
    <row r="1578" spans="1:6" x14ac:dyDescent="0.3">
      <c r="A1578" t="s">
        <v>18131</v>
      </c>
      <c r="B1578">
        <v>2025</v>
      </c>
      <c r="C1578" t="s">
        <v>15312</v>
      </c>
      <c r="D1578">
        <v>3.4000000000000002E-2</v>
      </c>
      <c r="E1578" t="s">
        <v>18132</v>
      </c>
      <c r="F1578" t="s">
        <v>15314</v>
      </c>
    </row>
    <row r="1579" spans="1:6" x14ac:dyDescent="0.3">
      <c r="A1579" t="s">
        <v>18133</v>
      </c>
      <c r="B1579">
        <v>2025</v>
      </c>
      <c r="C1579" t="s">
        <v>15312</v>
      </c>
      <c r="D1579">
        <v>3.4000000000000002E-2</v>
      </c>
      <c r="E1579" t="s">
        <v>18134</v>
      </c>
      <c r="F1579" t="s">
        <v>15314</v>
      </c>
    </row>
    <row r="1580" spans="1:6" x14ac:dyDescent="0.3">
      <c r="A1580" t="s">
        <v>18135</v>
      </c>
      <c r="B1580">
        <v>2025</v>
      </c>
      <c r="C1580" t="s">
        <v>15312</v>
      </c>
      <c r="D1580">
        <v>3.4000000000000002E-2</v>
      </c>
      <c r="E1580" t="s">
        <v>18136</v>
      </c>
      <c r="F1580" t="s">
        <v>15314</v>
      </c>
    </row>
    <row r="1581" spans="1:6" x14ac:dyDescent="0.3">
      <c r="A1581" t="s">
        <v>18137</v>
      </c>
      <c r="B1581">
        <v>2025</v>
      </c>
      <c r="C1581" t="s">
        <v>15312</v>
      </c>
      <c r="D1581">
        <v>3.4000000000000002E-2</v>
      </c>
      <c r="E1581" t="s">
        <v>18138</v>
      </c>
      <c r="F1581" t="s">
        <v>15314</v>
      </c>
    </row>
    <row r="1582" spans="1:6" x14ac:dyDescent="0.3">
      <c r="A1582" t="s">
        <v>18139</v>
      </c>
      <c r="B1582">
        <v>2100</v>
      </c>
      <c r="C1582" t="s">
        <v>15312</v>
      </c>
      <c r="D1582">
        <v>3.4000000000000002E-2</v>
      </c>
      <c r="E1582" t="s">
        <v>18140</v>
      </c>
      <c r="F1582" t="s">
        <v>15314</v>
      </c>
    </row>
    <row r="1583" spans="1:6" x14ac:dyDescent="0.3">
      <c r="A1583" t="s">
        <v>18141</v>
      </c>
      <c r="B1583">
        <v>2025</v>
      </c>
      <c r="C1583" t="s">
        <v>15312</v>
      </c>
      <c r="D1583">
        <v>3.4500000000000003E-2</v>
      </c>
      <c r="E1583" t="s">
        <v>18142</v>
      </c>
      <c r="F1583" t="s">
        <v>15314</v>
      </c>
    </row>
    <row r="1584" spans="1:6" x14ac:dyDescent="0.3">
      <c r="A1584" t="s">
        <v>18143</v>
      </c>
      <c r="B1584">
        <v>2025</v>
      </c>
      <c r="C1584" t="s">
        <v>15312</v>
      </c>
      <c r="D1584">
        <v>3.4500000000000003E-2</v>
      </c>
      <c r="E1584" t="s">
        <v>18144</v>
      </c>
      <c r="F1584" t="s">
        <v>15314</v>
      </c>
    </row>
    <row r="1585" spans="1:6" x14ac:dyDescent="0.3">
      <c r="A1585" t="s">
        <v>18145</v>
      </c>
      <c r="B1585">
        <v>2025</v>
      </c>
      <c r="C1585" t="s">
        <v>15312</v>
      </c>
      <c r="D1585">
        <v>3.4500000000000003E-2</v>
      </c>
      <c r="E1585" t="s">
        <v>18146</v>
      </c>
      <c r="F1585" t="s">
        <v>15314</v>
      </c>
    </row>
    <row r="1586" spans="1:6" x14ac:dyDescent="0.3">
      <c r="A1586" t="s">
        <v>18147</v>
      </c>
      <c r="B1586">
        <v>2025</v>
      </c>
      <c r="C1586" t="s">
        <v>15312</v>
      </c>
      <c r="D1586">
        <v>3.4500000000000003E-2</v>
      </c>
      <c r="E1586" t="s">
        <v>18148</v>
      </c>
      <c r="F1586" t="s">
        <v>15314</v>
      </c>
    </row>
    <row r="1587" spans="1:6" x14ac:dyDescent="0.3">
      <c r="A1587" t="s">
        <v>18149</v>
      </c>
      <c r="B1587">
        <v>2025</v>
      </c>
      <c r="C1587" t="s">
        <v>15312</v>
      </c>
      <c r="D1587">
        <v>3.4500000000000003E-2</v>
      </c>
      <c r="E1587" t="s">
        <v>18150</v>
      </c>
      <c r="F1587" t="s">
        <v>15314</v>
      </c>
    </row>
    <row r="1588" spans="1:6" x14ac:dyDescent="0.3">
      <c r="A1588" t="s">
        <v>18151</v>
      </c>
      <c r="B1588">
        <v>2025</v>
      </c>
      <c r="C1588" t="s">
        <v>15312</v>
      </c>
      <c r="D1588">
        <v>3.4500000000000003E-2</v>
      </c>
      <c r="E1588" t="s">
        <v>18152</v>
      </c>
      <c r="F1588" t="s">
        <v>15314</v>
      </c>
    </row>
    <row r="1589" spans="1:6" x14ac:dyDescent="0.3">
      <c r="A1589" t="s">
        <v>18153</v>
      </c>
      <c r="B1589">
        <v>2025</v>
      </c>
      <c r="C1589" t="s">
        <v>15312</v>
      </c>
      <c r="D1589">
        <v>3.4500000000000003E-2</v>
      </c>
      <c r="E1589" t="s">
        <v>18154</v>
      </c>
      <c r="F1589" t="s">
        <v>15314</v>
      </c>
    </row>
    <row r="1590" spans="1:6" x14ac:dyDescent="0.3">
      <c r="A1590" t="s">
        <v>18155</v>
      </c>
      <c r="B1590">
        <v>2025</v>
      </c>
      <c r="C1590" t="s">
        <v>15312</v>
      </c>
      <c r="D1590">
        <v>3.4500000000000003E-2</v>
      </c>
      <c r="E1590" t="s">
        <v>18156</v>
      </c>
      <c r="F1590" t="s">
        <v>15314</v>
      </c>
    </row>
    <row r="1591" spans="1:6" x14ac:dyDescent="0.3">
      <c r="A1591" t="s">
        <v>18157</v>
      </c>
      <c r="B1591">
        <v>2025</v>
      </c>
      <c r="C1591" t="s">
        <v>15312</v>
      </c>
      <c r="D1591">
        <v>3.4500000000000003E-2</v>
      </c>
      <c r="E1591" t="s">
        <v>18158</v>
      </c>
      <c r="F1591" t="s">
        <v>15314</v>
      </c>
    </row>
    <row r="1592" spans="1:6" x14ac:dyDescent="0.3">
      <c r="A1592" t="s">
        <v>18159</v>
      </c>
      <c r="B1592">
        <v>2025</v>
      </c>
      <c r="C1592" t="s">
        <v>15312</v>
      </c>
      <c r="D1592">
        <v>3.4500000000000003E-2</v>
      </c>
      <c r="E1592" t="s">
        <v>18160</v>
      </c>
      <c r="F1592" t="s">
        <v>15314</v>
      </c>
    </row>
    <row r="1593" spans="1:6" x14ac:dyDescent="0.3">
      <c r="A1593" t="s">
        <v>18161</v>
      </c>
      <c r="B1593">
        <v>2025</v>
      </c>
      <c r="C1593" t="s">
        <v>15312</v>
      </c>
      <c r="D1593">
        <v>3.4500000000000003E-2</v>
      </c>
      <c r="E1593" t="s">
        <v>18162</v>
      </c>
      <c r="F1593" t="s">
        <v>15314</v>
      </c>
    </row>
    <row r="1594" spans="1:6" x14ac:dyDescent="0.3">
      <c r="A1594" t="s">
        <v>18163</v>
      </c>
      <c r="B1594">
        <v>2880</v>
      </c>
      <c r="C1594" t="s">
        <v>15169</v>
      </c>
      <c r="D1594">
        <v>8.2500000000000004E-2</v>
      </c>
      <c r="E1594" t="s">
        <v>18164</v>
      </c>
      <c r="F1594" t="s">
        <v>15195</v>
      </c>
    </row>
    <row r="1595" spans="1:6" x14ac:dyDescent="0.3">
      <c r="A1595" t="s">
        <v>18165</v>
      </c>
      <c r="B1595">
        <v>2880</v>
      </c>
      <c r="C1595" t="s">
        <v>15169</v>
      </c>
      <c r="D1595">
        <v>8.2500000000000004E-2</v>
      </c>
      <c r="E1595" t="s">
        <v>18166</v>
      </c>
      <c r="F1595" t="s">
        <v>15195</v>
      </c>
    </row>
    <row r="1596" spans="1:6" x14ac:dyDescent="0.3">
      <c r="A1596" t="s">
        <v>18167</v>
      </c>
      <c r="B1596">
        <v>2880</v>
      </c>
      <c r="C1596" t="s">
        <v>15169</v>
      </c>
      <c r="D1596">
        <v>8.2500000000000004E-2</v>
      </c>
      <c r="E1596" t="s">
        <v>18168</v>
      </c>
      <c r="F1596" t="s">
        <v>15195</v>
      </c>
    </row>
    <row r="1597" spans="1:6" x14ac:dyDescent="0.3">
      <c r="A1597" t="s">
        <v>18169</v>
      </c>
      <c r="B1597">
        <v>2752</v>
      </c>
      <c r="C1597" t="s">
        <v>15169</v>
      </c>
      <c r="D1597">
        <v>8.5000000000000006E-2</v>
      </c>
      <c r="E1597" t="s">
        <v>18170</v>
      </c>
      <c r="F1597" t="s">
        <v>15195</v>
      </c>
    </row>
    <row r="1598" spans="1:6" x14ac:dyDescent="0.3">
      <c r="A1598" t="s">
        <v>18171</v>
      </c>
      <c r="B1598">
        <v>288</v>
      </c>
      <c r="C1598" t="s">
        <v>15169</v>
      </c>
      <c r="D1598">
        <v>8.5000000000000006E-2</v>
      </c>
      <c r="E1598" t="s">
        <v>18172</v>
      </c>
      <c r="F1598" t="s">
        <v>15195</v>
      </c>
    </row>
    <row r="1599" spans="1:6" x14ac:dyDescent="0.3">
      <c r="A1599" t="s">
        <v>18173</v>
      </c>
      <c r="B1599">
        <v>256</v>
      </c>
      <c r="C1599" t="s">
        <v>15169</v>
      </c>
      <c r="D1599">
        <v>8.5000000000000006E-2</v>
      </c>
      <c r="E1599" t="s">
        <v>18174</v>
      </c>
      <c r="F1599" t="s">
        <v>15195</v>
      </c>
    </row>
    <row r="1600" spans="1:6" x14ac:dyDescent="0.3">
      <c r="A1600" t="s">
        <v>18175</v>
      </c>
      <c r="B1600">
        <v>2752</v>
      </c>
      <c r="C1600" t="s">
        <v>15169</v>
      </c>
      <c r="D1600">
        <v>8.5000000000000006E-2</v>
      </c>
      <c r="E1600" t="s">
        <v>18176</v>
      </c>
      <c r="F1600" t="s">
        <v>15195</v>
      </c>
    </row>
    <row r="1601" spans="1:6" x14ac:dyDescent="0.3">
      <c r="A1601" t="s">
        <v>18177</v>
      </c>
      <c r="B1601">
        <v>1890</v>
      </c>
      <c r="C1601" t="s">
        <v>15312</v>
      </c>
      <c r="D1601">
        <v>3.4000000000000002E-2</v>
      </c>
      <c r="E1601" t="s">
        <v>18178</v>
      </c>
      <c r="F1601" t="s">
        <v>15314</v>
      </c>
    </row>
    <row r="1602" spans="1:6" x14ac:dyDescent="0.3">
      <c r="A1602" t="s">
        <v>18179</v>
      </c>
      <c r="B1602">
        <v>1890</v>
      </c>
      <c r="C1602" t="s">
        <v>15312</v>
      </c>
      <c r="D1602">
        <v>3.4000000000000002E-2</v>
      </c>
      <c r="E1602" t="s">
        <v>18180</v>
      </c>
      <c r="F1602" t="s">
        <v>15314</v>
      </c>
    </row>
    <row r="1603" spans="1:6" x14ac:dyDescent="0.3">
      <c r="A1603" t="s">
        <v>18181</v>
      </c>
      <c r="B1603">
        <v>1890</v>
      </c>
      <c r="C1603" t="s">
        <v>15312</v>
      </c>
      <c r="D1603">
        <v>3.4000000000000002E-2</v>
      </c>
      <c r="E1603" t="s">
        <v>18182</v>
      </c>
      <c r="F1603" t="s">
        <v>15314</v>
      </c>
    </row>
    <row r="1604" spans="1:6" x14ac:dyDescent="0.3">
      <c r="A1604" t="s">
        <v>18183</v>
      </c>
      <c r="B1604">
        <v>1890</v>
      </c>
      <c r="C1604" t="s">
        <v>15312</v>
      </c>
      <c r="D1604">
        <v>3.4000000000000002E-2</v>
      </c>
      <c r="E1604" t="s">
        <v>18184</v>
      </c>
      <c r="F1604" t="s">
        <v>15314</v>
      </c>
    </row>
    <row r="1605" spans="1:6" x14ac:dyDescent="0.3">
      <c r="A1605" t="s">
        <v>18185</v>
      </c>
      <c r="B1605">
        <v>1890</v>
      </c>
      <c r="C1605" t="s">
        <v>15312</v>
      </c>
      <c r="D1605">
        <v>3.4000000000000002E-2</v>
      </c>
      <c r="E1605" t="s">
        <v>18186</v>
      </c>
      <c r="F1605" t="s">
        <v>15314</v>
      </c>
    </row>
    <row r="1606" spans="1:6" x14ac:dyDescent="0.3">
      <c r="A1606" t="s">
        <v>18187</v>
      </c>
      <c r="B1606">
        <v>1890</v>
      </c>
      <c r="C1606" t="s">
        <v>15312</v>
      </c>
      <c r="D1606">
        <v>3.4000000000000002E-2</v>
      </c>
      <c r="E1606" t="s">
        <v>18188</v>
      </c>
      <c r="F1606" t="s">
        <v>15314</v>
      </c>
    </row>
    <row r="1607" spans="1:6" x14ac:dyDescent="0.3">
      <c r="A1607" t="s">
        <v>18189</v>
      </c>
      <c r="B1607">
        <v>1890</v>
      </c>
      <c r="C1607" t="s">
        <v>15312</v>
      </c>
      <c r="D1607">
        <v>3.4000000000000002E-2</v>
      </c>
      <c r="E1607" t="s">
        <v>18190</v>
      </c>
      <c r="F1607" t="s">
        <v>15314</v>
      </c>
    </row>
    <row r="1608" spans="1:6" x14ac:dyDescent="0.3">
      <c r="A1608" t="s">
        <v>18191</v>
      </c>
      <c r="B1608">
        <v>1890</v>
      </c>
      <c r="C1608" t="s">
        <v>15312</v>
      </c>
      <c r="D1608">
        <v>3.4000000000000002E-2</v>
      </c>
      <c r="E1608" t="s">
        <v>18192</v>
      </c>
      <c r="F1608" t="s">
        <v>15314</v>
      </c>
    </row>
    <row r="1609" spans="1:6" x14ac:dyDescent="0.3">
      <c r="A1609" t="s">
        <v>18193</v>
      </c>
      <c r="B1609">
        <v>1890</v>
      </c>
      <c r="C1609" t="s">
        <v>15312</v>
      </c>
      <c r="D1609">
        <v>3.4000000000000002E-2</v>
      </c>
      <c r="E1609" t="s">
        <v>18194</v>
      </c>
      <c r="F1609" t="s">
        <v>15314</v>
      </c>
    </row>
    <row r="1610" spans="1:6" x14ac:dyDescent="0.3">
      <c r="A1610" t="s">
        <v>4365</v>
      </c>
      <c r="B1610">
        <v>1890</v>
      </c>
      <c r="C1610" t="s">
        <v>15312</v>
      </c>
      <c r="D1610">
        <v>3.4000000000000002E-2</v>
      </c>
      <c r="E1610" t="s">
        <v>4366</v>
      </c>
      <c r="F1610" t="s">
        <v>15314</v>
      </c>
    </row>
    <row r="1611" spans="1:6" x14ac:dyDescent="0.3">
      <c r="A1611" t="s">
        <v>18195</v>
      </c>
      <c r="B1611">
        <v>1890</v>
      </c>
      <c r="C1611" t="s">
        <v>15312</v>
      </c>
      <c r="D1611">
        <v>3.4000000000000002E-2</v>
      </c>
      <c r="E1611" t="s">
        <v>18196</v>
      </c>
      <c r="F1611" t="s">
        <v>15314</v>
      </c>
    </row>
    <row r="1612" spans="1:6" x14ac:dyDescent="0.3">
      <c r="A1612" t="s">
        <v>18197</v>
      </c>
      <c r="B1612">
        <v>1890</v>
      </c>
      <c r="C1612" t="s">
        <v>15312</v>
      </c>
      <c r="D1612">
        <v>3.4000000000000002E-2</v>
      </c>
      <c r="E1612" t="s">
        <v>18198</v>
      </c>
      <c r="F1612" t="s">
        <v>15314</v>
      </c>
    </row>
    <row r="1613" spans="1:6" x14ac:dyDescent="0.3">
      <c r="A1613" t="s">
        <v>18199</v>
      </c>
      <c r="B1613">
        <v>1890</v>
      </c>
      <c r="C1613" t="s">
        <v>15312</v>
      </c>
      <c r="D1613">
        <v>3.4000000000000002E-2</v>
      </c>
      <c r="E1613" t="s">
        <v>18200</v>
      </c>
      <c r="F1613" t="s">
        <v>15314</v>
      </c>
    </row>
    <row r="1614" spans="1:6" x14ac:dyDescent="0.3">
      <c r="A1614" t="s">
        <v>18201</v>
      </c>
      <c r="B1614">
        <v>1890</v>
      </c>
      <c r="C1614" t="s">
        <v>15312</v>
      </c>
      <c r="D1614">
        <v>3.4000000000000002E-2</v>
      </c>
      <c r="E1614" t="s">
        <v>18202</v>
      </c>
      <c r="F1614" t="s">
        <v>15314</v>
      </c>
    </row>
    <row r="1615" spans="1:6" x14ac:dyDescent="0.3">
      <c r="A1615" t="s">
        <v>18203</v>
      </c>
      <c r="B1615">
        <v>1890</v>
      </c>
      <c r="C1615" t="s">
        <v>15312</v>
      </c>
      <c r="D1615">
        <v>3.4000000000000002E-2</v>
      </c>
      <c r="E1615" t="s">
        <v>18204</v>
      </c>
      <c r="F1615" t="s">
        <v>15314</v>
      </c>
    </row>
    <row r="1616" spans="1:6" x14ac:dyDescent="0.3">
      <c r="A1616" t="s">
        <v>18205</v>
      </c>
      <c r="B1616">
        <v>1890</v>
      </c>
      <c r="C1616" t="s">
        <v>15312</v>
      </c>
      <c r="D1616">
        <v>3.4000000000000002E-2</v>
      </c>
      <c r="E1616" t="s">
        <v>18206</v>
      </c>
      <c r="F1616" t="s">
        <v>15314</v>
      </c>
    </row>
    <row r="1617" spans="1:6" x14ac:dyDescent="0.3">
      <c r="A1617" t="s">
        <v>18207</v>
      </c>
      <c r="B1617">
        <v>1890</v>
      </c>
      <c r="C1617" t="s">
        <v>15312</v>
      </c>
      <c r="D1617">
        <v>3.4000000000000002E-2</v>
      </c>
      <c r="E1617" t="s">
        <v>18208</v>
      </c>
      <c r="F1617" t="s">
        <v>15314</v>
      </c>
    </row>
    <row r="1618" spans="1:6" x14ac:dyDescent="0.3">
      <c r="A1618" t="s">
        <v>18209</v>
      </c>
      <c r="B1618">
        <v>25380</v>
      </c>
      <c r="C1618" t="s">
        <v>15169</v>
      </c>
      <c r="D1618">
        <v>9.1000000000000004E-3</v>
      </c>
      <c r="E1618" t="s">
        <v>18210</v>
      </c>
      <c r="F1618" t="s">
        <v>15214</v>
      </c>
    </row>
    <row r="1619" spans="1:6" x14ac:dyDescent="0.3">
      <c r="A1619" t="s">
        <v>18211</v>
      </c>
      <c r="B1619">
        <v>25380</v>
      </c>
      <c r="C1619" t="s">
        <v>15169</v>
      </c>
      <c r="D1619">
        <v>9.1000000000000004E-3</v>
      </c>
      <c r="E1619" t="s">
        <v>18212</v>
      </c>
      <c r="F1619" t="s">
        <v>15214</v>
      </c>
    </row>
    <row r="1620" spans="1:6" x14ac:dyDescent="0.3">
      <c r="A1620" t="s">
        <v>18213</v>
      </c>
      <c r="B1620">
        <v>25380</v>
      </c>
      <c r="C1620" t="s">
        <v>15169</v>
      </c>
      <c r="D1620">
        <v>9.4000000000000004E-3</v>
      </c>
      <c r="E1620" t="s">
        <v>18214</v>
      </c>
      <c r="F1620" t="s">
        <v>15214</v>
      </c>
    </row>
    <row r="1621" spans="1:6" x14ac:dyDescent="0.3">
      <c r="A1621" t="s">
        <v>18215</v>
      </c>
      <c r="B1621">
        <v>25380</v>
      </c>
      <c r="C1621" t="s">
        <v>15169</v>
      </c>
      <c r="D1621">
        <v>9.4000000000000004E-3</v>
      </c>
      <c r="E1621" t="s">
        <v>18216</v>
      </c>
      <c r="F1621" t="s">
        <v>15214</v>
      </c>
    </row>
    <row r="1622" spans="1:6" x14ac:dyDescent="0.3">
      <c r="A1622" t="s">
        <v>76</v>
      </c>
      <c r="B1622">
        <v>25380</v>
      </c>
      <c r="C1622" t="s">
        <v>15169</v>
      </c>
      <c r="D1622">
        <v>9.4000000000000004E-3</v>
      </c>
      <c r="E1622" t="s">
        <v>18217</v>
      </c>
      <c r="F1622" t="s">
        <v>15214</v>
      </c>
    </row>
    <row r="1623" spans="1:6" x14ac:dyDescent="0.3">
      <c r="A1623" t="s">
        <v>322</v>
      </c>
      <c r="B1623">
        <v>25380</v>
      </c>
      <c r="C1623" t="s">
        <v>15169</v>
      </c>
      <c r="D1623">
        <v>9.4000000000000004E-3</v>
      </c>
      <c r="E1623" t="s">
        <v>323</v>
      </c>
      <c r="F1623" t="s">
        <v>15214</v>
      </c>
    </row>
    <row r="1624" spans="1:6" x14ac:dyDescent="0.3">
      <c r="A1624" t="s">
        <v>18218</v>
      </c>
      <c r="B1624">
        <v>25380</v>
      </c>
      <c r="C1624" t="s">
        <v>15169</v>
      </c>
      <c r="D1624">
        <v>9.4000000000000004E-3</v>
      </c>
      <c r="E1624" t="s">
        <v>18219</v>
      </c>
      <c r="F1624" t="s">
        <v>15214</v>
      </c>
    </row>
    <row r="1625" spans="1:6" x14ac:dyDescent="0.3">
      <c r="A1625" t="s">
        <v>18220</v>
      </c>
      <c r="B1625">
        <v>25380</v>
      </c>
      <c r="C1625" t="s">
        <v>15169</v>
      </c>
      <c r="D1625">
        <v>9.4000000000000004E-3</v>
      </c>
      <c r="E1625" t="s">
        <v>18221</v>
      </c>
      <c r="F1625" t="s">
        <v>15214</v>
      </c>
    </row>
    <row r="1626" spans="1:6" x14ac:dyDescent="0.3">
      <c r="A1626" t="s">
        <v>18222</v>
      </c>
      <c r="B1626">
        <v>25380</v>
      </c>
      <c r="C1626" t="s">
        <v>15169</v>
      </c>
      <c r="D1626">
        <v>9.4000000000000004E-3</v>
      </c>
      <c r="E1626" t="s">
        <v>18223</v>
      </c>
      <c r="F1626" t="s">
        <v>15214</v>
      </c>
    </row>
    <row r="1627" spans="1:6" x14ac:dyDescent="0.3">
      <c r="A1627" t="s">
        <v>18224</v>
      </c>
      <c r="B1627">
        <v>25380</v>
      </c>
      <c r="C1627" t="s">
        <v>15169</v>
      </c>
      <c r="D1627">
        <v>9.4000000000000004E-3</v>
      </c>
      <c r="E1627" t="s">
        <v>18225</v>
      </c>
      <c r="F1627" t="s">
        <v>15214</v>
      </c>
    </row>
    <row r="1628" spans="1:6" x14ac:dyDescent="0.3">
      <c r="A1628" t="s">
        <v>4424</v>
      </c>
      <c r="B1628">
        <v>25380</v>
      </c>
      <c r="C1628" t="s">
        <v>15169</v>
      </c>
      <c r="D1628">
        <v>9.4000000000000004E-3</v>
      </c>
      <c r="E1628" t="s">
        <v>18226</v>
      </c>
      <c r="F1628" t="s">
        <v>15214</v>
      </c>
    </row>
    <row r="1629" spans="1:6" x14ac:dyDescent="0.3">
      <c r="A1629" t="s">
        <v>18227</v>
      </c>
      <c r="B1629">
        <v>25380</v>
      </c>
      <c r="C1629" t="s">
        <v>15169</v>
      </c>
      <c r="D1629">
        <v>9.4000000000000004E-3</v>
      </c>
      <c r="E1629" t="s">
        <v>18228</v>
      </c>
      <c r="F1629" t="s">
        <v>15214</v>
      </c>
    </row>
    <row r="1630" spans="1:6" x14ac:dyDescent="0.3">
      <c r="A1630" t="s">
        <v>18229</v>
      </c>
      <c r="B1630">
        <v>25380</v>
      </c>
      <c r="C1630" t="s">
        <v>15169</v>
      </c>
      <c r="D1630">
        <v>9.4000000000000004E-3</v>
      </c>
      <c r="E1630" t="s">
        <v>18230</v>
      </c>
      <c r="F1630" t="s">
        <v>15214</v>
      </c>
    </row>
    <row r="1631" spans="1:6" x14ac:dyDescent="0.3">
      <c r="A1631" t="s">
        <v>18231</v>
      </c>
      <c r="B1631">
        <v>25380</v>
      </c>
      <c r="C1631" t="s">
        <v>15169</v>
      </c>
      <c r="D1631">
        <v>9.4000000000000004E-3</v>
      </c>
      <c r="E1631" t="s">
        <v>18232</v>
      </c>
      <c r="F1631" t="s">
        <v>15214</v>
      </c>
    </row>
    <row r="1632" spans="1:6" x14ac:dyDescent="0.3">
      <c r="A1632" t="s">
        <v>445</v>
      </c>
      <c r="B1632">
        <v>25380</v>
      </c>
      <c r="C1632" t="s">
        <v>15169</v>
      </c>
      <c r="D1632">
        <v>9.4000000000000004E-3</v>
      </c>
      <c r="E1632" t="s">
        <v>18233</v>
      </c>
      <c r="F1632" t="s">
        <v>15214</v>
      </c>
    </row>
    <row r="1633" spans="1:6" x14ac:dyDescent="0.3">
      <c r="A1633" t="s">
        <v>3028</v>
      </c>
      <c r="B1633">
        <v>25380</v>
      </c>
      <c r="C1633" t="s">
        <v>15169</v>
      </c>
      <c r="D1633">
        <v>9.4000000000000004E-3</v>
      </c>
      <c r="E1633" t="s">
        <v>3029</v>
      </c>
      <c r="F1633" t="s">
        <v>15214</v>
      </c>
    </row>
    <row r="1634" spans="1:6" x14ac:dyDescent="0.3">
      <c r="A1634" t="s">
        <v>18234</v>
      </c>
      <c r="B1634">
        <v>25380</v>
      </c>
      <c r="C1634" t="s">
        <v>15169</v>
      </c>
      <c r="D1634">
        <v>9.7000000000000003E-3</v>
      </c>
      <c r="E1634" t="s">
        <v>18235</v>
      </c>
      <c r="F1634" t="s">
        <v>15214</v>
      </c>
    </row>
    <row r="1635" spans="1:6" x14ac:dyDescent="0.3">
      <c r="A1635" t="s">
        <v>18236</v>
      </c>
      <c r="B1635">
        <v>25380</v>
      </c>
      <c r="C1635" t="s">
        <v>15169</v>
      </c>
      <c r="D1635">
        <v>9.7000000000000003E-3</v>
      </c>
      <c r="E1635" t="s">
        <v>18237</v>
      </c>
      <c r="F1635" t="s">
        <v>15214</v>
      </c>
    </row>
    <row r="1636" spans="1:6" x14ac:dyDescent="0.3">
      <c r="A1636" t="s">
        <v>18238</v>
      </c>
      <c r="B1636">
        <v>25380</v>
      </c>
      <c r="C1636" t="s">
        <v>15169</v>
      </c>
      <c r="D1636">
        <v>9.7000000000000003E-3</v>
      </c>
      <c r="E1636" t="s">
        <v>18239</v>
      </c>
      <c r="F1636" t="s">
        <v>15214</v>
      </c>
    </row>
    <row r="1637" spans="1:6" x14ac:dyDescent="0.3">
      <c r="A1637" t="s">
        <v>18240</v>
      </c>
      <c r="B1637">
        <v>25380</v>
      </c>
      <c r="C1637" t="s">
        <v>15169</v>
      </c>
      <c r="D1637">
        <v>9.7000000000000003E-3</v>
      </c>
      <c r="E1637" t="s">
        <v>18241</v>
      </c>
      <c r="F1637" t="s">
        <v>15214</v>
      </c>
    </row>
    <row r="1638" spans="1:6" x14ac:dyDescent="0.3">
      <c r="A1638" t="s">
        <v>18242</v>
      </c>
      <c r="B1638">
        <v>25380</v>
      </c>
      <c r="C1638" t="s">
        <v>15169</v>
      </c>
      <c r="D1638">
        <v>9.7000000000000003E-3</v>
      </c>
      <c r="E1638" t="s">
        <v>18243</v>
      </c>
      <c r="F1638" t="s">
        <v>15214</v>
      </c>
    </row>
    <row r="1639" spans="1:6" x14ac:dyDescent="0.3">
      <c r="A1639" t="s">
        <v>18244</v>
      </c>
      <c r="B1639">
        <v>25380</v>
      </c>
      <c r="C1639" t="s">
        <v>15169</v>
      </c>
      <c r="D1639">
        <v>9.7000000000000003E-3</v>
      </c>
      <c r="E1639" t="s">
        <v>18245</v>
      </c>
      <c r="F1639" t="s">
        <v>15214</v>
      </c>
    </row>
    <row r="1640" spans="1:6" x14ac:dyDescent="0.3">
      <c r="A1640" t="s">
        <v>18246</v>
      </c>
      <c r="B1640">
        <v>25380</v>
      </c>
      <c r="C1640" t="s">
        <v>15169</v>
      </c>
      <c r="D1640">
        <v>9.7000000000000003E-3</v>
      </c>
      <c r="E1640" t="s">
        <v>18247</v>
      </c>
      <c r="F1640" t="s">
        <v>15214</v>
      </c>
    </row>
    <row r="1641" spans="1:6" x14ac:dyDescent="0.3">
      <c r="A1641" t="s">
        <v>18248</v>
      </c>
      <c r="B1641">
        <v>25380</v>
      </c>
      <c r="C1641" t="s">
        <v>15169</v>
      </c>
      <c r="D1641">
        <v>9.7000000000000003E-3</v>
      </c>
      <c r="E1641" t="s">
        <v>18249</v>
      </c>
      <c r="F1641" t="s">
        <v>15214</v>
      </c>
    </row>
    <row r="1642" spans="1:6" x14ac:dyDescent="0.3">
      <c r="A1642" t="s">
        <v>2127</v>
      </c>
      <c r="B1642">
        <v>4968</v>
      </c>
      <c r="C1642" t="s">
        <v>15169</v>
      </c>
      <c r="D1642">
        <v>3.4000000000000002E-2</v>
      </c>
      <c r="E1642" t="s">
        <v>18250</v>
      </c>
      <c r="F1642" t="s">
        <v>15195</v>
      </c>
    </row>
    <row r="1643" spans="1:6" x14ac:dyDescent="0.3">
      <c r="A1643" t="s">
        <v>2121</v>
      </c>
      <c r="B1643">
        <v>4968</v>
      </c>
      <c r="C1643" t="s">
        <v>15169</v>
      </c>
      <c r="D1643">
        <v>3.4000000000000002E-2</v>
      </c>
      <c r="E1643" t="s">
        <v>18251</v>
      </c>
      <c r="F1643" t="s">
        <v>15195</v>
      </c>
    </row>
    <row r="1644" spans="1:6" x14ac:dyDescent="0.3">
      <c r="A1644" t="s">
        <v>18252</v>
      </c>
      <c r="B1644">
        <v>672</v>
      </c>
      <c r="C1644" t="s">
        <v>15312</v>
      </c>
      <c r="D1644">
        <v>5.0999999999999997E-2</v>
      </c>
      <c r="E1644" t="s">
        <v>18253</v>
      </c>
      <c r="F1644" t="s">
        <v>15314</v>
      </c>
    </row>
    <row r="1645" spans="1:6" x14ac:dyDescent="0.3">
      <c r="A1645" t="s">
        <v>18254</v>
      </c>
      <c r="B1645">
        <v>672</v>
      </c>
      <c r="C1645" t="s">
        <v>15312</v>
      </c>
      <c r="D1645">
        <v>5.0999999999999997E-2</v>
      </c>
      <c r="E1645" t="s">
        <v>18255</v>
      </c>
      <c r="F1645" t="s">
        <v>15314</v>
      </c>
    </row>
    <row r="1646" spans="1:6" x14ac:dyDescent="0.3">
      <c r="A1646" t="s">
        <v>18256</v>
      </c>
      <c r="B1646">
        <v>672</v>
      </c>
      <c r="C1646" t="s">
        <v>15312</v>
      </c>
      <c r="D1646">
        <v>5.0999999999999997E-2</v>
      </c>
      <c r="E1646" t="s">
        <v>18257</v>
      </c>
      <c r="F1646" t="s">
        <v>15314</v>
      </c>
    </row>
    <row r="1647" spans="1:6" x14ac:dyDescent="0.3">
      <c r="A1647" t="s">
        <v>2673</v>
      </c>
      <c r="B1647">
        <v>672</v>
      </c>
      <c r="C1647" t="s">
        <v>15312</v>
      </c>
      <c r="D1647">
        <v>5.0999999999999997E-2</v>
      </c>
      <c r="E1647" t="s">
        <v>2674</v>
      </c>
      <c r="F1647" t="s">
        <v>15314</v>
      </c>
    </row>
    <row r="1648" spans="1:6" x14ac:dyDescent="0.3">
      <c r="A1648" t="s">
        <v>18258</v>
      </c>
      <c r="B1648">
        <v>672</v>
      </c>
      <c r="C1648" t="s">
        <v>15312</v>
      </c>
      <c r="D1648">
        <v>5.0999999999999997E-2</v>
      </c>
      <c r="E1648" t="s">
        <v>18259</v>
      </c>
      <c r="F1648" t="s">
        <v>15314</v>
      </c>
    </row>
    <row r="1649" spans="1:6" x14ac:dyDescent="0.3">
      <c r="A1649" t="s">
        <v>2663</v>
      </c>
      <c r="B1649">
        <v>672</v>
      </c>
      <c r="C1649" t="s">
        <v>15312</v>
      </c>
      <c r="D1649">
        <v>5.0999999999999997E-2</v>
      </c>
      <c r="E1649" t="s">
        <v>2664</v>
      </c>
      <c r="F1649" t="s">
        <v>15314</v>
      </c>
    </row>
    <row r="1650" spans="1:6" x14ac:dyDescent="0.3">
      <c r="A1650" t="s">
        <v>18260</v>
      </c>
      <c r="B1650">
        <v>672</v>
      </c>
      <c r="C1650" t="s">
        <v>15312</v>
      </c>
      <c r="D1650">
        <v>5.0999999999999997E-2</v>
      </c>
      <c r="E1650" t="s">
        <v>18261</v>
      </c>
      <c r="F1650" t="s">
        <v>15314</v>
      </c>
    </row>
    <row r="1651" spans="1:6" x14ac:dyDescent="0.3">
      <c r="A1651" t="s">
        <v>2683</v>
      </c>
      <c r="B1651">
        <v>672</v>
      </c>
      <c r="C1651" t="s">
        <v>15312</v>
      </c>
      <c r="D1651">
        <v>5.0999999999999997E-2</v>
      </c>
      <c r="E1651" t="s">
        <v>2684</v>
      </c>
      <c r="F1651" t="s">
        <v>15314</v>
      </c>
    </row>
    <row r="1652" spans="1:6" x14ac:dyDescent="0.3">
      <c r="A1652" t="s">
        <v>18262</v>
      </c>
      <c r="B1652">
        <v>1890</v>
      </c>
      <c r="C1652" t="s">
        <v>15312</v>
      </c>
      <c r="D1652">
        <v>3.4000000000000002E-2</v>
      </c>
      <c r="E1652" t="s">
        <v>18263</v>
      </c>
      <c r="F1652" t="s">
        <v>15314</v>
      </c>
    </row>
    <row r="1653" spans="1:6" x14ac:dyDescent="0.3">
      <c r="A1653" t="s">
        <v>18264</v>
      </c>
      <c r="B1653">
        <v>1890</v>
      </c>
      <c r="C1653" t="s">
        <v>15312</v>
      </c>
      <c r="D1653">
        <v>3.4000000000000002E-2</v>
      </c>
      <c r="E1653" t="s">
        <v>18265</v>
      </c>
      <c r="F1653" t="s">
        <v>15314</v>
      </c>
    </row>
    <row r="1654" spans="1:6" x14ac:dyDescent="0.3">
      <c r="A1654" t="s">
        <v>18266</v>
      </c>
      <c r="B1654">
        <v>1080</v>
      </c>
      <c r="C1654" t="s">
        <v>15312</v>
      </c>
      <c r="D1654">
        <v>5.0999999999999997E-2</v>
      </c>
      <c r="E1654" t="s">
        <v>18267</v>
      </c>
      <c r="F1654" t="s">
        <v>15314</v>
      </c>
    </row>
    <row r="1655" spans="1:6" x14ac:dyDescent="0.3">
      <c r="A1655" t="s">
        <v>18268</v>
      </c>
      <c r="B1655">
        <v>1080</v>
      </c>
      <c r="C1655" t="s">
        <v>15312</v>
      </c>
      <c r="D1655">
        <v>5.0999999999999997E-2</v>
      </c>
      <c r="E1655" t="s">
        <v>18269</v>
      </c>
      <c r="F1655" t="s">
        <v>15314</v>
      </c>
    </row>
    <row r="1656" spans="1:6" x14ac:dyDescent="0.3">
      <c r="A1656" t="s">
        <v>18270</v>
      </c>
      <c r="B1656">
        <v>1080</v>
      </c>
      <c r="C1656" t="s">
        <v>15312</v>
      </c>
      <c r="D1656">
        <v>5.0999999999999997E-2</v>
      </c>
      <c r="E1656" t="s">
        <v>18271</v>
      </c>
      <c r="F1656" t="s">
        <v>15314</v>
      </c>
    </row>
    <row r="1657" spans="1:6" x14ac:dyDescent="0.3">
      <c r="A1657" t="s">
        <v>18272</v>
      </c>
      <c r="B1657">
        <v>1080</v>
      </c>
      <c r="C1657" t="s">
        <v>15312</v>
      </c>
      <c r="D1657">
        <v>5.0999999999999997E-2</v>
      </c>
      <c r="E1657" t="s">
        <v>18273</v>
      </c>
      <c r="F1657" t="s">
        <v>15314</v>
      </c>
    </row>
    <row r="1658" spans="1:6" x14ac:dyDescent="0.3">
      <c r="A1658" t="s">
        <v>18274</v>
      </c>
      <c r="B1658">
        <v>1080</v>
      </c>
      <c r="C1658" t="s">
        <v>15312</v>
      </c>
      <c r="D1658">
        <v>5.0999999999999997E-2</v>
      </c>
      <c r="E1658" t="s">
        <v>18275</v>
      </c>
      <c r="F1658" t="s">
        <v>15314</v>
      </c>
    </row>
    <row r="1659" spans="1:6" x14ac:dyDescent="0.3">
      <c r="A1659" t="s">
        <v>18276</v>
      </c>
      <c r="B1659">
        <v>1080</v>
      </c>
      <c r="C1659" t="s">
        <v>15312</v>
      </c>
      <c r="D1659">
        <v>5.0999999999999997E-2</v>
      </c>
      <c r="E1659" t="s">
        <v>18277</v>
      </c>
      <c r="F1659" t="s">
        <v>15314</v>
      </c>
    </row>
    <row r="1660" spans="1:6" x14ac:dyDescent="0.3">
      <c r="A1660" t="s">
        <v>18278</v>
      </c>
      <c r="B1660">
        <v>1080</v>
      </c>
      <c r="C1660" t="s">
        <v>15312</v>
      </c>
      <c r="D1660">
        <v>5.0999999999999997E-2</v>
      </c>
      <c r="E1660" t="s">
        <v>18279</v>
      </c>
      <c r="F1660" t="s">
        <v>15314</v>
      </c>
    </row>
    <row r="1661" spans="1:6" x14ac:dyDescent="0.3">
      <c r="A1661" t="s">
        <v>18280</v>
      </c>
      <c r="B1661">
        <v>1080</v>
      </c>
      <c r="C1661" t="s">
        <v>15312</v>
      </c>
      <c r="D1661">
        <v>5.0999999999999997E-2</v>
      </c>
      <c r="E1661" t="s">
        <v>18281</v>
      </c>
      <c r="F1661" t="s">
        <v>15314</v>
      </c>
    </row>
    <row r="1662" spans="1:6" x14ac:dyDescent="0.3">
      <c r="A1662" t="s">
        <v>18282</v>
      </c>
      <c r="B1662">
        <v>1080</v>
      </c>
      <c r="C1662" t="s">
        <v>15312</v>
      </c>
      <c r="D1662">
        <v>5.0999999999999997E-2</v>
      </c>
      <c r="E1662" t="s">
        <v>18283</v>
      </c>
      <c r="F1662" t="s">
        <v>15314</v>
      </c>
    </row>
    <row r="1663" spans="1:6" x14ac:dyDescent="0.3">
      <c r="A1663" t="s">
        <v>18284</v>
      </c>
      <c r="B1663">
        <v>1080</v>
      </c>
      <c r="C1663" t="s">
        <v>15312</v>
      </c>
      <c r="D1663">
        <v>5.0999999999999997E-2</v>
      </c>
      <c r="E1663" t="s">
        <v>18285</v>
      </c>
      <c r="F1663" t="s">
        <v>15314</v>
      </c>
    </row>
    <row r="1664" spans="1:6" x14ac:dyDescent="0.3">
      <c r="A1664" t="s">
        <v>18286</v>
      </c>
      <c r="B1664">
        <v>1080</v>
      </c>
      <c r="C1664" t="s">
        <v>15312</v>
      </c>
      <c r="D1664">
        <v>5.0999999999999997E-2</v>
      </c>
      <c r="E1664" t="s">
        <v>18287</v>
      </c>
      <c r="F1664" t="s">
        <v>15314</v>
      </c>
    </row>
    <row r="1665" spans="1:6" x14ac:dyDescent="0.3">
      <c r="A1665" t="s">
        <v>18288</v>
      </c>
      <c r="B1665">
        <v>1080</v>
      </c>
      <c r="C1665" t="s">
        <v>15312</v>
      </c>
      <c r="D1665">
        <v>5.0999999999999997E-2</v>
      </c>
      <c r="E1665" t="s">
        <v>18289</v>
      </c>
      <c r="F1665" t="s">
        <v>15314</v>
      </c>
    </row>
    <row r="1666" spans="1:6" x14ac:dyDescent="0.3">
      <c r="A1666" t="s">
        <v>18290</v>
      </c>
      <c r="B1666">
        <v>1080</v>
      </c>
      <c r="C1666" t="s">
        <v>15312</v>
      </c>
      <c r="D1666">
        <v>5.0999999999999997E-2</v>
      </c>
      <c r="E1666" t="s">
        <v>18291</v>
      </c>
      <c r="F1666" t="s">
        <v>15314</v>
      </c>
    </row>
    <row r="1667" spans="1:6" x14ac:dyDescent="0.3">
      <c r="A1667" t="s">
        <v>18292</v>
      </c>
      <c r="B1667">
        <v>1080</v>
      </c>
      <c r="C1667" t="s">
        <v>15312</v>
      </c>
      <c r="D1667">
        <v>5.0999999999999997E-2</v>
      </c>
      <c r="E1667" t="s">
        <v>18293</v>
      </c>
      <c r="F1667" t="s">
        <v>15314</v>
      </c>
    </row>
    <row r="1668" spans="1:6" x14ac:dyDescent="0.3">
      <c r="A1668" t="s">
        <v>18294</v>
      </c>
      <c r="B1668">
        <v>1080</v>
      </c>
      <c r="C1668" t="s">
        <v>15312</v>
      </c>
      <c r="D1668">
        <v>5.0999999999999997E-2</v>
      </c>
      <c r="E1668" t="s">
        <v>18295</v>
      </c>
      <c r="F1668" t="s">
        <v>15314</v>
      </c>
    </row>
    <row r="1669" spans="1:6" x14ac:dyDescent="0.3">
      <c r="A1669" t="s">
        <v>18296</v>
      </c>
      <c r="B1669">
        <v>1080</v>
      </c>
      <c r="C1669" t="s">
        <v>15312</v>
      </c>
      <c r="D1669">
        <v>5.0999999999999997E-2</v>
      </c>
      <c r="E1669" t="s">
        <v>18297</v>
      </c>
      <c r="F1669" t="s">
        <v>15314</v>
      </c>
    </row>
    <row r="1670" spans="1:6" x14ac:dyDescent="0.3">
      <c r="A1670" t="s">
        <v>18298</v>
      </c>
      <c r="B1670">
        <v>7140</v>
      </c>
      <c r="C1670" t="s">
        <v>15312</v>
      </c>
      <c r="D1670">
        <v>1.2699999999999999E-2</v>
      </c>
      <c r="E1670" t="s">
        <v>18299</v>
      </c>
      <c r="F1670" t="s">
        <v>15314</v>
      </c>
    </row>
    <row r="1671" spans="1:6" x14ac:dyDescent="0.3">
      <c r="A1671" t="s">
        <v>18300</v>
      </c>
      <c r="B1671">
        <v>7140</v>
      </c>
      <c r="C1671" t="s">
        <v>15312</v>
      </c>
      <c r="D1671">
        <v>1.2699999999999999E-2</v>
      </c>
      <c r="E1671" t="s">
        <v>18301</v>
      </c>
      <c r="F1671" t="s">
        <v>15314</v>
      </c>
    </row>
    <row r="1672" spans="1:6" x14ac:dyDescent="0.3">
      <c r="A1672" t="s">
        <v>18302</v>
      </c>
      <c r="B1672">
        <v>7140</v>
      </c>
      <c r="C1672" t="s">
        <v>15312</v>
      </c>
      <c r="D1672">
        <v>1.2699999999999999E-2</v>
      </c>
      <c r="E1672" t="s">
        <v>18303</v>
      </c>
      <c r="F1672" t="s">
        <v>15314</v>
      </c>
    </row>
    <row r="1673" spans="1:6" x14ac:dyDescent="0.3">
      <c r="A1673" t="s">
        <v>18304</v>
      </c>
      <c r="B1673">
        <v>7140</v>
      </c>
      <c r="C1673" t="s">
        <v>15312</v>
      </c>
      <c r="D1673">
        <v>1.2699999999999999E-2</v>
      </c>
      <c r="E1673" t="s">
        <v>18305</v>
      </c>
      <c r="F1673" t="s">
        <v>15314</v>
      </c>
    </row>
    <row r="1674" spans="1:6" x14ac:dyDescent="0.3">
      <c r="A1674" t="s">
        <v>18306</v>
      </c>
      <c r="B1674">
        <v>7140</v>
      </c>
      <c r="C1674" t="s">
        <v>15312</v>
      </c>
      <c r="D1674">
        <v>1.2699999999999999E-2</v>
      </c>
      <c r="E1674" t="s">
        <v>18307</v>
      </c>
      <c r="F1674" t="s">
        <v>15314</v>
      </c>
    </row>
    <row r="1675" spans="1:6" x14ac:dyDescent="0.3">
      <c r="A1675" t="s">
        <v>18308</v>
      </c>
      <c r="B1675">
        <v>7140</v>
      </c>
      <c r="C1675" t="s">
        <v>15312</v>
      </c>
      <c r="D1675">
        <v>1.2699999999999999E-2</v>
      </c>
      <c r="E1675" t="s">
        <v>18309</v>
      </c>
      <c r="F1675" t="s">
        <v>15314</v>
      </c>
    </row>
    <row r="1676" spans="1:6" x14ac:dyDescent="0.3">
      <c r="A1676" t="s">
        <v>18310</v>
      </c>
      <c r="B1676">
        <v>7140</v>
      </c>
      <c r="C1676" t="s">
        <v>15312</v>
      </c>
      <c r="D1676">
        <v>1.2699999999999999E-2</v>
      </c>
      <c r="E1676" t="s">
        <v>18311</v>
      </c>
      <c r="F1676" t="s">
        <v>15314</v>
      </c>
    </row>
    <row r="1677" spans="1:6" x14ac:dyDescent="0.3">
      <c r="A1677" t="s">
        <v>18312</v>
      </c>
      <c r="B1677">
        <v>5415</v>
      </c>
      <c r="C1677" t="s">
        <v>15312</v>
      </c>
      <c r="D1677">
        <v>1.7999999999999999E-2</v>
      </c>
      <c r="E1677" t="s">
        <v>18313</v>
      </c>
      <c r="F1677" t="s">
        <v>15314</v>
      </c>
    </row>
    <row r="1678" spans="1:6" x14ac:dyDescent="0.3">
      <c r="A1678" t="s">
        <v>18314</v>
      </c>
      <c r="B1678">
        <v>5415</v>
      </c>
      <c r="C1678" t="s">
        <v>15312</v>
      </c>
      <c r="D1678">
        <v>1.7999999999999999E-2</v>
      </c>
      <c r="E1678" t="s">
        <v>18315</v>
      </c>
      <c r="F1678" t="s">
        <v>15314</v>
      </c>
    </row>
    <row r="1679" spans="1:6" x14ac:dyDescent="0.3">
      <c r="A1679" t="s">
        <v>18316</v>
      </c>
      <c r="B1679">
        <v>5415</v>
      </c>
      <c r="C1679" t="s">
        <v>15312</v>
      </c>
      <c r="D1679">
        <v>1.7999999999999999E-2</v>
      </c>
      <c r="E1679" t="s">
        <v>18317</v>
      </c>
      <c r="F1679" t="s">
        <v>15314</v>
      </c>
    </row>
    <row r="1680" spans="1:6" x14ac:dyDescent="0.3">
      <c r="A1680" t="s">
        <v>18318</v>
      </c>
      <c r="B1680">
        <v>5415</v>
      </c>
      <c r="C1680" t="s">
        <v>15312</v>
      </c>
      <c r="D1680">
        <v>1.7999999999999999E-2</v>
      </c>
      <c r="E1680" t="s">
        <v>18319</v>
      </c>
      <c r="F1680" t="s">
        <v>15314</v>
      </c>
    </row>
    <row r="1681" spans="1:6" x14ac:dyDescent="0.3">
      <c r="A1681" t="s">
        <v>18320</v>
      </c>
      <c r="B1681">
        <v>5415</v>
      </c>
      <c r="C1681" t="s">
        <v>15312</v>
      </c>
      <c r="D1681">
        <v>1.7999999999999999E-2</v>
      </c>
      <c r="E1681" t="s">
        <v>18321</v>
      </c>
      <c r="F1681" t="s">
        <v>15314</v>
      </c>
    </row>
    <row r="1682" spans="1:6" x14ac:dyDescent="0.3">
      <c r="A1682" t="s">
        <v>18322</v>
      </c>
      <c r="B1682">
        <v>5415</v>
      </c>
      <c r="C1682" t="s">
        <v>15312</v>
      </c>
      <c r="D1682">
        <v>1.7999999999999999E-2</v>
      </c>
      <c r="E1682" t="s">
        <v>18323</v>
      </c>
      <c r="F1682" t="s">
        <v>15314</v>
      </c>
    </row>
    <row r="1683" spans="1:6" x14ac:dyDescent="0.3">
      <c r="A1683" t="s">
        <v>18324</v>
      </c>
      <c r="B1683">
        <v>5415</v>
      </c>
      <c r="C1683" t="s">
        <v>15312</v>
      </c>
      <c r="D1683">
        <v>1.7999999999999999E-2</v>
      </c>
      <c r="E1683" t="s">
        <v>18325</v>
      </c>
      <c r="F1683" t="s">
        <v>15314</v>
      </c>
    </row>
    <row r="1684" spans="1:6" x14ac:dyDescent="0.3">
      <c r="A1684" t="s">
        <v>18326</v>
      </c>
      <c r="B1684">
        <v>5415</v>
      </c>
      <c r="C1684" t="s">
        <v>15312</v>
      </c>
      <c r="D1684">
        <v>1.7999999999999999E-2</v>
      </c>
      <c r="E1684" t="s">
        <v>18327</v>
      </c>
      <c r="F1684" t="s">
        <v>15314</v>
      </c>
    </row>
    <row r="1685" spans="1:6" x14ac:dyDescent="0.3">
      <c r="A1685" t="s">
        <v>2238</v>
      </c>
      <c r="B1685">
        <v>19200</v>
      </c>
      <c r="C1685" t="s">
        <v>15169</v>
      </c>
      <c r="D1685">
        <v>1.35E-2</v>
      </c>
      <c r="E1685" t="s">
        <v>2239</v>
      </c>
      <c r="F1685" t="s">
        <v>15214</v>
      </c>
    </row>
    <row r="1686" spans="1:6" x14ac:dyDescent="0.3">
      <c r="A1686" t="s">
        <v>699</v>
      </c>
      <c r="B1686">
        <v>6624</v>
      </c>
      <c r="C1686" t="s">
        <v>15169</v>
      </c>
      <c r="D1686">
        <v>4.4999999999999998E-2</v>
      </c>
      <c r="E1686" t="s">
        <v>700</v>
      </c>
      <c r="F1686" t="s">
        <v>15195</v>
      </c>
    </row>
    <row r="1687" spans="1:6" x14ac:dyDescent="0.3">
      <c r="A1687" t="s">
        <v>121</v>
      </c>
      <c r="B1687">
        <v>6624</v>
      </c>
      <c r="C1687" t="s">
        <v>15169</v>
      </c>
      <c r="D1687">
        <v>4.4999999999999998E-2</v>
      </c>
      <c r="E1687" t="s">
        <v>122</v>
      </c>
      <c r="F1687" t="s">
        <v>15195</v>
      </c>
    </row>
    <row r="1688" spans="1:6" x14ac:dyDescent="0.3">
      <c r="A1688" t="s">
        <v>18328</v>
      </c>
      <c r="B1688">
        <v>6624</v>
      </c>
      <c r="C1688" t="s">
        <v>15169</v>
      </c>
      <c r="D1688">
        <v>4.4999999999999998E-2</v>
      </c>
      <c r="E1688" t="s">
        <v>18329</v>
      </c>
      <c r="F1688" t="s">
        <v>15195</v>
      </c>
    </row>
    <row r="1689" spans="1:6" x14ac:dyDescent="0.3">
      <c r="A1689" t="s">
        <v>18330</v>
      </c>
      <c r="B1689">
        <v>6624</v>
      </c>
      <c r="C1689" t="s">
        <v>15169</v>
      </c>
      <c r="D1689">
        <v>4.4999999999999998E-2</v>
      </c>
      <c r="E1689" t="s">
        <v>18331</v>
      </c>
      <c r="F1689" t="s">
        <v>15195</v>
      </c>
    </row>
    <row r="1690" spans="1:6" x14ac:dyDescent="0.3">
      <c r="A1690" t="s">
        <v>18332</v>
      </c>
      <c r="B1690">
        <v>6624</v>
      </c>
      <c r="C1690" t="s">
        <v>15169</v>
      </c>
      <c r="D1690">
        <v>4.7500000000000001E-2</v>
      </c>
      <c r="E1690" t="s">
        <v>4496</v>
      </c>
      <c r="F1690" t="s">
        <v>15195</v>
      </c>
    </row>
    <row r="1691" spans="1:6" x14ac:dyDescent="0.3">
      <c r="A1691" t="s">
        <v>6084</v>
      </c>
      <c r="B1691">
        <v>6624</v>
      </c>
      <c r="C1691" t="s">
        <v>15169</v>
      </c>
      <c r="D1691">
        <v>4.7500000000000001E-2</v>
      </c>
      <c r="E1691" t="s">
        <v>6085</v>
      </c>
      <c r="F1691" t="s">
        <v>15195</v>
      </c>
    </row>
    <row r="1692" spans="1:6" x14ac:dyDescent="0.3">
      <c r="A1692" t="s">
        <v>18333</v>
      </c>
      <c r="B1692">
        <v>6624</v>
      </c>
      <c r="C1692" t="s">
        <v>15169</v>
      </c>
      <c r="D1692">
        <v>4.7500000000000001E-2</v>
      </c>
      <c r="E1692" t="s">
        <v>18334</v>
      </c>
      <c r="F1692" t="s">
        <v>15195</v>
      </c>
    </row>
    <row r="1693" spans="1:6" x14ac:dyDescent="0.3">
      <c r="A1693" t="s">
        <v>6156</v>
      </c>
      <c r="B1693">
        <v>6624</v>
      </c>
      <c r="C1693" t="s">
        <v>15169</v>
      </c>
      <c r="D1693">
        <v>4.7500000000000001E-2</v>
      </c>
      <c r="E1693" t="s">
        <v>6157</v>
      </c>
      <c r="F1693" t="s">
        <v>15195</v>
      </c>
    </row>
    <row r="1694" spans="1:6" x14ac:dyDescent="0.3">
      <c r="A1694" t="s">
        <v>18335</v>
      </c>
      <c r="B1694">
        <v>4864</v>
      </c>
      <c r="C1694" t="s">
        <v>15169</v>
      </c>
      <c r="D1694">
        <v>5.1999999999999998E-2</v>
      </c>
      <c r="E1694" t="s">
        <v>18336</v>
      </c>
      <c r="F1694" t="s">
        <v>15195</v>
      </c>
    </row>
    <row r="1695" spans="1:6" x14ac:dyDescent="0.3">
      <c r="A1695" t="s">
        <v>8256</v>
      </c>
      <c r="B1695">
        <v>4864</v>
      </c>
      <c r="C1695" t="s">
        <v>15169</v>
      </c>
      <c r="D1695">
        <v>5.1999999999999998E-2</v>
      </c>
      <c r="E1695" t="s">
        <v>8257</v>
      </c>
      <c r="F1695" t="s">
        <v>15195</v>
      </c>
    </row>
    <row r="1696" spans="1:6" x14ac:dyDescent="0.3">
      <c r="A1696" t="s">
        <v>18337</v>
      </c>
      <c r="B1696">
        <v>4864</v>
      </c>
      <c r="C1696" t="s">
        <v>15169</v>
      </c>
      <c r="D1696">
        <v>5.1999999999999998E-2</v>
      </c>
      <c r="E1696" t="s">
        <v>18338</v>
      </c>
      <c r="F1696" t="s">
        <v>15195</v>
      </c>
    </row>
    <row r="1697" spans="1:6" x14ac:dyDescent="0.3">
      <c r="A1697" t="s">
        <v>5357</v>
      </c>
      <c r="B1697">
        <v>6624</v>
      </c>
      <c r="C1697" t="s">
        <v>15169</v>
      </c>
      <c r="D1697">
        <v>4.4999999999999998E-2</v>
      </c>
      <c r="E1697" t="s">
        <v>5358</v>
      </c>
      <c r="F1697" t="s">
        <v>15195</v>
      </c>
    </row>
    <row r="1698" spans="1:6" x14ac:dyDescent="0.3">
      <c r="A1698" t="s">
        <v>4791</v>
      </c>
      <c r="B1698">
        <v>6624</v>
      </c>
      <c r="C1698" t="s">
        <v>15169</v>
      </c>
      <c r="D1698">
        <v>4.4999999999999998E-2</v>
      </c>
      <c r="E1698" t="s">
        <v>4792</v>
      </c>
      <c r="F1698" t="s">
        <v>15195</v>
      </c>
    </row>
    <row r="1699" spans="1:6" x14ac:dyDescent="0.3">
      <c r="A1699" t="s">
        <v>2727</v>
      </c>
      <c r="B1699">
        <v>25380</v>
      </c>
      <c r="C1699" t="s">
        <v>15169</v>
      </c>
      <c r="D1699">
        <v>9.4000000000000004E-3</v>
      </c>
      <c r="E1699" t="s">
        <v>2728</v>
      </c>
      <c r="F1699" t="s">
        <v>15214</v>
      </c>
    </row>
    <row r="1700" spans="1:6" x14ac:dyDescent="0.3">
      <c r="A1700" t="s">
        <v>18339</v>
      </c>
      <c r="B1700">
        <v>20880</v>
      </c>
      <c r="C1700" t="s">
        <v>15169</v>
      </c>
      <c r="D1700">
        <v>1.1299999999999999E-2</v>
      </c>
      <c r="E1700" t="s">
        <v>18340</v>
      </c>
      <c r="F1700" t="s">
        <v>15214</v>
      </c>
    </row>
    <row r="1701" spans="1:6" x14ac:dyDescent="0.3">
      <c r="A1701" t="s">
        <v>18341</v>
      </c>
      <c r="B1701">
        <v>27000</v>
      </c>
      <c r="C1701" t="s">
        <v>15169</v>
      </c>
      <c r="D1701">
        <v>8.8000000000000005E-3</v>
      </c>
      <c r="E1701" t="s">
        <v>18342</v>
      </c>
      <c r="F1701" t="s">
        <v>15214</v>
      </c>
    </row>
    <row r="1702" spans="1:6" x14ac:dyDescent="0.3">
      <c r="A1702" t="s">
        <v>18343</v>
      </c>
      <c r="B1702">
        <v>10620</v>
      </c>
      <c r="C1702" t="s">
        <v>15169</v>
      </c>
      <c r="D1702">
        <v>3.0499999999999999E-2</v>
      </c>
      <c r="E1702" t="s">
        <v>18344</v>
      </c>
      <c r="F1702" t="s">
        <v>15195</v>
      </c>
    </row>
    <row r="1703" spans="1:6" x14ac:dyDescent="0.3">
      <c r="A1703" t="s">
        <v>18345</v>
      </c>
      <c r="B1703">
        <v>10620</v>
      </c>
      <c r="C1703" t="s">
        <v>15169</v>
      </c>
      <c r="D1703">
        <v>3.0499999999999999E-2</v>
      </c>
      <c r="E1703" t="s">
        <v>18346</v>
      </c>
      <c r="F1703" t="s">
        <v>15195</v>
      </c>
    </row>
    <row r="1704" spans="1:6" x14ac:dyDescent="0.3">
      <c r="A1704" t="s">
        <v>18347</v>
      </c>
      <c r="B1704">
        <v>6624</v>
      </c>
      <c r="C1704" t="s">
        <v>15169</v>
      </c>
      <c r="D1704">
        <v>4.7500000000000001E-2</v>
      </c>
      <c r="E1704" t="s">
        <v>18348</v>
      </c>
      <c r="F1704" t="s">
        <v>15195</v>
      </c>
    </row>
    <row r="1705" spans="1:6" x14ac:dyDescent="0.3">
      <c r="A1705" t="s">
        <v>18349</v>
      </c>
      <c r="B1705">
        <v>6624</v>
      </c>
      <c r="C1705" t="s">
        <v>15169</v>
      </c>
      <c r="D1705">
        <v>4.7500000000000001E-2</v>
      </c>
      <c r="E1705" t="s">
        <v>18350</v>
      </c>
      <c r="F1705" t="s">
        <v>15195</v>
      </c>
    </row>
    <row r="1706" spans="1:6" x14ac:dyDescent="0.3">
      <c r="A1706" t="s">
        <v>59</v>
      </c>
      <c r="B1706">
        <v>25380</v>
      </c>
      <c r="C1706" t="s">
        <v>15169</v>
      </c>
      <c r="D1706">
        <v>9.7000000000000003E-3</v>
      </c>
      <c r="E1706" t="s">
        <v>18351</v>
      </c>
      <c r="F1706" t="s">
        <v>15214</v>
      </c>
    </row>
    <row r="1707" spans="1:6" x14ac:dyDescent="0.3">
      <c r="A1707" t="s">
        <v>12368</v>
      </c>
      <c r="B1707">
        <v>17856</v>
      </c>
      <c r="C1707" t="s">
        <v>15169</v>
      </c>
      <c r="D1707">
        <v>1.35E-2</v>
      </c>
      <c r="E1707" t="s">
        <v>18352</v>
      </c>
      <c r="F1707" t="s">
        <v>15195</v>
      </c>
    </row>
    <row r="1708" spans="1:6" x14ac:dyDescent="0.3">
      <c r="A1708" t="s">
        <v>12378</v>
      </c>
      <c r="B1708">
        <v>17856</v>
      </c>
      <c r="C1708" t="s">
        <v>15169</v>
      </c>
      <c r="D1708">
        <v>1.35E-2</v>
      </c>
      <c r="E1708" t="s">
        <v>18353</v>
      </c>
      <c r="F1708" t="s">
        <v>15195</v>
      </c>
    </row>
    <row r="1709" spans="1:6" x14ac:dyDescent="0.3">
      <c r="A1709" t="s">
        <v>12304</v>
      </c>
      <c r="B1709">
        <v>17856</v>
      </c>
      <c r="C1709" t="s">
        <v>15169</v>
      </c>
      <c r="D1709">
        <v>1.35E-2</v>
      </c>
      <c r="E1709" t="s">
        <v>18354</v>
      </c>
      <c r="F1709" t="s">
        <v>15195</v>
      </c>
    </row>
    <row r="1710" spans="1:6" x14ac:dyDescent="0.3">
      <c r="A1710" t="s">
        <v>18355</v>
      </c>
      <c r="B1710">
        <v>4864</v>
      </c>
      <c r="C1710" t="s">
        <v>15169</v>
      </c>
      <c r="D1710">
        <v>5.1999999999999998E-2</v>
      </c>
      <c r="E1710" t="s">
        <v>1171</v>
      </c>
      <c r="F1710" t="s">
        <v>15195</v>
      </c>
    </row>
    <row r="1711" spans="1:6" x14ac:dyDescent="0.3">
      <c r="A1711" t="s">
        <v>3113</v>
      </c>
      <c r="B1711">
        <v>20880</v>
      </c>
      <c r="C1711" t="s">
        <v>15169</v>
      </c>
      <c r="D1711">
        <v>1.15E-2</v>
      </c>
      <c r="E1711" t="s">
        <v>3114</v>
      </c>
      <c r="F1711" t="s">
        <v>15214</v>
      </c>
    </row>
    <row r="1712" spans="1:6" x14ac:dyDescent="0.3">
      <c r="A1712" t="s">
        <v>18356</v>
      </c>
      <c r="B1712">
        <v>20640</v>
      </c>
      <c r="C1712" t="s">
        <v>15169</v>
      </c>
      <c r="D1712">
        <v>1.4E-2</v>
      </c>
      <c r="E1712" t="s">
        <v>18357</v>
      </c>
      <c r="F1712" t="s">
        <v>15195</v>
      </c>
    </row>
    <row r="1713" spans="1:6" x14ac:dyDescent="0.3">
      <c r="A1713" t="s">
        <v>18358</v>
      </c>
      <c r="B1713">
        <v>20640</v>
      </c>
      <c r="C1713" t="s">
        <v>15169</v>
      </c>
      <c r="D1713">
        <v>1.4E-2</v>
      </c>
      <c r="E1713" t="s">
        <v>18359</v>
      </c>
      <c r="F1713" t="s">
        <v>15195</v>
      </c>
    </row>
    <row r="1714" spans="1:6" x14ac:dyDescent="0.3">
      <c r="A1714" t="s">
        <v>18360</v>
      </c>
      <c r="B1714">
        <v>17856</v>
      </c>
      <c r="C1714" t="s">
        <v>15169</v>
      </c>
      <c r="D1714">
        <v>1.35E-2</v>
      </c>
      <c r="E1714" t="s">
        <v>18352</v>
      </c>
      <c r="F1714" t="s">
        <v>15195</v>
      </c>
    </row>
    <row r="1715" spans="1:6" x14ac:dyDescent="0.3">
      <c r="A1715" t="s">
        <v>18361</v>
      </c>
      <c r="B1715">
        <v>10656</v>
      </c>
      <c r="C1715" t="s">
        <v>15169</v>
      </c>
      <c r="D1715">
        <v>1.35E-2</v>
      </c>
      <c r="E1715" t="s">
        <v>18362</v>
      </c>
      <c r="F1715" t="s">
        <v>15195</v>
      </c>
    </row>
    <row r="1716" spans="1:6" x14ac:dyDescent="0.3">
      <c r="A1716" t="s">
        <v>18363</v>
      </c>
      <c r="B1716">
        <v>17856</v>
      </c>
      <c r="C1716" t="s">
        <v>15169</v>
      </c>
      <c r="D1716">
        <v>1.35E-2</v>
      </c>
      <c r="E1716" t="s">
        <v>18353</v>
      </c>
      <c r="F1716" t="s">
        <v>15195</v>
      </c>
    </row>
    <row r="1717" spans="1:6" x14ac:dyDescent="0.3">
      <c r="A1717" t="s">
        <v>18364</v>
      </c>
      <c r="B1717">
        <v>17856</v>
      </c>
      <c r="C1717" t="s">
        <v>15169</v>
      </c>
      <c r="D1717">
        <v>1.35E-2</v>
      </c>
      <c r="E1717" t="s">
        <v>18354</v>
      </c>
      <c r="F1717" t="s">
        <v>15195</v>
      </c>
    </row>
    <row r="1718" spans="1:6" x14ac:dyDescent="0.3">
      <c r="A1718" t="s">
        <v>18365</v>
      </c>
      <c r="B1718">
        <v>10656</v>
      </c>
      <c r="C1718" t="s">
        <v>15169</v>
      </c>
      <c r="D1718">
        <v>1.35E-2</v>
      </c>
      <c r="E1718" t="s">
        <v>18366</v>
      </c>
      <c r="F1718" t="s">
        <v>15195</v>
      </c>
    </row>
    <row r="1719" spans="1:6" x14ac:dyDescent="0.3">
      <c r="A1719" t="s">
        <v>18367</v>
      </c>
      <c r="B1719">
        <v>29880</v>
      </c>
      <c r="C1719" t="s">
        <v>15169</v>
      </c>
      <c r="D1719">
        <v>7.7999999999999996E-3</v>
      </c>
      <c r="E1719" t="s">
        <v>18368</v>
      </c>
      <c r="F1719" t="s">
        <v>15214</v>
      </c>
    </row>
    <row r="1720" spans="1:6" x14ac:dyDescent="0.3">
      <c r="A1720" t="s">
        <v>18369</v>
      </c>
      <c r="B1720">
        <v>10080</v>
      </c>
      <c r="C1720" t="s">
        <v>15169</v>
      </c>
      <c r="D1720">
        <v>2.6599999999999999E-2</v>
      </c>
      <c r="E1720" t="s">
        <v>18370</v>
      </c>
      <c r="F1720" t="s">
        <v>15214</v>
      </c>
    </row>
    <row r="1721" spans="1:6" x14ac:dyDescent="0.3">
      <c r="A1721" t="s">
        <v>4988</v>
      </c>
      <c r="B1721">
        <v>10080</v>
      </c>
      <c r="C1721" t="s">
        <v>15169</v>
      </c>
      <c r="D1721">
        <v>2.6599999999999999E-2</v>
      </c>
      <c r="E1721" t="s">
        <v>4989</v>
      </c>
      <c r="F1721" t="s">
        <v>15214</v>
      </c>
    </row>
    <row r="1722" spans="1:6" x14ac:dyDescent="0.3">
      <c r="A1722" t="s">
        <v>2218</v>
      </c>
      <c r="B1722">
        <v>672</v>
      </c>
      <c r="C1722" t="s">
        <v>15312</v>
      </c>
      <c r="D1722">
        <v>5.0999999999999997E-2</v>
      </c>
      <c r="E1722" t="s">
        <v>2219</v>
      </c>
      <c r="F1722" t="s">
        <v>15314</v>
      </c>
    </row>
    <row r="1723" spans="1:6" x14ac:dyDescent="0.3">
      <c r="A1723" t="s">
        <v>4338</v>
      </c>
      <c r="B1723">
        <v>672</v>
      </c>
      <c r="C1723" t="s">
        <v>15312</v>
      </c>
      <c r="D1723">
        <v>5.0999999999999997E-2</v>
      </c>
      <c r="E1723" t="s">
        <v>4339</v>
      </c>
      <c r="F1723" t="s">
        <v>15314</v>
      </c>
    </row>
    <row r="1724" spans="1:6" x14ac:dyDescent="0.3">
      <c r="A1724" t="s">
        <v>2689</v>
      </c>
      <c r="B1724">
        <v>672</v>
      </c>
      <c r="C1724" t="s">
        <v>15312</v>
      </c>
      <c r="D1724">
        <v>5.0999999999999997E-2</v>
      </c>
      <c r="E1724" t="s">
        <v>2690</v>
      </c>
      <c r="F1724" t="s">
        <v>15314</v>
      </c>
    </row>
    <row r="1725" spans="1:6" x14ac:dyDescent="0.3">
      <c r="A1725" t="s">
        <v>21</v>
      </c>
      <c r="B1725">
        <v>0</v>
      </c>
      <c r="C1725" t="s">
        <v>18371</v>
      </c>
      <c r="D1725">
        <v>0</v>
      </c>
      <c r="E1725" t="s">
        <v>15314</v>
      </c>
      <c r="F1725" t="s">
        <v>15314</v>
      </c>
    </row>
    <row r="1726" spans="1:6" x14ac:dyDescent="0.3">
      <c r="A1726" t="s">
        <v>65</v>
      </c>
      <c r="B1726">
        <v>0</v>
      </c>
      <c r="C1726" t="s">
        <v>18371</v>
      </c>
      <c r="D1726">
        <v>0</v>
      </c>
      <c r="E1726" t="s">
        <v>15314</v>
      </c>
      <c r="F1726" t="s">
        <v>15314</v>
      </c>
    </row>
    <row r="1727" spans="1:6" x14ac:dyDescent="0.3">
      <c r="A1727" t="s">
        <v>86</v>
      </c>
      <c r="B1727">
        <v>0</v>
      </c>
      <c r="C1727" t="s">
        <v>18371</v>
      </c>
      <c r="D1727">
        <v>0</v>
      </c>
      <c r="E1727" t="s">
        <v>15314</v>
      </c>
      <c r="F1727" t="s">
        <v>15314</v>
      </c>
    </row>
    <row r="1728" spans="1:6" x14ac:dyDescent="0.3">
      <c r="A1728" t="s">
        <v>4511</v>
      </c>
      <c r="B1728">
        <v>29880</v>
      </c>
      <c r="C1728" t="s">
        <v>15169</v>
      </c>
      <c r="D1728">
        <v>7.4999999999999997E-3</v>
      </c>
      <c r="E1728" t="s">
        <v>18372</v>
      </c>
      <c r="F1728" t="s">
        <v>15214</v>
      </c>
    </row>
    <row r="1729" spans="1:6" x14ac:dyDescent="0.3">
      <c r="A1729" t="s">
        <v>18373</v>
      </c>
      <c r="B1729">
        <v>7140</v>
      </c>
      <c r="C1729" t="s">
        <v>15312</v>
      </c>
      <c r="D1729">
        <v>1.2699999999999999E-2</v>
      </c>
      <c r="E1729" t="s">
        <v>18374</v>
      </c>
      <c r="F1729" t="s">
        <v>15314</v>
      </c>
    </row>
    <row r="1730" spans="1:6" x14ac:dyDescent="0.3">
      <c r="A1730" t="s">
        <v>18375</v>
      </c>
      <c r="B1730">
        <v>5415</v>
      </c>
      <c r="C1730" t="s">
        <v>15312</v>
      </c>
      <c r="D1730">
        <v>1.7999999999999999E-2</v>
      </c>
      <c r="E1730" t="s">
        <v>18376</v>
      </c>
      <c r="F1730" t="s">
        <v>15314</v>
      </c>
    </row>
    <row r="1731" spans="1:6" x14ac:dyDescent="0.3">
      <c r="A1731" t="s">
        <v>18377</v>
      </c>
      <c r="B1731">
        <v>7140</v>
      </c>
      <c r="C1731" t="s">
        <v>15312</v>
      </c>
      <c r="D1731">
        <v>1.2699999999999999E-2</v>
      </c>
      <c r="E1731" t="s">
        <v>18378</v>
      </c>
      <c r="F1731" t="s">
        <v>15314</v>
      </c>
    </row>
    <row r="1732" spans="1:6" x14ac:dyDescent="0.3">
      <c r="A1732" t="s">
        <v>18379</v>
      </c>
      <c r="B1732">
        <v>5415</v>
      </c>
      <c r="C1732" t="s">
        <v>15312</v>
      </c>
      <c r="D1732">
        <v>1.7999999999999999E-2</v>
      </c>
      <c r="E1732" t="s">
        <v>18380</v>
      </c>
      <c r="F1732" t="s">
        <v>15314</v>
      </c>
    </row>
    <row r="1733" spans="1:6" x14ac:dyDescent="0.3">
      <c r="A1733" t="s">
        <v>5347</v>
      </c>
      <c r="B1733">
        <v>6624</v>
      </c>
      <c r="C1733" t="s">
        <v>15169</v>
      </c>
      <c r="D1733">
        <v>4.4999999999999998E-2</v>
      </c>
      <c r="E1733" t="s">
        <v>5348</v>
      </c>
      <c r="F1733" t="s">
        <v>15195</v>
      </c>
    </row>
    <row r="1734" spans="1:6" x14ac:dyDescent="0.3">
      <c r="A1734" t="s">
        <v>5477</v>
      </c>
      <c r="B1734">
        <v>6624</v>
      </c>
      <c r="C1734" t="s">
        <v>15169</v>
      </c>
      <c r="D1734">
        <v>4.4999999999999998E-2</v>
      </c>
      <c r="E1734" t="s">
        <v>5478</v>
      </c>
      <c r="F1734" t="s">
        <v>15195</v>
      </c>
    </row>
    <row r="1735" spans="1:6" x14ac:dyDescent="0.3">
      <c r="A1735" t="s">
        <v>18381</v>
      </c>
      <c r="B1735">
        <v>16380</v>
      </c>
      <c r="C1735" t="s">
        <v>15169</v>
      </c>
      <c r="D1735">
        <v>2.1000000000000001E-2</v>
      </c>
      <c r="E1735" t="s">
        <v>18382</v>
      </c>
      <c r="F1735" t="s">
        <v>15195</v>
      </c>
    </row>
    <row r="1736" spans="1:6" x14ac:dyDescent="0.3">
      <c r="A1736" t="s">
        <v>18383</v>
      </c>
      <c r="B1736">
        <v>16380</v>
      </c>
      <c r="C1736" t="s">
        <v>15169</v>
      </c>
      <c r="D1736">
        <v>2.1000000000000001E-2</v>
      </c>
      <c r="E1736" t="s">
        <v>18384</v>
      </c>
      <c r="F1736" t="s">
        <v>15195</v>
      </c>
    </row>
    <row r="1737" spans="1:6" x14ac:dyDescent="0.3">
      <c r="A1737" t="s">
        <v>18385</v>
      </c>
      <c r="B1737">
        <v>1080</v>
      </c>
      <c r="C1737" t="s">
        <v>15312</v>
      </c>
      <c r="D1737">
        <v>5.0999999999999997E-2</v>
      </c>
      <c r="E1737" t="s">
        <v>18386</v>
      </c>
      <c r="F1737" t="s">
        <v>15314</v>
      </c>
    </row>
    <row r="1738" spans="1:6" x14ac:dyDescent="0.3">
      <c r="A1738" t="s">
        <v>18387</v>
      </c>
      <c r="B1738">
        <v>1890</v>
      </c>
      <c r="C1738" t="s">
        <v>15312</v>
      </c>
      <c r="D1738">
        <v>3.4000000000000002E-2</v>
      </c>
      <c r="E1738" t="s">
        <v>18388</v>
      </c>
      <c r="F1738" t="s">
        <v>15314</v>
      </c>
    </row>
    <row r="1739" spans="1:6" x14ac:dyDescent="0.3">
      <c r="A1739" t="s">
        <v>18389</v>
      </c>
      <c r="B1739">
        <v>20880</v>
      </c>
      <c r="C1739" t="s">
        <v>15169</v>
      </c>
      <c r="D1739">
        <v>1.2500000000000001E-2</v>
      </c>
      <c r="E1739" t="s">
        <v>18390</v>
      </c>
      <c r="F1739" t="s">
        <v>15214</v>
      </c>
    </row>
    <row r="1740" spans="1:6" x14ac:dyDescent="0.3">
      <c r="A1740" t="s">
        <v>6182</v>
      </c>
      <c r="B1740">
        <v>29880</v>
      </c>
      <c r="C1740" t="s">
        <v>15169</v>
      </c>
      <c r="D1740">
        <v>7.4999999999999997E-3</v>
      </c>
      <c r="E1740" t="s">
        <v>18391</v>
      </c>
      <c r="F1740" t="s">
        <v>15214</v>
      </c>
    </row>
    <row r="1741" spans="1:6" x14ac:dyDescent="0.3">
      <c r="A1741" t="s">
        <v>18392</v>
      </c>
      <c r="B1741">
        <v>1890</v>
      </c>
      <c r="C1741" t="s">
        <v>15312</v>
      </c>
      <c r="D1741">
        <v>3.4000000000000002E-2</v>
      </c>
      <c r="E1741" t="s">
        <v>18393</v>
      </c>
      <c r="F1741" t="s">
        <v>15314</v>
      </c>
    </row>
    <row r="1742" spans="1:6" x14ac:dyDescent="0.3">
      <c r="A1742" t="s">
        <v>18394</v>
      </c>
      <c r="B1742">
        <v>1080</v>
      </c>
      <c r="C1742" t="s">
        <v>15312</v>
      </c>
      <c r="D1742">
        <v>5.0999999999999997E-2</v>
      </c>
      <c r="E1742" t="s">
        <v>18395</v>
      </c>
      <c r="F1742" t="s">
        <v>15314</v>
      </c>
    </row>
    <row r="1743" spans="1:6" x14ac:dyDescent="0.3">
      <c r="A1743" t="s">
        <v>18396</v>
      </c>
      <c r="B1743">
        <v>672</v>
      </c>
      <c r="C1743" t="s">
        <v>15312</v>
      </c>
      <c r="D1743">
        <v>5.0999999999999997E-2</v>
      </c>
      <c r="E1743" t="s">
        <v>18397</v>
      </c>
      <c r="F1743" t="s">
        <v>15314</v>
      </c>
    </row>
    <row r="1744" spans="1:6" x14ac:dyDescent="0.3">
      <c r="A1744" t="s">
        <v>18398</v>
      </c>
      <c r="B1744">
        <v>1080</v>
      </c>
      <c r="C1744" t="s">
        <v>15312</v>
      </c>
      <c r="D1744">
        <v>5.0999999999999997E-2</v>
      </c>
      <c r="E1744" t="s">
        <v>18399</v>
      </c>
      <c r="F1744" t="s">
        <v>15314</v>
      </c>
    </row>
    <row r="1745" spans="1:6" x14ac:dyDescent="0.3">
      <c r="A1745" t="s">
        <v>18400</v>
      </c>
      <c r="B1745">
        <v>1080</v>
      </c>
      <c r="C1745" t="s">
        <v>15312</v>
      </c>
      <c r="D1745">
        <v>5.0999999999999997E-2</v>
      </c>
      <c r="E1745" t="s">
        <v>18401</v>
      </c>
      <c r="F1745" t="s">
        <v>15314</v>
      </c>
    </row>
    <row r="1746" spans="1:6" x14ac:dyDescent="0.3">
      <c r="A1746" t="s">
        <v>18402</v>
      </c>
      <c r="B1746">
        <v>1080</v>
      </c>
      <c r="C1746" t="s">
        <v>15312</v>
      </c>
      <c r="D1746">
        <v>5.0999999999999997E-2</v>
      </c>
      <c r="E1746" t="s">
        <v>18403</v>
      </c>
      <c r="F1746" t="s">
        <v>15314</v>
      </c>
    </row>
    <row r="1747" spans="1:6" x14ac:dyDescent="0.3">
      <c r="A1747" t="s">
        <v>18404</v>
      </c>
      <c r="B1747">
        <v>1080</v>
      </c>
      <c r="C1747" t="s">
        <v>15312</v>
      </c>
      <c r="D1747">
        <v>5.0999999999999997E-2</v>
      </c>
      <c r="E1747" t="s">
        <v>18405</v>
      </c>
      <c r="F1747" t="s">
        <v>15314</v>
      </c>
    </row>
    <row r="1748" spans="1:6" x14ac:dyDescent="0.3">
      <c r="A1748" t="s">
        <v>18406</v>
      </c>
      <c r="B1748">
        <v>1080</v>
      </c>
      <c r="C1748" t="s">
        <v>15312</v>
      </c>
      <c r="D1748">
        <v>5.0999999999999997E-2</v>
      </c>
      <c r="E1748" t="s">
        <v>18407</v>
      </c>
      <c r="F1748" t="s">
        <v>15314</v>
      </c>
    </row>
    <row r="1749" spans="1:6" x14ac:dyDescent="0.3">
      <c r="A1749" t="s">
        <v>6955</v>
      </c>
      <c r="B1749">
        <v>20880</v>
      </c>
      <c r="C1749" t="s">
        <v>15169</v>
      </c>
      <c r="D1749">
        <v>1.2500000000000001E-2</v>
      </c>
      <c r="E1749" t="s">
        <v>18408</v>
      </c>
      <c r="F1749" t="s">
        <v>15214</v>
      </c>
    </row>
    <row r="1750" spans="1:6" x14ac:dyDescent="0.3">
      <c r="A1750" t="s">
        <v>18409</v>
      </c>
      <c r="B1750">
        <v>6624</v>
      </c>
      <c r="C1750" t="s">
        <v>15169</v>
      </c>
      <c r="D1750">
        <v>4.4999999999999998E-2</v>
      </c>
      <c r="E1750" t="s">
        <v>18410</v>
      </c>
      <c r="F1750" t="s">
        <v>15195</v>
      </c>
    </row>
    <row r="1751" spans="1:6" x14ac:dyDescent="0.3">
      <c r="A1751" t="s">
        <v>9267</v>
      </c>
      <c r="B1751">
        <v>160000</v>
      </c>
      <c r="C1751" t="s">
        <v>17141</v>
      </c>
      <c r="D1751">
        <v>1.2999999999999999E-3</v>
      </c>
      <c r="E1751" t="s">
        <v>9268</v>
      </c>
      <c r="F1751" t="s">
        <v>17143</v>
      </c>
    </row>
    <row r="1752" spans="1:6" x14ac:dyDescent="0.3">
      <c r="A1752" t="s">
        <v>18411</v>
      </c>
      <c r="B1752">
        <v>160000</v>
      </c>
      <c r="C1752" t="s">
        <v>17141</v>
      </c>
      <c r="D1752">
        <v>1.2999999999999999E-3</v>
      </c>
      <c r="E1752" t="s">
        <v>18412</v>
      </c>
      <c r="F1752" t="s">
        <v>17143</v>
      </c>
    </row>
    <row r="1753" spans="1:6" x14ac:dyDescent="0.3">
      <c r="A1753" t="s">
        <v>18413</v>
      </c>
      <c r="B1753">
        <v>1080</v>
      </c>
      <c r="C1753" t="s">
        <v>15312</v>
      </c>
      <c r="D1753">
        <v>4.8000000000000001E-2</v>
      </c>
      <c r="E1753" t="s">
        <v>18414</v>
      </c>
      <c r="F1753" t="s">
        <v>15314</v>
      </c>
    </row>
    <row r="1754" spans="1:6" x14ac:dyDescent="0.3">
      <c r="A1754" t="s">
        <v>18415</v>
      </c>
      <c r="B1754">
        <v>1080</v>
      </c>
      <c r="C1754" t="s">
        <v>15312</v>
      </c>
      <c r="D1754">
        <v>4.8000000000000001E-2</v>
      </c>
      <c r="E1754" t="s">
        <v>18416</v>
      </c>
      <c r="F1754" t="s">
        <v>15314</v>
      </c>
    </row>
    <row r="1755" spans="1:6" x14ac:dyDescent="0.3">
      <c r="A1755" t="s">
        <v>18417</v>
      </c>
      <c r="B1755">
        <v>672</v>
      </c>
      <c r="C1755" t="s">
        <v>15312</v>
      </c>
      <c r="D1755">
        <v>5.0999999999999997E-2</v>
      </c>
      <c r="E1755" t="s">
        <v>18418</v>
      </c>
      <c r="F1755" t="s">
        <v>15314</v>
      </c>
    </row>
    <row r="1756" spans="1:6" x14ac:dyDescent="0.3">
      <c r="A1756" t="s">
        <v>7439</v>
      </c>
      <c r="B1756">
        <v>672</v>
      </c>
      <c r="C1756" t="s">
        <v>15312</v>
      </c>
      <c r="D1756">
        <v>5.0999999999999997E-2</v>
      </c>
      <c r="E1756" t="s">
        <v>7440</v>
      </c>
      <c r="F1756" t="s">
        <v>15314</v>
      </c>
    </row>
    <row r="1757" spans="1:6" x14ac:dyDescent="0.3">
      <c r="A1757" t="s">
        <v>18419</v>
      </c>
      <c r="B1757">
        <v>672</v>
      </c>
      <c r="C1757" t="s">
        <v>15312</v>
      </c>
      <c r="D1757">
        <v>5.0999999999999997E-2</v>
      </c>
      <c r="E1757" t="s">
        <v>18420</v>
      </c>
      <c r="F1757" t="s">
        <v>15314</v>
      </c>
    </row>
    <row r="1758" spans="1:6" x14ac:dyDescent="0.3">
      <c r="A1758" t="s">
        <v>9405</v>
      </c>
      <c r="B1758">
        <v>25380</v>
      </c>
      <c r="C1758" t="s">
        <v>15169</v>
      </c>
      <c r="D1758">
        <v>9.4000000000000004E-3</v>
      </c>
      <c r="E1758" t="s">
        <v>9406</v>
      </c>
      <c r="F1758" t="s">
        <v>15214</v>
      </c>
    </row>
    <row r="1759" spans="1:6" x14ac:dyDescent="0.3">
      <c r="A1759" t="s">
        <v>13810</v>
      </c>
      <c r="B1759">
        <v>10620</v>
      </c>
      <c r="C1759" t="s">
        <v>15169</v>
      </c>
      <c r="D1759">
        <v>3.0499999999999999E-2</v>
      </c>
      <c r="E1759" t="s">
        <v>18421</v>
      </c>
      <c r="F1759" t="s">
        <v>15177</v>
      </c>
    </row>
    <row r="1760" spans="1:6" x14ac:dyDescent="0.3">
      <c r="A1760" t="s">
        <v>11040</v>
      </c>
      <c r="B1760">
        <v>10620</v>
      </c>
      <c r="C1760" t="s">
        <v>15169</v>
      </c>
      <c r="D1760">
        <v>3.0499999999999999E-2</v>
      </c>
      <c r="E1760" t="s">
        <v>11041</v>
      </c>
      <c r="F1760" t="s">
        <v>15177</v>
      </c>
    </row>
    <row r="1761" spans="1:6" x14ac:dyDescent="0.3">
      <c r="A1761" t="s">
        <v>11257</v>
      </c>
      <c r="B1761">
        <v>10620</v>
      </c>
      <c r="C1761" t="s">
        <v>15169</v>
      </c>
      <c r="D1761">
        <v>3.0499999999999999E-2</v>
      </c>
      <c r="E1761" t="s">
        <v>18422</v>
      </c>
      <c r="F1761" t="s">
        <v>15177</v>
      </c>
    </row>
    <row r="1762" spans="1:6" x14ac:dyDescent="0.3">
      <c r="A1762" t="s">
        <v>11068</v>
      </c>
      <c r="B1762">
        <v>10620</v>
      </c>
      <c r="C1762" t="s">
        <v>15169</v>
      </c>
      <c r="D1762">
        <v>3.0499999999999999E-2</v>
      </c>
      <c r="E1762" t="s">
        <v>11069</v>
      </c>
      <c r="F1762" t="s">
        <v>15177</v>
      </c>
    </row>
    <row r="1763" spans="1:6" x14ac:dyDescent="0.3">
      <c r="A1763" t="s">
        <v>11531</v>
      </c>
      <c r="B1763">
        <v>6624</v>
      </c>
      <c r="C1763" t="s">
        <v>15169</v>
      </c>
      <c r="D1763">
        <v>4.4999999999999998E-2</v>
      </c>
      <c r="E1763" t="s">
        <v>11532</v>
      </c>
      <c r="F1763" t="s">
        <v>15177</v>
      </c>
    </row>
    <row r="1764" spans="1:6" x14ac:dyDescent="0.3">
      <c r="A1764" t="s">
        <v>11054</v>
      </c>
      <c r="B1764">
        <v>6624</v>
      </c>
      <c r="C1764" t="s">
        <v>15169</v>
      </c>
      <c r="D1764">
        <v>4.4999999999999998E-2</v>
      </c>
      <c r="E1764" t="s">
        <v>11055</v>
      </c>
      <c r="F1764" t="s">
        <v>15177</v>
      </c>
    </row>
    <row r="1765" spans="1:6" x14ac:dyDescent="0.3">
      <c r="A1765" t="s">
        <v>18423</v>
      </c>
      <c r="B1765">
        <v>6624</v>
      </c>
      <c r="C1765" t="s">
        <v>15169</v>
      </c>
      <c r="D1765">
        <v>4.4999999999999998E-2</v>
      </c>
      <c r="E1765" t="s">
        <v>18424</v>
      </c>
      <c r="F1765" t="s">
        <v>15177</v>
      </c>
    </row>
    <row r="1766" spans="1:6" x14ac:dyDescent="0.3">
      <c r="A1766" t="s">
        <v>11082</v>
      </c>
      <c r="B1766">
        <v>6624</v>
      </c>
      <c r="C1766" t="s">
        <v>15169</v>
      </c>
      <c r="D1766">
        <v>4.4999999999999998E-2</v>
      </c>
      <c r="E1766" t="s">
        <v>11083</v>
      </c>
      <c r="F1766" t="s">
        <v>15177</v>
      </c>
    </row>
    <row r="1767" spans="1:6" x14ac:dyDescent="0.3">
      <c r="A1767" t="s">
        <v>18425</v>
      </c>
      <c r="B1767">
        <v>18624</v>
      </c>
      <c r="C1767" t="s">
        <v>15169</v>
      </c>
      <c r="D1767">
        <v>1.55E-2</v>
      </c>
      <c r="E1767" t="s">
        <v>18426</v>
      </c>
      <c r="F1767" t="s">
        <v>15195</v>
      </c>
    </row>
    <row r="1768" spans="1:6" x14ac:dyDescent="0.3">
      <c r="A1768" t="s">
        <v>12410</v>
      </c>
      <c r="B1768">
        <v>18624</v>
      </c>
      <c r="C1768" t="s">
        <v>15169</v>
      </c>
      <c r="D1768">
        <v>1.55E-2</v>
      </c>
      <c r="E1768" t="s">
        <v>12411</v>
      </c>
      <c r="F1768" t="s">
        <v>15195</v>
      </c>
    </row>
    <row r="1769" spans="1:6" x14ac:dyDescent="0.3">
      <c r="A1769" t="s">
        <v>18427</v>
      </c>
      <c r="B1769">
        <v>3600</v>
      </c>
      <c r="C1769" t="s">
        <v>15169</v>
      </c>
      <c r="D1769">
        <v>4.8000000000000001E-2</v>
      </c>
      <c r="E1769" t="s">
        <v>18428</v>
      </c>
      <c r="F1769" t="s">
        <v>15195</v>
      </c>
    </row>
    <row r="1770" spans="1:6" x14ac:dyDescent="0.3">
      <c r="A1770" t="s">
        <v>18429</v>
      </c>
      <c r="B1770">
        <v>10080</v>
      </c>
      <c r="C1770" t="s">
        <v>15169</v>
      </c>
      <c r="D1770">
        <v>2.93E-2</v>
      </c>
      <c r="E1770" t="s">
        <v>18430</v>
      </c>
      <c r="F1770" t="s">
        <v>15214</v>
      </c>
    </row>
    <row r="1771" spans="1:6" x14ac:dyDescent="0.3">
      <c r="A1771" t="s">
        <v>18431</v>
      </c>
      <c r="B1771">
        <v>16512</v>
      </c>
      <c r="C1771" t="s">
        <v>15169</v>
      </c>
      <c r="D1771">
        <v>1.7999999999999999E-2</v>
      </c>
      <c r="E1771" t="s">
        <v>18432</v>
      </c>
      <c r="F1771" t="s">
        <v>15177</v>
      </c>
    </row>
    <row r="1772" spans="1:6" x14ac:dyDescent="0.3">
      <c r="A1772" t="s">
        <v>18433</v>
      </c>
      <c r="B1772">
        <v>3600</v>
      </c>
      <c r="C1772" t="s">
        <v>15169</v>
      </c>
      <c r="D1772">
        <v>4.4999999999999998E-2</v>
      </c>
      <c r="E1772" t="s">
        <v>18434</v>
      </c>
      <c r="F1772" t="s">
        <v>15195</v>
      </c>
    </row>
    <row r="1773" spans="1:6" x14ac:dyDescent="0.3">
      <c r="A1773" t="s">
        <v>18435</v>
      </c>
      <c r="B1773">
        <v>1890</v>
      </c>
      <c r="C1773" t="s">
        <v>15312</v>
      </c>
      <c r="D1773">
        <v>3.4000000000000002E-2</v>
      </c>
      <c r="E1773" t="s">
        <v>18436</v>
      </c>
      <c r="F1773" t="s">
        <v>15314</v>
      </c>
    </row>
    <row r="1774" spans="1:6" x14ac:dyDescent="0.3">
      <c r="A1774" t="s">
        <v>18437</v>
      </c>
      <c r="B1774">
        <v>1080</v>
      </c>
      <c r="C1774" t="s">
        <v>15312</v>
      </c>
      <c r="D1774">
        <v>5.0999999999999997E-2</v>
      </c>
      <c r="E1774" t="s">
        <v>18438</v>
      </c>
      <c r="F1774" t="s">
        <v>15314</v>
      </c>
    </row>
    <row r="1775" spans="1:6" x14ac:dyDescent="0.3">
      <c r="A1775" t="s">
        <v>18439</v>
      </c>
      <c r="B1775">
        <v>5733</v>
      </c>
      <c r="C1775" t="s">
        <v>15312</v>
      </c>
      <c r="D1775">
        <v>1.55E-2</v>
      </c>
      <c r="E1775" t="s">
        <v>18440</v>
      </c>
      <c r="F1775" t="s">
        <v>15314</v>
      </c>
    </row>
    <row r="1776" spans="1:6" x14ac:dyDescent="0.3">
      <c r="A1776" t="s">
        <v>18441</v>
      </c>
      <c r="B1776">
        <v>12192</v>
      </c>
      <c r="C1776" t="s">
        <v>15169</v>
      </c>
      <c r="D1776">
        <v>1.4E-2</v>
      </c>
      <c r="E1776" t="s">
        <v>18442</v>
      </c>
      <c r="F1776" t="s">
        <v>15214</v>
      </c>
    </row>
    <row r="1777" spans="1:6" x14ac:dyDescent="0.3">
      <c r="A1777" t="s">
        <v>18435</v>
      </c>
      <c r="B1777">
        <v>1890</v>
      </c>
      <c r="C1777" t="s">
        <v>15312</v>
      </c>
      <c r="D1777">
        <v>3.4000000000000002E-2</v>
      </c>
      <c r="E1777" t="s">
        <v>18436</v>
      </c>
      <c r="F1777" t="s">
        <v>15314</v>
      </c>
    </row>
    <row r="1778" spans="1:6" x14ac:dyDescent="0.3">
      <c r="A1778" t="s">
        <v>18437</v>
      </c>
      <c r="B1778">
        <v>1080</v>
      </c>
      <c r="C1778" t="s">
        <v>15312</v>
      </c>
      <c r="D1778">
        <v>5.0999999999999997E-2</v>
      </c>
      <c r="E1778" t="s">
        <v>18438</v>
      </c>
      <c r="F1778" t="s">
        <v>15314</v>
      </c>
    </row>
    <row r="1779" spans="1:6" x14ac:dyDescent="0.3">
      <c r="A1779" t="s">
        <v>18439</v>
      </c>
      <c r="B1779">
        <v>5733</v>
      </c>
      <c r="C1779" t="s">
        <v>15312</v>
      </c>
      <c r="D1779">
        <v>1.55E-2</v>
      </c>
      <c r="E1779" t="s">
        <v>18440</v>
      </c>
      <c r="F1779" t="s">
        <v>15314</v>
      </c>
    </row>
    <row r="1780" spans="1:6" x14ac:dyDescent="0.3">
      <c r="A1780" t="s">
        <v>18441</v>
      </c>
      <c r="B1780">
        <v>12192</v>
      </c>
      <c r="C1780" t="s">
        <v>15169</v>
      </c>
      <c r="D1780">
        <v>1.4E-2</v>
      </c>
      <c r="E1780" t="s">
        <v>18442</v>
      </c>
      <c r="F1780" t="s">
        <v>15214</v>
      </c>
    </row>
    <row r="1781" spans="1:6" x14ac:dyDescent="0.3">
      <c r="A1781" t="s">
        <v>14101</v>
      </c>
      <c r="B1781">
        <v>20880</v>
      </c>
      <c r="C1781" t="s">
        <v>15169</v>
      </c>
      <c r="D1781">
        <v>1.15E-2</v>
      </c>
      <c r="E1781" t="s">
        <v>14102</v>
      </c>
      <c r="F1781" t="s">
        <v>15214</v>
      </c>
    </row>
    <row r="1782" spans="1:6" x14ac:dyDescent="0.3">
      <c r="A1782" t="s">
        <v>18443</v>
      </c>
      <c r="B1782">
        <v>19200</v>
      </c>
      <c r="C1782" t="s">
        <v>15169</v>
      </c>
      <c r="D1782">
        <v>1.4E-2</v>
      </c>
      <c r="E1782" t="s">
        <v>18444</v>
      </c>
      <c r="F1782" t="s">
        <v>15214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467E-55B2-4CF1-8B49-B8C1645B614F}">
  <dimension ref="A3:D1394"/>
  <sheetViews>
    <sheetView tabSelected="1" workbookViewId="0"/>
  </sheetViews>
  <sheetFormatPr defaultRowHeight="14.4" x14ac:dyDescent="0.3"/>
  <cols>
    <col min="1" max="1" width="12.6640625" bestFit="1" customWidth="1"/>
    <col min="2" max="2" width="19.21875" customWidth="1"/>
    <col min="3" max="3" width="40.5546875" customWidth="1"/>
    <col min="4" max="4" width="15.109375" bestFit="1" customWidth="1"/>
  </cols>
  <sheetData>
    <row r="3" spans="1:4" x14ac:dyDescent="0.3">
      <c r="A3" s="10" t="s">
        <v>0</v>
      </c>
      <c r="B3" s="10" t="s">
        <v>18450</v>
      </c>
      <c r="C3" s="10" t="s">
        <v>18451</v>
      </c>
      <c r="D3" t="s">
        <v>18449</v>
      </c>
    </row>
    <row r="4" spans="1:4" x14ac:dyDescent="0.3">
      <c r="A4" t="s">
        <v>13</v>
      </c>
      <c r="B4" t="s">
        <v>27</v>
      </c>
      <c r="C4" t="s">
        <v>28</v>
      </c>
      <c r="D4" s="11">
        <v>-19866.666666666668</v>
      </c>
    </row>
    <row r="5" spans="1:4" x14ac:dyDescent="0.3">
      <c r="A5" t="s">
        <v>32</v>
      </c>
      <c r="B5" t="s">
        <v>18411</v>
      </c>
      <c r="C5" t="s">
        <v>18412</v>
      </c>
      <c r="D5" s="11">
        <v>0</v>
      </c>
    </row>
    <row r="6" spans="1:4" x14ac:dyDescent="0.3">
      <c r="A6" t="s">
        <v>54</v>
      </c>
      <c r="B6" t="s">
        <v>59</v>
      </c>
      <c r="C6" t="s">
        <v>60</v>
      </c>
      <c r="D6" s="11">
        <v>0</v>
      </c>
    </row>
    <row r="7" spans="1:4" x14ac:dyDescent="0.3">
      <c r="A7" t="s">
        <v>64</v>
      </c>
      <c r="B7" t="s">
        <v>70</v>
      </c>
      <c r="C7" t="s">
        <v>71</v>
      </c>
      <c r="D7" s="11">
        <v>-19000</v>
      </c>
    </row>
    <row r="8" spans="1:4" x14ac:dyDescent="0.3">
      <c r="A8" t="s">
        <v>75</v>
      </c>
      <c r="B8" t="s">
        <v>3028</v>
      </c>
      <c r="C8" t="s">
        <v>3029</v>
      </c>
      <c r="D8" s="11">
        <v>0</v>
      </c>
    </row>
    <row r="9" spans="1:4" x14ac:dyDescent="0.3">
      <c r="A9" t="s">
        <v>81</v>
      </c>
      <c r="B9" t="s">
        <v>91</v>
      </c>
      <c r="C9" t="s">
        <v>92</v>
      </c>
      <c r="D9" s="11">
        <v>-54216.867469879515</v>
      </c>
    </row>
    <row r="10" spans="1:4" x14ac:dyDescent="0.3">
      <c r="A10" t="s">
        <v>96</v>
      </c>
      <c r="B10" t="s">
        <v>97</v>
      </c>
      <c r="C10" t="s">
        <v>98</v>
      </c>
      <c r="D10" s="11">
        <v>0</v>
      </c>
    </row>
    <row r="11" spans="1:4" x14ac:dyDescent="0.3">
      <c r="A11" t="s">
        <v>102</v>
      </c>
      <c r="B11" t="s">
        <v>103</v>
      </c>
      <c r="C11" t="s">
        <v>104</v>
      </c>
      <c r="D11" s="11">
        <v>0</v>
      </c>
    </row>
    <row r="12" spans="1:4" x14ac:dyDescent="0.3">
      <c r="A12" t="s">
        <v>108</v>
      </c>
      <c r="B12" t="s">
        <v>396</v>
      </c>
      <c r="C12" t="s">
        <v>397</v>
      </c>
      <c r="D12" s="11">
        <v>0</v>
      </c>
    </row>
    <row r="13" spans="1:4" x14ac:dyDescent="0.3">
      <c r="A13" t="s">
        <v>114</v>
      </c>
      <c r="B13" t="s">
        <v>693</v>
      </c>
      <c r="C13" t="s">
        <v>694</v>
      </c>
      <c r="D13" s="11">
        <v>0</v>
      </c>
    </row>
    <row r="14" spans="1:4" x14ac:dyDescent="0.3">
      <c r="A14" t="s">
        <v>120</v>
      </c>
      <c r="B14" t="s">
        <v>27</v>
      </c>
      <c r="C14" t="s">
        <v>28</v>
      </c>
      <c r="D14" s="11">
        <v>0</v>
      </c>
    </row>
    <row r="15" spans="1:4" x14ac:dyDescent="0.3">
      <c r="A15" t="s">
        <v>134</v>
      </c>
      <c r="B15" t="s">
        <v>18452</v>
      </c>
      <c r="C15" t="s">
        <v>18452</v>
      </c>
      <c r="D15" s="11">
        <v>0</v>
      </c>
    </row>
    <row r="16" spans="1:4" x14ac:dyDescent="0.3">
      <c r="A16" t="s">
        <v>297</v>
      </c>
      <c r="B16" t="s">
        <v>27</v>
      </c>
      <c r="C16" t="s">
        <v>28</v>
      </c>
      <c r="D16" s="11">
        <v>0</v>
      </c>
    </row>
    <row r="17" spans="1:4" x14ac:dyDescent="0.3">
      <c r="A17" t="s">
        <v>302</v>
      </c>
      <c r="B17" t="s">
        <v>59</v>
      </c>
      <c r="C17" t="s">
        <v>60</v>
      </c>
      <c r="D17" s="11">
        <v>0</v>
      </c>
    </row>
    <row r="18" spans="1:4" x14ac:dyDescent="0.3">
      <c r="A18" t="s">
        <v>307</v>
      </c>
      <c r="B18" t="s">
        <v>91</v>
      </c>
      <c r="C18" t="s">
        <v>92</v>
      </c>
      <c r="D18" s="11">
        <v>0</v>
      </c>
    </row>
    <row r="19" spans="1:4" x14ac:dyDescent="0.3">
      <c r="A19" t="s">
        <v>313</v>
      </c>
      <c r="B19" t="s">
        <v>3028</v>
      </c>
      <c r="C19" t="s">
        <v>3029</v>
      </c>
      <c r="D19" s="11">
        <v>-88404.255319148928</v>
      </c>
    </row>
    <row r="20" spans="1:4" x14ac:dyDescent="0.3">
      <c r="A20" t="s">
        <v>327</v>
      </c>
      <c r="B20" t="s">
        <v>27</v>
      </c>
      <c r="C20" t="s">
        <v>28</v>
      </c>
      <c r="D20" s="11">
        <v>0</v>
      </c>
    </row>
    <row r="21" spans="1:4" x14ac:dyDescent="0.3">
      <c r="A21" t="s">
        <v>332</v>
      </c>
      <c r="B21" t="s">
        <v>27</v>
      </c>
      <c r="C21" t="s">
        <v>28</v>
      </c>
      <c r="D21" s="11">
        <v>0</v>
      </c>
    </row>
    <row r="22" spans="1:4" x14ac:dyDescent="0.3">
      <c r="A22" t="s">
        <v>340</v>
      </c>
      <c r="B22" t="s">
        <v>18429</v>
      </c>
      <c r="C22" t="s">
        <v>18455</v>
      </c>
      <c r="D22" s="11">
        <v>-88976.109215017059</v>
      </c>
    </row>
    <row r="23" spans="1:4" x14ac:dyDescent="0.3">
      <c r="A23" t="s">
        <v>360</v>
      </c>
      <c r="B23" t="s">
        <v>59</v>
      </c>
      <c r="C23" t="s">
        <v>60</v>
      </c>
      <c r="D23" s="11">
        <v>0</v>
      </c>
    </row>
    <row r="24" spans="1:4" x14ac:dyDescent="0.3">
      <c r="A24" t="s">
        <v>369</v>
      </c>
      <c r="B24" t="s">
        <v>97</v>
      </c>
      <c r="C24" t="s">
        <v>98</v>
      </c>
      <c r="D24" s="11">
        <v>0</v>
      </c>
    </row>
    <row r="25" spans="1:4" x14ac:dyDescent="0.3">
      <c r="A25" t="s">
        <v>374</v>
      </c>
      <c r="B25" t="s">
        <v>91</v>
      </c>
      <c r="C25" t="s">
        <v>92</v>
      </c>
      <c r="D25" s="11">
        <v>-54216.867469879515</v>
      </c>
    </row>
    <row r="26" spans="1:4" x14ac:dyDescent="0.3">
      <c r="A26" t="s">
        <v>387</v>
      </c>
      <c r="B26" t="s">
        <v>396</v>
      </c>
      <c r="C26" t="s">
        <v>397</v>
      </c>
      <c r="D26" s="11">
        <v>-27108.433734939757</v>
      </c>
    </row>
    <row r="27" spans="1:4" x14ac:dyDescent="0.3">
      <c r="A27" t="s">
        <v>401</v>
      </c>
      <c r="B27" t="s">
        <v>396</v>
      </c>
      <c r="C27" t="s">
        <v>397</v>
      </c>
      <c r="D27" s="11">
        <v>0</v>
      </c>
    </row>
    <row r="28" spans="1:4" x14ac:dyDescent="0.3">
      <c r="A28" t="s">
        <v>406</v>
      </c>
      <c r="B28" t="s">
        <v>416</v>
      </c>
      <c r="C28" t="s">
        <v>417</v>
      </c>
      <c r="D28" s="11">
        <v>-6137.254901960785</v>
      </c>
    </row>
    <row r="29" spans="1:4" x14ac:dyDescent="0.3">
      <c r="A29" t="s">
        <v>421</v>
      </c>
      <c r="B29" t="s">
        <v>699</v>
      </c>
      <c r="C29" t="s">
        <v>700</v>
      </c>
      <c r="D29" s="11">
        <v>0</v>
      </c>
    </row>
    <row r="30" spans="1:4" x14ac:dyDescent="0.3">
      <c r="A30" t="s">
        <v>431</v>
      </c>
      <c r="B30" t="s">
        <v>699</v>
      </c>
      <c r="C30" t="s">
        <v>700</v>
      </c>
      <c r="D30" s="11">
        <v>0</v>
      </c>
    </row>
    <row r="31" spans="1:4" x14ac:dyDescent="0.3">
      <c r="A31" t="s">
        <v>436</v>
      </c>
      <c r="B31" t="s">
        <v>3028</v>
      </c>
      <c r="C31" t="s">
        <v>3029</v>
      </c>
      <c r="D31" s="11">
        <v>0</v>
      </c>
    </row>
    <row r="32" spans="1:4" x14ac:dyDescent="0.3">
      <c r="A32" t="s">
        <v>450</v>
      </c>
      <c r="B32" t="s">
        <v>59</v>
      </c>
      <c r="C32" t="s">
        <v>60</v>
      </c>
      <c r="D32" s="11">
        <v>0</v>
      </c>
    </row>
    <row r="33" spans="1:4" x14ac:dyDescent="0.3">
      <c r="A33" t="s">
        <v>463</v>
      </c>
      <c r="B33" t="s">
        <v>97</v>
      </c>
      <c r="C33" t="s">
        <v>98</v>
      </c>
      <c r="D33" s="11">
        <v>0</v>
      </c>
    </row>
    <row r="34" spans="1:4" x14ac:dyDescent="0.3">
      <c r="A34" t="s">
        <v>476</v>
      </c>
      <c r="B34" t="s">
        <v>485</v>
      </c>
      <c r="C34" t="s">
        <v>486</v>
      </c>
      <c r="D34" s="11">
        <v>-38428.571428571428</v>
      </c>
    </row>
    <row r="35" spans="1:4" x14ac:dyDescent="0.3">
      <c r="A35" t="s">
        <v>490</v>
      </c>
      <c r="B35" t="s">
        <v>1170</v>
      </c>
      <c r="C35" t="s">
        <v>1171</v>
      </c>
      <c r="D35" s="11">
        <v>-4788.461538461539</v>
      </c>
    </row>
    <row r="36" spans="1:4" x14ac:dyDescent="0.3">
      <c r="A36" t="s">
        <v>503</v>
      </c>
      <c r="B36" t="s">
        <v>426</v>
      </c>
      <c r="C36" t="s">
        <v>427</v>
      </c>
      <c r="D36" s="11">
        <v>0</v>
      </c>
    </row>
    <row r="37" spans="1:4" x14ac:dyDescent="0.3">
      <c r="A37" t="s">
        <v>508</v>
      </c>
      <c r="B37" t="s">
        <v>3156</v>
      </c>
      <c r="C37" t="s">
        <v>3157</v>
      </c>
      <c r="D37" s="11">
        <v>0</v>
      </c>
    </row>
    <row r="38" spans="1:4" x14ac:dyDescent="0.3">
      <c r="A38" t="s">
        <v>522</v>
      </c>
      <c r="B38" t="s">
        <v>426</v>
      </c>
      <c r="C38" t="s">
        <v>427</v>
      </c>
      <c r="D38" s="11">
        <v>0</v>
      </c>
    </row>
    <row r="39" spans="1:4" x14ac:dyDescent="0.3">
      <c r="A39" t="s">
        <v>535</v>
      </c>
      <c r="B39" t="s">
        <v>59</v>
      </c>
      <c r="C39" t="s">
        <v>60</v>
      </c>
      <c r="D39" s="11">
        <v>0</v>
      </c>
    </row>
    <row r="40" spans="1:4" x14ac:dyDescent="0.3">
      <c r="A40" t="s">
        <v>544</v>
      </c>
      <c r="B40" t="s">
        <v>485</v>
      </c>
      <c r="C40" t="s">
        <v>486</v>
      </c>
      <c r="D40" s="11">
        <v>-97835.71428571429</v>
      </c>
    </row>
    <row r="41" spans="1:4" x14ac:dyDescent="0.3">
      <c r="A41" t="s">
        <v>557</v>
      </c>
      <c r="B41" t="s">
        <v>97</v>
      </c>
      <c r="C41" t="s">
        <v>98</v>
      </c>
      <c r="D41" s="11">
        <v>0</v>
      </c>
    </row>
    <row r="42" spans="1:4" x14ac:dyDescent="0.3">
      <c r="A42" t="s">
        <v>562</v>
      </c>
      <c r="B42" t="s">
        <v>97</v>
      </c>
      <c r="C42" t="s">
        <v>98</v>
      </c>
      <c r="D42" s="11">
        <v>0</v>
      </c>
    </row>
    <row r="43" spans="1:4" x14ac:dyDescent="0.3">
      <c r="A43" t="s">
        <v>575</v>
      </c>
      <c r="B43" t="s">
        <v>426</v>
      </c>
      <c r="C43" t="s">
        <v>427</v>
      </c>
      <c r="D43" s="11">
        <v>0</v>
      </c>
    </row>
    <row r="44" spans="1:4" x14ac:dyDescent="0.3">
      <c r="A44" t="s">
        <v>588</v>
      </c>
      <c r="B44" t="s">
        <v>97</v>
      </c>
      <c r="C44" t="s">
        <v>98</v>
      </c>
      <c r="D44" s="11">
        <v>0</v>
      </c>
    </row>
    <row r="45" spans="1:4" x14ac:dyDescent="0.3">
      <c r="A45" t="s">
        <v>593</v>
      </c>
      <c r="B45" t="s">
        <v>1170</v>
      </c>
      <c r="C45" t="s">
        <v>1171</v>
      </c>
      <c r="D45" s="11">
        <v>-9576.923076923078</v>
      </c>
    </row>
    <row r="46" spans="1:4" x14ac:dyDescent="0.3">
      <c r="A46" t="s">
        <v>606</v>
      </c>
      <c r="B46" t="s">
        <v>485</v>
      </c>
      <c r="C46" t="s">
        <v>486</v>
      </c>
      <c r="D46" s="11">
        <v>-38357.142857142855</v>
      </c>
    </row>
    <row r="47" spans="1:4" x14ac:dyDescent="0.3">
      <c r="A47" t="s">
        <v>615</v>
      </c>
      <c r="B47" t="s">
        <v>624</v>
      </c>
      <c r="C47" t="s">
        <v>625</v>
      </c>
      <c r="D47" s="11">
        <v>-38357.142857142855</v>
      </c>
    </row>
    <row r="48" spans="1:4" x14ac:dyDescent="0.3">
      <c r="A48" t="s">
        <v>629</v>
      </c>
      <c r="B48" t="s">
        <v>426</v>
      </c>
      <c r="C48" t="s">
        <v>427</v>
      </c>
      <c r="D48" s="11">
        <v>0</v>
      </c>
    </row>
    <row r="49" spans="1:4" x14ac:dyDescent="0.3">
      <c r="A49" t="s">
        <v>642</v>
      </c>
      <c r="B49" t="s">
        <v>647</v>
      </c>
      <c r="C49" t="s">
        <v>648</v>
      </c>
      <c r="D49" s="11">
        <v>-65476.190476190473</v>
      </c>
    </row>
    <row r="50" spans="1:4" x14ac:dyDescent="0.3">
      <c r="A50" t="s">
        <v>652</v>
      </c>
      <c r="B50" t="s">
        <v>27</v>
      </c>
      <c r="C50" t="s">
        <v>28</v>
      </c>
      <c r="D50" s="11">
        <v>0</v>
      </c>
    </row>
    <row r="51" spans="1:4" x14ac:dyDescent="0.3">
      <c r="A51" t="s">
        <v>665</v>
      </c>
      <c r="B51" t="s">
        <v>1170</v>
      </c>
      <c r="C51" t="s">
        <v>1171</v>
      </c>
      <c r="D51" s="11">
        <v>-9576.923076923078</v>
      </c>
    </row>
    <row r="52" spans="1:4" x14ac:dyDescent="0.3">
      <c r="A52" t="s">
        <v>674</v>
      </c>
      <c r="B52" t="s">
        <v>97</v>
      </c>
      <c r="C52" t="s">
        <v>98</v>
      </c>
      <c r="D52" s="11">
        <v>-4788.461538461539</v>
      </c>
    </row>
    <row r="53" spans="1:4" x14ac:dyDescent="0.3">
      <c r="A53" t="s">
        <v>683</v>
      </c>
      <c r="B53" t="s">
        <v>115</v>
      </c>
      <c r="C53" t="s">
        <v>116</v>
      </c>
      <c r="D53" s="11">
        <v>-16333.333333333332</v>
      </c>
    </row>
    <row r="54" spans="1:4" x14ac:dyDescent="0.3">
      <c r="A54" t="s">
        <v>692</v>
      </c>
      <c r="B54" t="s">
        <v>115</v>
      </c>
      <c r="C54" t="s">
        <v>116</v>
      </c>
      <c r="D54" s="11">
        <v>0</v>
      </c>
    </row>
    <row r="55" spans="1:4" x14ac:dyDescent="0.3">
      <c r="A55" t="s">
        <v>698</v>
      </c>
      <c r="B55" t="s">
        <v>699</v>
      </c>
      <c r="C55" t="s">
        <v>700</v>
      </c>
      <c r="D55" s="11">
        <v>0</v>
      </c>
    </row>
    <row r="56" spans="1:4" x14ac:dyDescent="0.3">
      <c r="A56" t="s">
        <v>704</v>
      </c>
      <c r="B56" t="s">
        <v>27</v>
      </c>
      <c r="C56" t="s">
        <v>28</v>
      </c>
      <c r="D56" s="11">
        <v>0</v>
      </c>
    </row>
    <row r="57" spans="1:4" x14ac:dyDescent="0.3">
      <c r="A57" t="s">
        <v>717</v>
      </c>
      <c r="B57" t="s">
        <v>115</v>
      </c>
      <c r="C57" t="s">
        <v>116</v>
      </c>
      <c r="D57" s="11">
        <v>0</v>
      </c>
    </row>
    <row r="58" spans="1:4" x14ac:dyDescent="0.3">
      <c r="A58" t="s">
        <v>722</v>
      </c>
      <c r="B58" t="s">
        <v>97</v>
      </c>
      <c r="C58" t="s">
        <v>98</v>
      </c>
      <c r="D58" s="11">
        <v>0</v>
      </c>
    </row>
    <row r="59" spans="1:4" x14ac:dyDescent="0.3">
      <c r="A59" t="s">
        <v>735</v>
      </c>
      <c r="B59" t="s">
        <v>740</v>
      </c>
      <c r="C59" t="s">
        <v>741</v>
      </c>
      <c r="D59" s="11">
        <v>0</v>
      </c>
    </row>
    <row r="60" spans="1:4" x14ac:dyDescent="0.3">
      <c r="A60" t="s">
        <v>745</v>
      </c>
      <c r="B60" t="s">
        <v>27</v>
      </c>
      <c r="C60" t="s">
        <v>28</v>
      </c>
      <c r="D60" s="11">
        <v>0</v>
      </c>
    </row>
    <row r="61" spans="1:4" x14ac:dyDescent="0.3">
      <c r="A61" t="s">
        <v>758</v>
      </c>
      <c r="B61" t="s">
        <v>769</v>
      </c>
      <c r="C61" t="s">
        <v>770</v>
      </c>
      <c r="D61" s="11">
        <v>0</v>
      </c>
    </row>
    <row r="62" spans="1:4" x14ac:dyDescent="0.3">
      <c r="A62" t="s">
        <v>774</v>
      </c>
      <c r="B62" t="s">
        <v>783</v>
      </c>
      <c r="C62" t="s">
        <v>784</v>
      </c>
      <c r="D62" s="11">
        <v>0</v>
      </c>
    </row>
    <row r="63" spans="1:4" x14ac:dyDescent="0.3">
      <c r="A63" t="s">
        <v>788</v>
      </c>
      <c r="B63" t="s">
        <v>797</v>
      </c>
      <c r="C63" t="s">
        <v>798</v>
      </c>
      <c r="D63" s="11">
        <v>0</v>
      </c>
    </row>
    <row r="64" spans="1:4" x14ac:dyDescent="0.3">
      <c r="A64" t="s">
        <v>802</v>
      </c>
      <c r="B64" t="s">
        <v>740</v>
      </c>
      <c r="C64" t="s">
        <v>741</v>
      </c>
      <c r="D64" s="11">
        <v>0</v>
      </c>
    </row>
    <row r="65" spans="1:4" x14ac:dyDescent="0.3">
      <c r="A65" t="s">
        <v>938</v>
      </c>
      <c r="B65" t="s">
        <v>947</v>
      </c>
      <c r="C65" t="s">
        <v>948</v>
      </c>
      <c r="D65" s="11">
        <v>-45714.28571428571</v>
      </c>
    </row>
    <row r="66" spans="1:4" x14ac:dyDescent="0.3">
      <c r="A66" t="s">
        <v>956</v>
      </c>
      <c r="B66" t="s">
        <v>27</v>
      </c>
      <c r="C66" t="s">
        <v>28</v>
      </c>
      <c r="D66" s="11">
        <v>0</v>
      </c>
    </row>
    <row r="67" spans="1:4" x14ac:dyDescent="0.3">
      <c r="A67" t="s">
        <v>969</v>
      </c>
      <c r="B67" t="s">
        <v>97</v>
      </c>
      <c r="C67" t="s">
        <v>98</v>
      </c>
      <c r="D67" s="11">
        <v>0</v>
      </c>
    </row>
    <row r="68" spans="1:4" x14ac:dyDescent="0.3">
      <c r="A68" t="s">
        <v>974</v>
      </c>
      <c r="B68" t="s">
        <v>517</v>
      </c>
      <c r="C68" t="s">
        <v>518</v>
      </c>
      <c r="D68" s="11">
        <v>0</v>
      </c>
    </row>
    <row r="69" spans="1:4" x14ac:dyDescent="0.3">
      <c r="A69" t="s">
        <v>979</v>
      </c>
      <c r="B69" t="s">
        <v>426</v>
      </c>
      <c r="C69" t="s">
        <v>427</v>
      </c>
      <c r="D69" s="11">
        <v>-33111.111111111109</v>
      </c>
    </row>
    <row r="70" spans="1:4" x14ac:dyDescent="0.3">
      <c r="A70" t="s">
        <v>996</v>
      </c>
      <c r="B70" t="s">
        <v>1170</v>
      </c>
      <c r="C70" t="s">
        <v>1171</v>
      </c>
      <c r="D70" s="11">
        <v>-4788.461538461539</v>
      </c>
    </row>
    <row r="71" spans="1:4" x14ac:dyDescent="0.3">
      <c r="A71" t="s">
        <v>1005</v>
      </c>
      <c r="B71" t="s">
        <v>308</v>
      </c>
      <c r="C71" t="s">
        <v>309</v>
      </c>
      <c r="D71" s="11">
        <v>0</v>
      </c>
    </row>
    <row r="72" spans="1:4" x14ac:dyDescent="0.3">
      <c r="A72" t="s">
        <v>1010</v>
      </c>
      <c r="B72" t="s">
        <v>1017</v>
      </c>
      <c r="C72" t="s">
        <v>1018</v>
      </c>
      <c r="D72" s="11">
        <v>-15246.636771300447</v>
      </c>
    </row>
    <row r="73" spans="1:4" x14ac:dyDescent="0.3">
      <c r="A73" t="s">
        <v>1021</v>
      </c>
      <c r="B73" t="s">
        <v>1113</v>
      </c>
      <c r="C73" t="s">
        <v>1114</v>
      </c>
      <c r="D73" s="11">
        <v>0</v>
      </c>
    </row>
    <row r="74" spans="1:4" x14ac:dyDescent="0.3">
      <c r="A74" t="s">
        <v>1026</v>
      </c>
      <c r="B74" t="s">
        <v>2168</v>
      </c>
      <c r="C74" t="s">
        <v>2169</v>
      </c>
      <c r="D74" s="11">
        <v>0</v>
      </c>
    </row>
    <row r="75" spans="1:4" x14ac:dyDescent="0.3">
      <c r="A75" t="s">
        <v>1032</v>
      </c>
      <c r="B75" t="s">
        <v>1017</v>
      </c>
      <c r="C75" t="s">
        <v>1018</v>
      </c>
      <c r="D75" s="11">
        <v>0</v>
      </c>
    </row>
    <row r="76" spans="1:4" x14ac:dyDescent="0.3">
      <c r="A76" t="s">
        <v>1039</v>
      </c>
      <c r="B76" t="s">
        <v>27</v>
      </c>
      <c r="C76" t="s">
        <v>28</v>
      </c>
      <c r="D76" s="11">
        <v>0</v>
      </c>
    </row>
    <row r="77" spans="1:4" x14ac:dyDescent="0.3">
      <c r="A77" t="s">
        <v>1052</v>
      </c>
      <c r="B77" t="s">
        <v>97</v>
      </c>
      <c r="C77" t="s">
        <v>98</v>
      </c>
      <c r="D77" s="11">
        <v>0</v>
      </c>
    </row>
    <row r="78" spans="1:4" x14ac:dyDescent="0.3">
      <c r="A78" t="s">
        <v>1065</v>
      </c>
      <c r="B78" t="s">
        <v>1027</v>
      </c>
      <c r="C78" t="s">
        <v>1028</v>
      </c>
      <c r="D78" s="11">
        <v>0</v>
      </c>
    </row>
    <row r="79" spans="1:4" x14ac:dyDescent="0.3">
      <c r="A79" t="s">
        <v>1074</v>
      </c>
      <c r="B79" t="s">
        <v>517</v>
      </c>
      <c r="C79" t="s">
        <v>518</v>
      </c>
      <c r="D79" s="11">
        <v>0</v>
      </c>
    </row>
    <row r="80" spans="1:4" x14ac:dyDescent="0.3">
      <c r="A80" t="s">
        <v>1083</v>
      </c>
      <c r="B80" t="s">
        <v>18452</v>
      </c>
      <c r="C80" t="s">
        <v>18452</v>
      </c>
      <c r="D80" s="11">
        <v>0</v>
      </c>
    </row>
    <row r="81" spans="1:4" x14ac:dyDescent="0.3">
      <c r="A81" t="s">
        <v>1098</v>
      </c>
      <c r="B81" t="s">
        <v>2238</v>
      </c>
      <c r="C81" t="s">
        <v>2239</v>
      </c>
      <c r="D81" s="11">
        <v>0</v>
      </c>
    </row>
    <row r="82" spans="1:4" x14ac:dyDescent="0.3">
      <c r="A82" t="s">
        <v>1112</v>
      </c>
      <c r="B82" t="s">
        <v>27</v>
      </c>
      <c r="C82" t="s">
        <v>28</v>
      </c>
      <c r="D82" s="11">
        <v>0</v>
      </c>
    </row>
    <row r="83" spans="1:4" x14ac:dyDescent="0.3">
      <c r="A83" t="s">
        <v>1118</v>
      </c>
      <c r="B83" t="s">
        <v>1119</v>
      </c>
      <c r="C83" t="s">
        <v>1120</v>
      </c>
      <c r="D83" s="11">
        <v>0</v>
      </c>
    </row>
    <row r="84" spans="1:4" x14ac:dyDescent="0.3">
      <c r="A84" t="s">
        <v>1124</v>
      </c>
      <c r="B84" t="s">
        <v>1027</v>
      </c>
      <c r="C84" t="s">
        <v>1028</v>
      </c>
      <c r="D84" s="11">
        <v>0</v>
      </c>
    </row>
    <row r="85" spans="1:4" x14ac:dyDescent="0.3">
      <c r="A85" t="s">
        <v>1129</v>
      </c>
      <c r="B85" t="s">
        <v>517</v>
      </c>
      <c r="C85" t="s">
        <v>518</v>
      </c>
      <c r="D85" s="11">
        <v>0</v>
      </c>
    </row>
    <row r="86" spans="1:4" x14ac:dyDescent="0.3">
      <c r="A86" t="s">
        <v>1138</v>
      </c>
      <c r="B86" t="s">
        <v>121</v>
      </c>
      <c r="C86" t="s">
        <v>122</v>
      </c>
      <c r="D86" s="11">
        <v>-6622.2222222222226</v>
      </c>
    </row>
    <row r="87" spans="1:4" x14ac:dyDescent="0.3">
      <c r="A87" t="s">
        <v>1151</v>
      </c>
      <c r="B87" t="s">
        <v>97</v>
      </c>
      <c r="C87" t="s">
        <v>98</v>
      </c>
      <c r="D87" s="11">
        <v>0</v>
      </c>
    </row>
    <row r="88" spans="1:4" x14ac:dyDescent="0.3">
      <c r="A88" t="s">
        <v>1156</v>
      </c>
      <c r="B88" t="s">
        <v>1170</v>
      </c>
      <c r="C88" t="s">
        <v>1171</v>
      </c>
      <c r="D88" s="11">
        <v>-4788.461538461539</v>
      </c>
    </row>
    <row r="89" spans="1:4" x14ac:dyDescent="0.3">
      <c r="A89" t="s">
        <v>1169</v>
      </c>
      <c r="B89" t="s">
        <v>1170</v>
      </c>
      <c r="C89" t="s">
        <v>1171</v>
      </c>
      <c r="D89" s="11">
        <v>0</v>
      </c>
    </row>
    <row r="90" spans="1:4" x14ac:dyDescent="0.3">
      <c r="A90" t="s">
        <v>1175</v>
      </c>
      <c r="B90" t="s">
        <v>1180</v>
      </c>
      <c r="C90" t="s">
        <v>1181</v>
      </c>
      <c r="D90" s="11">
        <v>-9576.923076923078</v>
      </c>
    </row>
    <row r="91" spans="1:4" x14ac:dyDescent="0.3">
      <c r="A91" t="s">
        <v>1185</v>
      </c>
      <c r="B91" t="s">
        <v>97</v>
      </c>
      <c r="C91" t="s">
        <v>98</v>
      </c>
      <c r="D91" s="11">
        <v>0</v>
      </c>
    </row>
    <row r="92" spans="1:4" x14ac:dyDescent="0.3">
      <c r="A92" t="s">
        <v>1194</v>
      </c>
      <c r="B92" t="s">
        <v>1119</v>
      </c>
      <c r="C92" t="s">
        <v>1120</v>
      </c>
      <c r="D92" s="11">
        <v>0</v>
      </c>
    </row>
    <row r="93" spans="1:4" x14ac:dyDescent="0.3">
      <c r="A93" t="s">
        <v>1203</v>
      </c>
      <c r="B93" t="s">
        <v>1180</v>
      </c>
      <c r="C93" t="s">
        <v>1181</v>
      </c>
      <c r="D93" s="11">
        <v>-4788.461538461539</v>
      </c>
    </row>
    <row r="94" spans="1:4" x14ac:dyDescent="0.3">
      <c r="A94" t="s">
        <v>1212</v>
      </c>
      <c r="B94" t="s">
        <v>1027</v>
      </c>
      <c r="C94" t="s">
        <v>1028</v>
      </c>
      <c r="D94" s="11">
        <v>0</v>
      </c>
    </row>
    <row r="95" spans="1:4" x14ac:dyDescent="0.3">
      <c r="A95" t="s">
        <v>1217</v>
      </c>
      <c r="B95" t="s">
        <v>1170</v>
      </c>
      <c r="C95" t="s">
        <v>1171</v>
      </c>
      <c r="D95" s="11">
        <v>0</v>
      </c>
    </row>
    <row r="96" spans="1:4" x14ac:dyDescent="0.3">
      <c r="A96" t="s">
        <v>1222</v>
      </c>
      <c r="B96" t="s">
        <v>1119</v>
      </c>
      <c r="C96" t="s">
        <v>1120</v>
      </c>
      <c r="D96" s="11">
        <v>0</v>
      </c>
    </row>
    <row r="97" spans="1:4" x14ac:dyDescent="0.3">
      <c r="A97" t="s">
        <v>1231</v>
      </c>
      <c r="B97" t="s">
        <v>97</v>
      </c>
      <c r="C97" t="s">
        <v>98</v>
      </c>
      <c r="D97" s="11">
        <v>0</v>
      </c>
    </row>
    <row r="98" spans="1:4" x14ac:dyDescent="0.3">
      <c r="A98" t="s">
        <v>1236</v>
      </c>
      <c r="B98" t="s">
        <v>1245</v>
      </c>
      <c r="C98" t="s">
        <v>1246</v>
      </c>
      <c r="D98" s="11">
        <v>-10068.259385665529</v>
      </c>
    </row>
    <row r="99" spans="1:4" x14ac:dyDescent="0.3">
      <c r="A99" t="s">
        <v>1250</v>
      </c>
      <c r="B99" t="s">
        <v>426</v>
      </c>
      <c r="C99" t="s">
        <v>427</v>
      </c>
      <c r="D99" s="11">
        <v>0</v>
      </c>
    </row>
    <row r="100" spans="1:4" x14ac:dyDescent="0.3">
      <c r="A100" t="s">
        <v>1255</v>
      </c>
      <c r="B100" t="s">
        <v>97</v>
      </c>
      <c r="C100" t="s">
        <v>98</v>
      </c>
      <c r="D100" s="11">
        <v>0</v>
      </c>
    </row>
    <row r="101" spans="1:4" x14ac:dyDescent="0.3">
      <c r="A101" t="s">
        <v>1260</v>
      </c>
      <c r="B101" t="s">
        <v>1119</v>
      </c>
      <c r="C101" t="s">
        <v>1120</v>
      </c>
      <c r="D101" s="11">
        <v>0</v>
      </c>
    </row>
    <row r="102" spans="1:4" x14ac:dyDescent="0.3">
      <c r="A102" t="s">
        <v>1269</v>
      </c>
      <c r="B102" t="s">
        <v>947</v>
      </c>
      <c r="C102" t="s">
        <v>948</v>
      </c>
      <c r="D102" s="11">
        <v>-82500</v>
      </c>
    </row>
    <row r="103" spans="1:4" x14ac:dyDescent="0.3">
      <c r="A103" t="s">
        <v>1282</v>
      </c>
      <c r="B103" t="s">
        <v>426</v>
      </c>
      <c r="C103" t="s">
        <v>427</v>
      </c>
      <c r="D103" s="11">
        <v>0</v>
      </c>
    </row>
    <row r="104" spans="1:4" x14ac:dyDescent="0.3">
      <c r="A104" t="s">
        <v>1287</v>
      </c>
      <c r="B104" t="s">
        <v>1119</v>
      </c>
      <c r="C104" t="s">
        <v>1120</v>
      </c>
      <c r="D104" s="11">
        <v>0</v>
      </c>
    </row>
    <row r="105" spans="1:4" x14ac:dyDescent="0.3">
      <c r="A105" t="s">
        <v>1296</v>
      </c>
      <c r="B105" t="s">
        <v>426</v>
      </c>
      <c r="C105" t="s">
        <v>427</v>
      </c>
      <c r="D105" s="11">
        <v>0</v>
      </c>
    </row>
    <row r="106" spans="1:4" x14ac:dyDescent="0.3">
      <c r="A106" t="s">
        <v>1309</v>
      </c>
      <c r="B106" t="s">
        <v>740</v>
      </c>
      <c r="C106" t="s">
        <v>741</v>
      </c>
      <c r="D106" s="11">
        <v>0</v>
      </c>
    </row>
    <row r="107" spans="1:4" x14ac:dyDescent="0.3">
      <c r="A107" t="s">
        <v>1318</v>
      </c>
      <c r="B107" t="s">
        <v>1327</v>
      </c>
      <c r="C107" t="s">
        <v>1328</v>
      </c>
      <c r="D107" s="11">
        <v>0</v>
      </c>
    </row>
    <row r="108" spans="1:4" x14ac:dyDescent="0.3">
      <c r="A108" t="s">
        <v>1332</v>
      </c>
      <c r="B108" t="s">
        <v>396</v>
      </c>
      <c r="C108" t="s">
        <v>397</v>
      </c>
      <c r="D108" s="11">
        <v>0</v>
      </c>
    </row>
    <row r="109" spans="1:4" x14ac:dyDescent="0.3">
      <c r="A109" t="s">
        <v>1345</v>
      </c>
      <c r="B109" t="s">
        <v>1119</v>
      </c>
      <c r="C109" t="s">
        <v>1120</v>
      </c>
      <c r="D109" s="11">
        <v>0</v>
      </c>
    </row>
    <row r="110" spans="1:4" x14ac:dyDescent="0.3">
      <c r="A110" t="s">
        <v>1362</v>
      </c>
      <c r="B110" t="s">
        <v>1027</v>
      </c>
      <c r="C110" t="s">
        <v>1028</v>
      </c>
      <c r="D110" s="11">
        <v>0</v>
      </c>
    </row>
    <row r="111" spans="1:4" x14ac:dyDescent="0.3">
      <c r="A111" t="s">
        <v>1367</v>
      </c>
      <c r="B111" t="s">
        <v>27</v>
      </c>
      <c r="C111" t="s">
        <v>28</v>
      </c>
      <c r="D111" s="11">
        <v>0</v>
      </c>
    </row>
    <row r="112" spans="1:4" x14ac:dyDescent="0.3">
      <c r="A112" t="s">
        <v>1372</v>
      </c>
      <c r="B112" t="s">
        <v>3028</v>
      </c>
      <c r="C112" t="s">
        <v>3029</v>
      </c>
      <c r="D112" s="11">
        <v>-75957.446808510635</v>
      </c>
    </row>
    <row r="113" spans="1:4" x14ac:dyDescent="0.3">
      <c r="A113" t="s">
        <v>1393</v>
      </c>
      <c r="B113" t="s">
        <v>3028</v>
      </c>
      <c r="C113" t="s">
        <v>3029</v>
      </c>
      <c r="D113" s="11">
        <v>-101276.59574468085</v>
      </c>
    </row>
    <row r="114" spans="1:4" x14ac:dyDescent="0.3">
      <c r="A114" t="s">
        <v>1414</v>
      </c>
      <c r="B114" t="s">
        <v>3028</v>
      </c>
      <c r="C114" t="s">
        <v>3029</v>
      </c>
      <c r="D114" s="11">
        <v>-50638.297872340423</v>
      </c>
    </row>
    <row r="115" spans="1:4" x14ac:dyDescent="0.3">
      <c r="A115" t="s">
        <v>1435</v>
      </c>
      <c r="B115" t="s">
        <v>426</v>
      </c>
      <c r="C115" t="s">
        <v>427</v>
      </c>
      <c r="D115" s="11">
        <v>0</v>
      </c>
    </row>
    <row r="116" spans="1:4" x14ac:dyDescent="0.3">
      <c r="A116" t="s">
        <v>1440</v>
      </c>
      <c r="B116" t="s">
        <v>1590</v>
      </c>
      <c r="C116" t="s">
        <v>1591</v>
      </c>
      <c r="D116" s="11">
        <v>0</v>
      </c>
    </row>
    <row r="117" spans="1:4" x14ac:dyDescent="0.3">
      <c r="A117" t="s">
        <v>1450</v>
      </c>
      <c r="B117" t="s">
        <v>27</v>
      </c>
      <c r="C117" t="s">
        <v>28</v>
      </c>
      <c r="D117" s="11">
        <v>0</v>
      </c>
    </row>
    <row r="118" spans="1:4" x14ac:dyDescent="0.3">
      <c r="A118" t="s">
        <v>1455</v>
      </c>
      <c r="B118" t="s">
        <v>426</v>
      </c>
      <c r="C118" t="s">
        <v>427</v>
      </c>
      <c r="D118" s="11">
        <v>-19866.666666666668</v>
      </c>
    </row>
    <row r="119" spans="1:4" x14ac:dyDescent="0.3">
      <c r="A119" t="s">
        <v>1468</v>
      </c>
      <c r="B119" t="s">
        <v>426</v>
      </c>
      <c r="C119" t="s">
        <v>427</v>
      </c>
      <c r="D119" s="11">
        <v>0</v>
      </c>
    </row>
    <row r="120" spans="1:4" x14ac:dyDescent="0.3">
      <c r="A120" t="s">
        <v>1473</v>
      </c>
      <c r="B120" t="s">
        <v>1093</v>
      </c>
      <c r="C120" t="s">
        <v>1094</v>
      </c>
      <c r="D120" s="11">
        <v>0</v>
      </c>
    </row>
    <row r="121" spans="1:4" x14ac:dyDescent="0.3">
      <c r="A121" t="s">
        <v>1478</v>
      </c>
      <c r="B121" t="s">
        <v>27</v>
      </c>
      <c r="C121" t="s">
        <v>28</v>
      </c>
      <c r="D121" s="11">
        <v>-33111.111111111109</v>
      </c>
    </row>
    <row r="122" spans="1:4" x14ac:dyDescent="0.3">
      <c r="A122" t="s">
        <v>1503</v>
      </c>
      <c r="B122" t="s">
        <v>1027</v>
      </c>
      <c r="C122" t="s">
        <v>1028</v>
      </c>
      <c r="D122" s="11">
        <v>0</v>
      </c>
    </row>
    <row r="123" spans="1:4" x14ac:dyDescent="0.3">
      <c r="A123" t="s">
        <v>1517</v>
      </c>
      <c r="B123" t="s">
        <v>97</v>
      </c>
      <c r="C123" t="s">
        <v>98</v>
      </c>
      <c r="D123" s="11">
        <v>0</v>
      </c>
    </row>
    <row r="124" spans="1:4" x14ac:dyDescent="0.3">
      <c r="A124" t="s">
        <v>1534</v>
      </c>
      <c r="B124" t="s">
        <v>1535</v>
      </c>
      <c r="C124" t="s">
        <v>1536</v>
      </c>
      <c r="D124" s="11">
        <v>0</v>
      </c>
    </row>
    <row r="125" spans="1:4" x14ac:dyDescent="0.3">
      <c r="A125" t="s">
        <v>1540</v>
      </c>
      <c r="B125" t="s">
        <v>1027</v>
      </c>
      <c r="C125" t="s">
        <v>1028</v>
      </c>
      <c r="D125" s="11">
        <v>0</v>
      </c>
    </row>
    <row r="126" spans="1:4" x14ac:dyDescent="0.3">
      <c r="A126" t="s">
        <v>1545</v>
      </c>
      <c r="B126" t="s">
        <v>27</v>
      </c>
      <c r="C126" t="s">
        <v>28</v>
      </c>
      <c r="D126" s="11">
        <v>0</v>
      </c>
    </row>
    <row r="127" spans="1:4" x14ac:dyDescent="0.3">
      <c r="A127" t="s">
        <v>1550</v>
      </c>
      <c r="B127" t="s">
        <v>97</v>
      </c>
      <c r="C127" t="s">
        <v>98</v>
      </c>
      <c r="D127" s="11">
        <v>0</v>
      </c>
    </row>
    <row r="128" spans="1:4" x14ac:dyDescent="0.3">
      <c r="A128" t="s">
        <v>1555</v>
      </c>
      <c r="B128" t="s">
        <v>1093</v>
      </c>
      <c r="C128" t="s">
        <v>1094</v>
      </c>
      <c r="D128" s="11">
        <v>0</v>
      </c>
    </row>
    <row r="129" spans="1:4" x14ac:dyDescent="0.3">
      <c r="A129" t="s">
        <v>1560</v>
      </c>
      <c r="B129" t="s">
        <v>1170</v>
      </c>
      <c r="C129" t="s">
        <v>1171</v>
      </c>
      <c r="D129" s="11">
        <v>-7884.6153846153848</v>
      </c>
    </row>
    <row r="130" spans="1:4" x14ac:dyDescent="0.3">
      <c r="A130" t="s">
        <v>1569</v>
      </c>
      <c r="B130" t="s">
        <v>27</v>
      </c>
      <c r="C130" t="s">
        <v>28</v>
      </c>
      <c r="D130" s="11">
        <v>0</v>
      </c>
    </row>
    <row r="131" spans="1:4" x14ac:dyDescent="0.3">
      <c r="A131" t="s">
        <v>1574</v>
      </c>
      <c r="B131" t="s">
        <v>27</v>
      </c>
      <c r="C131" t="s">
        <v>28</v>
      </c>
      <c r="D131" s="11">
        <v>0</v>
      </c>
    </row>
    <row r="132" spans="1:4" x14ac:dyDescent="0.3">
      <c r="A132" t="s">
        <v>1579</v>
      </c>
      <c r="B132" t="s">
        <v>97</v>
      </c>
      <c r="C132" t="s">
        <v>98</v>
      </c>
      <c r="D132" s="11">
        <v>0</v>
      </c>
    </row>
    <row r="133" spans="1:4" x14ac:dyDescent="0.3">
      <c r="A133" t="s">
        <v>1584</v>
      </c>
      <c r="B133" t="s">
        <v>740</v>
      </c>
      <c r="C133" t="s">
        <v>741</v>
      </c>
      <c r="D133" s="11">
        <v>0</v>
      </c>
    </row>
    <row r="134" spans="1:4" x14ac:dyDescent="0.3">
      <c r="A134" t="s">
        <v>1589</v>
      </c>
      <c r="B134" t="s">
        <v>1590</v>
      </c>
      <c r="C134" t="s">
        <v>1591</v>
      </c>
      <c r="D134" s="11">
        <v>-238974.358974359</v>
      </c>
    </row>
    <row r="135" spans="1:4" x14ac:dyDescent="0.3">
      <c r="A135" t="s">
        <v>1611</v>
      </c>
      <c r="B135" t="s">
        <v>1590</v>
      </c>
      <c r="C135" t="s">
        <v>1591</v>
      </c>
      <c r="D135" s="11">
        <v>0</v>
      </c>
    </row>
    <row r="136" spans="1:4" x14ac:dyDescent="0.3">
      <c r="A136" t="s">
        <v>1616</v>
      </c>
      <c r="B136" t="s">
        <v>1445</v>
      </c>
      <c r="C136" t="s">
        <v>1446</v>
      </c>
      <c r="D136" s="11">
        <v>-89615.384615384624</v>
      </c>
    </row>
    <row r="137" spans="1:4" x14ac:dyDescent="0.3">
      <c r="A137" t="s">
        <v>1641</v>
      </c>
      <c r="B137" t="s">
        <v>1170</v>
      </c>
      <c r="C137" t="s">
        <v>1171</v>
      </c>
      <c r="D137" s="11">
        <v>-4788.461538461539</v>
      </c>
    </row>
    <row r="138" spans="1:4" x14ac:dyDescent="0.3">
      <c r="A138" t="s">
        <v>1666</v>
      </c>
      <c r="B138" t="s">
        <v>1667</v>
      </c>
      <c r="C138" t="s">
        <v>1668</v>
      </c>
      <c r="D138" s="11">
        <v>-62608.695652173912</v>
      </c>
    </row>
    <row r="139" spans="1:4" x14ac:dyDescent="0.3">
      <c r="A139" t="s">
        <v>1692</v>
      </c>
      <c r="B139" t="s">
        <v>97</v>
      </c>
      <c r="C139" t="s">
        <v>98</v>
      </c>
      <c r="D139" s="11">
        <v>0</v>
      </c>
    </row>
    <row r="140" spans="1:4" x14ac:dyDescent="0.3">
      <c r="A140" t="s">
        <v>1713</v>
      </c>
      <c r="B140" t="s">
        <v>27</v>
      </c>
      <c r="C140" t="s">
        <v>28</v>
      </c>
      <c r="D140" s="11">
        <v>0</v>
      </c>
    </row>
    <row r="141" spans="1:4" x14ac:dyDescent="0.3">
      <c r="A141" t="s">
        <v>1718</v>
      </c>
      <c r="B141" t="s">
        <v>1170</v>
      </c>
      <c r="C141" t="s">
        <v>1171</v>
      </c>
      <c r="D141" s="11">
        <v>0</v>
      </c>
    </row>
    <row r="142" spans="1:4" x14ac:dyDescent="0.3">
      <c r="A142" t="s">
        <v>1735</v>
      </c>
      <c r="B142" t="s">
        <v>1170</v>
      </c>
      <c r="C142" t="s">
        <v>1171</v>
      </c>
      <c r="D142" s="11">
        <v>-9576.923076923078</v>
      </c>
    </row>
    <row r="143" spans="1:4" x14ac:dyDescent="0.3">
      <c r="A143" t="s">
        <v>1760</v>
      </c>
      <c r="B143" t="s">
        <v>27</v>
      </c>
      <c r="C143" t="s">
        <v>28</v>
      </c>
      <c r="D143" s="11">
        <v>0</v>
      </c>
    </row>
    <row r="144" spans="1:4" x14ac:dyDescent="0.3">
      <c r="A144" t="s">
        <v>1765</v>
      </c>
      <c r="B144" t="s">
        <v>10506</v>
      </c>
      <c r="C144" t="s">
        <v>10507</v>
      </c>
      <c r="D144" s="11">
        <v>0</v>
      </c>
    </row>
    <row r="145" spans="1:4" x14ac:dyDescent="0.3">
      <c r="A145" t="s">
        <v>1786</v>
      </c>
      <c r="B145" t="s">
        <v>2378</v>
      </c>
      <c r="C145" t="s">
        <v>2379</v>
      </c>
      <c r="D145" s="11">
        <v>-1290.3225806451612</v>
      </c>
    </row>
    <row r="146" spans="1:4" x14ac:dyDescent="0.3">
      <c r="A146" t="s">
        <v>1811</v>
      </c>
      <c r="B146" t="s">
        <v>740</v>
      </c>
      <c r="C146" t="s">
        <v>741</v>
      </c>
      <c r="D146" s="11">
        <v>0</v>
      </c>
    </row>
    <row r="147" spans="1:4" x14ac:dyDescent="0.3">
      <c r="A147" t="s">
        <v>1832</v>
      </c>
      <c r="B147" t="s">
        <v>97</v>
      </c>
      <c r="C147" t="s">
        <v>98</v>
      </c>
      <c r="D147" s="11">
        <v>0</v>
      </c>
    </row>
    <row r="148" spans="1:4" x14ac:dyDescent="0.3">
      <c r="A148" t="s">
        <v>1853</v>
      </c>
      <c r="B148" t="s">
        <v>1590</v>
      </c>
      <c r="C148" t="s">
        <v>1591</v>
      </c>
      <c r="D148" s="11">
        <v>0</v>
      </c>
    </row>
    <row r="149" spans="1:4" x14ac:dyDescent="0.3">
      <c r="A149" t="s">
        <v>1882</v>
      </c>
      <c r="B149" t="s">
        <v>1170</v>
      </c>
      <c r="C149" t="s">
        <v>1171</v>
      </c>
      <c r="D149" s="11">
        <v>-9576.923076923078</v>
      </c>
    </row>
    <row r="150" spans="1:4" x14ac:dyDescent="0.3">
      <c r="A150" t="s">
        <v>1895</v>
      </c>
      <c r="B150" t="s">
        <v>27</v>
      </c>
      <c r="C150" t="s">
        <v>28</v>
      </c>
      <c r="D150" s="11">
        <v>0</v>
      </c>
    </row>
    <row r="151" spans="1:4" x14ac:dyDescent="0.3">
      <c r="A151" t="s">
        <v>1900</v>
      </c>
      <c r="B151" t="s">
        <v>1170</v>
      </c>
      <c r="C151" t="s">
        <v>1171</v>
      </c>
      <c r="D151" s="11">
        <v>0</v>
      </c>
    </row>
    <row r="152" spans="1:4" x14ac:dyDescent="0.3">
      <c r="A152" t="s">
        <v>1905</v>
      </c>
      <c r="B152" t="s">
        <v>426</v>
      </c>
      <c r="C152" t="s">
        <v>427</v>
      </c>
      <c r="D152" s="11">
        <v>0</v>
      </c>
    </row>
    <row r="153" spans="1:4" x14ac:dyDescent="0.3">
      <c r="A153" t="s">
        <v>1914</v>
      </c>
      <c r="B153" t="s">
        <v>426</v>
      </c>
      <c r="C153" t="s">
        <v>427</v>
      </c>
      <c r="D153" s="11">
        <v>0</v>
      </c>
    </row>
    <row r="154" spans="1:4" x14ac:dyDescent="0.3">
      <c r="A154" t="s">
        <v>1923</v>
      </c>
      <c r="B154" t="s">
        <v>1924</v>
      </c>
      <c r="C154" t="s">
        <v>1925</v>
      </c>
      <c r="D154" s="11">
        <v>0</v>
      </c>
    </row>
    <row r="155" spans="1:4" x14ac:dyDescent="0.3">
      <c r="A155" t="s">
        <v>1949</v>
      </c>
      <c r="B155" t="s">
        <v>27</v>
      </c>
      <c r="C155" t="s">
        <v>28</v>
      </c>
      <c r="D155" s="11">
        <v>-6622.2222222222226</v>
      </c>
    </row>
    <row r="156" spans="1:4" x14ac:dyDescent="0.3">
      <c r="A156" t="s">
        <v>1962</v>
      </c>
      <c r="B156" t="s">
        <v>121</v>
      </c>
      <c r="C156" t="s">
        <v>122</v>
      </c>
      <c r="D156" s="11">
        <v>-888.88888888888891</v>
      </c>
    </row>
    <row r="157" spans="1:4" x14ac:dyDescent="0.3">
      <c r="A157" t="s">
        <v>1975</v>
      </c>
      <c r="B157" t="s">
        <v>121</v>
      </c>
      <c r="C157" t="s">
        <v>122</v>
      </c>
      <c r="D157" s="11">
        <v>0</v>
      </c>
    </row>
    <row r="158" spans="1:4" x14ac:dyDescent="0.3">
      <c r="A158" t="s">
        <v>1980</v>
      </c>
      <c r="B158" t="s">
        <v>1989</v>
      </c>
      <c r="C158" t="s">
        <v>1990</v>
      </c>
      <c r="D158" s="11">
        <v>-17851.85185185185</v>
      </c>
    </row>
    <row r="159" spans="1:4" x14ac:dyDescent="0.3">
      <c r="A159" t="s">
        <v>1994</v>
      </c>
      <c r="B159" t="s">
        <v>517</v>
      </c>
      <c r="C159" t="s">
        <v>518</v>
      </c>
      <c r="D159" s="11">
        <v>-50375.939849624054</v>
      </c>
    </row>
    <row r="160" spans="1:4" x14ac:dyDescent="0.3">
      <c r="A160" t="s">
        <v>2007</v>
      </c>
      <c r="B160" t="s">
        <v>517</v>
      </c>
      <c r="C160" t="s">
        <v>518</v>
      </c>
      <c r="D160" s="11">
        <v>0</v>
      </c>
    </row>
    <row r="161" spans="1:4" x14ac:dyDescent="0.3">
      <c r="A161" t="s">
        <v>2013</v>
      </c>
      <c r="B161" t="s">
        <v>1027</v>
      </c>
      <c r="C161" t="s">
        <v>1028</v>
      </c>
      <c r="D161" s="11">
        <v>0</v>
      </c>
    </row>
    <row r="162" spans="1:4" x14ac:dyDescent="0.3">
      <c r="A162" t="s">
        <v>2022</v>
      </c>
      <c r="B162" t="s">
        <v>2023</v>
      </c>
      <c r="C162" t="s">
        <v>2024</v>
      </c>
      <c r="D162" s="11">
        <v>0</v>
      </c>
    </row>
    <row r="163" spans="1:4" x14ac:dyDescent="0.3">
      <c r="A163" t="s">
        <v>2028</v>
      </c>
      <c r="B163" t="s">
        <v>2023</v>
      </c>
      <c r="C163" t="s">
        <v>2024</v>
      </c>
      <c r="D163" s="11">
        <v>-25280</v>
      </c>
    </row>
    <row r="164" spans="1:4" x14ac:dyDescent="0.3">
      <c r="A164" t="s">
        <v>2041</v>
      </c>
      <c r="B164" t="s">
        <v>70</v>
      </c>
      <c r="C164" t="s">
        <v>71</v>
      </c>
      <c r="D164" s="11">
        <v>-6333.3333333333339</v>
      </c>
    </row>
    <row r="165" spans="1:4" x14ac:dyDescent="0.3">
      <c r="A165" t="s">
        <v>2050</v>
      </c>
      <c r="B165" t="s">
        <v>1989</v>
      </c>
      <c r="C165" t="s">
        <v>1990</v>
      </c>
      <c r="D165" s="11">
        <v>-17851.85185185185</v>
      </c>
    </row>
    <row r="166" spans="1:4" x14ac:dyDescent="0.3">
      <c r="A166" t="s">
        <v>2063</v>
      </c>
      <c r="B166" t="s">
        <v>1027</v>
      </c>
      <c r="C166" t="s">
        <v>1028</v>
      </c>
      <c r="D166" s="11">
        <v>0</v>
      </c>
    </row>
    <row r="167" spans="1:4" x14ac:dyDescent="0.3">
      <c r="A167" t="s">
        <v>2068</v>
      </c>
      <c r="B167" t="s">
        <v>426</v>
      </c>
      <c r="C167" t="s">
        <v>427</v>
      </c>
      <c r="D167" s="11">
        <v>0</v>
      </c>
    </row>
    <row r="168" spans="1:4" x14ac:dyDescent="0.3">
      <c r="A168" t="s">
        <v>2077</v>
      </c>
      <c r="B168" t="s">
        <v>2086</v>
      </c>
      <c r="C168" t="s">
        <v>2087</v>
      </c>
      <c r="D168" s="11">
        <v>-16888.888888888891</v>
      </c>
    </row>
    <row r="169" spans="1:4" x14ac:dyDescent="0.3">
      <c r="A169" t="s">
        <v>2091</v>
      </c>
      <c r="B169" t="s">
        <v>103</v>
      </c>
      <c r="C169" t="s">
        <v>104</v>
      </c>
      <c r="D169" s="11">
        <v>-30819.672131147541</v>
      </c>
    </row>
    <row r="170" spans="1:4" x14ac:dyDescent="0.3">
      <c r="A170" t="s">
        <v>2105</v>
      </c>
      <c r="B170" t="s">
        <v>103</v>
      </c>
      <c r="C170" t="s">
        <v>104</v>
      </c>
      <c r="D170" s="11">
        <v>0</v>
      </c>
    </row>
    <row r="171" spans="1:4" x14ac:dyDescent="0.3">
      <c r="A171" t="s">
        <v>2110</v>
      </c>
      <c r="B171" t="s">
        <v>2115</v>
      </c>
      <c r="C171" t="s">
        <v>2116</v>
      </c>
      <c r="D171" s="11">
        <v>0</v>
      </c>
    </row>
    <row r="172" spans="1:4" x14ac:dyDescent="0.3">
      <c r="A172" t="s">
        <v>2120</v>
      </c>
      <c r="B172" t="s">
        <v>2121</v>
      </c>
      <c r="C172" t="s">
        <v>2122</v>
      </c>
      <c r="D172" s="11">
        <v>0</v>
      </c>
    </row>
    <row r="173" spans="1:4" x14ac:dyDescent="0.3">
      <c r="A173" t="s">
        <v>2126</v>
      </c>
      <c r="B173" t="s">
        <v>2127</v>
      </c>
      <c r="C173" t="s">
        <v>2128</v>
      </c>
      <c r="D173" s="11">
        <v>0</v>
      </c>
    </row>
    <row r="174" spans="1:4" x14ac:dyDescent="0.3">
      <c r="A174" t="s">
        <v>2132</v>
      </c>
      <c r="B174" t="s">
        <v>740</v>
      </c>
      <c r="C174" t="s">
        <v>741</v>
      </c>
      <c r="D174" s="11">
        <v>0</v>
      </c>
    </row>
    <row r="175" spans="1:4" x14ac:dyDescent="0.3">
      <c r="A175" t="s">
        <v>2137</v>
      </c>
      <c r="B175" t="s">
        <v>426</v>
      </c>
      <c r="C175" t="s">
        <v>427</v>
      </c>
      <c r="D175" s="11">
        <v>0</v>
      </c>
    </row>
    <row r="176" spans="1:4" x14ac:dyDescent="0.3">
      <c r="A176" t="s">
        <v>2142</v>
      </c>
      <c r="B176" t="s">
        <v>783</v>
      </c>
      <c r="C176" t="s">
        <v>784</v>
      </c>
      <c r="D176" s="11">
        <v>-20288.461538461539</v>
      </c>
    </row>
    <row r="177" spans="1:4" x14ac:dyDescent="0.3">
      <c r="A177" t="s">
        <v>2151</v>
      </c>
      <c r="B177" t="s">
        <v>1027</v>
      </c>
      <c r="C177" t="s">
        <v>1028</v>
      </c>
      <c r="D177" s="11">
        <v>-10590.163934426229</v>
      </c>
    </row>
    <row r="178" spans="1:4" x14ac:dyDescent="0.3">
      <c r="A178" t="s">
        <v>2163</v>
      </c>
      <c r="B178" t="s">
        <v>1027</v>
      </c>
      <c r="C178" t="s">
        <v>1028</v>
      </c>
      <c r="D178" s="11">
        <v>0</v>
      </c>
    </row>
    <row r="179" spans="1:4" x14ac:dyDescent="0.3">
      <c r="A179" t="s">
        <v>2172</v>
      </c>
      <c r="B179" t="s">
        <v>1027</v>
      </c>
      <c r="C179" t="s">
        <v>1028</v>
      </c>
      <c r="D179" s="11">
        <v>0</v>
      </c>
    </row>
    <row r="180" spans="1:4" x14ac:dyDescent="0.3">
      <c r="A180" t="s">
        <v>2180</v>
      </c>
      <c r="B180" t="s">
        <v>2168</v>
      </c>
      <c r="C180" t="s">
        <v>2169</v>
      </c>
      <c r="D180" s="11">
        <v>0</v>
      </c>
    </row>
    <row r="181" spans="1:4" x14ac:dyDescent="0.3">
      <c r="A181" t="s">
        <v>2185</v>
      </c>
      <c r="B181" t="s">
        <v>103</v>
      </c>
      <c r="C181" t="s">
        <v>104</v>
      </c>
      <c r="D181" s="11">
        <v>0</v>
      </c>
    </row>
    <row r="182" spans="1:4" x14ac:dyDescent="0.3">
      <c r="A182" t="s">
        <v>2190</v>
      </c>
      <c r="B182" t="s">
        <v>2218</v>
      </c>
      <c r="C182" t="s">
        <v>2219</v>
      </c>
      <c r="D182" s="11">
        <v>0</v>
      </c>
    </row>
    <row r="183" spans="1:4" x14ac:dyDescent="0.3">
      <c r="A183" t="s">
        <v>2223</v>
      </c>
      <c r="B183" t="s">
        <v>1027</v>
      </c>
      <c r="C183" t="s">
        <v>1028</v>
      </c>
      <c r="D183" s="11">
        <v>0</v>
      </c>
    </row>
    <row r="184" spans="1:4" x14ac:dyDescent="0.3">
      <c r="A184" t="s">
        <v>2228</v>
      </c>
      <c r="B184" t="s">
        <v>18452</v>
      </c>
      <c r="C184" t="s">
        <v>18452</v>
      </c>
      <c r="D184" s="11">
        <v>0</v>
      </c>
    </row>
    <row r="185" spans="1:4" x14ac:dyDescent="0.3">
      <c r="A185" t="s">
        <v>2243</v>
      </c>
      <c r="B185" t="s">
        <v>740</v>
      </c>
      <c r="C185" t="s">
        <v>741</v>
      </c>
      <c r="D185" s="11">
        <v>0</v>
      </c>
    </row>
    <row r="186" spans="1:4" x14ac:dyDescent="0.3">
      <c r="A186" t="s">
        <v>2248</v>
      </c>
      <c r="B186" t="s">
        <v>103</v>
      </c>
      <c r="C186" t="s">
        <v>104</v>
      </c>
      <c r="D186" s="11">
        <v>0</v>
      </c>
    </row>
    <row r="187" spans="1:4" x14ac:dyDescent="0.3">
      <c r="A187" t="s">
        <v>2253</v>
      </c>
      <c r="B187" t="s">
        <v>103</v>
      </c>
      <c r="C187" t="s">
        <v>104</v>
      </c>
      <c r="D187" s="11">
        <v>0</v>
      </c>
    </row>
    <row r="188" spans="1:4" x14ac:dyDescent="0.3">
      <c r="A188" t="s">
        <v>2258</v>
      </c>
      <c r="B188" t="s">
        <v>1027</v>
      </c>
      <c r="C188" t="s">
        <v>1028</v>
      </c>
      <c r="D188" s="11">
        <v>0</v>
      </c>
    </row>
    <row r="189" spans="1:4" x14ac:dyDescent="0.3">
      <c r="A189" t="s">
        <v>2263</v>
      </c>
      <c r="B189" t="s">
        <v>1027</v>
      </c>
      <c r="C189" t="s">
        <v>1028</v>
      </c>
      <c r="D189" s="11">
        <v>0</v>
      </c>
    </row>
    <row r="190" spans="1:4" x14ac:dyDescent="0.3">
      <c r="A190" t="s">
        <v>2268</v>
      </c>
      <c r="B190" t="s">
        <v>740</v>
      </c>
      <c r="C190" t="s">
        <v>741</v>
      </c>
      <c r="D190" s="11">
        <v>0</v>
      </c>
    </row>
    <row r="191" spans="1:4" x14ac:dyDescent="0.3">
      <c r="A191" t="s">
        <v>2273</v>
      </c>
      <c r="B191" t="s">
        <v>1027</v>
      </c>
      <c r="C191" t="s">
        <v>1028</v>
      </c>
      <c r="D191" s="11">
        <v>0</v>
      </c>
    </row>
    <row r="192" spans="1:4" x14ac:dyDescent="0.3">
      <c r="A192" t="s">
        <v>2278</v>
      </c>
      <c r="B192" t="s">
        <v>426</v>
      </c>
      <c r="C192" t="s">
        <v>427</v>
      </c>
      <c r="D192" s="11">
        <v>0</v>
      </c>
    </row>
    <row r="193" spans="1:4" x14ac:dyDescent="0.3">
      <c r="A193" t="s">
        <v>2287</v>
      </c>
      <c r="B193" t="s">
        <v>797</v>
      </c>
      <c r="C193" t="s">
        <v>798</v>
      </c>
      <c r="D193" s="11">
        <v>-29798.657718120805</v>
      </c>
    </row>
    <row r="194" spans="1:4" x14ac:dyDescent="0.3">
      <c r="A194" t="s">
        <v>2300</v>
      </c>
      <c r="B194" t="s">
        <v>2305</v>
      </c>
      <c r="C194" t="s">
        <v>2306</v>
      </c>
      <c r="D194" s="11">
        <v>0</v>
      </c>
    </row>
    <row r="195" spans="1:4" x14ac:dyDescent="0.3">
      <c r="A195" t="s">
        <v>2310</v>
      </c>
      <c r="B195" t="s">
        <v>2305</v>
      </c>
      <c r="C195" t="s">
        <v>2306</v>
      </c>
      <c r="D195" s="11">
        <v>0</v>
      </c>
    </row>
    <row r="196" spans="1:4" x14ac:dyDescent="0.3">
      <c r="A196" t="s">
        <v>2324</v>
      </c>
      <c r="B196" t="s">
        <v>1027</v>
      </c>
      <c r="C196" t="s">
        <v>1028</v>
      </c>
      <c r="D196" s="11">
        <v>0</v>
      </c>
    </row>
    <row r="197" spans="1:4" x14ac:dyDescent="0.3">
      <c r="A197" t="s">
        <v>2337</v>
      </c>
      <c r="B197" t="s">
        <v>27</v>
      </c>
      <c r="C197" t="s">
        <v>28</v>
      </c>
      <c r="D197" s="11">
        <v>0</v>
      </c>
    </row>
    <row r="198" spans="1:4" x14ac:dyDescent="0.3">
      <c r="A198" t="s">
        <v>2346</v>
      </c>
      <c r="B198" t="s">
        <v>27</v>
      </c>
      <c r="C198" t="s">
        <v>28</v>
      </c>
      <c r="D198" s="11">
        <v>0</v>
      </c>
    </row>
    <row r="199" spans="1:4" x14ac:dyDescent="0.3">
      <c r="A199" t="s">
        <v>2355</v>
      </c>
      <c r="B199" t="s">
        <v>59</v>
      </c>
      <c r="C199" t="s">
        <v>60</v>
      </c>
      <c r="D199" s="11">
        <v>-33402.061855670108</v>
      </c>
    </row>
    <row r="200" spans="1:4" x14ac:dyDescent="0.3">
      <c r="A200" t="s">
        <v>2368</v>
      </c>
      <c r="B200" t="s">
        <v>289</v>
      </c>
      <c r="C200" t="s">
        <v>290</v>
      </c>
      <c r="D200" s="11">
        <v>0</v>
      </c>
    </row>
    <row r="201" spans="1:4" x14ac:dyDescent="0.3">
      <c r="A201" t="s">
        <v>2373</v>
      </c>
      <c r="B201" t="s">
        <v>289</v>
      </c>
      <c r="C201" t="s">
        <v>290</v>
      </c>
      <c r="D201" s="11">
        <v>-6580.6451612903229</v>
      </c>
    </row>
    <row r="202" spans="1:4" x14ac:dyDescent="0.3">
      <c r="A202" t="s">
        <v>2383</v>
      </c>
      <c r="B202" t="s">
        <v>1093</v>
      </c>
      <c r="C202" t="s">
        <v>1094</v>
      </c>
      <c r="D202" s="11">
        <v>0</v>
      </c>
    </row>
    <row r="203" spans="1:4" x14ac:dyDescent="0.3">
      <c r="A203" t="s">
        <v>2392</v>
      </c>
      <c r="B203" t="s">
        <v>97</v>
      </c>
      <c r="C203" t="s">
        <v>98</v>
      </c>
      <c r="D203" s="11">
        <v>0</v>
      </c>
    </row>
    <row r="204" spans="1:4" x14ac:dyDescent="0.3">
      <c r="A204" t="s">
        <v>2397</v>
      </c>
      <c r="B204" t="s">
        <v>1445</v>
      </c>
      <c r="C204" t="s">
        <v>1446</v>
      </c>
      <c r="D204" s="11">
        <v>-29871.794871794875</v>
      </c>
    </row>
    <row r="205" spans="1:4" x14ac:dyDescent="0.3">
      <c r="A205" t="s">
        <v>2410</v>
      </c>
      <c r="B205" t="s">
        <v>740</v>
      </c>
      <c r="C205" t="s">
        <v>741</v>
      </c>
      <c r="D205" s="11">
        <v>0</v>
      </c>
    </row>
    <row r="206" spans="1:4" x14ac:dyDescent="0.3">
      <c r="A206" t="s">
        <v>2419</v>
      </c>
      <c r="B206" t="s">
        <v>97</v>
      </c>
      <c r="C206" t="s">
        <v>98</v>
      </c>
      <c r="D206" s="11">
        <v>0</v>
      </c>
    </row>
    <row r="207" spans="1:4" x14ac:dyDescent="0.3">
      <c r="A207" t="s">
        <v>2428</v>
      </c>
      <c r="B207" t="s">
        <v>27</v>
      </c>
      <c r="C207" t="s">
        <v>28</v>
      </c>
      <c r="D207" s="11">
        <v>0</v>
      </c>
    </row>
    <row r="208" spans="1:4" x14ac:dyDescent="0.3">
      <c r="A208" t="s">
        <v>2437</v>
      </c>
      <c r="B208" t="s">
        <v>1027</v>
      </c>
      <c r="C208" t="s">
        <v>1028</v>
      </c>
      <c r="D208" s="11">
        <v>0</v>
      </c>
    </row>
    <row r="209" spans="1:4" x14ac:dyDescent="0.3">
      <c r="A209" t="s">
        <v>2446</v>
      </c>
      <c r="B209" t="s">
        <v>5507</v>
      </c>
      <c r="C209" t="s">
        <v>5508</v>
      </c>
      <c r="D209" s="11">
        <v>0</v>
      </c>
    </row>
    <row r="210" spans="1:4" x14ac:dyDescent="0.3">
      <c r="A210" t="s">
        <v>2455</v>
      </c>
      <c r="B210" t="s">
        <v>740</v>
      </c>
      <c r="C210" t="s">
        <v>741</v>
      </c>
      <c r="D210" s="11">
        <v>0</v>
      </c>
    </row>
    <row r="211" spans="1:4" x14ac:dyDescent="0.3">
      <c r="A211" t="s">
        <v>2460</v>
      </c>
      <c r="B211" t="s">
        <v>65</v>
      </c>
      <c r="C211" t="s">
        <v>66</v>
      </c>
      <c r="D211" s="11">
        <v>0</v>
      </c>
    </row>
    <row r="212" spans="1:4" x14ac:dyDescent="0.3">
      <c r="A212" t="s">
        <v>2467</v>
      </c>
      <c r="B212" t="s">
        <v>21</v>
      </c>
      <c r="C212" t="s">
        <v>22</v>
      </c>
      <c r="D212" s="11">
        <v>0</v>
      </c>
    </row>
    <row r="213" spans="1:4" x14ac:dyDescent="0.3">
      <c r="A213" t="s">
        <v>2479</v>
      </c>
      <c r="B213" t="s">
        <v>699</v>
      </c>
      <c r="C213" t="s">
        <v>700</v>
      </c>
      <c r="D213" s="11">
        <v>0</v>
      </c>
    </row>
    <row r="214" spans="1:4" x14ac:dyDescent="0.3">
      <c r="A214" t="s">
        <v>2492</v>
      </c>
      <c r="B214" t="s">
        <v>121</v>
      </c>
      <c r="C214" t="s">
        <v>122</v>
      </c>
      <c r="D214" s="11">
        <v>0</v>
      </c>
    </row>
    <row r="215" spans="1:4" x14ac:dyDescent="0.3">
      <c r="A215" t="s">
        <v>2505</v>
      </c>
      <c r="B215" t="s">
        <v>27</v>
      </c>
      <c r="C215" t="s">
        <v>28</v>
      </c>
      <c r="D215" s="11">
        <v>0</v>
      </c>
    </row>
    <row r="216" spans="1:4" x14ac:dyDescent="0.3">
      <c r="A216" t="s">
        <v>2510</v>
      </c>
      <c r="B216" t="s">
        <v>1027</v>
      </c>
      <c r="C216" t="s">
        <v>1028</v>
      </c>
      <c r="D216" s="11">
        <v>0</v>
      </c>
    </row>
    <row r="217" spans="1:4" x14ac:dyDescent="0.3">
      <c r="A217" t="s">
        <v>2515</v>
      </c>
      <c r="B217" t="s">
        <v>426</v>
      </c>
      <c r="C217" t="s">
        <v>427</v>
      </c>
      <c r="D217" s="11">
        <v>0</v>
      </c>
    </row>
    <row r="218" spans="1:4" x14ac:dyDescent="0.3">
      <c r="A218" t="s">
        <v>2520</v>
      </c>
      <c r="B218" t="s">
        <v>97</v>
      </c>
      <c r="C218" t="s">
        <v>98</v>
      </c>
      <c r="D218" s="11">
        <v>0</v>
      </c>
    </row>
    <row r="219" spans="1:4" x14ac:dyDescent="0.3">
      <c r="A219" t="s">
        <v>2525</v>
      </c>
      <c r="B219" t="s">
        <v>1170</v>
      </c>
      <c r="C219" t="s">
        <v>1171</v>
      </c>
      <c r="D219" s="11">
        <v>-4788.461538461539</v>
      </c>
    </row>
    <row r="220" spans="1:4" x14ac:dyDescent="0.3">
      <c r="A220" t="s">
        <v>2538</v>
      </c>
      <c r="B220" t="s">
        <v>1327</v>
      </c>
      <c r="C220" t="s">
        <v>1328</v>
      </c>
      <c r="D220" s="11">
        <v>0</v>
      </c>
    </row>
    <row r="221" spans="1:4" x14ac:dyDescent="0.3">
      <c r="A221" t="s">
        <v>2544</v>
      </c>
      <c r="B221" t="s">
        <v>1327</v>
      </c>
      <c r="C221" t="s">
        <v>1328</v>
      </c>
      <c r="D221" s="11">
        <v>-15840</v>
      </c>
    </row>
    <row r="222" spans="1:4" x14ac:dyDescent="0.3">
      <c r="A222" t="s">
        <v>2553</v>
      </c>
      <c r="B222" t="s">
        <v>426</v>
      </c>
      <c r="C222" t="s">
        <v>427</v>
      </c>
      <c r="D222" s="11">
        <v>0</v>
      </c>
    </row>
    <row r="223" spans="1:4" x14ac:dyDescent="0.3">
      <c r="A223" t="s">
        <v>2562</v>
      </c>
      <c r="B223" t="s">
        <v>1027</v>
      </c>
      <c r="C223" t="s">
        <v>1028</v>
      </c>
      <c r="D223" s="11">
        <v>0</v>
      </c>
    </row>
    <row r="224" spans="1:4" x14ac:dyDescent="0.3">
      <c r="A224" t="s">
        <v>2571</v>
      </c>
      <c r="B224" t="s">
        <v>97</v>
      </c>
      <c r="C224" t="s">
        <v>98</v>
      </c>
      <c r="D224" s="11">
        <v>0</v>
      </c>
    </row>
    <row r="225" spans="1:4" x14ac:dyDescent="0.3">
      <c r="A225" t="s">
        <v>2580</v>
      </c>
      <c r="B225" t="s">
        <v>27</v>
      </c>
      <c r="C225" t="s">
        <v>28</v>
      </c>
      <c r="D225" s="11">
        <v>0</v>
      </c>
    </row>
    <row r="226" spans="1:4" x14ac:dyDescent="0.3">
      <c r="A226" t="s">
        <v>2589</v>
      </c>
      <c r="B226" t="s">
        <v>1170</v>
      </c>
      <c r="C226" t="s">
        <v>1171</v>
      </c>
      <c r="D226" s="11">
        <v>-4788.461538461539</v>
      </c>
    </row>
    <row r="227" spans="1:4" x14ac:dyDescent="0.3">
      <c r="A227" t="s">
        <v>2602</v>
      </c>
      <c r="B227" t="s">
        <v>2611</v>
      </c>
      <c r="C227" t="s">
        <v>2612</v>
      </c>
      <c r="D227" s="11">
        <v>-42677.165354330711</v>
      </c>
    </row>
    <row r="228" spans="1:4" x14ac:dyDescent="0.3">
      <c r="A228" t="s">
        <v>2616</v>
      </c>
      <c r="B228" t="s">
        <v>18452</v>
      </c>
      <c r="C228" t="s">
        <v>18452</v>
      </c>
      <c r="D228" s="11">
        <v>0</v>
      </c>
    </row>
    <row r="229" spans="1:4" x14ac:dyDescent="0.3">
      <c r="A229" t="s">
        <v>2642</v>
      </c>
      <c r="B229" t="s">
        <v>18452</v>
      </c>
      <c r="C229" t="s">
        <v>18452</v>
      </c>
      <c r="D229" s="11">
        <v>0</v>
      </c>
    </row>
    <row r="230" spans="1:4" x14ac:dyDescent="0.3">
      <c r="A230" t="s">
        <v>2668</v>
      </c>
      <c r="B230" t="s">
        <v>18452</v>
      </c>
      <c r="C230" t="s">
        <v>18452</v>
      </c>
      <c r="D230" s="11">
        <v>0</v>
      </c>
    </row>
    <row r="231" spans="1:4" x14ac:dyDescent="0.3">
      <c r="A231" t="s">
        <v>2678</v>
      </c>
      <c r="B231" t="s">
        <v>18452</v>
      </c>
      <c r="C231" t="s">
        <v>18452</v>
      </c>
      <c r="D231" s="11">
        <v>0</v>
      </c>
    </row>
    <row r="232" spans="1:4" x14ac:dyDescent="0.3">
      <c r="A232" t="s">
        <v>2688</v>
      </c>
      <c r="B232" t="s">
        <v>18452</v>
      </c>
      <c r="C232" t="s">
        <v>18452</v>
      </c>
      <c r="D232" s="11">
        <v>0</v>
      </c>
    </row>
    <row r="233" spans="1:4" x14ac:dyDescent="0.3">
      <c r="A233" t="s">
        <v>2694</v>
      </c>
      <c r="B233" t="s">
        <v>1119</v>
      </c>
      <c r="C233" t="s">
        <v>1120</v>
      </c>
      <c r="D233" s="11">
        <v>0</v>
      </c>
    </row>
    <row r="234" spans="1:4" x14ac:dyDescent="0.3">
      <c r="A234" t="s">
        <v>2703</v>
      </c>
      <c r="B234" t="s">
        <v>18367</v>
      </c>
      <c r="C234" t="s">
        <v>18456</v>
      </c>
      <c r="D234" s="11">
        <v>0</v>
      </c>
    </row>
    <row r="235" spans="1:4" x14ac:dyDescent="0.3">
      <c r="A235" t="s">
        <v>2718</v>
      </c>
      <c r="B235" t="s">
        <v>4424</v>
      </c>
      <c r="C235" t="s">
        <v>4425</v>
      </c>
      <c r="D235" s="11">
        <v>0</v>
      </c>
    </row>
    <row r="236" spans="1:4" x14ac:dyDescent="0.3">
      <c r="A236" t="s">
        <v>2732</v>
      </c>
      <c r="B236" t="s">
        <v>18367</v>
      </c>
      <c r="C236" t="s">
        <v>18456</v>
      </c>
      <c r="D236" s="11">
        <v>0</v>
      </c>
    </row>
    <row r="237" spans="1:4" x14ac:dyDescent="0.3">
      <c r="A237" t="s">
        <v>2741</v>
      </c>
      <c r="B237" t="s">
        <v>18367</v>
      </c>
      <c r="C237" t="s">
        <v>18456</v>
      </c>
      <c r="D237" s="11">
        <v>0</v>
      </c>
    </row>
    <row r="238" spans="1:4" x14ac:dyDescent="0.3">
      <c r="A238" t="s">
        <v>2754</v>
      </c>
      <c r="B238" t="s">
        <v>426</v>
      </c>
      <c r="C238" t="s">
        <v>427</v>
      </c>
      <c r="D238" s="11">
        <v>-12000</v>
      </c>
    </row>
    <row r="239" spans="1:4" x14ac:dyDescent="0.3">
      <c r="A239" t="s">
        <v>2767</v>
      </c>
      <c r="B239" t="s">
        <v>1027</v>
      </c>
      <c r="C239" t="s">
        <v>1028</v>
      </c>
      <c r="D239" s="11">
        <v>0</v>
      </c>
    </row>
    <row r="240" spans="1:4" x14ac:dyDescent="0.3">
      <c r="A240" t="s">
        <v>2776</v>
      </c>
      <c r="B240" t="s">
        <v>27</v>
      </c>
      <c r="C240" t="s">
        <v>28</v>
      </c>
      <c r="D240" s="11">
        <v>0</v>
      </c>
    </row>
    <row r="241" spans="1:4" x14ac:dyDescent="0.3">
      <c r="A241" t="s">
        <v>2785</v>
      </c>
      <c r="B241" t="s">
        <v>341</v>
      </c>
      <c r="C241" t="s">
        <v>342</v>
      </c>
      <c r="D241" s="11">
        <v>-60409.556313993176</v>
      </c>
    </row>
    <row r="242" spans="1:4" x14ac:dyDescent="0.3">
      <c r="A242" t="s">
        <v>2794</v>
      </c>
      <c r="B242" t="s">
        <v>2803</v>
      </c>
      <c r="C242" t="s">
        <v>2804</v>
      </c>
      <c r="D242" s="11">
        <v>0</v>
      </c>
    </row>
    <row r="243" spans="1:4" x14ac:dyDescent="0.3">
      <c r="A243" t="s">
        <v>2808</v>
      </c>
      <c r="B243" t="s">
        <v>341</v>
      </c>
      <c r="C243" t="s">
        <v>342</v>
      </c>
      <c r="D243" s="11">
        <v>-40273.037542662118</v>
      </c>
    </row>
    <row r="244" spans="1:4" x14ac:dyDescent="0.3">
      <c r="A244" t="s">
        <v>2821</v>
      </c>
      <c r="B244" t="s">
        <v>27</v>
      </c>
      <c r="C244" t="s">
        <v>28</v>
      </c>
      <c r="D244" s="11">
        <v>-10088.888888888889</v>
      </c>
    </row>
    <row r="245" spans="1:4" x14ac:dyDescent="0.3">
      <c r="A245" t="s">
        <v>2834</v>
      </c>
      <c r="B245" t="s">
        <v>27</v>
      </c>
      <c r="C245" t="s">
        <v>28</v>
      </c>
      <c r="D245" s="11">
        <v>0</v>
      </c>
    </row>
    <row r="246" spans="1:4" x14ac:dyDescent="0.3">
      <c r="A246" t="s">
        <v>2839</v>
      </c>
      <c r="B246" t="s">
        <v>2840</v>
      </c>
      <c r="C246" t="s">
        <v>2841</v>
      </c>
      <c r="D246" s="11">
        <v>0</v>
      </c>
    </row>
    <row r="247" spans="1:4" x14ac:dyDescent="0.3">
      <c r="A247" t="s">
        <v>2845</v>
      </c>
      <c r="B247" t="s">
        <v>1027</v>
      </c>
      <c r="C247" t="s">
        <v>1028</v>
      </c>
      <c r="D247" s="11">
        <v>-10590.163934426229</v>
      </c>
    </row>
    <row r="248" spans="1:4" x14ac:dyDescent="0.3">
      <c r="A248" t="s">
        <v>2858</v>
      </c>
      <c r="B248" t="s">
        <v>1027</v>
      </c>
      <c r="C248" t="s">
        <v>1028</v>
      </c>
      <c r="D248" s="11">
        <v>0</v>
      </c>
    </row>
    <row r="249" spans="1:4" x14ac:dyDescent="0.3">
      <c r="A249" t="s">
        <v>2867</v>
      </c>
      <c r="B249" t="s">
        <v>1027</v>
      </c>
      <c r="C249" t="s">
        <v>1028</v>
      </c>
      <c r="D249" s="11">
        <v>0</v>
      </c>
    </row>
    <row r="250" spans="1:4" x14ac:dyDescent="0.3">
      <c r="A250" t="s">
        <v>2872</v>
      </c>
      <c r="B250" t="s">
        <v>1170</v>
      </c>
      <c r="C250" t="s">
        <v>1171</v>
      </c>
      <c r="D250" s="11">
        <v>-4788.461538461539</v>
      </c>
    </row>
    <row r="251" spans="1:4" x14ac:dyDescent="0.3">
      <c r="A251" t="s">
        <v>2885</v>
      </c>
      <c r="B251" t="s">
        <v>4424</v>
      </c>
      <c r="C251" t="s">
        <v>4425</v>
      </c>
      <c r="D251" s="11">
        <v>0</v>
      </c>
    </row>
    <row r="252" spans="1:4" x14ac:dyDescent="0.3">
      <c r="A252" t="s">
        <v>2894</v>
      </c>
      <c r="B252" t="s">
        <v>4424</v>
      </c>
      <c r="C252" t="s">
        <v>4425</v>
      </c>
      <c r="D252" s="11">
        <v>0</v>
      </c>
    </row>
    <row r="253" spans="1:4" x14ac:dyDescent="0.3">
      <c r="A253" t="s">
        <v>2907</v>
      </c>
      <c r="B253" t="s">
        <v>740</v>
      </c>
      <c r="C253" t="s">
        <v>741</v>
      </c>
      <c r="D253" s="11">
        <v>0</v>
      </c>
    </row>
    <row r="254" spans="1:4" x14ac:dyDescent="0.3">
      <c r="A254" t="s">
        <v>2916</v>
      </c>
      <c r="B254" t="s">
        <v>426</v>
      </c>
      <c r="C254" t="s">
        <v>427</v>
      </c>
      <c r="D254" s="11">
        <v>0</v>
      </c>
    </row>
    <row r="255" spans="1:4" x14ac:dyDescent="0.3">
      <c r="A255" t="s">
        <v>2925</v>
      </c>
      <c r="B255" t="s">
        <v>2934</v>
      </c>
      <c r="C255" t="s">
        <v>2935</v>
      </c>
      <c r="D255" s="11">
        <v>-16444.444444444445</v>
      </c>
    </row>
    <row r="256" spans="1:4" x14ac:dyDescent="0.3">
      <c r="A256" t="s">
        <v>2939</v>
      </c>
      <c r="B256" t="s">
        <v>341</v>
      </c>
      <c r="C256" t="s">
        <v>342</v>
      </c>
      <c r="D256" s="11">
        <v>-10068.259385665529</v>
      </c>
    </row>
    <row r="257" spans="1:4" x14ac:dyDescent="0.3">
      <c r="A257" t="s">
        <v>2952</v>
      </c>
      <c r="B257" t="s">
        <v>2238</v>
      </c>
      <c r="C257" t="s">
        <v>2239</v>
      </c>
      <c r="D257" s="11">
        <v>-19185.185185185186</v>
      </c>
    </row>
    <row r="258" spans="1:4" x14ac:dyDescent="0.3">
      <c r="A258" t="s">
        <v>2965</v>
      </c>
      <c r="B258" t="s">
        <v>3028</v>
      </c>
      <c r="C258" t="s">
        <v>3029</v>
      </c>
      <c r="D258" s="11">
        <v>-50638.297872340423</v>
      </c>
    </row>
    <row r="259" spans="1:4" x14ac:dyDescent="0.3">
      <c r="A259" t="s">
        <v>2978</v>
      </c>
      <c r="B259" t="s">
        <v>1119</v>
      </c>
      <c r="C259" t="s">
        <v>1120</v>
      </c>
      <c r="D259" s="11">
        <v>0</v>
      </c>
    </row>
    <row r="260" spans="1:4" x14ac:dyDescent="0.3">
      <c r="A260" t="s">
        <v>2987</v>
      </c>
      <c r="B260" t="s">
        <v>740</v>
      </c>
      <c r="C260" t="s">
        <v>741</v>
      </c>
      <c r="D260" s="11">
        <v>0</v>
      </c>
    </row>
    <row r="261" spans="1:4" x14ac:dyDescent="0.3">
      <c r="A261" t="s">
        <v>2992</v>
      </c>
      <c r="B261" t="s">
        <v>426</v>
      </c>
      <c r="C261" t="s">
        <v>427</v>
      </c>
      <c r="D261" s="11">
        <v>0</v>
      </c>
    </row>
    <row r="262" spans="1:4" x14ac:dyDescent="0.3">
      <c r="A262" t="s">
        <v>3001</v>
      </c>
      <c r="B262" t="s">
        <v>2238</v>
      </c>
      <c r="C262" t="s">
        <v>2239</v>
      </c>
      <c r="D262" s="11">
        <v>-57555.555555555555</v>
      </c>
    </row>
    <row r="263" spans="1:4" x14ac:dyDescent="0.3">
      <c r="A263" t="s">
        <v>3010</v>
      </c>
      <c r="B263" t="s">
        <v>3028</v>
      </c>
      <c r="C263" t="s">
        <v>3029</v>
      </c>
      <c r="D263" s="11">
        <v>-50638.297872340423</v>
      </c>
    </row>
    <row r="264" spans="1:4" x14ac:dyDescent="0.3">
      <c r="A264" t="s">
        <v>3027</v>
      </c>
      <c r="B264" t="s">
        <v>3028</v>
      </c>
      <c r="C264" t="s">
        <v>3029</v>
      </c>
      <c r="D264" s="11">
        <v>0</v>
      </c>
    </row>
    <row r="265" spans="1:4" x14ac:dyDescent="0.3">
      <c r="A265" t="s">
        <v>3033</v>
      </c>
      <c r="B265" t="s">
        <v>1119</v>
      </c>
      <c r="C265" t="s">
        <v>1120</v>
      </c>
      <c r="D265" s="11">
        <v>0</v>
      </c>
    </row>
    <row r="266" spans="1:4" x14ac:dyDescent="0.3">
      <c r="A266" t="s">
        <v>3042</v>
      </c>
      <c r="B266" t="s">
        <v>426</v>
      </c>
      <c r="C266" t="s">
        <v>427</v>
      </c>
      <c r="D266" s="11">
        <v>0</v>
      </c>
    </row>
    <row r="267" spans="1:4" x14ac:dyDescent="0.3">
      <c r="A267" t="s">
        <v>3051</v>
      </c>
      <c r="B267" t="s">
        <v>4424</v>
      </c>
      <c r="C267" t="s">
        <v>4425</v>
      </c>
      <c r="D267" s="11">
        <v>0</v>
      </c>
    </row>
    <row r="268" spans="1:4" x14ac:dyDescent="0.3">
      <c r="A268" t="s">
        <v>3060</v>
      </c>
      <c r="B268" t="s">
        <v>341</v>
      </c>
      <c r="C268" t="s">
        <v>342</v>
      </c>
      <c r="D268" s="11">
        <v>-55972.696245733787</v>
      </c>
    </row>
    <row r="269" spans="1:4" x14ac:dyDescent="0.3">
      <c r="A269" t="s">
        <v>3069</v>
      </c>
      <c r="B269" t="s">
        <v>426</v>
      </c>
      <c r="C269" t="s">
        <v>427</v>
      </c>
      <c r="D269" s="11">
        <v>0</v>
      </c>
    </row>
    <row r="270" spans="1:4" x14ac:dyDescent="0.3">
      <c r="A270" t="s">
        <v>3078</v>
      </c>
      <c r="B270" t="s">
        <v>1119</v>
      </c>
      <c r="C270" t="s">
        <v>1120</v>
      </c>
      <c r="D270" s="11">
        <v>0</v>
      </c>
    </row>
    <row r="271" spans="1:4" x14ac:dyDescent="0.3">
      <c r="A271" t="s">
        <v>3087</v>
      </c>
      <c r="B271" t="s">
        <v>2127</v>
      </c>
      <c r="C271" t="s">
        <v>2128</v>
      </c>
      <c r="D271" s="11">
        <v>-9911.7647058823513</v>
      </c>
    </row>
    <row r="272" spans="1:4" x14ac:dyDescent="0.3">
      <c r="A272" t="s">
        <v>3100</v>
      </c>
      <c r="B272" t="s">
        <v>3113</v>
      </c>
      <c r="C272" t="s">
        <v>3114</v>
      </c>
      <c r="D272" s="11">
        <v>-13913.04347826087</v>
      </c>
    </row>
    <row r="273" spans="1:4" x14ac:dyDescent="0.3">
      <c r="A273" t="s">
        <v>3118</v>
      </c>
      <c r="B273" t="s">
        <v>3028</v>
      </c>
      <c r="C273" t="s">
        <v>3029</v>
      </c>
      <c r="D273" s="11">
        <v>0</v>
      </c>
    </row>
    <row r="274" spans="1:4" x14ac:dyDescent="0.3">
      <c r="A274" t="s">
        <v>3123</v>
      </c>
      <c r="B274" t="s">
        <v>18367</v>
      </c>
      <c r="C274" t="s">
        <v>18456</v>
      </c>
      <c r="D274" s="11">
        <v>0</v>
      </c>
    </row>
    <row r="275" spans="1:4" x14ac:dyDescent="0.3">
      <c r="A275" t="s">
        <v>3132</v>
      </c>
      <c r="B275" t="s">
        <v>18367</v>
      </c>
      <c r="C275" t="s">
        <v>18456</v>
      </c>
      <c r="D275" s="11">
        <v>0</v>
      </c>
    </row>
    <row r="276" spans="1:4" x14ac:dyDescent="0.3">
      <c r="A276" t="s">
        <v>3141</v>
      </c>
      <c r="B276" t="s">
        <v>3142</v>
      </c>
      <c r="C276" t="s">
        <v>3143</v>
      </c>
      <c r="D276" s="11">
        <v>0</v>
      </c>
    </row>
    <row r="277" spans="1:4" x14ac:dyDescent="0.3">
      <c r="A277" t="s">
        <v>3147</v>
      </c>
      <c r="B277" t="s">
        <v>517</v>
      </c>
      <c r="C277" t="s">
        <v>518</v>
      </c>
      <c r="D277" s="11">
        <v>0</v>
      </c>
    </row>
    <row r="278" spans="1:4" x14ac:dyDescent="0.3">
      <c r="A278" t="s">
        <v>3161</v>
      </c>
      <c r="B278" t="s">
        <v>1027</v>
      </c>
      <c r="C278" t="s">
        <v>1028</v>
      </c>
      <c r="D278" s="11">
        <v>0</v>
      </c>
    </row>
    <row r="279" spans="1:4" x14ac:dyDescent="0.3">
      <c r="A279" t="s">
        <v>3170</v>
      </c>
      <c r="B279" t="s">
        <v>27</v>
      </c>
      <c r="C279" t="s">
        <v>28</v>
      </c>
      <c r="D279" s="11">
        <v>0</v>
      </c>
    </row>
    <row r="280" spans="1:4" x14ac:dyDescent="0.3">
      <c r="A280" t="s">
        <v>3183</v>
      </c>
      <c r="B280" t="s">
        <v>1119</v>
      </c>
      <c r="C280" t="s">
        <v>1120</v>
      </c>
      <c r="D280" s="11">
        <v>0</v>
      </c>
    </row>
    <row r="281" spans="1:4" x14ac:dyDescent="0.3">
      <c r="A281" t="s">
        <v>3192</v>
      </c>
      <c r="B281" t="s">
        <v>3028</v>
      </c>
      <c r="C281" t="s">
        <v>3029</v>
      </c>
      <c r="D281" s="11">
        <v>-75957.446808510635</v>
      </c>
    </row>
    <row r="282" spans="1:4" x14ac:dyDescent="0.3">
      <c r="A282" t="s">
        <v>3205</v>
      </c>
      <c r="B282" t="s">
        <v>426</v>
      </c>
      <c r="C282" t="s">
        <v>427</v>
      </c>
      <c r="D282" s="11">
        <v>0</v>
      </c>
    </row>
    <row r="283" spans="1:4" x14ac:dyDescent="0.3">
      <c r="A283" t="s">
        <v>3218</v>
      </c>
      <c r="B283" t="s">
        <v>426</v>
      </c>
      <c r="C283" t="s">
        <v>427</v>
      </c>
      <c r="D283" s="11">
        <v>0</v>
      </c>
    </row>
    <row r="284" spans="1:4" x14ac:dyDescent="0.3">
      <c r="A284" t="s">
        <v>3231</v>
      </c>
      <c r="B284" t="s">
        <v>103</v>
      </c>
      <c r="C284" t="s">
        <v>104</v>
      </c>
      <c r="D284" s="11">
        <v>-10590.163934426229</v>
      </c>
    </row>
    <row r="285" spans="1:4" x14ac:dyDescent="0.3">
      <c r="A285" t="s">
        <v>3248</v>
      </c>
      <c r="B285" t="s">
        <v>2121</v>
      </c>
      <c r="C285" t="s">
        <v>2122</v>
      </c>
      <c r="D285" s="11">
        <v>0</v>
      </c>
    </row>
    <row r="286" spans="1:4" x14ac:dyDescent="0.3">
      <c r="A286" t="s">
        <v>3262</v>
      </c>
      <c r="B286" t="s">
        <v>4424</v>
      </c>
      <c r="C286" t="s">
        <v>4425</v>
      </c>
      <c r="D286" s="11">
        <v>0</v>
      </c>
    </row>
    <row r="287" spans="1:4" x14ac:dyDescent="0.3">
      <c r="A287" t="s">
        <v>3271</v>
      </c>
      <c r="B287" t="s">
        <v>3142</v>
      </c>
      <c r="C287" t="s">
        <v>3143</v>
      </c>
      <c r="D287" s="11">
        <v>-6606.7864271457083</v>
      </c>
    </row>
    <row r="288" spans="1:4" x14ac:dyDescent="0.3">
      <c r="A288" t="s">
        <v>3296</v>
      </c>
      <c r="B288" t="s">
        <v>3142</v>
      </c>
      <c r="C288" t="s">
        <v>3143</v>
      </c>
      <c r="D288" s="11">
        <v>0</v>
      </c>
    </row>
    <row r="289" spans="1:4" x14ac:dyDescent="0.3">
      <c r="A289" t="s">
        <v>3309</v>
      </c>
      <c r="B289" t="s">
        <v>1027</v>
      </c>
      <c r="C289" t="s">
        <v>1028</v>
      </c>
      <c r="D289" s="11">
        <v>0</v>
      </c>
    </row>
    <row r="290" spans="1:4" x14ac:dyDescent="0.3">
      <c r="A290" t="s">
        <v>3318</v>
      </c>
      <c r="B290" t="s">
        <v>27</v>
      </c>
      <c r="C290" t="s">
        <v>28</v>
      </c>
      <c r="D290" s="11">
        <v>0</v>
      </c>
    </row>
    <row r="291" spans="1:4" x14ac:dyDescent="0.3">
      <c r="A291" t="s">
        <v>3331</v>
      </c>
      <c r="B291" t="s">
        <v>517</v>
      </c>
      <c r="C291" t="s">
        <v>518</v>
      </c>
      <c r="D291" s="11">
        <v>0</v>
      </c>
    </row>
    <row r="292" spans="1:4" x14ac:dyDescent="0.3">
      <c r="A292" t="s">
        <v>3340</v>
      </c>
      <c r="B292" t="s">
        <v>3349</v>
      </c>
      <c r="C292" t="s">
        <v>2306</v>
      </c>
      <c r="D292" s="11">
        <v>-25288.461538461539</v>
      </c>
    </row>
    <row r="293" spans="1:4" x14ac:dyDescent="0.3">
      <c r="A293" t="s">
        <v>3354</v>
      </c>
      <c r="B293" t="s">
        <v>517</v>
      </c>
      <c r="C293" t="s">
        <v>518</v>
      </c>
      <c r="D293" s="11">
        <v>-30225.563909774435</v>
      </c>
    </row>
    <row r="294" spans="1:4" x14ac:dyDescent="0.3">
      <c r="A294" t="s">
        <v>3367</v>
      </c>
      <c r="B294" t="s">
        <v>91</v>
      </c>
      <c r="C294" t="s">
        <v>92</v>
      </c>
      <c r="D294" s="11">
        <v>-1889.1566265060239</v>
      </c>
    </row>
    <row r="295" spans="1:4" x14ac:dyDescent="0.3">
      <c r="A295" t="s">
        <v>3380</v>
      </c>
      <c r="B295" t="s">
        <v>740</v>
      </c>
      <c r="C295" t="s">
        <v>741</v>
      </c>
      <c r="D295" s="11">
        <v>0</v>
      </c>
    </row>
    <row r="296" spans="1:4" x14ac:dyDescent="0.3">
      <c r="A296" t="s">
        <v>3389</v>
      </c>
      <c r="B296" t="s">
        <v>1445</v>
      </c>
      <c r="C296" t="s">
        <v>1446</v>
      </c>
      <c r="D296" s="11">
        <v>-56410.256410256414</v>
      </c>
    </row>
    <row r="297" spans="1:4" x14ac:dyDescent="0.3">
      <c r="A297" t="s">
        <v>3402</v>
      </c>
      <c r="B297" t="s">
        <v>3142</v>
      </c>
      <c r="C297" t="s">
        <v>3143</v>
      </c>
      <c r="D297" s="11">
        <v>0</v>
      </c>
    </row>
    <row r="298" spans="1:4" x14ac:dyDescent="0.3">
      <c r="A298" t="s">
        <v>3415</v>
      </c>
      <c r="B298" t="s">
        <v>740</v>
      </c>
      <c r="C298" t="s">
        <v>741</v>
      </c>
      <c r="D298" s="11">
        <v>0</v>
      </c>
    </row>
    <row r="299" spans="1:4" x14ac:dyDescent="0.3">
      <c r="A299" t="s">
        <v>3424</v>
      </c>
      <c r="B299" t="s">
        <v>27</v>
      </c>
      <c r="C299" t="s">
        <v>28</v>
      </c>
      <c r="D299" s="11">
        <v>0</v>
      </c>
    </row>
    <row r="300" spans="1:4" x14ac:dyDescent="0.3">
      <c r="A300" t="s">
        <v>3437</v>
      </c>
      <c r="B300" t="s">
        <v>517</v>
      </c>
      <c r="C300" t="s">
        <v>518</v>
      </c>
      <c r="D300" s="11">
        <v>0</v>
      </c>
    </row>
    <row r="301" spans="1:4" x14ac:dyDescent="0.3">
      <c r="A301" t="s">
        <v>3450</v>
      </c>
      <c r="B301" t="s">
        <v>396</v>
      </c>
      <c r="C301" t="s">
        <v>397</v>
      </c>
      <c r="D301" s="11">
        <v>-53012.048192771086</v>
      </c>
    </row>
    <row r="302" spans="1:4" x14ac:dyDescent="0.3">
      <c r="A302" t="s">
        <v>3463</v>
      </c>
      <c r="B302" t="s">
        <v>1989</v>
      </c>
      <c r="C302" t="s">
        <v>1990</v>
      </c>
      <c r="D302" s="11">
        <v>0</v>
      </c>
    </row>
    <row r="303" spans="1:4" x14ac:dyDescent="0.3">
      <c r="A303" t="s">
        <v>3472</v>
      </c>
      <c r="B303" t="s">
        <v>1093</v>
      </c>
      <c r="C303" t="s">
        <v>1094</v>
      </c>
      <c r="D303" s="11">
        <v>0</v>
      </c>
    </row>
    <row r="304" spans="1:4" x14ac:dyDescent="0.3">
      <c r="A304" t="s">
        <v>3485</v>
      </c>
      <c r="B304" t="s">
        <v>396</v>
      </c>
      <c r="C304" t="s">
        <v>397</v>
      </c>
      <c r="D304" s="11">
        <v>-41686.74698795181</v>
      </c>
    </row>
    <row r="305" spans="1:4" x14ac:dyDescent="0.3">
      <c r="A305" t="s">
        <v>3498</v>
      </c>
      <c r="B305" t="s">
        <v>1989</v>
      </c>
      <c r="C305" t="s">
        <v>1990</v>
      </c>
      <c r="D305" s="11">
        <v>-35703.703703703701</v>
      </c>
    </row>
    <row r="306" spans="1:4" x14ac:dyDescent="0.3">
      <c r="A306" t="s">
        <v>3511</v>
      </c>
      <c r="B306" t="s">
        <v>27</v>
      </c>
      <c r="C306" t="s">
        <v>28</v>
      </c>
      <c r="D306" s="11">
        <v>0</v>
      </c>
    </row>
    <row r="307" spans="1:4" x14ac:dyDescent="0.3">
      <c r="A307" t="s">
        <v>3524</v>
      </c>
      <c r="B307" t="s">
        <v>3142</v>
      </c>
      <c r="C307" t="s">
        <v>3143</v>
      </c>
      <c r="D307" s="11">
        <v>0</v>
      </c>
    </row>
    <row r="308" spans="1:4" x14ac:dyDescent="0.3">
      <c r="A308" t="s">
        <v>3537</v>
      </c>
      <c r="B308" t="s">
        <v>2840</v>
      </c>
      <c r="C308" t="s">
        <v>2841</v>
      </c>
      <c r="D308" s="11">
        <v>-10075.187969924811</v>
      </c>
    </row>
    <row r="309" spans="1:4" x14ac:dyDescent="0.3">
      <c r="A309" t="s">
        <v>3550</v>
      </c>
      <c r="B309" t="s">
        <v>1027</v>
      </c>
      <c r="C309" t="s">
        <v>1028</v>
      </c>
      <c r="D309" s="11">
        <v>0</v>
      </c>
    </row>
    <row r="310" spans="1:4" x14ac:dyDescent="0.3">
      <c r="A310" t="s">
        <v>3567</v>
      </c>
      <c r="B310" t="s">
        <v>740</v>
      </c>
      <c r="C310" t="s">
        <v>741</v>
      </c>
      <c r="D310" s="11">
        <v>0</v>
      </c>
    </row>
    <row r="311" spans="1:4" x14ac:dyDescent="0.3">
      <c r="A311" t="s">
        <v>3572</v>
      </c>
      <c r="B311" t="s">
        <v>740</v>
      </c>
      <c r="C311" t="s">
        <v>741</v>
      </c>
      <c r="D311" s="11">
        <v>0</v>
      </c>
    </row>
    <row r="312" spans="1:4" x14ac:dyDescent="0.3">
      <c r="A312" t="s">
        <v>3581</v>
      </c>
      <c r="B312" t="s">
        <v>103</v>
      </c>
      <c r="C312" t="s">
        <v>104</v>
      </c>
      <c r="D312" s="11">
        <v>-10163.934426229509</v>
      </c>
    </row>
    <row r="313" spans="1:4" x14ac:dyDescent="0.3">
      <c r="A313" t="s">
        <v>3598</v>
      </c>
      <c r="B313" t="s">
        <v>1027</v>
      </c>
      <c r="C313" t="s">
        <v>1028</v>
      </c>
      <c r="D313" s="11">
        <v>-655.73770491803282</v>
      </c>
    </row>
    <row r="314" spans="1:4" x14ac:dyDescent="0.3">
      <c r="A314" t="s">
        <v>3607</v>
      </c>
      <c r="B314" t="s">
        <v>3608</v>
      </c>
      <c r="C314" t="s">
        <v>3609</v>
      </c>
      <c r="D314" s="11">
        <v>-6606.7864271457083</v>
      </c>
    </row>
    <row r="315" spans="1:4" x14ac:dyDescent="0.3">
      <c r="A315" t="s">
        <v>3629</v>
      </c>
      <c r="B315" t="s">
        <v>797</v>
      </c>
      <c r="C315" t="s">
        <v>798</v>
      </c>
      <c r="D315" s="11">
        <v>-26845.637583892618</v>
      </c>
    </row>
    <row r="316" spans="1:4" x14ac:dyDescent="0.3">
      <c r="A316" t="s">
        <v>3654</v>
      </c>
      <c r="B316" t="s">
        <v>18452</v>
      </c>
      <c r="C316" t="s">
        <v>18452</v>
      </c>
      <c r="D316" s="11">
        <v>-1321.3572854291417</v>
      </c>
    </row>
    <row r="317" spans="1:4" x14ac:dyDescent="0.3">
      <c r="A317" t="s">
        <v>3679</v>
      </c>
      <c r="B317" t="s">
        <v>3142</v>
      </c>
      <c r="C317" t="s">
        <v>3143</v>
      </c>
      <c r="D317" s="11">
        <v>-6606.7864271457083</v>
      </c>
    </row>
    <row r="318" spans="1:4" x14ac:dyDescent="0.3">
      <c r="A318" t="s">
        <v>3704</v>
      </c>
      <c r="B318" t="s">
        <v>2115</v>
      </c>
      <c r="C318" t="s">
        <v>2116</v>
      </c>
      <c r="D318" s="11">
        <v>-7215.6862745098042</v>
      </c>
    </row>
    <row r="319" spans="1:4" x14ac:dyDescent="0.3">
      <c r="A319" t="s">
        <v>3729</v>
      </c>
      <c r="B319" t="s">
        <v>103</v>
      </c>
      <c r="C319" t="s">
        <v>104</v>
      </c>
      <c r="D319" s="11">
        <v>0</v>
      </c>
    </row>
    <row r="320" spans="1:4" x14ac:dyDescent="0.3">
      <c r="A320" t="s">
        <v>3734</v>
      </c>
      <c r="B320" t="s">
        <v>121</v>
      </c>
      <c r="C320" t="s">
        <v>122</v>
      </c>
      <c r="D320" s="11">
        <v>-5244.4444444444443</v>
      </c>
    </row>
    <row r="321" spans="1:4" x14ac:dyDescent="0.3">
      <c r="A321" t="s">
        <v>3743</v>
      </c>
      <c r="B321" t="s">
        <v>3749</v>
      </c>
      <c r="C321" t="s">
        <v>3750</v>
      </c>
      <c r="D321" s="11">
        <v>0</v>
      </c>
    </row>
    <row r="322" spans="1:4" x14ac:dyDescent="0.3">
      <c r="A322" t="s">
        <v>3753</v>
      </c>
      <c r="B322" t="s">
        <v>91</v>
      </c>
      <c r="C322" t="s">
        <v>92</v>
      </c>
      <c r="D322" s="11">
        <v>0</v>
      </c>
    </row>
    <row r="323" spans="1:4" x14ac:dyDescent="0.3">
      <c r="A323" t="s">
        <v>3758</v>
      </c>
      <c r="B323" t="s">
        <v>797</v>
      </c>
      <c r="C323" t="s">
        <v>798</v>
      </c>
      <c r="D323" s="11">
        <v>0</v>
      </c>
    </row>
    <row r="324" spans="1:4" x14ac:dyDescent="0.3">
      <c r="A324" t="s">
        <v>3764</v>
      </c>
      <c r="B324" t="s">
        <v>97</v>
      </c>
      <c r="C324" t="s">
        <v>98</v>
      </c>
      <c r="D324" s="11">
        <v>0</v>
      </c>
    </row>
    <row r="325" spans="1:4" x14ac:dyDescent="0.3">
      <c r="A325" t="s">
        <v>3773</v>
      </c>
      <c r="B325" t="s">
        <v>1170</v>
      </c>
      <c r="C325" t="s">
        <v>1171</v>
      </c>
      <c r="D325" s="11">
        <v>0</v>
      </c>
    </row>
    <row r="326" spans="1:4" x14ac:dyDescent="0.3">
      <c r="A326" t="s">
        <v>3782</v>
      </c>
      <c r="B326" t="s">
        <v>97</v>
      </c>
      <c r="C326" t="s">
        <v>98</v>
      </c>
      <c r="D326" s="11">
        <v>0</v>
      </c>
    </row>
    <row r="327" spans="1:4" x14ac:dyDescent="0.3">
      <c r="A327" t="s">
        <v>3795</v>
      </c>
      <c r="B327" t="s">
        <v>1170</v>
      </c>
      <c r="C327" t="s">
        <v>1171</v>
      </c>
      <c r="D327" s="11">
        <v>0</v>
      </c>
    </row>
    <row r="328" spans="1:4" x14ac:dyDescent="0.3">
      <c r="A328" t="s">
        <v>3804</v>
      </c>
      <c r="B328" t="s">
        <v>91</v>
      </c>
      <c r="C328" t="s">
        <v>92</v>
      </c>
      <c r="D328" s="11">
        <v>0</v>
      </c>
    </row>
    <row r="329" spans="1:4" x14ac:dyDescent="0.3">
      <c r="A329" t="s">
        <v>3813</v>
      </c>
      <c r="B329" t="s">
        <v>2238</v>
      </c>
      <c r="C329" t="s">
        <v>2239</v>
      </c>
      <c r="D329" s="11">
        <v>-38370.370370370372</v>
      </c>
    </row>
    <row r="330" spans="1:4" x14ac:dyDescent="0.3">
      <c r="A330" t="s">
        <v>3826</v>
      </c>
      <c r="B330" t="s">
        <v>699</v>
      </c>
      <c r="C330" t="s">
        <v>700</v>
      </c>
      <c r="D330" s="11">
        <v>0</v>
      </c>
    </row>
    <row r="331" spans="1:4" x14ac:dyDescent="0.3">
      <c r="A331" t="s">
        <v>3835</v>
      </c>
      <c r="B331" t="s">
        <v>3142</v>
      </c>
      <c r="C331" t="s">
        <v>3143</v>
      </c>
      <c r="D331" s="11">
        <v>0</v>
      </c>
    </row>
    <row r="332" spans="1:4" x14ac:dyDescent="0.3">
      <c r="A332" t="s">
        <v>3848</v>
      </c>
      <c r="B332" t="s">
        <v>97</v>
      </c>
      <c r="C332" t="s">
        <v>98</v>
      </c>
      <c r="D332" s="11">
        <v>0</v>
      </c>
    </row>
    <row r="333" spans="1:4" x14ac:dyDescent="0.3">
      <c r="A333" t="s">
        <v>3861</v>
      </c>
      <c r="B333" t="s">
        <v>517</v>
      </c>
      <c r="C333" t="s">
        <v>518</v>
      </c>
      <c r="D333" s="11">
        <v>0</v>
      </c>
    </row>
    <row r="334" spans="1:4" x14ac:dyDescent="0.3">
      <c r="A334" t="s">
        <v>3874</v>
      </c>
      <c r="B334" t="s">
        <v>121</v>
      </c>
      <c r="C334" t="s">
        <v>122</v>
      </c>
      <c r="D334" s="11">
        <v>0</v>
      </c>
    </row>
    <row r="335" spans="1:4" x14ac:dyDescent="0.3">
      <c r="A335" t="s">
        <v>3883</v>
      </c>
      <c r="B335" t="s">
        <v>97</v>
      </c>
      <c r="C335" t="s">
        <v>98</v>
      </c>
      <c r="D335" s="11">
        <v>0</v>
      </c>
    </row>
    <row r="336" spans="1:4" x14ac:dyDescent="0.3">
      <c r="A336" t="s">
        <v>3888</v>
      </c>
      <c r="B336" t="s">
        <v>517</v>
      </c>
      <c r="C336" t="s">
        <v>518</v>
      </c>
      <c r="D336" s="11">
        <v>0</v>
      </c>
    </row>
    <row r="337" spans="1:4" x14ac:dyDescent="0.3">
      <c r="A337" t="s">
        <v>3897</v>
      </c>
      <c r="B337" t="s">
        <v>2611</v>
      </c>
      <c r="C337" t="s">
        <v>2612</v>
      </c>
      <c r="D337" s="11">
        <v>0</v>
      </c>
    </row>
    <row r="338" spans="1:4" x14ac:dyDescent="0.3">
      <c r="A338" t="s">
        <v>3902</v>
      </c>
      <c r="B338" t="s">
        <v>2611</v>
      </c>
      <c r="C338" t="s">
        <v>2612</v>
      </c>
      <c r="D338" s="11">
        <v>0</v>
      </c>
    </row>
    <row r="339" spans="1:4" x14ac:dyDescent="0.3">
      <c r="A339" t="s">
        <v>3907</v>
      </c>
      <c r="B339" t="s">
        <v>947</v>
      </c>
      <c r="C339" t="s">
        <v>948</v>
      </c>
      <c r="D339" s="11">
        <v>-20571.428571428572</v>
      </c>
    </row>
    <row r="340" spans="1:4" x14ac:dyDescent="0.3">
      <c r="A340" t="s">
        <v>3920</v>
      </c>
      <c r="B340" t="s">
        <v>3028</v>
      </c>
      <c r="C340" t="s">
        <v>3029</v>
      </c>
      <c r="D340" s="11">
        <v>0</v>
      </c>
    </row>
    <row r="341" spans="1:4" x14ac:dyDescent="0.3">
      <c r="A341" t="s">
        <v>3929</v>
      </c>
      <c r="B341" t="s">
        <v>3028</v>
      </c>
      <c r="C341" t="s">
        <v>3029</v>
      </c>
      <c r="D341" s="11">
        <v>0</v>
      </c>
    </row>
    <row r="342" spans="1:4" x14ac:dyDescent="0.3">
      <c r="A342" t="s">
        <v>3938</v>
      </c>
      <c r="B342" t="s">
        <v>445</v>
      </c>
      <c r="C342" t="s">
        <v>446</v>
      </c>
      <c r="D342" s="11">
        <v>0</v>
      </c>
    </row>
    <row r="343" spans="1:4" x14ac:dyDescent="0.3">
      <c r="A343" t="s">
        <v>4034</v>
      </c>
      <c r="B343" t="s">
        <v>445</v>
      </c>
      <c r="C343" t="s">
        <v>446</v>
      </c>
      <c r="D343" s="11">
        <v>-75957.446808510635</v>
      </c>
    </row>
    <row r="344" spans="1:4" x14ac:dyDescent="0.3">
      <c r="A344" t="s">
        <v>4058</v>
      </c>
      <c r="B344" t="s">
        <v>3608</v>
      </c>
      <c r="C344" t="s">
        <v>3609</v>
      </c>
      <c r="D344" s="11">
        <v>-6606.7864271457083</v>
      </c>
    </row>
    <row r="345" spans="1:4" x14ac:dyDescent="0.3">
      <c r="A345" t="s">
        <v>4083</v>
      </c>
      <c r="B345" t="s">
        <v>740</v>
      </c>
      <c r="C345" t="s">
        <v>741</v>
      </c>
      <c r="D345" s="11">
        <v>0</v>
      </c>
    </row>
    <row r="346" spans="1:4" x14ac:dyDescent="0.3">
      <c r="A346" t="s">
        <v>4088</v>
      </c>
      <c r="B346" t="s">
        <v>517</v>
      </c>
      <c r="C346" t="s">
        <v>518</v>
      </c>
      <c r="D346" s="11">
        <v>0</v>
      </c>
    </row>
    <row r="347" spans="1:4" x14ac:dyDescent="0.3">
      <c r="A347" t="s">
        <v>4093</v>
      </c>
      <c r="B347" t="s">
        <v>517</v>
      </c>
      <c r="C347" t="s">
        <v>518</v>
      </c>
      <c r="D347" s="11">
        <v>-10075.187969924811</v>
      </c>
    </row>
    <row r="348" spans="1:4" x14ac:dyDescent="0.3">
      <c r="A348" t="s">
        <v>4118</v>
      </c>
      <c r="B348" t="s">
        <v>485</v>
      </c>
      <c r="C348" t="s">
        <v>486</v>
      </c>
      <c r="D348" s="11">
        <v>-38357.142857142855</v>
      </c>
    </row>
    <row r="349" spans="1:4" x14ac:dyDescent="0.3">
      <c r="A349" t="s">
        <v>4143</v>
      </c>
      <c r="B349" t="s">
        <v>1027</v>
      </c>
      <c r="C349" t="s">
        <v>1028</v>
      </c>
      <c r="D349" s="11">
        <v>0</v>
      </c>
    </row>
    <row r="350" spans="1:4" x14ac:dyDescent="0.3">
      <c r="A350" t="s">
        <v>4148</v>
      </c>
      <c r="B350" t="s">
        <v>517</v>
      </c>
      <c r="C350" t="s">
        <v>518</v>
      </c>
      <c r="D350" s="11">
        <v>0</v>
      </c>
    </row>
    <row r="351" spans="1:4" x14ac:dyDescent="0.3">
      <c r="A351" t="s">
        <v>4157</v>
      </c>
      <c r="B351" t="s">
        <v>1027</v>
      </c>
      <c r="C351" t="s">
        <v>1028</v>
      </c>
      <c r="D351" s="11">
        <v>0</v>
      </c>
    </row>
    <row r="352" spans="1:4" x14ac:dyDescent="0.3">
      <c r="A352" t="s">
        <v>4166</v>
      </c>
      <c r="B352" t="s">
        <v>97</v>
      </c>
      <c r="C352" t="s">
        <v>98</v>
      </c>
      <c r="D352" s="11">
        <v>0</v>
      </c>
    </row>
    <row r="353" spans="1:4" x14ac:dyDescent="0.3">
      <c r="A353" t="s">
        <v>4179</v>
      </c>
      <c r="B353" t="s">
        <v>91</v>
      </c>
      <c r="C353" t="s">
        <v>92</v>
      </c>
      <c r="D353" s="11">
        <v>-26987.951807228914</v>
      </c>
    </row>
    <row r="354" spans="1:4" x14ac:dyDescent="0.3">
      <c r="A354" t="s">
        <v>4192</v>
      </c>
      <c r="B354" t="s">
        <v>2168</v>
      </c>
      <c r="C354" t="s">
        <v>2169</v>
      </c>
      <c r="D354" s="11">
        <v>-9672.1311475409839</v>
      </c>
    </row>
    <row r="355" spans="1:4" x14ac:dyDescent="0.3">
      <c r="A355" t="s">
        <v>4205</v>
      </c>
      <c r="B355" t="s">
        <v>2168</v>
      </c>
      <c r="C355" t="s">
        <v>2169</v>
      </c>
      <c r="D355" s="11">
        <v>0</v>
      </c>
    </row>
    <row r="356" spans="1:4" x14ac:dyDescent="0.3">
      <c r="A356" t="s">
        <v>4214</v>
      </c>
      <c r="B356" t="s">
        <v>2168</v>
      </c>
      <c r="C356" t="s">
        <v>2169</v>
      </c>
      <c r="D356" s="11">
        <v>0</v>
      </c>
    </row>
    <row r="357" spans="1:4" x14ac:dyDescent="0.3">
      <c r="A357" t="s">
        <v>4223</v>
      </c>
      <c r="B357" t="s">
        <v>1027</v>
      </c>
      <c r="C357" t="s">
        <v>1028</v>
      </c>
      <c r="D357" s="11">
        <v>0</v>
      </c>
    </row>
    <row r="358" spans="1:4" x14ac:dyDescent="0.3">
      <c r="A358" t="s">
        <v>4232</v>
      </c>
      <c r="B358" t="s">
        <v>70</v>
      </c>
      <c r="C358" t="s">
        <v>71</v>
      </c>
      <c r="D358" s="11">
        <v>0</v>
      </c>
    </row>
    <row r="359" spans="1:4" x14ac:dyDescent="0.3">
      <c r="A359" t="s">
        <v>4242</v>
      </c>
      <c r="B359" t="s">
        <v>3142</v>
      </c>
      <c r="C359" t="s">
        <v>3143</v>
      </c>
      <c r="D359" s="11">
        <v>-6606.7864271457083</v>
      </c>
    </row>
    <row r="360" spans="1:4" x14ac:dyDescent="0.3">
      <c r="A360" t="s">
        <v>4255</v>
      </c>
      <c r="B360" t="s">
        <v>2100</v>
      </c>
      <c r="C360" t="s">
        <v>2101</v>
      </c>
      <c r="D360" s="11">
        <v>0</v>
      </c>
    </row>
    <row r="361" spans="1:4" x14ac:dyDescent="0.3">
      <c r="A361" t="s">
        <v>4271</v>
      </c>
      <c r="B361" t="s">
        <v>97</v>
      </c>
      <c r="C361" t="s">
        <v>98</v>
      </c>
      <c r="D361" s="11">
        <v>0</v>
      </c>
    </row>
    <row r="362" spans="1:4" x14ac:dyDescent="0.3">
      <c r="A362" t="s">
        <v>4284</v>
      </c>
      <c r="B362" t="s">
        <v>1170</v>
      </c>
      <c r="C362" t="s">
        <v>1171</v>
      </c>
      <c r="D362" s="11">
        <v>0</v>
      </c>
    </row>
    <row r="363" spans="1:4" x14ac:dyDescent="0.3">
      <c r="A363" t="s">
        <v>4293</v>
      </c>
      <c r="B363" t="s">
        <v>1027</v>
      </c>
      <c r="C363" t="s">
        <v>1028</v>
      </c>
      <c r="D363" s="11">
        <v>0</v>
      </c>
    </row>
    <row r="364" spans="1:4" x14ac:dyDescent="0.3">
      <c r="A364" t="s">
        <v>4302</v>
      </c>
      <c r="B364" t="s">
        <v>103</v>
      </c>
      <c r="C364" t="s">
        <v>104</v>
      </c>
      <c r="D364" s="11">
        <v>-10590.163934426229</v>
      </c>
    </row>
    <row r="365" spans="1:4" x14ac:dyDescent="0.3">
      <c r="A365" t="s">
        <v>4311</v>
      </c>
      <c r="B365" t="s">
        <v>103</v>
      </c>
      <c r="C365" t="s">
        <v>104</v>
      </c>
      <c r="D365" s="11">
        <v>0</v>
      </c>
    </row>
    <row r="366" spans="1:4" x14ac:dyDescent="0.3">
      <c r="A366" t="s">
        <v>4320</v>
      </c>
      <c r="B366" t="s">
        <v>1590</v>
      </c>
      <c r="C366" t="s">
        <v>1591</v>
      </c>
      <c r="D366" s="11">
        <v>0</v>
      </c>
    </row>
    <row r="367" spans="1:4" x14ac:dyDescent="0.3">
      <c r="A367" t="s">
        <v>4325</v>
      </c>
      <c r="B367" t="s">
        <v>4338</v>
      </c>
      <c r="C367" t="s">
        <v>4339</v>
      </c>
      <c r="D367" s="11">
        <v>0</v>
      </c>
    </row>
    <row r="368" spans="1:4" x14ac:dyDescent="0.3">
      <c r="A368" t="s">
        <v>4343</v>
      </c>
      <c r="B368" t="s">
        <v>2673</v>
      </c>
      <c r="C368" t="s">
        <v>2674</v>
      </c>
      <c r="D368" s="11">
        <v>0</v>
      </c>
    </row>
    <row r="369" spans="1:4" x14ac:dyDescent="0.3">
      <c r="A369" t="s">
        <v>4360</v>
      </c>
      <c r="B369" t="s">
        <v>4365</v>
      </c>
      <c r="C369" t="s">
        <v>4366</v>
      </c>
      <c r="D369" s="11">
        <v>0</v>
      </c>
    </row>
    <row r="370" spans="1:4" x14ac:dyDescent="0.3">
      <c r="A370" t="s">
        <v>4370</v>
      </c>
      <c r="B370" t="s">
        <v>27</v>
      </c>
      <c r="C370" t="s">
        <v>28</v>
      </c>
      <c r="D370" s="11">
        <v>-6622.2222222222226</v>
      </c>
    </row>
    <row r="371" spans="1:4" x14ac:dyDescent="0.3">
      <c r="A371" t="s">
        <v>4394</v>
      </c>
      <c r="B371" t="s">
        <v>699</v>
      </c>
      <c r="C371" t="s">
        <v>700</v>
      </c>
      <c r="D371" s="11">
        <v>0</v>
      </c>
    </row>
    <row r="372" spans="1:4" x14ac:dyDescent="0.3">
      <c r="A372" t="s">
        <v>4415</v>
      </c>
      <c r="B372" t="s">
        <v>4424</v>
      </c>
      <c r="C372" t="s">
        <v>4425</v>
      </c>
      <c r="D372" s="11">
        <v>-10425.531914893616</v>
      </c>
    </row>
    <row r="373" spans="1:4" x14ac:dyDescent="0.3">
      <c r="A373" t="s">
        <v>4429</v>
      </c>
      <c r="B373" t="s">
        <v>70</v>
      </c>
      <c r="C373" t="s">
        <v>71</v>
      </c>
      <c r="D373" s="11">
        <v>-6333.3333333333339</v>
      </c>
    </row>
    <row r="374" spans="1:4" x14ac:dyDescent="0.3">
      <c r="A374" t="s">
        <v>4438</v>
      </c>
      <c r="B374" t="s">
        <v>3028</v>
      </c>
      <c r="C374" t="s">
        <v>3029</v>
      </c>
      <c r="D374" s="11">
        <v>-25319.148936170212</v>
      </c>
    </row>
    <row r="375" spans="1:4" x14ac:dyDescent="0.3">
      <c r="A375" t="s">
        <v>4455</v>
      </c>
      <c r="B375" t="s">
        <v>3028</v>
      </c>
      <c r="C375" t="s">
        <v>3029</v>
      </c>
      <c r="D375" s="11">
        <v>0</v>
      </c>
    </row>
    <row r="376" spans="1:4" x14ac:dyDescent="0.3">
      <c r="A376" t="s">
        <v>4464</v>
      </c>
      <c r="B376" t="s">
        <v>1093</v>
      </c>
      <c r="C376" t="s">
        <v>1094</v>
      </c>
      <c r="D376" s="11">
        <v>0</v>
      </c>
    </row>
    <row r="377" spans="1:4" x14ac:dyDescent="0.3">
      <c r="A377" t="s">
        <v>4473</v>
      </c>
      <c r="B377" t="s">
        <v>947</v>
      </c>
      <c r="C377" t="s">
        <v>948</v>
      </c>
      <c r="D377" s="11">
        <v>-82500</v>
      </c>
    </row>
    <row r="378" spans="1:4" x14ac:dyDescent="0.3">
      <c r="A378" t="s">
        <v>4505</v>
      </c>
      <c r="B378" t="s">
        <v>1093</v>
      </c>
      <c r="C378" t="s">
        <v>1094</v>
      </c>
      <c r="D378" s="11">
        <v>0</v>
      </c>
    </row>
    <row r="379" spans="1:4" x14ac:dyDescent="0.3">
      <c r="A379" t="s">
        <v>4510</v>
      </c>
      <c r="B379" t="s">
        <v>4511</v>
      </c>
      <c r="C379" t="s">
        <v>4512</v>
      </c>
      <c r="D379" s="11">
        <v>0</v>
      </c>
    </row>
    <row r="380" spans="1:4" x14ac:dyDescent="0.3">
      <c r="A380" t="s">
        <v>4516</v>
      </c>
      <c r="B380" t="s">
        <v>16326</v>
      </c>
      <c r="C380" t="s">
        <v>16327</v>
      </c>
      <c r="D380" s="11">
        <v>0</v>
      </c>
    </row>
    <row r="381" spans="1:4" x14ac:dyDescent="0.3">
      <c r="A381" t="s">
        <v>4530</v>
      </c>
      <c r="B381" t="s">
        <v>4511</v>
      </c>
      <c r="C381" t="s">
        <v>4512</v>
      </c>
      <c r="D381" s="11">
        <v>-29798.657718120805</v>
      </c>
    </row>
    <row r="382" spans="1:4" x14ac:dyDescent="0.3">
      <c r="A382" t="s">
        <v>4543</v>
      </c>
      <c r="B382" t="s">
        <v>1093</v>
      </c>
      <c r="C382" t="s">
        <v>1094</v>
      </c>
      <c r="D382" s="11">
        <v>0</v>
      </c>
    </row>
    <row r="383" spans="1:4" x14ac:dyDescent="0.3">
      <c r="A383" t="s">
        <v>4556</v>
      </c>
      <c r="B383" t="s">
        <v>27</v>
      </c>
      <c r="C383" t="s">
        <v>28</v>
      </c>
      <c r="D383" s="11">
        <v>-6622.2222222222226</v>
      </c>
    </row>
    <row r="384" spans="1:4" x14ac:dyDescent="0.3">
      <c r="A384" t="s">
        <v>4573</v>
      </c>
      <c r="B384" t="s">
        <v>1170</v>
      </c>
      <c r="C384" t="s">
        <v>1171</v>
      </c>
      <c r="D384" s="11">
        <v>-4788.461538461539</v>
      </c>
    </row>
    <row r="385" spans="1:4" x14ac:dyDescent="0.3">
      <c r="A385" t="s">
        <v>4586</v>
      </c>
      <c r="B385" t="s">
        <v>3759</v>
      </c>
      <c r="C385" t="s">
        <v>3760</v>
      </c>
      <c r="D385" s="11">
        <v>0</v>
      </c>
    </row>
    <row r="386" spans="1:4" x14ac:dyDescent="0.3">
      <c r="A386" t="s">
        <v>4595</v>
      </c>
      <c r="B386" t="s">
        <v>121</v>
      </c>
      <c r="C386" t="s">
        <v>122</v>
      </c>
      <c r="D386" s="11">
        <v>0</v>
      </c>
    </row>
    <row r="387" spans="1:4" x14ac:dyDescent="0.3">
      <c r="A387" t="s">
        <v>4604</v>
      </c>
      <c r="B387" t="s">
        <v>3744</v>
      </c>
      <c r="C387" t="s">
        <v>3745</v>
      </c>
      <c r="D387" s="11">
        <v>0</v>
      </c>
    </row>
    <row r="388" spans="1:4" x14ac:dyDescent="0.3">
      <c r="A388" t="s">
        <v>4613</v>
      </c>
      <c r="B388" t="s">
        <v>3028</v>
      </c>
      <c r="C388" t="s">
        <v>3029</v>
      </c>
      <c r="D388" s="11">
        <v>0</v>
      </c>
    </row>
    <row r="389" spans="1:4" x14ac:dyDescent="0.3">
      <c r="A389" t="s">
        <v>4622</v>
      </c>
      <c r="B389" t="s">
        <v>699</v>
      </c>
      <c r="C389" t="s">
        <v>700</v>
      </c>
      <c r="D389" s="11">
        <v>-1368</v>
      </c>
    </row>
    <row r="390" spans="1:4" x14ac:dyDescent="0.3">
      <c r="A390" t="s">
        <v>4637</v>
      </c>
      <c r="B390" t="s">
        <v>121</v>
      </c>
      <c r="C390" t="s">
        <v>122</v>
      </c>
      <c r="D390" s="11">
        <v>0</v>
      </c>
    </row>
    <row r="391" spans="1:4" x14ac:dyDescent="0.3">
      <c r="A391" t="s">
        <v>4646</v>
      </c>
      <c r="B391" t="s">
        <v>3113</v>
      </c>
      <c r="C391" t="s">
        <v>3114</v>
      </c>
      <c r="D391" s="11">
        <v>0</v>
      </c>
    </row>
    <row r="392" spans="1:4" x14ac:dyDescent="0.3">
      <c r="A392" t="s">
        <v>4655</v>
      </c>
      <c r="B392" t="s">
        <v>1093</v>
      </c>
      <c r="C392" t="s">
        <v>1094</v>
      </c>
      <c r="D392" s="11">
        <v>-20880</v>
      </c>
    </row>
    <row r="393" spans="1:4" x14ac:dyDescent="0.3">
      <c r="A393" t="s">
        <v>4668</v>
      </c>
      <c r="B393" t="s">
        <v>1093</v>
      </c>
      <c r="C393" t="s">
        <v>1094</v>
      </c>
      <c r="D393" s="11">
        <v>0</v>
      </c>
    </row>
    <row r="394" spans="1:4" x14ac:dyDescent="0.3">
      <c r="A394" t="s">
        <v>4677</v>
      </c>
      <c r="B394" t="s">
        <v>27</v>
      </c>
      <c r="C394" t="s">
        <v>28</v>
      </c>
      <c r="D394" s="11">
        <v>0</v>
      </c>
    </row>
    <row r="395" spans="1:4" x14ac:dyDescent="0.3">
      <c r="A395" t="s">
        <v>4686</v>
      </c>
      <c r="B395" t="s">
        <v>1093</v>
      </c>
      <c r="C395" t="s">
        <v>1094</v>
      </c>
      <c r="D395" s="11">
        <v>0</v>
      </c>
    </row>
    <row r="396" spans="1:4" x14ac:dyDescent="0.3">
      <c r="A396" t="s">
        <v>4695</v>
      </c>
      <c r="B396" t="s">
        <v>27</v>
      </c>
      <c r="C396" t="s">
        <v>28</v>
      </c>
      <c r="D396" s="11">
        <v>0</v>
      </c>
    </row>
    <row r="397" spans="1:4" x14ac:dyDescent="0.3">
      <c r="A397" t="s">
        <v>4700</v>
      </c>
      <c r="B397" t="s">
        <v>517</v>
      </c>
      <c r="C397" t="s">
        <v>518</v>
      </c>
      <c r="D397" s="11">
        <v>0</v>
      </c>
    </row>
    <row r="398" spans="1:4" x14ac:dyDescent="0.3">
      <c r="A398" t="s">
        <v>4705</v>
      </c>
      <c r="B398" t="s">
        <v>1093</v>
      </c>
      <c r="C398" t="s">
        <v>1094</v>
      </c>
      <c r="D398" s="11">
        <v>0</v>
      </c>
    </row>
    <row r="399" spans="1:4" x14ac:dyDescent="0.3">
      <c r="A399" t="s">
        <v>4710</v>
      </c>
      <c r="B399" t="s">
        <v>1093</v>
      </c>
      <c r="C399" t="s">
        <v>1094</v>
      </c>
      <c r="D399" s="11">
        <v>-20880</v>
      </c>
    </row>
    <row r="400" spans="1:4" x14ac:dyDescent="0.3">
      <c r="A400" t="s">
        <v>4719</v>
      </c>
      <c r="B400" t="s">
        <v>1027</v>
      </c>
      <c r="C400" t="s">
        <v>1028</v>
      </c>
      <c r="D400" s="11">
        <v>0</v>
      </c>
    </row>
    <row r="401" spans="1:4" x14ac:dyDescent="0.3">
      <c r="A401" t="s">
        <v>4724</v>
      </c>
      <c r="B401" t="s">
        <v>97</v>
      </c>
      <c r="C401" t="s">
        <v>98</v>
      </c>
      <c r="D401" s="11">
        <v>0</v>
      </c>
    </row>
    <row r="402" spans="1:4" x14ac:dyDescent="0.3">
      <c r="A402" t="s">
        <v>4729</v>
      </c>
      <c r="B402" t="s">
        <v>27</v>
      </c>
      <c r="C402" t="s">
        <v>28</v>
      </c>
      <c r="D402" s="11">
        <v>0</v>
      </c>
    </row>
    <row r="403" spans="1:4" x14ac:dyDescent="0.3">
      <c r="A403" t="s">
        <v>4734</v>
      </c>
      <c r="B403" t="s">
        <v>517</v>
      </c>
      <c r="C403" t="s">
        <v>518</v>
      </c>
      <c r="D403" s="11">
        <v>0</v>
      </c>
    </row>
    <row r="404" spans="1:4" x14ac:dyDescent="0.3">
      <c r="A404" t="s">
        <v>4739</v>
      </c>
      <c r="B404" t="s">
        <v>308</v>
      </c>
      <c r="C404" t="s">
        <v>309</v>
      </c>
      <c r="D404" s="11">
        <v>-26987.951807228914</v>
      </c>
    </row>
    <row r="405" spans="1:4" x14ac:dyDescent="0.3">
      <c r="A405" t="s">
        <v>4748</v>
      </c>
      <c r="B405" t="s">
        <v>70</v>
      </c>
      <c r="C405" t="s">
        <v>71</v>
      </c>
      <c r="D405" s="11">
        <v>-6333.3333333333339</v>
      </c>
    </row>
    <row r="406" spans="1:4" x14ac:dyDescent="0.3">
      <c r="A406" t="s">
        <v>4757</v>
      </c>
      <c r="B406" t="s">
        <v>485</v>
      </c>
      <c r="C406" t="s">
        <v>486</v>
      </c>
      <c r="D406" s="11">
        <v>-38357.142857142855</v>
      </c>
    </row>
    <row r="407" spans="1:4" x14ac:dyDescent="0.3">
      <c r="A407" t="s">
        <v>4766</v>
      </c>
      <c r="B407" t="s">
        <v>4791</v>
      </c>
      <c r="C407" t="s">
        <v>4792</v>
      </c>
      <c r="D407" s="11">
        <v>-13244.444444444445</v>
      </c>
    </row>
    <row r="408" spans="1:4" x14ac:dyDescent="0.3">
      <c r="A408" t="s">
        <v>4795</v>
      </c>
      <c r="B408" t="s">
        <v>4796</v>
      </c>
      <c r="C408" t="s">
        <v>4797</v>
      </c>
      <c r="D408" s="11">
        <v>-29166.666666666664</v>
      </c>
    </row>
    <row r="409" spans="1:4" x14ac:dyDescent="0.3">
      <c r="A409" t="s">
        <v>4821</v>
      </c>
      <c r="B409" t="s">
        <v>1027</v>
      </c>
      <c r="C409" t="s">
        <v>1028</v>
      </c>
      <c r="D409" s="11">
        <v>0</v>
      </c>
    </row>
    <row r="410" spans="1:4" x14ac:dyDescent="0.3">
      <c r="A410" t="s">
        <v>4826</v>
      </c>
      <c r="B410" t="s">
        <v>1093</v>
      </c>
      <c r="C410" t="s">
        <v>1094</v>
      </c>
      <c r="D410" s="11">
        <v>0</v>
      </c>
    </row>
    <row r="411" spans="1:4" x14ac:dyDescent="0.3">
      <c r="A411" t="s">
        <v>4831</v>
      </c>
      <c r="B411" t="s">
        <v>517</v>
      </c>
      <c r="C411" t="s">
        <v>518</v>
      </c>
      <c r="D411" s="11">
        <v>0</v>
      </c>
    </row>
    <row r="412" spans="1:4" x14ac:dyDescent="0.3">
      <c r="A412" t="s">
        <v>4836</v>
      </c>
      <c r="B412" t="s">
        <v>97</v>
      </c>
      <c r="C412" t="s">
        <v>98</v>
      </c>
      <c r="D412" s="11">
        <v>0</v>
      </c>
    </row>
    <row r="413" spans="1:4" x14ac:dyDescent="0.3">
      <c r="A413" t="s">
        <v>4841</v>
      </c>
      <c r="B413" t="s">
        <v>27</v>
      </c>
      <c r="C413" t="s">
        <v>28</v>
      </c>
      <c r="D413" s="11">
        <v>0</v>
      </c>
    </row>
    <row r="414" spans="1:4" x14ac:dyDescent="0.3">
      <c r="A414" t="s">
        <v>4846</v>
      </c>
      <c r="B414" t="s">
        <v>4791</v>
      </c>
      <c r="C414" t="s">
        <v>4792</v>
      </c>
      <c r="D414" s="11">
        <v>-13244.444444444445</v>
      </c>
    </row>
    <row r="415" spans="1:4" x14ac:dyDescent="0.3">
      <c r="A415" t="s">
        <v>4855</v>
      </c>
      <c r="B415" t="s">
        <v>1512</v>
      </c>
      <c r="C415" t="s">
        <v>1513</v>
      </c>
      <c r="D415" s="11">
        <v>-10590.163934426229</v>
      </c>
    </row>
    <row r="416" spans="1:4" x14ac:dyDescent="0.3">
      <c r="A416" t="s">
        <v>4864</v>
      </c>
      <c r="B416" t="s">
        <v>121</v>
      </c>
      <c r="C416" t="s">
        <v>122</v>
      </c>
      <c r="D416" s="11">
        <v>-6622.2222222222226</v>
      </c>
    </row>
    <row r="417" spans="1:4" x14ac:dyDescent="0.3">
      <c r="A417" t="s">
        <v>4878</v>
      </c>
      <c r="B417" t="s">
        <v>1027</v>
      </c>
      <c r="C417" t="s">
        <v>1028</v>
      </c>
      <c r="D417" s="11">
        <v>0</v>
      </c>
    </row>
    <row r="418" spans="1:4" x14ac:dyDescent="0.3">
      <c r="A418" t="s">
        <v>4891</v>
      </c>
      <c r="B418" t="s">
        <v>1119</v>
      </c>
      <c r="C418" t="s">
        <v>1120</v>
      </c>
      <c r="D418" s="11">
        <v>0</v>
      </c>
    </row>
    <row r="419" spans="1:4" x14ac:dyDescent="0.3">
      <c r="A419" t="s">
        <v>4896</v>
      </c>
      <c r="B419" t="s">
        <v>947</v>
      </c>
      <c r="C419" t="s">
        <v>948</v>
      </c>
      <c r="D419" s="11">
        <v>-61857.142857142855</v>
      </c>
    </row>
    <row r="420" spans="1:4" x14ac:dyDescent="0.3">
      <c r="A420" t="s">
        <v>4905</v>
      </c>
      <c r="B420" t="s">
        <v>3028</v>
      </c>
      <c r="C420" t="s">
        <v>3029</v>
      </c>
      <c r="D420" s="11">
        <v>-77127.659574468082</v>
      </c>
    </row>
    <row r="421" spans="1:4" x14ac:dyDescent="0.3">
      <c r="A421" t="s">
        <v>4914</v>
      </c>
      <c r="B421" t="s">
        <v>97</v>
      </c>
      <c r="C421" t="s">
        <v>98</v>
      </c>
      <c r="D421" s="11">
        <v>0</v>
      </c>
    </row>
    <row r="422" spans="1:4" x14ac:dyDescent="0.3">
      <c r="A422" t="s">
        <v>4919</v>
      </c>
      <c r="B422" t="s">
        <v>517</v>
      </c>
      <c r="C422" t="s">
        <v>518</v>
      </c>
      <c r="D422" s="11">
        <v>0</v>
      </c>
    </row>
    <row r="423" spans="1:4" x14ac:dyDescent="0.3">
      <c r="A423" t="s">
        <v>4924</v>
      </c>
      <c r="B423" t="s">
        <v>10227</v>
      </c>
      <c r="C423" t="s">
        <v>10228</v>
      </c>
      <c r="D423" s="11">
        <v>0</v>
      </c>
    </row>
    <row r="424" spans="1:4" x14ac:dyDescent="0.3">
      <c r="A424" t="s">
        <v>4933</v>
      </c>
      <c r="B424" t="s">
        <v>18453</v>
      </c>
      <c r="C424" t="s">
        <v>18457</v>
      </c>
      <c r="D424" s="11">
        <v>0</v>
      </c>
    </row>
    <row r="425" spans="1:4" x14ac:dyDescent="0.3">
      <c r="A425" t="s">
        <v>4946</v>
      </c>
      <c r="B425" t="s">
        <v>3028</v>
      </c>
      <c r="C425" t="s">
        <v>3029</v>
      </c>
      <c r="D425" s="11">
        <v>-14794.468085106384</v>
      </c>
    </row>
    <row r="426" spans="1:4" x14ac:dyDescent="0.3">
      <c r="A426" t="s">
        <v>4954</v>
      </c>
      <c r="B426" t="s">
        <v>4955</v>
      </c>
      <c r="C426" t="s">
        <v>4956</v>
      </c>
      <c r="D426" s="11">
        <v>-10666.666666666666</v>
      </c>
    </row>
    <row r="427" spans="1:4" x14ac:dyDescent="0.3">
      <c r="A427" t="s">
        <v>4964</v>
      </c>
      <c r="B427" t="s">
        <v>2115</v>
      </c>
      <c r="C427" t="s">
        <v>2116</v>
      </c>
      <c r="D427" s="11">
        <v>-3588.2352941176473</v>
      </c>
    </row>
    <row r="428" spans="1:4" x14ac:dyDescent="0.3">
      <c r="A428" t="s">
        <v>4973</v>
      </c>
      <c r="B428" t="s">
        <v>1170</v>
      </c>
      <c r="C428" t="s">
        <v>1171</v>
      </c>
      <c r="D428" s="11">
        <v>-4788.461538461539</v>
      </c>
    </row>
    <row r="429" spans="1:4" x14ac:dyDescent="0.3">
      <c r="A429" t="s">
        <v>4982</v>
      </c>
      <c r="B429" t="s">
        <v>1027</v>
      </c>
      <c r="C429" t="s">
        <v>1028</v>
      </c>
      <c r="D429" s="11">
        <v>0</v>
      </c>
    </row>
    <row r="430" spans="1:4" x14ac:dyDescent="0.3">
      <c r="A430" t="s">
        <v>4987</v>
      </c>
      <c r="B430" t="s">
        <v>4988</v>
      </c>
      <c r="C430" t="s">
        <v>4989</v>
      </c>
      <c r="D430" s="11">
        <v>-10075.187969924811</v>
      </c>
    </row>
    <row r="431" spans="1:4" x14ac:dyDescent="0.3">
      <c r="A431" t="s">
        <v>5009</v>
      </c>
      <c r="B431" t="s">
        <v>1027</v>
      </c>
      <c r="C431" t="s">
        <v>1028</v>
      </c>
      <c r="D431" s="11">
        <v>0</v>
      </c>
    </row>
    <row r="432" spans="1:4" x14ac:dyDescent="0.3">
      <c r="A432" t="s">
        <v>5014</v>
      </c>
      <c r="B432" t="s">
        <v>2238</v>
      </c>
      <c r="C432" t="s">
        <v>2239</v>
      </c>
      <c r="D432" s="11">
        <v>-19185.185185185186</v>
      </c>
    </row>
    <row r="433" spans="1:4" x14ac:dyDescent="0.3">
      <c r="A433" t="s">
        <v>5039</v>
      </c>
      <c r="B433" t="s">
        <v>5347</v>
      </c>
      <c r="C433" t="s">
        <v>5348</v>
      </c>
      <c r="D433" s="11">
        <v>0</v>
      </c>
    </row>
    <row r="434" spans="1:4" x14ac:dyDescent="0.3">
      <c r="A434" t="s">
        <v>5044</v>
      </c>
      <c r="B434" t="s">
        <v>517</v>
      </c>
      <c r="C434" t="s">
        <v>518</v>
      </c>
      <c r="D434" s="11">
        <v>0</v>
      </c>
    </row>
    <row r="435" spans="1:4" x14ac:dyDescent="0.3">
      <c r="A435" t="s">
        <v>5184</v>
      </c>
      <c r="B435" t="s">
        <v>517</v>
      </c>
      <c r="C435" t="s">
        <v>518</v>
      </c>
      <c r="D435" s="11">
        <v>0</v>
      </c>
    </row>
    <row r="436" spans="1:4" x14ac:dyDescent="0.3">
      <c r="A436" t="s">
        <v>5189</v>
      </c>
      <c r="B436" t="s">
        <v>947</v>
      </c>
      <c r="C436" t="s">
        <v>948</v>
      </c>
      <c r="D436" s="11">
        <v>0</v>
      </c>
    </row>
    <row r="437" spans="1:4" x14ac:dyDescent="0.3">
      <c r="A437" t="s">
        <v>5194</v>
      </c>
      <c r="B437" t="s">
        <v>3749</v>
      </c>
      <c r="C437" t="s">
        <v>3750</v>
      </c>
      <c r="D437" s="11">
        <v>0</v>
      </c>
    </row>
    <row r="438" spans="1:4" x14ac:dyDescent="0.3">
      <c r="A438" t="s">
        <v>5199</v>
      </c>
      <c r="B438" t="s">
        <v>2539</v>
      </c>
      <c r="C438" t="s">
        <v>2540</v>
      </c>
      <c r="D438" s="11">
        <v>0</v>
      </c>
    </row>
    <row r="439" spans="1:4" x14ac:dyDescent="0.3">
      <c r="A439" t="s">
        <v>5204</v>
      </c>
      <c r="B439" t="s">
        <v>1027</v>
      </c>
      <c r="C439" t="s">
        <v>1028</v>
      </c>
      <c r="D439" s="11">
        <v>0</v>
      </c>
    </row>
    <row r="440" spans="1:4" x14ac:dyDescent="0.3">
      <c r="A440" t="s">
        <v>5209</v>
      </c>
      <c r="B440" t="s">
        <v>4511</v>
      </c>
      <c r="C440" t="s">
        <v>4512</v>
      </c>
      <c r="D440" s="11">
        <v>-4161.0738255033557</v>
      </c>
    </row>
    <row r="441" spans="1:4" x14ac:dyDescent="0.3">
      <c r="A441" t="s">
        <v>5218</v>
      </c>
      <c r="B441" t="s">
        <v>1989</v>
      </c>
      <c r="C441" t="s">
        <v>1990</v>
      </c>
      <c r="D441" s="11">
        <v>0</v>
      </c>
    </row>
    <row r="442" spans="1:4" x14ac:dyDescent="0.3">
      <c r="A442" t="s">
        <v>5223</v>
      </c>
      <c r="B442" t="s">
        <v>59</v>
      </c>
      <c r="C442" t="s">
        <v>60</v>
      </c>
      <c r="D442" s="11">
        <v>0</v>
      </c>
    </row>
    <row r="443" spans="1:4" x14ac:dyDescent="0.3">
      <c r="A443" t="s">
        <v>5228</v>
      </c>
      <c r="B443" t="s">
        <v>18452</v>
      </c>
      <c r="C443" t="s">
        <v>18452</v>
      </c>
      <c r="D443" s="11">
        <v>0</v>
      </c>
    </row>
    <row r="444" spans="1:4" x14ac:dyDescent="0.3">
      <c r="A444" t="s">
        <v>5235</v>
      </c>
      <c r="B444" t="s">
        <v>517</v>
      </c>
      <c r="C444" t="s">
        <v>518</v>
      </c>
      <c r="D444" s="11">
        <v>0</v>
      </c>
    </row>
    <row r="445" spans="1:4" x14ac:dyDescent="0.3">
      <c r="A445" t="s">
        <v>5240</v>
      </c>
      <c r="B445" t="s">
        <v>2238</v>
      </c>
      <c r="C445" t="s">
        <v>2239</v>
      </c>
      <c r="D445" s="11">
        <v>0</v>
      </c>
    </row>
    <row r="446" spans="1:4" x14ac:dyDescent="0.3">
      <c r="A446" t="s">
        <v>5262</v>
      </c>
      <c r="B446" t="s">
        <v>1093</v>
      </c>
      <c r="C446" t="s">
        <v>1094</v>
      </c>
      <c r="D446" s="11">
        <v>-20880</v>
      </c>
    </row>
    <row r="447" spans="1:4" x14ac:dyDescent="0.3">
      <c r="A447" t="s">
        <v>5271</v>
      </c>
      <c r="B447" t="s">
        <v>115</v>
      </c>
      <c r="C447" t="s">
        <v>116</v>
      </c>
      <c r="D447" s="11">
        <v>0</v>
      </c>
    </row>
    <row r="448" spans="1:4" x14ac:dyDescent="0.3">
      <c r="A448" t="s">
        <v>5276</v>
      </c>
      <c r="B448" t="s">
        <v>797</v>
      </c>
      <c r="C448" t="s">
        <v>798</v>
      </c>
      <c r="D448" s="11">
        <v>0</v>
      </c>
    </row>
    <row r="449" spans="1:4" x14ac:dyDescent="0.3">
      <c r="A449" t="s">
        <v>5281</v>
      </c>
      <c r="B449" t="s">
        <v>59</v>
      </c>
      <c r="C449" t="s">
        <v>60</v>
      </c>
      <c r="D449" s="11">
        <v>-25360.824742268043</v>
      </c>
    </row>
    <row r="450" spans="1:4" x14ac:dyDescent="0.3">
      <c r="A450" t="s">
        <v>5290</v>
      </c>
      <c r="B450" t="s">
        <v>1989</v>
      </c>
      <c r="C450" t="s">
        <v>1990</v>
      </c>
      <c r="D450" s="11">
        <v>0</v>
      </c>
    </row>
    <row r="451" spans="1:4" x14ac:dyDescent="0.3">
      <c r="A451" t="s">
        <v>5295</v>
      </c>
      <c r="B451" t="s">
        <v>59</v>
      </c>
      <c r="C451" t="s">
        <v>60</v>
      </c>
      <c r="D451" s="11">
        <v>0</v>
      </c>
    </row>
    <row r="452" spans="1:4" x14ac:dyDescent="0.3">
      <c r="A452" t="s">
        <v>5300</v>
      </c>
      <c r="B452" t="s">
        <v>1093</v>
      </c>
      <c r="C452" t="s">
        <v>1094</v>
      </c>
      <c r="D452" s="11">
        <v>0</v>
      </c>
    </row>
    <row r="453" spans="1:4" x14ac:dyDescent="0.3">
      <c r="A453" t="s">
        <v>5305</v>
      </c>
      <c r="B453" t="s">
        <v>396</v>
      </c>
      <c r="C453" t="s">
        <v>397</v>
      </c>
      <c r="D453" s="11">
        <v>-20481.927710843374</v>
      </c>
    </row>
    <row r="454" spans="1:4" x14ac:dyDescent="0.3">
      <c r="A454" t="s">
        <v>5314</v>
      </c>
      <c r="B454" t="s">
        <v>4511</v>
      </c>
      <c r="C454" t="s">
        <v>4512</v>
      </c>
      <c r="D454" s="11">
        <v>-3489.9328859060402</v>
      </c>
    </row>
    <row r="455" spans="1:4" x14ac:dyDescent="0.3">
      <c r="A455" t="s">
        <v>5323</v>
      </c>
      <c r="B455" t="s">
        <v>2238</v>
      </c>
      <c r="C455" t="s">
        <v>2239</v>
      </c>
      <c r="D455" s="11">
        <v>0</v>
      </c>
    </row>
    <row r="456" spans="1:4" x14ac:dyDescent="0.3">
      <c r="A456" t="s">
        <v>5328</v>
      </c>
      <c r="B456" t="s">
        <v>797</v>
      </c>
      <c r="C456" t="s">
        <v>798</v>
      </c>
      <c r="D456" s="11">
        <v>0</v>
      </c>
    </row>
    <row r="457" spans="1:4" x14ac:dyDescent="0.3">
      <c r="A457" t="s">
        <v>5333</v>
      </c>
      <c r="B457" t="s">
        <v>797</v>
      </c>
      <c r="C457" t="s">
        <v>798</v>
      </c>
      <c r="D457" s="11">
        <v>0</v>
      </c>
    </row>
    <row r="458" spans="1:4" x14ac:dyDescent="0.3">
      <c r="A458" t="s">
        <v>5338</v>
      </c>
      <c r="B458" t="s">
        <v>4791</v>
      </c>
      <c r="C458" t="s">
        <v>4792</v>
      </c>
      <c r="D458" s="11">
        <v>0</v>
      </c>
    </row>
    <row r="459" spans="1:4" x14ac:dyDescent="0.3">
      <c r="A459" t="s">
        <v>5352</v>
      </c>
      <c r="B459" t="s">
        <v>5357</v>
      </c>
      <c r="C459" t="s">
        <v>5358</v>
      </c>
      <c r="D459" s="11">
        <v>0</v>
      </c>
    </row>
    <row r="460" spans="1:4" x14ac:dyDescent="0.3">
      <c r="A460" t="s">
        <v>5361</v>
      </c>
      <c r="B460" t="s">
        <v>97</v>
      </c>
      <c r="C460" t="s">
        <v>98</v>
      </c>
      <c r="D460" s="11">
        <v>0</v>
      </c>
    </row>
    <row r="461" spans="1:4" x14ac:dyDescent="0.3">
      <c r="A461" t="s">
        <v>5366</v>
      </c>
      <c r="B461" t="s">
        <v>4988</v>
      </c>
      <c r="C461" t="s">
        <v>4989</v>
      </c>
      <c r="D461" s="11">
        <v>0</v>
      </c>
    </row>
    <row r="462" spans="1:4" x14ac:dyDescent="0.3">
      <c r="A462" t="s">
        <v>5371</v>
      </c>
      <c r="B462" t="s">
        <v>4988</v>
      </c>
      <c r="C462" t="s">
        <v>4989</v>
      </c>
      <c r="D462" s="11">
        <v>0</v>
      </c>
    </row>
    <row r="463" spans="1:4" x14ac:dyDescent="0.3">
      <c r="A463" t="s">
        <v>5376</v>
      </c>
      <c r="B463" t="s">
        <v>5347</v>
      </c>
      <c r="C463" t="s">
        <v>5348</v>
      </c>
      <c r="D463" s="11">
        <v>-6622.2222222222226</v>
      </c>
    </row>
    <row r="464" spans="1:4" x14ac:dyDescent="0.3">
      <c r="A464" t="s">
        <v>5385</v>
      </c>
      <c r="B464" t="s">
        <v>91</v>
      </c>
      <c r="C464" t="s">
        <v>92</v>
      </c>
      <c r="D464" s="11">
        <v>0</v>
      </c>
    </row>
    <row r="465" spans="1:4" x14ac:dyDescent="0.3">
      <c r="A465" t="s">
        <v>5390</v>
      </c>
      <c r="B465" t="s">
        <v>1093</v>
      </c>
      <c r="C465" t="s">
        <v>1094</v>
      </c>
      <c r="D465" s="11">
        <v>0</v>
      </c>
    </row>
    <row r="466" spans="1:4" x14ac:dyDescent="0.3">
      <c r="A466" t="s">
        <v>5395</v>
      </c>
      <c r="B466" t="s">
        <v>59</v>
      </c>
      <c r="C466" t="s">
        <v>60</v>
      </c>
      <c r="D466" s="11">
        <v>0</v>
      </c>
    </row>
    <row r="467" spans="1:4" x14ac:dyDescent="0.3">
      <c r="A467" t="s">
        <v>5400</v>
      </c>
      <c r="B467" t="s">
        <v>797</v>
      </c>
      <c r="C467" t="s">
        <v>798</v>
      </c>
      <c r="D467" s="11">
        <v>0</v>
      </c>
    </row>
    <row r="468" spans="1:4" x14ac:dyDescent="0.3">
      <c r="A468" t="s">
        <v>5405</v>
      </c>
      <c r="B468" t="s">
        <v>5357</v>
      </c>
      <c r="C468" t="s">
        <v>5358</v>
      </c>
      <c r="D468" s="11">
        <v>0</v>
      </c>
    </row>
    <row r="469" spans="1:4" x14ac:dyDescent="0.3">
      <c r="A469" t="s">
        <v>5410</v>
      </c>
      <c r="B469" t="s">
        <v>1093</v>
      </c>
      <c r="C469" t="s">
        <v>1094</v>
      </c>
      <c r="D469" s="11">
        <v>0</v>
      </c>
    </row>
    <row r="470" spans="1:4" x14ac:dyDescent="0.3">
      <c r="A470" t="s">
        <v>5415</v>
      </c>
      <c r="B470" t="s">
        <v>70</v>
      </c>
      <c r="C470" t="s">
        <v>71</v>
      </c>
      <c r="D470" s="11">
        <v>-6333.3333333333339</v>
      </c>
    </row>
    <row r="471" spans="1:4" x14ac:dyDescent="0.3">
      <c r="A471" t="s">
        <v>5424</v>
      </c>
      <c r="B471" t="s">
        <v>115</v>
      </c>
      <c r="C471" t="s">
        <v>116</v>
      </c>
      <c r="D471" s="11">
        <v>0</v>
      </c>
    </row>
    <row r="472" spans="1:4" x14ac:dyDescent="0.3">
      <c r="A472" t="s">
        <v>5429</v>
      </c>
      <c r="B472" t="s">
        <v>947</v>
      </c>
      <c r="C472" t="s">
        <v>948</v>
      </c>
      <c r="D472" s="11">
        <v>-9642.8571428571431</v>
      </c>
    </row>
    <row r="473" spans="1:4" x14ac:dyDescent="0.3">
      <c r="A473" t="s">
        <v>5438</v>
      </c>
      <c r="B473" t="s">
        <v>97</v>
      </c>
      <c r="C473" t="s">
        <v>98</v>
      </c>
      <c r="D473" s="11">
        <v>0</v>
      </c>
    </row>
    <row r="474" spans="1:4" x14ac:dyDescent="0.3">
      <c r="A474" t="s">
        <v>5443</v>
      </c>
      <c r="B474" t="s">
        <v>5357</v>
      </c>
      <c r="C474" t="s">
        <v>5358</v>
      </c>
      <c r="D474" s="11">
        <v>0</v>
      </c>
    </row>
    <row r="475" spans="1:4" x14ac:dyDescent="0.3">
      <c r="A475" t="s">
        <v>5448</v>
      </c>
      <c r="B475" t="s">
        <v>308</v>
      </c>
      <c r="C475" t="s">
        <v>309</v>
      </c>
      <c r="D475" s="11">
        <v>0</v>
      </c>
    </row>
    <row r="476" spans="1:4" x14ac:dyDescent="0.3">
      <c r="A476" t="s">
        <v>5457</v>
      </c>
      <c r="B476" t="s">
        <v>5357</v>
      </c>
      <c r="C476" t="s">
        <v>5358</v>
      </c>
      <c r="D476" s="11">
        <v>0</v>
      </c>
    </row>
    <row r="477" spans="1:4" x14ac:dyDescent="0.3">
      <c r="A477" t="s">
        <v>5462</v>
      </c>
      <c r="B477" t="s">
        <v>5463</v>
      </c>
      <c r="C477" t="s">
        <v>5464</v>
      </c>
      <c r="D477" s="11">
        <v>0</v>
      </c>
    </row>
    <row r="478" spans="1:4" x14ac:dyDescent="0.3">
      <c r="A478" t="s">
        <v>5468</v>
      </c>
      <c r="B478" t="s">
        <v>5357</v>
      </c>
      <c r="C478" t="s">
        <v>5358</v>
      </c>
      <c r="D478" s="11">
        <v>0</v>
      </c>
    </row>
    <row r="479" spans="1:4" x14ac:dyDescent="0.3">
      <c r="A479" t="s">
        <v>5482</v>
      </c>
      <c r="B479" t="s">
        <v>2238</v>
      </c>
      <c r="C479" t="s">
        <v>2239</v>
      </c>
      <c r="D479" s="11">
        <v>0</v>
      </c>
    </row>
    <row r="480" spans="1:4" x14ac:dyDescent="0.3">
      <c r="A480" t="s">
        <v>5491</v>
      </c>
      <c r="B480" t="s">
        <v>517</v>
      </c>
      <c r="C480" t="s">
        <v>518</v>
      </c>
      <c r="D480" s="11">
        <v>0</v>
      </c>
    </row>
    <row r="481" spans="1:4" x14ac:dyDescent="0.3">
      <c r="A481" t="s">
        <v>5496</v>
      </c>
      <c r="B481" t="s">
        <v>59</v>
      </c>
      <c r="C481" t="s">
        <v>60</v>
      </c>
      <c r="D481" s="11">
        <v>0</v>
      </c>
    </row>
    <row r="482" spans="1:4" x14ac:dyDescent="0.3">
      <c r="A482" t="s">
        <v>5501</v>
      </c>
      <c r="B482" t="s">
        <v>97</v>
      </c>
      <c r="C482" t="s">
        <v>98</v>
      </c>
      <c r="D482" s="11">
        <v>0</v>
      </c>
    </row>
    <row r="483" spans="1:4" x14ac:dyDescent="0.3">
      <c r="A483" t="s">
        <v>5506</v>
      </c>
      <c r="B483" t="s">
        <v>5507</v>
      </c>
      <c r="C483" t="s">
        <v>5508</v>
      </c>
      <c r="D483" s="11">
        <v>-19185.185185185186</v>
      </c>
    </row>
    <row r="484" spans="1:4" x14ac:dyDescent="0.3">
      <c r="A484" t="s">
        <v>5516</v>
      </c>
      <c r="B484" t="s">
        <v>5357</v>
      </c>
      <c r="C484" t="s">
        <v>5358</v>
      </c>
      <c r="D484" s="11">
        <v>0</v>
      </c>
    </row>
    <row r="485" spans="1:4" x14ac:dyDescent="0.3">
      <c r="A485" t="s">
        <v>5640</v>
      </c>
      <c r="B485" t="s">
        <v>5641</v>
      </c>
      <c r="C485" t="s">
        <v>5642</v>
      </c>
      <c r="D485" s="11">
        <v>-41760</v>
      </c>
    </row>
    <row r="486" spans="1:4" x14ac:dyDescent="0.3">
      <c r="A486" t="s">
        <v>5677</v>
      </c>
      <c r="B486" t="s">
        <v>1170</v>
      </c>
      <c r="C486" t="s">
        <v>1171</v>
      </c>
      <c r="D486" s="11">
        <v>-9576.923076923078</v>
      </c>
    </row>
    <row r="487" spans="1:4" x14ac:dyDescent="0.3">
      <c r="A487" t="s">
        <v>5702</v>
      </c>
      <c r="B487" t="s">
        <v>1327</v>
      </c>
      <c r="C487" t="s">
        <v>1328</v>
      </c>
      <c r="D487" s="11">
        <v>0</v>
      </c>
    </row>
    <row r="488" spans="1:4" x14ac:dyDescent="0.3">
      <c r="A488" t="s">
        <v>5707</v>
      </c>
      <c r="B488" t="s">
        <v>2238</v>
      </c>
      <c r="C488" t="s">
        <v>2239</v>
      </c>
      <c r="D488" s="11">
        <v>-5407.4074074074078</v>
      </c>
    </row>
    <row r="489" spans="1:4" x14ac:dyDescent="0.3">
      <c r="A489" t="s">
        <v>5716</v>
      </c>
      <c r="B489" t="s">
        <v>3028</v>
      </c>
      <c r="C489" t="s">
        <v>3029</v>
      </c>
      <c r="D489" s="11">
        <v>-25319.148936170212</v>
      </c>
    </row>
    <row r="490" spans="1:4" x14ac:dyDescent="0.3">
      <c r="A490" t="s">
        <v>5741</v>
      </c>
      <c r="B490" t="s">
        <v>59</v>
      </c>
      <c r="C490" t="s">
        <v>60</v>
      </c>
      <c r="D490" s="11">
        <v>0</v>
      </c>
    </row>
    <row r="491" spans="1:4" x14ac:dyDescent="0.3">
      <c r="A491" t="s">
        <v>5746</v>
      </c>
      <c r="B491" t="s">
        <v>517</v>
      </c>
      <c r="C491" t="s">
        <v>518</v>
      </c>
      <c r="D491" s="11">
        <v>0</v>
      </c>
    </row>
    <row r="492" spans="1:4" x14ac:dyDescent="0.3">
      <c r="A492" t="s">
        <v>5751</v>
      </c>
      <c r="B492" t="s">
        <v>517</v>
      </c>
      <c r="C492" t="s">
        <v>518</v>
      </c>
      <c r="D492" s="11">
        <v>0</v>
      </c>
    </row>
    <row r="493" spans="1:4" x14ac:dyDescent="0.3">
      <c r="A493" t="s">
        <v>5756</v>
      </c>
      <c r="B493" t="s">
        <v>5477</v>
      </c>
      <c r="C493" t="s">
        <v>5478</v>
      </c>
      <c r="D493" s="11">
        <v>0</v>
      </c>
    </row>
    <row r="494" spans="1:4" x14ac:dyDescent="0.3">
      <c r="A494" t="s">
        <v>5777</v>
      </c>
      <c r="B494" t="s">
        <v>517</v>
      </c>
      <c r="C494" t="s">
        <v>518</v>
      </c>
      <c r="D494" s="11">
        <v>-10075.187969924811</v>
      </c>
    </row>
    <row r="495" spans="1:4" x14ac:dyDescent="0.3">
      <c r="A495" t="s">
        <v>5802</v>
      </c>
      <c r="B495" t="s">
        <v>4424</v>
      </c>
      <c r="C495" t="s">
        <v>4425</v>
      </c>
      <c r="D495" s="11">
        <v>-15000</v>
      </c>
    </row>
    <row r="496" spans="1:4" x14ac:dyDescent="0.3">
      <c r="A496" t="s">
        <v>5827</v>
      </c>
      <c r="B496" t="s">
        <v>91</v>
      </c>
      <c r="C496" t="s">
        <v>92</v>
      </c>
      <c r="D496" s="11">
        <v>0</v>
      </c>
    </row>
    <row r="497" spans="1:4" x14ac:dyDescent="0.3">
      <c r="A497" t="s">
        <v>5848</v>
      </c>
      <c r="B497" t="s">
        <v>3028</v>
      </c>
      <c r="C497" t="s">
        <v>3029</v>
      </c>
      <c r="D497" s="11">
        <v>-126808.51063829787</v>
      </c>
    </row>
    <row r="498" spans="1:4" x14ac:dyDescent="0.3">
      <c r="A498" t="s">
        <v>5873</v>
      </c>
      <c r="B498" t="s">
        <v>76</v>
      </c>
      <c r="C498" t="s">
        <v>77</v>
      </c>
      <c r="D498" s="11">
        <v>0</v>
      </c>
    </row>
    <row r="499" spans="1:4" x14ac:dyDescent="0.3">
      <c r="A499" t="s">
        <v>5898</v>
      </c>
      <c r="B499" t="s">
        <v>1245</v>
      </c>
      <c r="C499" t="s">
        <v>1246</v>
      </c>
      <c r="D499" s="11">
        <v>0</v>
      </c>
    </row>
    <row r="500" spans="1:4" x14ac:dyDescent="0.3">
      <c r="A500" t="s">
        <v>5915</v>
      </c>
      <c r="B500" t="s">
        <v>3028</v>
      </c>
      <c r="C500" t="s">
        <v>3029</v>
      </c>
      <c r="D500" s="11">
        <v>0</v>
      </c>
    </row>
    <row r="501" spans="1:4" x14ac:dyDescent="0.3">
      <c r="A501" t="s">
        <v>5936</v>
      </c>
      <c r="B501" t="s">
        <v>5477</v>
      </c>
      <c r="C501" t="s">
        <v>5478</v>
      </c>
      <c r="D501" s="11">
        <v>0</v>
      </c>
    </row>
    <row r="502" spans="1:4" x14ac:dyDescent="0.3">
      <c r="A502" t="s">
        <v>5941</v>
      </c>
      <c r="B502" t="s">
        <v>517</v>
      </c>
      <c r="C502" t="s">
        <v>518</v>
      </c>
      <c r="D502" s="11">
        <v>0</v>
      </c>
    </row>
    <row r="503" spans="1:4" x14ac:dyDescent="0.3">
      <c r="A503" t="s">
        <v>5946</v>
      </c>
      <c r="B503" t="s">
        <v>3028</v>
      </c>
      <c r="C503" t="s">
        <v>3029</v>
      </c>
      <c r="D503" s="11">
        <v>-25319.148936170212</v>
      </c>
    </row>
    <row r="504" spans="1:4" x14ac:dyDescent="0.3">
      <c r="A504" t="s">
        <v>5971</v>
      </c>
      <c r="B504" t="s">
        <v>517</v>
      </c>
      <c r="C504" t="s">
        <v>518</v>
      </c>
      <c r="D504" s="11">
        <v>0</v>
      </c>
    </row>
    <row r="505" spans="1:4" x14ac:dyDescent="0.3">
      <c r="A505" t="s">
        <v>5976</v>
      </c>
      <c r="B505" t="s">
        <v>21</v>
      </c>
      <c r="C505" t="s">
        <v>22</v>
      </c>
      <c r="D505" s="11">
        <v>0</v>
      </c>
    </row>
    <row r="506" spans="1:4" x14ac:dyDescent="0.3">
      <c r="A506" t="s">
        <v>5980</v>
      </c>
      <c r="B506" t="s">
        <v>2086</v>
      </c>
      <c r="C506" t="s">
        <v>2087</v>
      </c>
      <c r="D506" s="11">
        <v>0</v>
      </c>
    </row>
    <row r="507" spans="1:4" x14ac:dyDescent="0.3">
      <c r="A507" t="s">
        <v>5985</v>
      </c>
      <c r="B507" t="s">
        <v>5986</v>
      </c>
      <c r="C507" t="s">
        <v>5987</v>
      </c>
      <c r="D507" s="11">
        <v>0</v>
      </c>
    </row>
    <row r="508" spans="1:4" x14ac:dyDescent="0.3">
      <c r="A508" t="s">
        <v>5991</v>
      </c>
      <c r="B508" t="s">
        <v>5986</v>
      </c>
      <c r="C508" t="s">
        <v>5987</v>
      </c>
      <c r="D508" s="11">
        <v>0</v>
      </c>
    </row>
    <row r="509" spans="1:4" x14ac:dyDescent="0.3">
      <c r="A509" t="s">
        <v>5996</v>
      </c>
      <c r="B509" t="s">
        <v>97</v>
      </c>
      <c r="C509" t="s">
        <v>98</v>
      </c>
      <c r="D509" s="11">
        <v>0</v>
      </c>
    </row>
    <row r="510" spans="1:4" x14ac:dyDescent="0.3">
      <c r="A510" t="s">
        <v>6083</v>
      </c>
      <c r="B510" t="s">
        <v>6084</v>
      </c>
      <c r="C510" t="s">
        <v>6085</v>
      </c>
      <c r="D510" s="11">
        <v>-6273.6842105263158</v>
      </c>
    </row>
    <row r="511" spans="1:4" x14ac:dyDescent="0.3">
      <c r="A511" t="s">
        <v>6109</v>
      </c>
      <c r="B511" t="s">
        <v>1170</v>
      </c>
      <c r="C511" t="s">
        <v>1171</v>
      </c>
      <c r="D511" s="11">
        <v>-4788.461538461539</v>
      </c>
    </row>
    <row r="512" spans="1:4" x14ac:dyDescent="0.3">
      <c r="A512" t="s">
        <v>6134</v>
      </c>
      <c r="B512" t="s">
        <v>3608</v>
      </c>
      <c r="C512" t="s">
        <v>3609</v>
      </c>
      <c r="D512" s="11">
        <v>0</v>
      </c>
    </row>
    <row r="513" spans="1:4" x14ac:dyDescent="0.3">
      <c r="A513" t="s">
        <v>6155</v>
      </c>
      <c r="B513" t="s">
        <v>6156</v>
      </c>
      <c r="C513" t="s">
        <v>6157</v>
      </c>
      <c r="D513" s="11">
        <v>-6273.6842105263158</v>
      </c>
    </row>
    <row r="514" spans="1:4" x14ac:dyDescent="0.3">
      <c r="A514" t="s">
        <v>6181</v>
      </c>
      <c r="B514" t="s">
        <v>4511</v>
      </c>
      <c r="C514" t="s">
        <v>4512</v>
      </c>
      <c r="D514" s="11">
        <v>0</v>
      </c>
    </row>
    <row r="515" spans="1:4" x14ac:dyDescent="0.3">
      <c r="A515" t="s">
        <v>6187</v>
      </c>
      <c r="B515" t="s">
        <v>97</v>
      </c>
      <c r="C515" t="s">
        <v>98</v>
      </c>
      <c r="D515" s="11">
        <v>0</v>
      </c>
    </row>
    <row r="516" spans="1:4" x14ac:dyDescent="0.3">
      <c r="A516" t="s">
        <v>6192</v>
      </c>
      <c r="B516" t="s">
        <v>1027</v>
      </c>
      <c r="C516" t="s">
        <v>1028</v>
      </c>
      <c r="D516" s="11">
        <v>0</v>
      </c>
    </row>
    <row r="517" spans="1:4" x14ac:dyDescent="0.3">
      <c r="A517" t="s">
        <v>6213</v>
      </c>
      <c r="B517" t="s">
        <v>1170</v>
      </c>
      <c r="C517" t="s">
        <v>1171</v>
      </c>
      <c r="D517" s="11">
        <v>-4769.2307692307695</v>
      </c>
    </row>
    <row r="518" spans="1:4" x14ac:dyDescent="0.3">
      <c r="A518" t="s">
        <v>6238</v>
      </c>
      <c r="B518" t="s">
        <v>6156</v>
      </c>
      <c r="C518" t="s">
        <v>6157</v>
      </c>
      <c r="D518" s="11">
        <v>0</v>
      </c>
    </row>
    <row r="519" spans="1:4" x14ac:dyDescent="0.3">
      <c r="A519" t="s">
        <v>6243</v>
      </c>
      <c r="B519" t="s">
        <v>6244</v>
      </c>
      <c r="C519" t="s">
        <v>6245</v>
      </c>
      <c r="D519" s="11">
        <v>0</v>
      </c>
    </row>
    <row r="520" spans="1:4" x14ac:dyDescent="0.3">
      <c r="A520" t="s">
        <v>6249</v>
      </c>
      <c r="B520" t="s">
        <v>6250</v>
      </c>
      <c r="C520" t="s">
        <v>6251</v>
      </c>
      <c r="D520" s="11">
        <v>0</v>
      </c>
    </row>
    <row r="521" spans="1:4" x14ac:dyDescent="0.3">
      <c r="A521" t="s">
        <v>6263</v>
      </c>
      <c r="B521" t="s">
        <v>693</v>
      </c>
      <c r="C521" t="s">
        <v>694</v>
      </c>
      <c r="D521" s="11">
        <v>0</v>
      </c>
    </row>
    <row r="522" spans="1:4" x14ac:dyDescent="0.3">
      <c r="A522" t="s">
        <v>6268</v>
      </c>
      <c r="B522" t="s">
        <v>6244</v>
      </c>
      <c r="C522" t="s">
        <v>6245</v>
      </c>
      <c r="D522" s="11">
        <v>0</v>
      </c>
    </row>
    <row r="523" spans="1:4" x14ac:dyDescent="0.3">
      <c r="A523" t="s">
        <v>6289</v>
      </c>
      <c r="B523" t="s">
        <v>797</v>
      </c>
      <c r="C523" t="s">
        <v>798</v>
      </c>
      <c r="D523" s="11">
        <v>-29798.657718120805</v>
      </c>
    </row>
    <row r="524" spans="1:4" x14ac:dyDescent="0.3">
      <c r="A524" t="s">
        <v>6314</v>
      </c>
      <c r="B524" t="s">
        <v>797</v>
      </c>
      <c r="C524" t="s">
        <v>798</v>
      </c>
      <c r="D524" s="11">
        <v>-29879.194630872484</v>
      </c>
    </row>
    <row r="525" spans="1:4" x14ac:dyDescent="0.3">
      <c r="A525" t="s">
        <v>6339</v>
      </c>
      <c r="B525" t="s">
        <v>1170</v>
      </c>
      <c r="C525" t="s">
        <v>1171</v>
      </c>
      <c r="D525" s="11">
        <v>0</v>
      </c>
    </row>
    <row r="526" spans="1:4" x14ac:dyDescent="0.3">
      <c r="A526" t="s">
        <v>6360</v>
      </c>
      <c r="B526" t="s">
        <v>2934</v>
      </c>
      <c r="C526" t="s">
        <v>2935</v>
      </c>
      <c r="D526" s="11">
        <v>0</v>
      </c>
    </row>
    <row r="527" spans="1:4" x14ac:dyDescent="0.3">
      <c r="A527" t="s">
        <v>6365</v>
      </c>
      <c r="B527" t="s">
        <v>947</v>
      </c>
      <c r="C527" t="s">
        <v>948</v>
      </c>
      <c r="D527" s="11">
        <v>-11000</v>
      </c>
    </row>
    <row r="528" spans="1:4" x14ac:dyDescent="0.3">
      <c r="A528" t="s">
        <v>6374</v>
      </c>
      <c r="B528" t="s">
        <v>97</v>
      </c>
      <c r="C528" t="s">
        <v>98</v>
      </c>
      <c r="D528" s="11">
        <v>0</v>
      </c>
    </row>
    <row r="529" spans="1:4" x14ac:dyDescent="0.3">
      <c r="A529" t="s">
        <v>6395</v>
      </c>
      <c r="B529" t="s">
        <v>6244</v>
      </c>
      <c r="C529" t="s">
        <v>6245</v>
      </c>
      <c r="D529" s="11">
        <v>-19860.279441117764</v>
      </c>
    </row>
    <row r="530" spans="1:4" x14ac:dyDescent="0.3">
      <c r="A530" t="s">
        <v>6420</v>
      </c>
      <c r="B530" t="s">
        <v>5357</v>
      </c>
      <c r="C530" t="s">
        <v>5358</v>
      </c>
      <c r="D530" s="11">
        <v>0</v>
      </c>
    </row>
    <row r="531" spans="1:4" x14ac:dyDescent="0.3">
      <c r="A531" t="s">
        <v>6425</v>
      </c>
      <c r="B531" t="s">
        <v>740</v>
      </c>
      <c r="C531" t="s">
        <v>741</v>
      </c>
      <c r="D531" s="11">
        <v>0</v>
      </c>
    </row>
    <row r="532" spans="1:4" x14ac:dyDescent="0.3">
      <c r="A532" t="s">
        <v>6430</v>
      </c>
      <c r="B532" t="s">
        <v>4791</v>
      </c>
      <c r="C532" t="s">
        <v>4792</v>
      </c>
      <c r="D532" s="11">
        <v>0</v>
      </c>
    </row>
    <row r="533" spans="1:4" x14ac:dyDescent="0.3">
      <c r="A533" t="s">
        <v>6435</v>
      </c>
      <c r="B533" t="s">
        <v>4791</v>
      </c>
      <c r="C533" t="s">
        <v>4792</v>
      </c>
      <c r="D533" s="11">
        <v>0</v>
      </c>
    </row>
    <row r="534" spans="1:4" x14ac:dyDescent="0.3">
      <c r="A534" t="s">
        <v>6460</v>
      </c>
      <c r="B534" t="s">
        <v>4791</v>
      </c>
      <c r="C534" t="s">
        <v>4792</v>
      </c>
      <c r="D534" s="11">
        <v>0</v>
      </c>
    </row>
    <row r="535" spans="1:4" x14ac:dyDescent="0.3">
      <c r="A535" t="s">
        <v>6481</v>
      </c>
      <c r="B535" t="s">
        <v>5986</v>
      </c>
      <c r="C535" t="s">
        <v>5987</v>
      </c>
      <c r="D535" s="11">
        <v>0</v>
      </c>
    </row>
    <row r="536" spans="1:4" x14ac:dyDescent="0.3">
      <c r="A536" t="s">
        <v>6486</v>
      </c>
      <c r="B536" t="s">
        <v>1027</v>
      </c>
      <c r="C536" t="s">
        <v>1028</v>
      </c>
      <c r="D536" s="11">
        <v>-10590.163934426229</v>
      </c>
    </row>
    <row r="537" spans="1:4" x14ac:dyDescent="0.3">
      <c r="A537" t="s">
        <v>6511</v>
      </c>
      <c r="B537" t="s">
        <v>1027</v>
      </c>
      <c r="C537" t="s">
        <v>1028</v>
      </c>
      <c r="D537" s="11">
        <v>0</v>
      </c>
    </row>
    <row r="538" spans="1:4" x14ac:dyDescent="0.3">
      <c r="A538" t="s">
        <v>6516</v>
      </c>
      <c r="B538" t="s">
        <v>97</v>
      </c>
      <c r="C538" t="s">
        <v>98</v>
      </c>
      <c r="D538" s="11">
        <v>0</v>
      </c>
    </row>
    <row r="539" spans="1:4" x14ac:dyDescent="0.3">
      <c r="A539" t="s">
        <v>6537</v>
      </c>
      <c r="B539" t="s">
        <v>70</v>
      </c>
      <c r="C539" t="s">
        <v>71</v>
      </c>
      <c r="D539" s="11">
        <v>-6333.3333333333339</v>
      </c>
    </row>
    <row r="540" spans="1:4" x14ac:dyDescent="0.3">
      <c r="A540" t="s">
        <v>6558</v>
      </c>
      <c r="B540" t="s">
        <v>740</v>
      </c>
      <c r="C540" t="s">
        <v>741</v>
      </c>
      <c r="D540" s="11">
        <v>0</v>
      </c>
    </row>
    <row r="541" spans="1:4" x14ac:dyDescent="0.3">
      <c r="A541" t="s">
        <v>6563</v>
      </c>
      <c r="B541" t="s">
        <v>647</v>
      </c>
      <c r="C541" t="s">
        <v>648</v>
      </c>
      <c r="D541" s="11">
        <v>0</v>
      </c>
    </row>
    <row r="542" spans="1:4" x14ac:dyDescent="0.3">
      <c r="A542" t="s">
        <v>6568</v>
      </c>
      <c r="B542" t="s">
        <v>5357</v>
      </c>
      <c r="C542" t="s">
        <v>5358</v>
      </c>
      <c r="D542" s="11">
        <v>0</v>
      </c>
    </row>
    <row r="543" spans="1:4" x14ac:dyDescent="0.3">
      <c r="A543" t="s">
        <v>6589</v>
      </c>
      <c r="B543" t="s">
        <v>2086</v>
      </c>
      <c r="C543" t="s">
        <v>2087</v>
      </c>
      <c r="D543" s="11">
        <v>0</v>
      </c>
    </row>
    <row r="544" spans="1:4" x14ac:dyDescent="0.3">
      <c r="A544" t="s">
        <v>6606</v>
      </c>
      <c r="B544" t="s">
        <v>693</v>
      </c>
      <c r="C544" t="s">
        <v>694</v>
      </c>
      <c r="D544" s="11">
        <v>0</v>
      </c>
    </row>
    <row r="545" spans="1:4" x14ac:dyDescent="0.3">
      <c r="A545" t="s">
        <v>6627</v>
      </c>
      <c r="B545" t="s">
        <v>1170</v>
      </c>
      <c r="C545" t="s">
        <v>1171</v>
      </c>
      <c r="D545" s="11">
        <v>-4788.461538461539</v>
      </c>
    </row>
    <row r="546" spans="1:4" x14ac:dyDescent="0.3">
      <c r="A546" t="s">
        <v>6655</v>
      </c>
      <c r="B546" t="s">
        <v>5357</v>
      </c>
      <c r="C546" t="s">
        <v>5358</v>
      </c>
      <c r="D546" s="11">
        <v>0</v>
      </c>
    </row>
    <row r="547" spans="1:4" x14ac:dyDescent="0.3">
      <c r="A547" t="s">
        <v>6660</v>
      </c>
      <c r="B547" t="s">
        <v>740</v>
      </c>
      <c r="C547" t="s">
        <v>741</v>
      </c>
      <c r="D547" s="11">
        <v>0</v>
      </c>
    </row>
    <row r="548" spans="1:4" x14ac:dyDescent="0.3">
      <c r="A548" t="s">
        <v>6665</v>
      </c>
      <c r="B548" t="s">
        <v>2115</v>
      </c>
      <c r="C548" t="s">
        <v>2116</v>
      </c>
      <c r="D548" s="11">
        <v>0</v>
      </c>
    </row>
    <row r="549" spans="1:4" x14ac:dyDescent="0.3">
      <c r="A549" t="s">
        <v>6670</v>
      </c>
      <c r="B549" t="s">
        <v>1027</v>
      </c>
      <c r="C549" t="s">
        <v>1028</v>
      </c>
      <c r="D549" s="11">
        <v>0</v>
      </c>
    </row>
    <row r="550" spans="1:4" x14ac:dyDescent="0.3">
      <c r="A550" t="s">
        <v>6675</v>
      </c>
      <c r="B550" t="s">
        <v>517</v>
      </c>
      <c r="C550" t="s">
        <v>518</v>
      </c>
      <c r="D550" s="11">
        <v>0</v>
      </c>
    </row>
    <row r="551" spans="1:4" x14ac:dyDescent="0.3">
      <c r="A551" t="s">
        <v>6680</v>
      </c>
      <c r="B551" t="s">
        <v>1170</v>
      </c>
      <c r="C551" t="s">
        <v>1171</v>
      </c>
      <c r="D551" s="11">
        <v>0</v>
      </c>
    </row>
    <row r="552" spans="1:4" x14ac:dyDescent="0.3">
      <c r="A552" t="s">
        <v>6688</v>
      </c>
      <c r="B552" t="s">
        <v>517</v>
      </c>
      <c r="C552" t="s">
        <v>518</v>
      </c>
      <c r="D552" s="11">
        <v>0</v>
      </c>
    </row>
    <row r="553" spans="1:4" x14ac:dyDescent="0.3">
      <c r="A553" t="s">
        <v>6693</v>
      </c>
      <c r="B553" t="s">
        <v>103</v>
      </c>
      <c r="C553" t="s">
        <v>104</v>
      </c>
      <c r="D553" s="11">
        <v>-21245.901639344262</v>
      </c>
    </row>
    <row r="554" spans="1:4" x14ac:dyDescent="0.3">
      <c r="A554" t="s">
        <v>6718</v>
      </c>
      <c r="B554" t="s">
        <v>2611</v>
      </c>
      <c r="C554" t="s">
        <v>2612</v>
      </c>
      <c r="D554" s="11">
        <v>-21259.84251968504</v>
      </c>
    </row>
    <row r="555" spans="1:4" x14ac:dyDescent="0.3">
      <c r="A555" t="s">
        <v>6738</v>
      </c>
      <c r="B555" t="s">
        <v>1027</v>
      </c>
      <c r="C555" t="s">
        <v>1028</v>
      </c>
      <c r="D555" s="11">
        <v>0</v>
      </c>
    </row>
    <row r="556" spans="1:4" x14ac:dyDescent="0.3">
      <c r="A556" t="s">
        <v>6743</v>
      </c>
      <c r="B556" t="s">
        <v>4511</v>
      </c>
      <c r="C556" t="s">
        <v>4512</v>
      </c>
      <c r="D556" s="11">
        <v>0</v>
      </c>
    </row>
    <row r="557" spans="1:4" x14ac:dyDescent="0.3">
      <c r="A557" t="s">
        <v>6764</v>
      </c>
      <c r="B557" t="s">
        <v>4988</v>
      </c>
      <c r="C557" t="s">
        <v>4989</v>
      </c>
      <c r="D557" s="11">
        <v>0</v>
      </c>
    </row>
    <row r="558" spans="1:4" x14ac:dyDescent="0.3">
      <c r="A558" t="s">
        <v>6777</v>
      </c>
      <c r="B558" t="s">
        <v>4511</v>
      </c>
      <c r="C558" t="s">
        <v>4512</v>
      </c>
      <c r="D558" s="11">
        <v>-21610.738255033557</v>
      </c>
    </row>
    <row r="559" spans="1:4" x14ac:dyDescent="0.3">
      <c r="A559" t="s">
        <v>6793</v>
      </c>
      <c r="B559" t="s">
        <v>517</v>
      </c>
      <c r="C559" t="s">
        <v>518</v>
      </c>
      <c r="D559" s="11">
        <v>-20150.375939849622</v>
      </c>
    </row>
    <row r="560" spans="1:4" x14ac:dyDescent="0.3">
      <c r="A560" t="s">
        <v>6810</v>
      </c>
      <c r="B560" t="s">
        <v>1027</v>
      </c>
      <c r="C560" t="s">
        <v>1028</v>
      </c>
      <c r="D560" s="11">
        <v>0</v>
      </c>
    </row>
    <row r="561" spans="1:4" x14ac:dyDescent="0.3">
      <c r="A561" t="s">
        <v>6823</v>
      </c>
      <c r="B561" t="s">
        <v>3028</v>
      </c>
      <c r="C561" t="s">
        <v>3029</v>
      </c>
      <c r="D561" s="11">
        <v>-25319.148936170212</v>
      </c>
    </row>
    <row r="562" spans="1:4" x14ac:dyDescent="0.3">
      <c r="A562" t="s">
        <v>6856</v>
      </c>
      <c r="B562" t="s">
        <v>3028</v>
      </c>
      <c r="C562" t="s">
        <v>3029</v>
      </c>
      <c r="D562" s="11">
        <v>0</v>
      </c>
    </row>
    <row r="563" spans="1:4" x14ac:dyDescent="0.3">
      <c r="A563" t="s">
        <v>6869</v>
      </c>
      <c r="B563" t="s">
        <v>91</v>
      </c>
      <c r="C563" t="s">
        <v>92</v>
      </c>
      <c r="D563" s="11">
        <v>0</v>
      </c>
    </row>
    <row r="564" spans="1:4" x14ac:dyDescent="0.3">
      <c r="A564" t="s">
        <v>6882</v>
      </c>
      <c r="B564" t="s">
        <v>91</v>
      </c>
      <c r="C564" t="s">
        <v>92</v>
      </c>
      <c r="D564" s="11">
        <v>0</v>
      </c>
    </row>
    <row r="565" spans="1:4" x14ac:dyDescent="0.3">
      <c r="A565" t="s">
        <v>6895</v>
      </c>
      <c r="B565" t="s">
        <v>797</v>
      </c>
      <c r="C565" t="s">
        <v>798</v>
      </c>
      <c r="D565" s="11">
        <v>-29798.657718120805</v>
      </c>
    </row>
    <row r="566" spans="1:4" x14ac:dyDescent="0.3">
      <c r="A566" t="s">
        <v>6912</v>
      </c>
      <c r="B566" t="s">
        <v>5357</v>
      </c>
      <c r="C566" t="s">
        <v>5358</v>
      </c>
      <c r="D566" s="11">
        <v>0</v>
      </c>
    </row>
    <row r="567" spans="1:4" x14ac:dyDescent="0.3">
      <c r="A567" t="s">
        <v>6925</v>
      </c>
      <c r="B567" t="s">
        <v>4955</v>
      </c>
      <c r="C567" t="s">
        <v>4956</v>
      </c>
      <c r="D567" s="11">
        <v>0</v>
      </c>
    </row>
    <row r="568" spans="1:4" x14ac:dyDescent="0.3">
      <c r="A568" t="s">
        <v>6938</v>
      </c>
      <c r="B568" t="s">
        <v>517</v>
      </c>
      <c r="C568" t="s">
        <v>518</v>
      </c>
      <c r="D568" s="11">
        <v>0</v>
      </c>
    </row>
    <row r="569" spans="1:4" x14ac:dyDescent="0.3">
      <c r="A569" t="s">
        <v>6947</v>
      </c>
      <c r="B569" t="s">
        <v>6955</v>
      </c>
      <c r="C569" t="s">
        <v>6956</v>
      </c>
      <c r="D569" s="11">
        <v>0</v>
      </c>
    </row>
    <row r="570" spans="1:4" x14ac:dyDescent="0.3">
      <c r="A570" t="s">
        <v>6959</v>
      </c>
      <c r="B570" t="s">
        <v>5357</v>
      </c>
      <c r="C570" t="s">
        <v>5358</v>
      </c>
      <c r="D570" s="11">
        <v>0</v>
      </c>
    </row>
    <row r="571" spans="1:4" x14ac:dyDescent="0.3">
      <c r="A571" t="s">
        <v>6968</v>
      </c>
      <c r="B571" t="s">
        <v>3028</v>
      </c>
      <c r="C571" t="s">
        <v>3029</v>
      </c>
      <c r="D571" s="11">
        <v>-25319.148936170212</v>
      </c>
    </row>
    <row r="572" spans="1:4" x14ac:dyDescent="0.3">
      <c r="A572" t="s">
        <v>7064</v>
      </c>
      <c r="B572" t="s">
        <v>2168</v>
      </c>
      <c r="C572" t="s">
        <v>2169</v>
      </c>
      <c r="D572" s="11">
        <v>0</v>
      </c>
    </row>
    <row r="573" spans="1:4" x14ac:dyDescent="0.3">
      <c r="A573" t="s">
        <v>7069</v>
      </c>
      <c r="B573" t="s">
        <v>2168</v>
      </c>
      <c r="C573" t="s">
        <v>2169</v>
      </c>
      <c r="D573" s="11">
        <v>0</v>
      </c>
    </row>
    <row r="574" spans="1:4" x14ac:dyDescent="0.3">
      <c r="A574" t="s">
        <v>7074</v>
      </c>
      <c r="B574" t="s">
        <v>6955</v>
      </c>
      <c r="C574" t="s">
        <v>6956</v>
      </c>
      <c r="D574" s="11">
        <v>-21120</v>
      </c>
    </row>
    <row r="575" spans="1:4" x14ac:dyDescent="0.3">
      <c r="A575" t="s">
        <v>7081</v>
      </c>
      <c r="B575" t="s">
        <v>7090</v>
      </c>
      <c r="C575" t="s">
        <v>7091</v>
      </c>
      <c r="D575" s="11">
        <v>-10075.187969924811</v>
      </c>
    </row>
    <row r="576" spans="1:4" x14ac:dyDescent="0.3">
      <c r="A576" t="s">
        <v>7095</v>
      </c>
      <c r="B576" t="s">
        <v>7090</v>
      </c>
      <c r="C576" t="s">
        <v>7091</v>
      </c>
      <c r="D576" s="11">
        <v>0</v>
      </c>
    </row>
    <row r="577" spans="1:4" x14ac:dyDescent="0.3">
      <c r="A577" t="s">
        <v>7100</v>
      </c>
      <c r="B577" t="s">
        <v>7090</v>
      </c>
      <c r="C577" t="s">
        <v>7091</v>
      </c>
      <c r="D577" s="11">
        <v>0</v>
      </c>
    </row>
    <row r="578" spans="1:4" x14ac:dyDescent="0.3">
      <c r="A578" t="s">
        <v>7105</v>
      </c>
      <c r="B578" t="s">
        <v>2086</v>
      </c>
      <c r="C578" t="s">
        <v>2087</v>
      </c>
      <c r="D578" s="11">
        <v>-8444.4444444444453</v>
      </c>
    </row>
    <row r="579" spans="1:4" x14ac:dyDescent="0.3">
      <c r="A579" t="s">
        <v>7118</v>
      </c>
      <c r="B579" t="s">
        <v>7090</v>
      </c>
      <c r="C579" t="s">
        <v>7091</v>
      </c>
      <c r="D579" s="11">
        <v>0</v>
      </c>
    </row>
    <row r="580" spans="1:4" x14ac:dyDescent="0.3">
      <c r="A580" t="s">
        <v>7127</v>
      </c>
      <c r="B580" t="s">
        <v>5357</v>
      </c>
      <c r="C580" t="s">
        <v>5358</v>
      </c>
      <c r="D580" s="11">
        <v>0</v>
      </c>
    </row>
    <row r="581" spans="1:4" x14ac:dyDescent="0.3">
      <c r="A581" t="s">
        <v>7136</v>
      </c>
      <c r="B581" t="s">
        <v>797</v>
      </c>
      <c r="C581" t="s">
        <v>798</v>
      </c>
      <c r="D581" s="11">
        <v>-59597.31543624161</v>
      </c>
    </row>
    <row r="582" spans="1:4" x14ac:dyDescent="0.3">
      <c r="A582" t="s">
        <v>7153</v>
      </c>
      <c r="B582" t="s">
        <v>1667</v>
      </c>
      <c r="C582" t="s">
        <v>1668</v>
      </c>
      <c r="D582" s="11">
        <v>0</v>
      </c>
    </row>
    <row r="583" spans="1:4" x14ac:dyDescent="0.3">
      <c r="A583" t="s">
        <v>7158</v>
      </c>
      <c r="B583" t="s">
        <v>5357</v>
      </c>
      <c r="C583" t="s">
        <v>5358</v>
      </c>
      <c r="D583" s="11">
        <v>0</v>
      </c>
    </row>
    <row r="584" spans="1:4" x14ac:dyDescent="0.3">
      <c r="A584" t="s">
        <v>7167</v>
      </c>
      <c r="B584" t="s">
        <v>5347</v>
      </c>
      <c r="C584" t="s">
        <v>5348</v>
      </c>
      <c r="D584" s="11">
        <v>0</v>
      </c>
    </row>
    <row r="585" spans="1:4" x14ac:dyDescent="0.3">
      <c r="A585" t="s">
        <v>7176</v>
      </c>
      <c r="B585" t="s">
        <v>97</v>
      </c>
      <c r="C585" t="s">
        <v>98</v>
      </c>
      <c r="D585" s="11">
        <v>0</v>
      </c>
    </row>
    <row r="586" spans="1:4" x14ac:dyDescent="0.3">
      <c r="A586" t="s">
        <v>7185</v>
      </c>
      <c r="B586" t="s">
        <v>797</v>
      </c>
      <c r="C586" t="s">
        <v>798</v>
      </c>
      <c r="D586" s="11">
        <v>0</v>
      </c>
    </row>
    <row r="587" spans="1:4" x14ac:dyDescent="0.3">
      <c r="A587" t="s">
        <v>7198</v>
      </c>
      <c r="B587" t="s">
        <v>5357</v>
      </c>
      <c r="C587" t="s">
        <v>5358</v>
      </c>
      <c r="D587" s="11">
        <v>0</v>
      </c>
    </row>
    <row r="588" spans="1:4" x14ac:dyDescent="0.3">
      <c r="A588" t="s">
        <v>7207</v>
      </c>
      <c r="B588" t="s">
        <v>97</v>
      </c>
      <c r="C588" t="s">
        <v>98</v>
      </c>
      <c r="D588" s="11">
        <v>0</v>
      </c>
    </row>
    <row r="589" spans="1:4" x14ac:dyDescent="0.3">
      <c r="A589" t="s">
        <v>7216</v>
      </c>
      <c r="B589" t="s">
        <v>797</v>
      </c>
      <c r="C589" t="s">
        <v>798</v>
      </c>
      <c r="D589" s="11">
        <v>-29798.657718120805</v>
      </c>
    </row>
    <row r="590" spans="1:4" x14ac:dyDescent="0.3">
      <c r="A590" t="s">
        <v>7229</v>
      </c>
      <c r="B590" t="s">
        <v>5357</v>
      </c>
      <c r="C590" t="s">
        <v>5358</v>
      </c>
      <c r="D590" s="11">
        <v>0</v>
      </c>
    </row>
    <row r="591" spans="1:4" x14ac:dyDescent="0.3">
      <c r="A591" t="s">
        <v>7238</v>
      </c>
      <c r="B591" t="s">
        <v>797</v>
      </c>
      <c r="C591" t="s">
        <v>798</v>
      </c>
      <c r="D591" s="11">
        <v>-59597.31543624161</v>
      </c>
    </row>
    <row r="592" spans="1:4" x14ac:dyDescent="0.3">
      <c r="A592" t="s">
        <v>7251</v>
      </c>
      <c r="B592" t="s">
        <v>5357</v>
      </c>
      <c r="C592" t="s">
        <v>5358</v>
      </c>
      <c r="D592" s="11">
        <v>0</v>
      </c>
    </row>
    <row r="593" spans="1:4" x14ac:dyDescent="0.3">
      <c r="A593" t="s">
        <v>7260</v>
      </c>
      <c r="B593" t="s">
        <v>97</v>
      </c>
      <c r="C593" t="s">
        <v>98</v>
      </c>
      <c r="D593" s="11">
        <v>0</v>
      </c>
    </row>
    <row r="594" spans="1:4" x14ac:dyDescent="0.3">
      <c r="A594" t="s">
        <v>7269</v>
      </c>
      <c r="B594" t="s">
        <v>1170</v>
      </c>
      <c r="C594" t="s">
        <v>1171</v>
      </c>
      <c r="D594" s="11">
        <v>-9576.923076923078</v>
      </c>
    </row>
    <row r="595" spans="1:4" x14ac:dyDescent="0.3">
      <c r="A595" t="s">
        <v>7282</v>
      </c>
      <c r="B595" t="s">
        <v>517</v>
      </c>
      <c r="C595" t="s">
        <v>518</v>
      </c>
      <c r="D595" s="11">
        <v>0</v>
      </c>
    </row>
    <row r="596" spans="1:4" x14ac:dyDescent="0.3">
      <c r="A596" t="s">
        <v>7291</v>
      </c>
      <c r="B596" t="s">
        <v>947</v>
      </c>
      <c r="C596" t="s">
        <v>948</v>
      </c>
      <c r="D596" s="11">
        <v>-41214.28571428571</v>
      </c>
    </row>
    <row r="597" spans="1:4" x14ac:dyDescent="0.3">
      <c r="A597" t="s">
        <v>7304</v>
      </c>
      <c r="B597" t="s">
        <v>517</v>
      </c>
      <c r="C597" t="s">
        <v>518</v>
      </c>
      <c r="D597" s="11">
        <v>0</v>
      </c>
    </row>
    <row r="598" spans="1:4" x14ac:dyDescent="0.3">
      <c r="A598" t="s">
        <v>7313</v>
      </c>
      <c r="B598" t="s">
        <v>797</v>
      </c>
      <c r="C598" t="s">
        <v>798</v>
      </c>
      <c r="D598" s="11">
        <v>-29798.657718120805</v>
      </c>
    </row>
    <row r="599" spans="1:4" x14ac:dyDescent="0.3">
      <c r="A599" t="s">
        <v>7326</v>
      </c>
      <c r="B599" t="s">
        <v>797</v>
      </c>
      <c r="C599" t="s">
        <v>798</v>
      </c>
      <c r="D599" s="11">
        <v>0</v>
      </c>
    </row>
    <row r="600" spans="1:4" x14ac:dyDescent="0.3">
      <c r="A600" t="s">
        <v>7335</v>
      </c>
      <c r="B600" t="s">
        <v>2086</v>
      </c>
      <c r="C600" t="s">
        <v>2087</v>
      </c>
      <c r="D600" s="11">
        <v>0</v>
      </c>
    </row>
    <row r="601" spans="1:4" x14ac:dyDescent="0.3">
      <c r="A601" t="s">
        <v>7344</v>
      </c>
      <c r="B601" t="s">
        <v>70</v>
      </c>
      <c r="C601" t="s">
        <v>71</v>
      </c>
      <c r="D601" s="11">
        <v>-2111.1111111111113</v>
      </c>
    </row>
    <row r="602" spans="1:4" x14ac:dyDescent="0.3">
      <c r="A602" t="s">
        <v>7353</v>
      </c>
      <c r="B602" t="s">
        <v>70</v>
      </c>
      <c r="C602" t="s">
        <v>71</v>
      </c>
      <c r="D602" s="11">
        <v>0</v>
      </c>
    </row>
    <row r="603" spans="1:4" x14ac:dyDescent="0.3">
      <c r="A603" t="s">
        <v>7362</v>
      </c>
      <c r="B603" t="s">
        <v>5357</v>
      </c>
      <c r="C603" t="s">
        <v>5358</v>
      </c>
      <c r="D603" s="11">
        <v>0</v>
      </c>
    </row>
    <row r="604" spans="1:4" x14ac:dyDescent="0.3">
      <c r="A604" t="s">
        <v>7371</v>
      </c>
      <c r="B604" t="s">
        <v>4791</v>
      </c>
      <c r="C604" t="s">
        <v>4792</v>
      </c>
      <c r="D604" s="11">
        <v>0</v>
      </c>
    </row>
    <row r="605" spans="1:4" x14ac:dyDescent="0.3">
      <c r="A605" t="s">
        <v>7380</v>
      </c>
      <c r="B605" t="s">
        <v>4791</v>
      </c>
      <c r="C605" t="s">
        <v>4792</v>
      </c>
      <c r="D605" s="11">
        <v>0</v>
      </c>
    </row>
    <row r="606" spans="1:4" x14ac:dyDescent="0.3">
      <c r="A606" t="s">
        <v>7389</v>
      </c>
      <c r="B606" t="s">
        <v>797</v>
      </c>
      <c r="C606" t="s">
        <v>798</v>
      </c>
      <c r="D606" s="11">
        <v>-29798.657718120805</v>
      </c>
    </row>
    <row r="607" spans="1:4" x14ac:dyDescent="0.3">
      <c r="A607" t="s">
        <v>7402</v>
      </c>
      <c r="B607" t="s">
        <v>1667</v>
      </c>
      <c r="C607" t="s">
        <v>1668</v>
      </c>
      <c r="D607" s="11">
        <v>-44782.608695652176</v>
      </c>
    </row>
    <row r="608" spans="1:4" x14ac:dyDescent="0.3">
      <c r="A608" t="s">
        <v>7415</v>
      </c>
      <c r="B608" t="s">
        <v>5357</v>
      </c>
      <c r="C608" t="s">
        <v>5358</v>
      </c>
      <c r="D608" s="11">
        <v>0</v>
      </c>
    </row>
    <row r="609" spans="1:4" x14ac:dyDescent="0.3">
      <c r="A609" t="s">
        <v>7424</v>
      </c>
      <c r="B609" t="s">
        <v>2168</v>
      </c>
      <c r="C609" t="s">
        <v>2169</v>
      </c>
      <c r="D609" s="11">
        <v>0</v>
      </c>
    </row>
    <row r="610" spans="1:4" x14ac:dyDescent="0.3">
      <c r="A610" t="s">
        <v>7433</v>
      </c>
      <c r="B610" t="s">
        <v>2168</v>
      </c>
      <c r="C610" t="s">
        <v>2169</v>
      </c>
      <c r="D610" s="11">
        <v>0</v>
      </c>
    </row>
    <row r="611" spans="1:4" x14ac:dyDescent="0.3">
      <c r="A611" t="s">
        <v>7438</v>
      </c>
      <c r="B611" t="s">
        <v>18452</v>
      </c>
      <c r="C611" t="s">
        <v>18452</v>
      </c>
      <c r="D611" s="11">
        <v>0</v>
      </c>
    </row>
    <row r="612" spans="1:4" x14ac:dyDescent="0.3">
      <c r="A612" t="s">
        <v>7444</v>
      </c>
      <c r="B612" t="s">
        <v>740</v>
      </c>
      <c r="C612" t="s">
        <v>741</v>
      </c>
      <c r="D612" s="11">
        <v>0</v>
      </c>
    </row>
    <row r="613" spans="1:4" x14ac:dyDescent="0.3">
      <c r="A613" t="s">
        <v>7449</v>
      </c>
      <c r="B613" t="s">
        <v>740</v>
      </c>
      <c r="C613" t="s">
        <v>741</v>
      </c>
      <c r="D613" s="11">
        <v>0</v>
      </c>
    </row>
    <row r="614" spans="1:4" x14ac:dyDescent="0.3">
      <c r="A614" t="s">
        <v>7458</v>
      </c>
      <c r="B614" t="s">
        <v>3028</v>
      </c>
      <c r="C614" t="s">
        <v>3029</v>
      </c>
      <c r="D614" s="11">
        <v>-25319.148936170212</v>
      </c>
    </row>
    <row r="615" spans="1:4" x14ac:dyDescent="0.3">
      <c r="A615" t="s">
        <v>7471</v>
      </c>
      <c r="B615" t="s">
        <v>517</v>
      </c>
      <c r="C615" t="s">
        <v>518</v>
      </c>
      <c r="D615" s="11">
        <v>0</v>
      </c>
    </row>
    <row r="616" spans="1:4" x14ac:dyDescent="0.3">
      <c r="A616" t="s">
        <v>7480</v>
      </c>
      <c r="B616" t="s">
        <v>517</v>
      </c>
      <c r="C616" t="s">
        <v>518</v>
      </c>
      <c r="D616" s="11">
        <v>0</v>
      </c>
    </row>
    <row r="617" spans="1:4" x14ac:dyDescent="0.3">
      <c r="A617" t="s">
        <v>7489</v>
      </c>
      <c r="B617" t="s">
        <v>2008</v>
      </c>
      <c r="C617" t="s">
        <v>2009</v>
      </c>
      <c r="D617" s="11">
        <v>-10075.187969924811</v>
      </c>
    </row>
    <row r="618" spans="1:4" x14ac:dyDescent="0.3">
      <c r="A618" t="s">
        <v>7502</v>
      </c>
      <c r="B618" t="s">
        <v>2840</v>
      </c>
      <c r="C618" t="s">
        <v>2841</v>
      </c>
      <c r="D618" s="11">
        <v>0</v>
      </c>
    </row>
    <row r="619" spans="1:4" x14ac:dyDescent="0.3">
      <c r="A619" t="s">
        <v>7507</v>
      </c>
      <c r="B619" t="s">
        <v>7090</v>
      </c>
      <c r="C619" t="s">
        <v>7091</v>
      </c>
      <c r="D619" s="11">
        <v>-20150.375939849622</v>
      </c>
    </row>
    <row r="620" spans="1:4" x14ac:dyDescent="0.3">
      <c r="A620" t="s">
        <v>7516</v>
      </c>
      <c r="B620" t="s">
        <v>70</v>
      </c>
      <c r="C620" t="s">
        <v>71</v>
      </c>
      <c r="D620" s="11">
        <v>-1777.7777777777778</v>
      </c>
    </row>
    <row r="621" spans="1:4" x14ac:dyDescent="0.3">
      <c r="A621" t="s">
        <v>7525</v>
      </c>
      <c r="B621" t="s">
        <v>70</v>
      </c>
      <c r="C621" t="s">
        <v>71</v>
      </c>
      <c r="D621" s="11">
        <v>0</v>
      </c>
    </row>
    <row r="622" spans="1:4" x14ac:dyDescent="0.3">
      <c r="A622" t="s">
        <v>7530</v>
      </c>
      <c r="B622" t="s">
        <v>1093</v>
      </c>
      <c r="C622" t="s">
        <v>1094</v>
      </c>
      <c r="D622" s="11">
        <v>0</v>
      </c>
    </row>
    <row r="623" spans="1:4" x14ac:dyDescent="0.3">
      <c r="A623" t="s">
        <v>7539</v>
      </c>
      <c r="B623" t="s">
        <v>2086</v>
      </c>
      <c r="C623" t="s">
        <v>2087</v>
      </c>
      <c r="D623" s="11">
        <v>0</v>
      </c>
    </row>
    <row r="624" spans="1:4" x14ac:dyDescent="0.3">
      <c r="A624" t="s">
        <v>7544</v>
      </c>
      <c r="B624" t="s">
        <v>97</v>
      </c>
      <c r="C624" t="s">
        <v>98</v>
      </c>
      <c r="D624" s="11">
        <v>0</v>
      </c>
    </row>
    <row r="625" spans="1:4" x14ac:dyDescent="0.3">
      <c r="A625" t="s">
        <v>7553</v>
      </c>
      <c r="B625" t="s">
        <v>21</v>
      </c>
      <c r="C625" t="s">
        <v>22</v>
      </c>
      <c r="D625" s="11">
        <v>0</v>
      </c>
    </row>
    <row r="626" spans="1:4" x14ac:dyDescent="0.3">
      <c r="A626" t="s">
        <v>7557</v>
      </c>
      <c r="B626" t="s">
        <v>156</v>
      </c>
      <c r="C626" t="s">
        <v>157</v>
      </c>
      <c r="D626" s="11">
        <v>0</v>
      </c>
    </row>
    <row r="627" spans="1:4" x14ac:dyDescent="0.3">
      <c r="A627" t="s">
        <v>7561</v>
      </c>
      <c r="B627" t="s">
        <v>65</v>
      </c>
      <c r="C627" t="s">
        <v>66</v>
      </c>
      <c r="D627" s="11">
        <v>0</v>
      </c>
    </row>
    <row r="628" spans="1:4" x14ac:dyDescent="0.3">
      <c r="A628" t="s">
        <v>7566</v>
      </c>
      <c r="B628" t="s">
        <v>740</v>
      </c>
      <c r="C628" t="s">
        <v>741</v>
      </c>
      <c r="D628" s="11">
        <v>0</v>
      </c>
    </row>
    <row r="629" spans="1:4" x14ac:dyDescent="0.3">
      <c r="A629" t="s">
        <v>7571</v>
      </c>
      <c r="B629" t="s">
        <v>947</v>
      </c>
      <c r="C629" t="s">
        <v>948</v>
      </c>
      <c r="D629" s="11">
        <v>0</v>
      </c>
    </row>
    <row r="630" spans="1:4" x14ac:dyDescent="0.3">
      <c r="A630" t="s">
        <v>7576</v>
      </c>
      <c r="B630" t="s">
        <v>1093</v>
      </c>
      <c r="C630" t="s">
        <v>1094</v>
      </c>
      <c r="D630" s="11">
        <v>0</v>
      </c>
    </row>
    <row r="631" spans="1:4" x14ac:dyDescent="0.3">
      <c r="A631" t="s">
        <v>7585</v>
      </c>
      <c r="B631" t="s">
        <v>740</v>
      </c>
      <c r="C631" t="s">
        <v>741</v>
      </c>
      <c r="D631" s="11">
        <v>0</v>
      </c>
    </row>
    <row r="632" spans="1:4" x14ac:dyDescent="0.3">
      <c r="A632" t="s">
        <v>7590</v>
      </c>
      <c r="B632" t="s">
        <v>5347</v>
      </c>
      <c r="C632" t="s">
        <v>5348</v>
      </c>
      <c r="D632" s="11">
        <v>-6622.2222222222226</v>
      </c>
    </row>
    <row r="633" spans="1:4" x14ac:dyDescent="0.3">
      <c r="A633" t="s">
        <v>7603</v>
      </c>
      <c r="B633" t="s">
        <v>5347</v>
      </c>
      <c r="C633" t="s">
        <v>5348</v>
      </c>
      <c r="D633" s="11">
        <v>0</v>
      </c>
    </row>
    <row r="634" spans="1:4" x14ac:dyDescent="0.3">
      <c r="A634" t="s">
        <v>7608</v>
      </c>
      <c r="B634" t="s">
        <v>3113</v>
      </c>
      <c r="C634" t="s">
        <v>3114</v>
      </c>
      <c r="D634" s="11">
        <v>0</v>
      </c>
    </row>
    <row r="635" spans="1:4" x14ac:dyDescent="0.3">
      <c r="A635" t="s">
        <v>7613</v>
      </c>
      <c r="B635" t="s">
        <v>2115</v>
      </c>
      <c r="C635" t="s">
        <v>2116</v>
      </c>
      <c r="D635" s="11">
        <v>-3588.2352941176473</v>
      </c>
    </row>
    <row r="636" spans="1:4" x14ac:dyDescent="0.3">
      <c r="A636" t="s">
        <v>7622</v>
      </c>
      <c r="B636" t="s">
        <v>2127</v>
      </c>
      <c r="C636" t="s">
        <v>2128</v>
      </c>
      <c r="D636" s="11">
        <v>-4941.1764705882351</v>
      </c>
    </row>
    <row r="637" spans="1:4" x14ac:dyDescent="0.3">
      <c r="A637" t="s">
        <v>7635</v>
      </c>
      <c r="B637" t="s">
        <v>103</v>
      </c>
      <c r="C637" t="s">
        <v>104</v>
      </c>
      <c r="D637" s="11">
        <v>0</v>
      </c>
    </row>
    <row r="638" spans="1:4" x14ac:dyDescent="0.3">
      <c r="A638" t="s">
        <v>7640</v>
      </c>
      <c r="B638" t="s">
        <v>947</v>
      </c>
      <c r="C638" t="s">
        <v>948</v>
      </c>
      <c r="D638" s="11">
        <v>0</v>
      </c>
    </row>
    <row r="639" spans="1:4" x14ac:dyDescent="0.3">
      <c r="A639" t="s">
        <v>7645</v>
      </c>
      <c r="B639" t="s">
        <v>5357</v>
      </c>
      <c r="C639" t="s">
        <v>5358</v>
      </c>
      <c r="D639" s="11">
        <v>0</v>
      </c>
    </row>
    <row r="640" spans="1:4" x14ac:dyDescent="0.3">
      <c r="A640" t="s">
        <v>7650</v>
      </c>
      <c r="B640" t="s">
        <v>5357</v>
      </c>
      <c r="C640" t="s">
        <v>5358</v>
      </c>
      <c r="D640" s="11">
        <v>0</v>
      </c>
    </row>
    <row r="641" spans="1:4" x14ac:dyDescent="0.3">
      <c r="A641" t="s">
        <v>7655</v>
      </c>
      <c r="B641" t="s">
        <v>740</v>
      </c>
      <c r="C641" t="s">
        <v>741</v>
      </c>
      <c r="D641" s="11">
        <v>-2393.4426229508199</v>
      </c>
    </row>
    <row r="642" spans="1:4" x14ac:dyDescent="0.3">
      <c r="A642" t="s">
        <v>7664</v>
      </c>
      <c r="B642" t="s">
        <v>2611</v>
      </c>
      <c r="C642" t="s">
        <v>2612</v>
      </c>
      <c r="D642" s="11">
        <v>-21259.84251968504</v>
      </c>
    </row>
    <row r="643" spans="1:4" x14ac:dyDescent="0.3">
      <c r="A643" t="s">
        <v>7673</v>
      </c>
      <c r="B643" t="s">
        <v>6955</v>
      </c>
      <c r="C643" t="s">
        <v>6956</v>
      </c>
      <c r="D643" s="11">
        <v>0</v>
      </c>
    </row>
    <row r="644" spans="1:4" x14ac:dyDescent="0.3">
      <c r="A644" t="s">
        <v>7680</v>
      </c>
      <c r="B644" t="s">
        <v>91</v>
      </c>
      <c r="C644" t="s">
        <v>92</v>
      </c>
      <c r="D644" s="11">
        <v>-6506.0240963855422</v>
      </c>
    </row>
    <row r="645" spans="1:4" x14ac:dyDescent="0.3">
      <c r="A645" t="s">
        <v>7689</v>
      </c>
      <c r="B645" t="s">
        <v>91</v>
      </c>
      <c r="C645" t="s">
        <v>92</v>
      </c>
      <c r="D645" s="11">
        <v>0</v>
      </c>
    </row>
    <row r="646" spans="1:4" x14ac:dyDescent="0.3">
      <c r="A646" t="s">
        <v>7694</v>
      </c>
      <c r="B646" t="s">
        <v>2121</v>
      </c>
      <c r="C646" t="s">
        <v>2122</v>
      </c>
      <c r="D646" s="11">
        <v>0</v>
      </c>
    </row>
    <row r="647" spans="1:4" x14ac:dyDescent="0.3">
      <c r="A647" t="s">
        <v>7699</v>
      </c>
      <c r="B647" t="s">
        <v>5357</v>
      </c>
      <c r="C647" t="s">
        <v>5358</v>
      </c>
      <c r="D647" s="11">
        <v>0</v>
      </c>
    </row>
    <row r="648" spans="1:4" x14ac:dyDescent="0.3">
      <c r="A648" t="s">
        <v>7704</v>
      </c>
      <c r="B648" t="s">
        <v>2934</v>
      </c>
      <c r="C648" t="s">
        <v>2935</v>
      </c>
      <c r="D648" s="11">
        <v>-8166.666666666667</v>
      </c>
    </row>
    <row r="649" spans="1:4" x14ac:dyDescent="0.3">
      <c r="A649" t="s">
        <v>7713</v>
      </c>
      <c r="B649" t="s">
        <v>3028</v>
      </c>
      <c r="C649" t="s">
        <v>3029</v>
      </c>
      <c r="D649" s="11">
        <v>0</v>
      </c>
    </row>
    <row r="650" spans="1:4" x14ac:dyDescent="0.3">
      <c r="A650" t="s">
        <v>7718</v>
      </c>
      <c r="B650" t="s">
        <v>97</v>
      </c>
      <c r="C650" t="s">
        <v>98</v>
      </c>
      <c r="D650" s="11">
        <v>0</v>
      </c>
    </row>
    <row r="651" spans="1:4" x14ac:dyDescent="0.3">
      <c r="A651" t="s">
        <v>7723</v>
      </c>
      <c r="B651" t="s">
        <v>5357</v>
      </c>
      <c r="C651" t="s">
        <v>5358</v>
      </c>
      <c r="D651" s="11">
        <v>0</v>
      </c>
    </row>
    <row r="652" spans="1:4" x14ac:dyDescent="0.3">
      <c r="A652" t="s">
        <v>7728</v>
      </c>
      <c r="B652" t="s">
        <v>97</v>
      </c>
      <c r="C652" t="s">
        <v>98</v>
      </c>
      <c r="D652" s="11">
        <v>0</v>
      </c>
    </row>
    <row r="653" spans="1:4" x14ac:dyDescent="0.3">
      <c r="A653" t="s">
        <v>7749</v>
      </c>
      <c r="B653" t="s">
        <v>1027</v>
      </c>
      <c r="C653" t="s">
        <v>1028</v>
      </c>
      <c r="D653" s="11">
        <v>0</v>
      </c>
    </row>
    <row r="654" spans="1:4" x14ac:dyDescent="0.3">
      <c r="A654" t="s">
        <v>7754</v>
      </c>
      <c r="B654" t="s">
        <v>5357</v>
      </c>
      <c r="C654" t="s">
        <v>5358</v>
      </c>
      <c r="D654" s="11">
        <v>0</v>
      </c>
    </row>
    <row r="655" spans="1:4" x14ac:dyDescent="0.3">
      <c r="A655" t="s">
        <v>7763</v>
      </c>
      <c r="B655" t="s">
        <v>97</v>
      </c>
      <c r="C655" t="s">
        <v>98</v>
      </c>
      <c r="D655" s="11">
        <v>0</v>
      </c>
    </row>
    <row r="656" spans="1:4" x14ac:dyDescent="0.3">
      <c r="A656" t="s">
        <v>7772</v>
      </c>
      <c r="B656" t="s">
        <v>1027</v>
      </c>
      <c r="C656" t="s">
        <v>1028</v>
      </c>
      <c r="D656" s="11">
        <v>0</v>
      </c>
    </row>
    <row r="657" spans="1:4" x14ac:dyDescent="0.3">
      <c r="A657" t="s">
        <v>7781</v>
      </c>
      <c r="B657" t="s">
        <v>59</v>
      </c>
      <c r="C657" t="s">
        <v>60</v>
      </c>
      <c r="D657" s="11">
        <v>0</v>
      </c>
    </row>
    <row r="658" spans="1:4" x14ac:dyDescent="0.3">
      <c r="A658" t="s">
        <v>7790</v>
      </c>
      <c r="B658" t="s">
        <v>1093</v>
      </c>
      <c r="C658" t="s">
        <v>1094</v>
      </c>
      <c r="D658" s="11">
        <v>0</v>
      </c>
    </row>
    <row r="659" spans="1:4" x14ac:dyDescent="0.3">
      <c r="A659" t="s">
        <v>7799</v>
      </c>
      <c r="B659" t="s">
        <v>4791</v>
      </c>
      <c r="C659" t="s">
        <v>4792</v>
      </c>
      <c r="D659" s="11">
        <v>0</v>
      </c>
    </row>
    <row r="660" spans="1:4" x14ac:dyDescent="0.3">
      <c r="A660" t="s">
        <v>7808</v>
      </c>
      <c r="B660" t="s">
        <v>103</v>
      </c>
      <c r="C660" t="s">
        <v>104</v>
      </c>
      <c r="D660" s="11">
        <v>0</v>
      </c>
    </row>
    <row r="661" spans="1:4" x14ac:dyDescent="0.3">
      <c r="A661" t="s">
        <v>7813</v>
      </c>
      <c r="B661" t="s">
        <v>103</v>
      </c>
      <c r="C661" t="s">
        <v>104</v>
      </c>
      <c r="D661" s="11">
        <v>-2491.8032786885246</v>
      </c>
    </row>
    <row r="662" spans="1:4" x14ac:dyDescent="0.3">
      <c r="A662" t="s">
        <v>7822</v>
      </c>
      <c r="B662" t="s">
        <v>59</v>
      </c>
      <c r="C662" t="s">
        <v>60</v>
      </c>
      <c r="D662" s="11">
        <v>0</v>
      </c>
    </row>
    <row r="663" spans="1:4" x14ac:dyDescent="0.3">
      <c r="A663" t="s">
        <v>7831</v>
      </c>
      <c r="B663" t="s">
        <v>517</v>
      </c>
      <c r="C663" t="s">
        <v>518</v>
      </c>
      <c r="D663" s="11">
        <v>0</v>
      </c>
    </row>
    <row r="664" spans="1:4" x14ac:dyDescent="0.3">
      <c r="A664" t="s">
        <v>7840</v>
      </c>
      <c r="B664" t="s">
        <v>4791</v>
      </c>
      <c r="C664" t="s">
        <v>4792</v>
      </c>
      <c r="D664" s="11">
        <v>0</v>
      </c>
    </row>
    <row r="665" spans="1:4" x14ac:dyDescent="0.3">
      <c r="A665" t="s">
        <v>7849</v>
      </c>
      <c r="B665" t="s">
        <v>1027</v>
      </c>
      <c r="C665" t="s">
        <v>1028</v>
      </c>
      <c r="D665" s="11">
        <v>0</v>
      </c>
    </row>
    <row r="666" spans="1:4" x14ac:dyDescent="0.3">
      <c r="A666" t="s">
        <v>7858</v>
      </c>
      <c r="B666" t="s">
        <v>59</v>
      </c>
      <c r="C666" t="s">
        <v>60</v>
      </c>
      <c r="D666" s="11">
        <v>0</v>
      </c>
    </row>
    <row r="667" spans="1:4" x14ac:dyDescent="0.3">
      <c r="A667" t="s">
        <v>7867</v>
      </c>
      <c r="B667" t="s">
        <v>517</v>
      </c>
      <c r="C667" t="s">
        <v>518</v>
      </c>
      <c r="D667" s="11">
        <v>0</v>
      </c>
    </row>
    <row r="668" spans="1:4" x14ac:dyDescent="0.3">
      <c r="A668" t="s">
        <v>7876</v>
      </c>
      <c r="B668" t="s">
        <v>97</v>
      </c>
      <c r="C668" t="s">
        <v>98</v>
      </c>
      <c r="D668" s="11">
        <v>0</v>
      </c>
    </row>
    <row r="669" spans="1:4" x14ac:dyDescent="0.3">
      <c r="A669" t="s">
        <v>7881</v>
      </c>
      <c r="B669" t="s">
        <v>6955</v>
      </c>
      <c r="C669" t="s">
        <v>6956</v>
      </c>
      <c r="D669" s="11">
        <v>0</v>
      </c>
    </row>
    <row r="670" spans="1:4" x14ac:dyDescent="0.3">
      <c r="A670" t="s">
        <v>7891</v>
      </c>
      <c r="B670" t="s">
        <v>1093</v>
      </c>
      <c r="C670" t="s">
        <v>1094</v>
      </c>
      <c r="D670" s="11">
        <v>-20880</v>
      </c>
    </row>
    <row r="671" spans="1:4" x14ac:dyDescent="0.3">
      <c r="A671" t="s">
        <v>7904</v>
      </c>
      <c r="B671" t="s">
        <v>1027</v>
      </c>
      <c r="C671" t="s">
        <v>1028</v>
      </c>
      <c r="D671" s="11">
        <v>0</v>
      </c>
    </row>
    <row r="672" spans="1:4" x14ac:dyDescent="0.3">
      <c r="A672" t="s">
        <v>7909</v>
      </c>
      <c r="B672" t="s">
        <v>517</v>
      </c>
      <c r="C672" t="s">
        <v>518</v>
      </c>
      <c r="D672" s="11">
        <v>0</v>
      </c>
    </row>
    <row r="673" spans="1:4" x14ac:dyDescent="0.3">
      <c r="A673" t="s">
        <v>7918</v>
      </c>
      <c r="B673" t="s">
        <v>1027</v>
      </c>
      <c r="C673" t="s">
        <v>1028</v>
      </c>
      <c r="D673" s="11">
        <v>0</v>
      </c>
    </row>
    <row r="674" spans="1:4" x14ac:dyDescent="0.3">
      <c r="A674" t="s">
        <v>7923</v>
      </c>
      <c r="B674" t="s">
        <v>517</v>
      </c>
      <c r="C674" t="s">
        <v>518</v>
      </c>
      <c r="D674" s="11">
        <v>0</v>
      </c>
    </row>
    <row r="675" spans="1:4" x14ac:dyDescent="0.3">
      <c r="A675" t="s">
        <v>7928</v>
      </c>
      <c r="B675" t="s">
        <v>59</v>
      </c>
      <c r="C675" t="s">
        <v>60</v>
      </c>
      <c r="D675" s="11">
        <v>0</v>
      </c>
    </row>
    <row r="676" spans="1:4" x14ac:dyDescent="0.3">
      <c r="A676" t="s">
        <v>7933</v>
      </c>
      <c r="B676" t="s">
        <v>1027</v>
      </c>
      <c r="C676" t="s">
        <v>1028</v>
      </c>
      <c r="D676" s="11">
        <v>0</v>
      </c>
    </row>
    <row r="677" spans="1:4" x14ac:dyDescent="0.3">
      <c r="A677" t="s">
        <v>7938</v>
      </c>
      <c r="B677" t="s">
        <v>1027</v>
      </c>
      <c r="C677" t="s">
        <v>1028</v>
      </c>
      <c r="D677" s="11">
        <v>0</v>
      </c>
    </row>
    <row r="678" spans="1:4" x14ac:dyDescent="0.3">
      <c r="A678" t="s">
        <v>7947</v>
      </c>
      <c r="B678" t="s">
        <v>517</v>
      </c>
      <c r="C678" t="s">
        <v>518</v>
      </c>
      <c r="D678" s="11">
        <v>0</v>
      </c>
    </row>
    <row r="679" spans="1:4" x14ac:dyDescent="0.3">
      <c r="A679" t="s">
        <v>7956</v>
      </c>
      <c r="B679" t="s">
        <v>97</v>
      </c>
      <c r="C679" t="s">
        <v>98</v>
      </c>
      <c r="D679" s="11">
        <v>0</v>
      </c>
    </row>
    <row r="680" spans="1:4" x14ac:dyDescent="0.3">
      <c r="A680" t="s">
        <v>7965</v>
      </c>
      <c r="B680" t="s">
        <v>59</v>
      </c>
      <c r="C680" t="s">
        <v>60</v>
      </c>
      <c r="D680" s="11">
        <v>0</v>
      </c>
    </row>
    <row r="681" spans="1:4" x14ac:dyDescent="0.3">
      <c r="A681" t="s">
        <v>7974</v>
      </c>
      <c r="B681" t="s">
        <v>5477</v>
      </c>
      <c r="C681" t="s">
        <v>5478</v>
      </c>
      <c r="D681" s="11">
        <v>0</v>
      </c>
    </row>
    <row r="682" spans="1:4" x14ac:dyDescent="0.3">
      <c r="A682" t="s">
        <v>7983</v>
      </c>
      <c r="B682" t="s">
        <v>59</v>
      </c>
      <c r="C682" t="s">
        <v>60</v>
      </c>
      <c r="D682" s="11">
        <v>0</v>
      </c>
    </row>
    <row r="683" spans="1:4" x14ac:dyDescent="0.3">
      <c r="A683" t="s">
        <v>7988</v>
      </c>
      <c r="B683" t="s">
        <v>1027</v>
      </c>
      <c r="C683" t="s">
        <v>1028</v>
      </c>
      <c r="D683" s="11">
        <v>0</v>
      </c>
    </row>
    <row r="684" spans="1:4" x14ac:dyDescent="0.3">
      <c r="A684" t="s">
        <v>7993</v>
      </c>
      <c r="B684" t="s">
        <v>517</v>
      </c>
      <c r="C684" t="s">
        <v>518</v>
      </c>
      <c r="D684" s="11">
        <v>0</v>
      </c>
    </row>
    <row r="685" spans="1:4" x14ac:dyDescent="0.3">
      <c r="A685" t="s">
        <v>8002</v>
      </c>
      <c r="B685" t="s">
        <v>517</v>
      </c>
      <c r="C685" t="s">
        <v>518</v>
      </c>
      <c r="D685" s="11">
        <v>0</v>
      </c>
    </row>
    <row r="686" spans="1:4" x14ac:dyDescent="0.3">
      <c r="A686" t="s">
        <v>8011</v>
      </c>
      <c r="B686" t="s">
        <v>97</v>
      </c>
      <c r="C686" t="s">
        <v>98</v>
      </c>
      <c r="D686" s="11">
        <v>0</v>
      </c>
    </row>
    <row r="687" spans="1:4" x14ac:dyDescent="0.3">
      <c r="A687" t="s">
        <v>8020</v>
      </c>
      <c r="B687" t="s">
        <v>59</v>
      </c>
      <c r="C687" t="s">
        <v>60</v>
      </c>
      <c r="D687" s="11">
        <v>0</v>
      </c>
    </row>
    <row r="688" spans="1:4" x14ac:dyDescent="0.3">
      <c r="A688" t="s">
        <v>8029</v>
      </c>
      <c r="B688" t="s">
        <v>1027</v>
      </c>
      <c r="C688" t="s">
        <v>1028</v>
      </c>
      <c r="D688" s="11">
        <v>0</v>
      </c>
    </row>
    <row r="689" spans="1:4" x14ac:dyDescent="0.3">
      <c r="A689" t="s">
        <v>8034</v>
      </c>
      <c r="B689" t="s">
        <v>5477</v>
      </c>
      <c r="C689" t="s">
        <v>5478</v>
      </c>
      <c r="D689" s="11">
        <v>0</v>
      </c>
    </row>
    <row r="690" spans="1:4" x14ac:dyDescent="0.3">
      <c r="A690" t="s">
        <v>8039</v>
      </c>
      <c r="B690" t="s">
        <v>1027</v>
      </c>
      <c r="C690" t="s">
        <v>1028</v>
      </c>
      <c r="D690" s="11">
        <v>0</v>
      </c>
    </row>
    <row r="691" spans="1:4" x14ac:dyDescent="0.3">
      <c r="A691" t="s">
        <v>8048</v>
      </c>
      <c r="B691" t="s">
        <v>2086</v>
      </c>
      <c r="C691" t="s">
        <v>2087</v>
      </c>
      <c r="D691" s="11">
        <v>0</v>
      </c>
    </row>
    <row r="692" spans="1:4" x14ac:dyDescent="0.3">
      <c r="A692" t="s">
        <v>8057</v>
      </c>
      <c r="B692" t="s">
        <v>10719</v>
      </c>
      <c r="C692" t="s">
        <v>10720</v>
      </c>
      <c r="D692" s="11">
        <v>0</v>
      </c>
    </row>
    <row r="693" spans="1:4" x14ac:dyDescent="0.3">
      <c r="A693" t="s">
        <v>8063</v>
      </c>
      <c r="B693" t="s">
        <v>1027</v>
      </c>
      <c r="C693" t="s">
        <v>1028</v>
      </c>
      <c r="D693" s="11">
        <v>0</v>
      </c>
    </row>
    <row r="694" spans="1:4" x14ac:dyDescent="0.3">
      <c r="A694" t="s">
        <v>8068</v>
      </c>
      <c r="B694" t="s">
        <v>59</v>
      </c>
      <c r="C694" t="s">
        <v>60</v>
      </c>
      <c r="D694" s="11">
        <v>0</v>
      </c>
    </row>
    <row r="695" spans="1:4" x14ac:dyDescent="0.3">
      <c r="A695" t="s">
        <v>8077</v>
      </c>
      <c r="B695" t="s">
        <v>70</v>
      </c>
      <c r="C695" t="s">
        <v>71</v>
      </c>
      <c r="D695" s="11">
        <v>-1111.1111111111111</v>
      </c>
    </row>
    <row r="696" spans="1:4" x14ac:dyDescent="0.3">
      <c r="A696" t="s">
        <v>8089</v>
      </c>
      <c r="B696" t="s">
        <v>70</v>
      </c>
      <c r="C696" t="s">
        <v>71</v>
      </c>
      <c r="D696" s="11">
        <v>0</v>
      </c>
    </row>
    <row r="697" spans="1:4" x14ac:dyDescent="0.3">
      <c r="A697" t="s">
        <v>8094</v>
      </c>
      <c r="B697" t="s">
        <v>1170</v>
      </c>
      <c r="C697" t="s">
        <v>1171</v>
      </c>
      <c r="D697" s="11">
        <v>-14365.384615384615</v>
      </c>
    </row>
    <row r="698" spans="1:4" x14ac:dyDescent="0.3">
      <c r="A698" t="s">
        <v>8107</v>
      </c>
      <c r="B698" t="s">
        <v>91</v>
      </c>
      <c r="C698" t="s">
        <v>92</v>
      </c>
      <c r="D698" s="11">
        <v>-53975.903614457828</v>
      </c>
    </row>
    <row r="699" spans="1:4" x14ac:dyDescent="0.3">
      <c r="A699" t="s">
        <v>8120</v>
      </c>
      <c r="B699" t="s">
        <v>517</v>
      </c>
      <c r="C699" t="s">
        <v>518</v>
      </c>
      <c r="D699" s="11">
        <v>-10075.187969924811</v>
      </c>
    </row>
    <row r="700" spans="1:4" x14ac:dyDescent="0.3">
      <c r="A700" t="s">
        <v>8133</v>
      </c>
      <c r="B700" t="s">
        <v>59</v>
      </c>
      <c r="C700" t="s">
        <v>60</v>
      </c>
      <c r="D700" s="11">
        <v>-76082.47422680413</v>
      </c>
    </row>
    <row r="701" spans="1:4" x14ac:dyDescent="0.3">
      <c r="A701" t="s">
        <v>8146</v>
      </c>
      <c r="B701" t="s">
        <v>740</v>
      </c>
      <c r="C701" t="s">
        <v>741</v>
      </c>
      <c r="D701" s="11">
        <v>0</v>
      </c>
    </row>
    <row r="702" spans="1:4" x14ac:dyDescent="0.3">
      <c r="A702" t="s">
        <v>8155</v>
      </c>
      <c r="B702" t="s">
        <v>3028</v>
      </c>
      <c r="C702" t="s">
        <v>3029</v>
      </c>
      <c r="D702" s="11">
        <v>0</v>
      </c>
    </row>
    <row r="703" spans="1:4" x14ac:dyDescent="0.3">
      <c r="A703" t="s">
        <v>8164</v>
      </c>
      <c r="B703" t="s">
        <v>3028</v>
      </c>
      <c r="C703" t="s">
        <v>3029</v>
      </c>
      <c r="D703" s="11">
        <v>0</v>
      </c>
    </row>
    <row r="704" spans="1:4" x14ac:dyDescent="0.3">
      <c r="A704" t="s">
        <v>8173</v>
      </c>
      <c r="B704" t="s">
        <v>3028</v>
      </c>
      <c r="C704" t="s">
        <v>3029</v>
      </c>
      <c r="D704" s="11">
        <v>0</v>
      </c>
    </row>
    <row r="705" spans="1:4" x14ac:dyDescent="0.3">
      <c r="A705" t="s">
        <v>8182</v>
      </c>
      <c r="B705" t="s">
        <v>59</v>
      </c>
      <c r="C705" t="s">
        <v>60</v>
      </c>
      <c r="D705" s="11">
        <v>0</v>
      </c>
    </row>
    <row r="706" spans="1:4" x14ac:dyDescent="0.3">
      <c r="A706" t="s">
        <v>8191</v>
      </c>
      <c r="B706" t="s">
        <v>2127</v>
      </c>
      <c r="C706" t="s">
        <v>2128</v>
      </c>
      <c r="D706" s="11">
        <v>0</v>
      </c>
    </row>
    <row r="707" spans="1:4" x14ac:dyDescent="0.3">
      <c r="A707" t="s">
        <v>8200</v>
      </c>
      <c r="B707" t="s">
        <v>1027</v>
      </c>
      <c r="C707" t="s">
        <v>1028</v>
      </c>
      <c r="D707" s="11">
        <v>0</v>
      </c>
    </row>
    <row r="708" spans="1:4" x14ac:dyDescent="0.3">
      <c r="A708" t="s">
        <v>8209</v>
      </c>
      <c r="B708" t="s">
        <v>4511</v>
      </c>
      <c r="C708" t="s">
        <v>4512</v>
      </c>
      <c r="D708" s="11">
        <v>0</v>
      </c>
    </row>
    <row r="709" spans="1:4" x14ac:dyDescent="0.3">
      <c r="A709" t="s">
        <v>8214</v>
      </c>
      <c r="B709" t="s">
        <v>2803</v>
      </c>
      <c r="C709" t="s">
        <v>2804</v>
      </c>
      <c r="D709" s="11">
        <v>-5263.1578947368416</v>
      </c>
    </row>
    <row r="710" spans="1:4" x14ac:dyDescent="0.3">
      <c r="A710" t="s">
        <v>8227</v>
      </c>
      <c r="B710" t="s">
        <v>2803</v>
      </c>
      <c r="C710" t="s">
        <v>2804</v>
      </c>
      <c r="D710" s="11">
        <v>0</v>
      </c>
    </row>
    <row r="711" spans="1:4" x14ac:dyDescent="0.3">
      <c r="A711" t="s">
        <v>8236</v>
      </c>
      <c r="B711" t="s">
        <v>2539</v>
      </c>
      <c r="C711" t="s">
        <v>2540</v>
      </c>
      <c r="D711" s="11">
        <v>0</v>
      </c>
    </row>
    <row r="712" spans="1:4" x14ac:dyDescent="0.3">
      <c r="A712" t="s">
        <v>8241</v>
      </c>
      <c r="B712" t="s">
        <v>2539</v>
      </c>
      <c r="C712" t="s">
        <v>2540</v>
      </c>
      <c r="D712" s="11">
        <v>0</v>
      </c>
    </row>
    <row r="713" spans="1:4" x14ac:dyDescent="0.3">
      <c r="A713" t="s">
        <v>8246</v>
      </c>
      <c r="B713" t="s">
        <v>2539</v>
      </c>
      <c r="C713" t="s">
        <v>2540</v>
      </c>
      <c r="D713" s="11">
        <v>-104400</v>
      </c>
    </row>
    <row r="714" spans="1:4" x14ac:dyDescent="0.3">
      <c r="A714" t="s">
        <v>8255</v>
      </c>
      <c r="B714" t="s">
        <v>97</v>
      </c>
      <c r="C714" t="s">
        <v>98</v>
      </c>
      <c r="D714" s="11">
        <v>0</v>
      </c>
    </row>
    <row r="715" spans="1:4" x14ac:dyDescent="0.3">
      <c r="A715" t="s">
        <v>8261</v>
      </c>
      <c r="B715" t="s">
        <v>65</v>
      </c>
      <c r="C715" t="s">
        <v>66</v>
      </c>
      <c r="D715" s="11">
        <v>0</v>
      </c>
    </row>
    <row r="716" spans="1:4" x14ac:dyDescent="0.3">
      <c r="A716" t="s">
        <v>8268</v>
      </c>
      <c r="B716" t="s">
        <v>18392</v>
      </c>
      <c r="C716" t="s">
        <v>18393</v>
      </c>
      <c r="D716" s="11">
        <v>0</v>
      </c>
    </row>
    <row r="717" spans="1:4" x14ac:dyDescent="0.3">
      <c r="A717" t="s">
        <v>8313</v>
      </c>
      <c r="B717" t="s">
        <v>740</v>
      </c>
      <c r="C717" t="s">
        <v>741</v>
      </c>
      <c r="D717" s="11">
        <v>0</v>
      </c>
    </row>
    <row r="718" spans="1:4" x14ac:dyDescent="0.3">
      <c r="A718" t="s">
        <v>8321</v>
      </c>
      <c r="B718" t="s">
        <v>740</v>
      </c>
      <c r="C718" t="s">
        <v>741</v>
      </c>
      <c r="D718" s="11">
        <v>-10590.163934426229</v>
      </c>
    </row>
    <row r="719" spans="1:4" x14ac:dyDescent="0.3">
      <c r="A719" t="s">
        <v>8330</v>
      </c>
      <c r="B719" t="s">
        <v>740</v>
      </c>
      <c r="C719" t="s">
        <v>741</v>
      </c>
      <c r="D719" s="11">
        <v>0</v>
      </c>
    </row>
    <row r="720" spans="1:4" x14ac:dyDescent="0.3">
      <c r="A720" t="s">
        <v>8335</v>
      </c>
      <c r="B720" t="s">
        <v>1027</v>
      </c>
      <c r="C720" t="s">
        <v>1028</v>
      </c>
      <c r="D720" s="11">
        <v>0</v>
      </c>
    </row>
    <row r="721" spans="1:4" x14ac:dyDescent="0.3">
      <c r="A721" t="s">
        <v>8340</v>
      </c>
      <c r="B721" t="s">
        <v>1027</v>
      </c>
      <c r="C721" t="s">
        <v>1028</v>
      </c>
      <c r="D721" s="11">
        <v>-4590.1639344262294</v>
      </c>
    </row>
    <row r="722" spans="1:4" x14ac:dyDescent="0.3">
      <c r="A722" t="s">
        <v>8349</v>
      </c>
      <c r="B722" t="s">
        <v>797</v>
      </c>
      <c r="C722" t="s">
        <v>798</v>
      </c>
      <c r="D722" s="11">
        <v>0</v>
      </c>
    </row>
    <row r="723" spans="1:4" x14ac:dyDescent="0.3">
      <c r="A723" t="s">
        <v>8358</v>
      </c>
      <c r="B723" t="s">
        <v>4424</v>
      </c>
      <c r="C723" t="s">
        <v>4425</v>
      </c>
      <c r="D723" s="11">
        <v>0</v>
      </c>
    </row>
    <row r="724" spans="1:4" x14ac:dyDescent="0.3">
      <c r="A724" t="s">
        <v>8367</v>
      </c>
      <c r="B724" t="s">
        <v>7090</v>
      </c>
      <c r="C724" t="s">
        <v>7091</v>
      </c>
      <c r="D724" s="11">
        <v>0</v>
      </c>
    </row>
    <row r="725" spans="1:4" x14ac:dyDescent="0.3">
      <c r="A725" t="s">
        <v>8372</v>
      </c>
      <c r="B725" t="s">
        <v>2086</v>
      </c>
      <c r="C725" t="s">
        <v>2087</v>
      </c>
      <c r="D725" s="11">
        <v>-8500</v>
      </c>
    </row>
    <row r="726" spans="1:4" x14ac:dyDescent="0.3">
      <c r="A726" t="s">
        <v>8381</v>
      </c>
      <c r="B726" t="s">
        <v>2611</v>
      </c>
      <c r="C726" t="s">
        <v>2612</v>
      </c>
      <c r="D726" s="11">
        <v>-10629.92125984252</v>
      </c>
    </row>
    <row r="727" spans="1:4" x14ac:dyDescent="0.3">
      <c r="A727" t="s">
        <v>8394</v>
      </c>
      <c r="B727" t="s">
        <v>59</v>
      </c>
      <c r="C727" t="s">
        <v>60</v>
      </c>
      <c r="D727" s="11">
        <v>0</v>
      </c>
    </row>
    <row r="728" spans="1:4" x14ac:dyDescent="0.3">
      <c r="A728" t="s">
        <v>8403</v>
      </c>
      <c r="B728" t="s">
        <v>103</v>
      </c>
      <c r="C728" t="s">
        <v>104</v>
      </c>
      <c r="D728" s="11">
        <v>-10590.163934426229</v>
      </c>
    </row>
    <row r="729" spans="1:4" x14ac:dyDescent="0.3">
      <c r="A729" t="s">
        <v>8412</v>
      </c>
      <c r="B729" t="s">
        <v>59</v>
      </c>
      <c r="C729" t="s">
        <v>60</v>
      </c>
      <c r="D729" s="11">
        <v>0</v>
      </c>
    </row>
    <row r="730" spans="1:4" x14ac:dyDescent="0.3">
      <c r="A730" t="s">
        <v>8421</v>
      </c>
      <c r="B730" t="s">
        <v>5357</v>
      </c>
      <c r="C730" t="s">
        <v>5358</v>
      </c>
      <c r="D730" s="11">
        <v>0</v>
      </c>
    </row>
    <row r="731" spans="1:4" x14ac:dyDescent="0.3">
      <c r="A731" t="s">
        <v>8430</v>
      </c>
      <c r="B731" t="s">
        <v>740</v>
      </c>
      <c r="C731" t="s">
        <v>741</v>
      </c>
      <c r="D731" s="11">
        <v>0</v>
      </c>
    </row>
    <row r="732" spans="1:4" x14ac:dyDescent="0.3">
      <c r="A732" t="s">
        <v>8435</v>
      </c>
      <c r="B732" t="s">
        <v>740</v>
      </c>
      <c r="C732" t="s">
        <v>741</v>
      </c>
      <c r="D732" s="11">
        <v>0</v>
      </c>
    </row>
    <row r="733" spans="1:4" x14ac:dyDescent="0.3">
      <c r="A733" t="s">
        <v>8440</v>
      </c>
      <c r="B733" t="s">
        <v>517</v>
      </c>
      <c r="C733" t="s">
        <v>518</v>
      </c>
      <c r="D733" s="11">
        <v>0</v>
      </c>
    </row>
    <row r="734" spans="1:4" x14ac:dyDescent="0.3">
      <c r="A734" t="s">
        <v>8445</v>
      </c>
      <c r="B734" t="s">
        <v>59</v>
      </c>
      <c r="C734" t="s">
        <v>60</v>
      </c>
      <c r="D734" s="11">
        <v>0</v>
      </c>
    </row>
    <row r="735" spans="1:4" x14ac:dyDescent="0.3">
      <c r="A735" t="s">
        <v>8454</v>
      </c>
      <c r="B735" t="s">
        <v>517</v>
      </c>
      <c r="C735" t="s">
        <v>518</v>
      </c>
      <c r="D735" s="11">
        <v>0</v>
      </c>
    </row>
    <row r="736" spans="1:4" x14ac:dyDescent="0.3">
      <c r="A736" t="s">
        <v>8463</v>
      </c>
      <c r="B736" t="s">
        <v>70</v>
      </c>
      <c r="C736" t="s">
        <v>71</v>
      </c>
      <c r="D736" s="11">
        <v>0</v>
      </c>
    </row>
    <row r="737" spans="1:4" x14ac:dyDescent="0.3">
      <c r="A737" t="s">
        <v>8468</v>
      </c>
      <c r="B737" t="s">
        <v>1170</v>
      </c>
      <c r="C737" t="s">
        <v>1171</v>
      </c>
      <c r="D737" s="11">
        <v>0</v>
      </c>
    </row>
    <row r="738" spans="1:4" x14ac:dyDescent="0.3">
      <c r="A738" t="s">
        <v>8473</v>
      </c>
      <c r="B738" t="s">
        <v>1170</v>
      </c>
      <c r="C738" t="s">
        <v>1171</v>
      </c>
      <c r="D738" s="11">
        <v>0</v>
      </c>
    </row>
    <row r="739" spans="1:4" x14ac:dyDescent="0.3">
      <c r="A739" t="s">
        <v>8478</v>
      </c>
      <c r="B739" t="s">
        <v>740</v>
      </c>
      <c r="C739" t="s">
        <v>741</v>
      </c>
      <c r="D739" s="11">
        <v>0</v>
      </c>
    </row>
    <row r="740" spans="1:4" x14ac:dyDescent="0.3">
      <c r="A740" t="s">
        <v>8483</v>
      </c>
      <c r="B740" t="s">
        <v>5357</v>
      </c>
      <c r="C740" t="s">
        <v>5358</v>
      </c>
      <c r="D740" s="11">
        <v>-6622.2222222222226</v>
      </c>
    </row>
    <row r="741" spans="1:4" x14ac:dyDescent="0.3">
      <c r="A741" t="s">
        <v>8496</v>
      </c>
      <c r="B741" t="s">
        <v>59</v>
      </c>
      <c r="C741" t="s">
        <v>60</v>
      </c>
      <c r="D741" s="11">
        <v>0</v>
      </c>
    </row>
    <row r="742" spans="1:4" x14ac:dyDescent="0.3">
      <c r="A742" t="s">
        <v>8505</v>
      </c>
      <c r="B742" t="s">
        <v>517</v>
      </c>
      <c r="C742" t="s">
        <v>518</v>
      </c>
      <c r="D742" s="11">
        <v>0</v>
      </c>
    </row>
    <row r="743" spans="1:4" x14ac:dyDescent="0.3">
      <c r="A743" t="s">
        <v>8514</v>
      </c>
      <c r="B743" t="s">
        <v>97</v>
      </c>
      <c r="C743" t="s">
        <v>98</v>
      </c>
      <c r="D743" s="11">
        <v>0</v>
      </c>
    </row>
    <row r="744" spans="1:4" x14ac:dyDescent="0.3">
      <c r="A744" t="s">
        <v>8519</v>
      </c>
      <c r="B744" t="s">
        <v>517</v>
      </c>
      <c r="C744" t="s">
        <v>518</v>
      </c>
      <c r="D744" s="11">
        <v>0</v>
      </c>
    </row>
    <row r="745" spans="1:4" x14ac:dyDescent="0.3">
      <c r="A745" t="s">
        <v>8524</v>
      </c>
      <c r="B745" t="s">
        <v>1027</v>
      </c>
      <c r="C745" t="s">
        <v>1028</v>
      </c>
      <c r="D745" s="11">
        <v>0</v>
      </c>
    </row>
    <row r="746" spans="1:4" x14ac:dyDescent="0.3">
      <c r="A746" t="s">
        <v>8532</v>
      </c>
      <c r="B746" t="s">
        <v>97</v>
      </c>
      <c r="C746" t="s">
        <v>98</v>
      </c>
      <c r="D746" s="11">
        <v>0</v>
      </c>
    </row>
    <row r="747" spans="1:4" x14ac:dyDescent="0.3">
      <c r="A747" t="s">
        <v>8537</v>
      </c>
      <c r="B747" t="s">
        <v>5357</v>
      </c>
      <c r="C747" t="s">
        <v>5358</v>
      </c>
      <c r="D747" s="11">
        <v>0</v>
      </c>
    </row>
    <row r="748" spans="1:4" x14ac:dyDescent="0.3">
      <c r="A748" t="s">
        <v>8542</v>
      </c>
      <c r="B748" t="s">
        <v>740</v>
      </c>
      <c r="C748" t="s">
        <v>741</v>
      </c>
      <c r="D748" s="11">
        <v>0</v>
      </c>
    </row>
    <row r="749" spans="1:4" x14ac:dyDescent="0.3">
      <c r="A749" t="s">
        <v>8547</v>
      </c>
      <c r="B749" t="s">
        <v>2934</v>
      </c>
      <c r="C749" t="s">
        <v>2935</v>
      </c>
      <c r="D749" s="11">
        <v>-8166.666666666667</v>
      </c>
    </row>
    <row r="750" spans="1:4" x14ac:dyDescent="0.3">
      <c r="A750" t="s">
        <v>8556</v>
      </c>
      <c r="B750" t="s">
        <v>2115</v>
      </c>
      <c r="C750" t="s">
        <v>2116</v>
      </c>
      <c r="D750" s="11">
        <v>0</v>
      </c>
    </row>
    <row r="751" spans="1:4" x14ac:dyDescent="0.3">
      <c r="A751" t="s">
        <v>8561</v>
      </c>
      <c r="B751" t="s">
        <v>1027</v>
      </c>
      <c r="C751" t="s">
        <v>1028</v>
      </c>
      <c r="D751" s="11">
        <v>0</v>
      </c>
    </row>
    <row r="752" spans="1:4" x14ac:dyDescent="0.3">
      <c r="A752" t="s">
        <v>8566</v>
      </c>
      <c r="B752" t="s">
        <v>5357</v>
      </c>
      <c r="C752" t="s">
        <v>5358</v>
      </c>
      <c r="D752" s="11">
        <v>0</v>
      </c>
    </row>
    <row r="753" spans="1:4" x14ac:dyDescent="0.3">
      <c r="A753" t="s">
        <v>8575</v>
      </c>
      <c r="B753" t="s">
        <v>4791</v>
      </c>
      <c r="C753" t="s">
        <v>4792</v>
      </c>
      <c r="D753" s="11">
        <v>0</v>
      </c>
    </row>
    <row r="754" spans="1:4" x14ac:dyDescent="0.3">
      <c r="A754" t="s">
        <v>8584</v>
      </c>
      <c r="B754" t="s">
        <v>517</v>
      </c>
      <c r="C754" t="s">
        <v>518</v>
      </c>
      <c r="D754" s="11">
        <v>0</v>
      </c>
    </row>
    <row r="755" spans="1:4" x14ac:dyDescent="0.3">
      <c r="A755" t="s">
        <v>8589</v>
      </c>
      <c r="B755" t="s">
        <v>97</v>
      </c>
      <c r="C755" t="s">
        <v>98</v>
      </c>
      <c r="D755" s="11">
        <v>0</v>
      </c>
    </row>
    <row r="756" spans="1:4" x14ac:dyDescent="0.3">
      <c r="A756" t="s">
        <v>8594</v>
      </c>
      <c r="B756" t="s">
        <v>517</v>
      </c>
      <c r="C756" t="s">
        <v>518</v>
      </c>
      <c r="D756" s="11">
        <v>0</v>
      </c>
    </row>
    <row r="757" spans="1:4" x14ac:dyDescent="0.3">
      <c r="A757" t="s">
        <v>8599</v>
      </c>
      <c r="B757" t="s">
        <v>97</v>
      </c>
      <c r="C757" t="s">
        <v>98</v>
      </c>
      <c r="D757" s="11">
        <v>0</v>
      </c>
    </row>
    <row r="758" spans="1:4" x14ac:dyDescent="0.3">
      <c r="A758" t="s">
        <v>8608</v>
      </c>
      <c r="B758" t="s">
        <v>1027</v>
      </c>
      <c r="C758" t="s">
        <v>1028</v>
      </c>
      <c r="D758" s="11">
        <v>0</v>
      </c>
    </row>
    <row r="759" spans="1:4" x14ac:dyDescent="0.3">
      <c r="A759" t="s">
        <v>8617</v>
      </c>
      <c r="B759" t="s">
        <v>517</v>
      </c>
      <c r="C759" t="s">
        <v>518</v>
      </c>
      <c r="D759" s="11">
        <v>0</v>
      </c>
    </row>
    <row r="760" spans="1:4" x14ac:dyDescent="0.3">
      <c r="A760" t="s">
        <v>8630</v>
      </c>
      <c r="B760" t="s">
        <v>59</v>
      </c>
      <c r="C760" t="s">
        <v>60</v>
      </c>
      <c r="D760" s="11">
        <v>0</v>
      </c>
    </row>
    <row r="761" spans="1:4" x14ac:dyDescent="0.3">
      <c r="A761" t="s">
        <v>8639</v>
      </c>
      <c r="B761" t="s">
        <v>5357</v>
      </c>
      <c r="C761" t="s">
        <v>5358</v>
      </c>
      <c r="D761" s="11">
        <v>0</v>
      </c>
    </row>
    <row r="762" spans="1:4" x14ac:dyDescent="0.3">
      <c r="A762" t="s">
        <v>8644</v>
      </c>
      <c r="B762" t="s">
        <v>5357</v>
      </c>
      <c r="C762" t="s">
        <v>5358</v>
      </c>
      <c r="D762" s="11">
        <v>0</v>
      </c>
    </row>
    <row r="763" spans="1:4" x14ac:dyDescent="0.3">
      <c r="A763" t="s">
        <v>8649</v>
      </c>
      <c r="B763" t="s">
        <v>416</v>
      </c>
      <c r="C763" t="s">
        <v>417</v>
      </c>
      <c r="D763" s="11">
        <v>-12235.294117647059</v>
      </c>
    </row>
    <row r="764" spans="1:4" x14ac:dyDescent="0.3">
      <c r="A764" t="s">
        <v>8658</v>
      </c>
      <c r="B764" t="s">
        <v>4791</v>
      </c>
      <c r="C764" t="s">
        <v>4792</v>
      </c>
      <c r="D764" s="11">
        <v>0</v>
      </c>
    </row>
    <row r="765" spans="1:4" x14ac:dyDescent="0.3">
      <c r="A765" t="s">
        <v>8667</v>
      </c>
      <c r="B765" t="s">
        <v>517</v>
      </c>
      <c r="C765" t="s">
        <v>518</v>
      </c>
      <c r="D765" s="11">
        <v>-10075.187969924811</v>
      </c>
    </row>
    <row r="766" spans="1:4" x14ac:dyDescent="0.3">
      <c r="A766" t="s">
        <v>8676</v>
      </c>
      <c r="B766" t="s">
        <v>4988</v>
      </c>
      <c r="C766" t="s">
        <v>4989</v>
      </c>
      <c r="D766" s="11">
        <v>0</v>
      </c>
    </row>
    <row r="767" spans="1:4" x14ac:dyDescent="0.3">
      <c r="A767" t="s">
        <v>8681</v>
      </c>
      <c r="B767" t="s">
        <v>4988</v>
      </c>
      <c r="C767" t="s">
        <v>4989</v>
      </c>
      <c r="D767" s="11">
        <v>0</v>
      </c>
    </row>
    <row r="768" spans="1:4" x14ac:dyDescent="0.3">
      <c r="A768" t="s">
        <v>8686</v>
      </c>
      <c r="B768" t="s">
        <v>1027</v>
      </c>
      <c r="C768" t="s">
        <v>1028</v>
      </c>
      <c r="D768" s="11">
        <v>0</v>
      </c>
    </row>
    <row r="769" spans="1:4" x14ac:dyDescent="0.3">
      <c r="A769" t="s">
        <v>8694</v>
      </c>
      <c r="B769" t="s">
        <v>797</v>
      </c>
      <c r="C769" t="s">
        <v>798</v>
      </c>
      <c r="D769" s="11">
        <v>-29798.657718120805</v>
      </c>
    </row>
    <row r="770" spans="1:4" x14ac:dyDescent="0.3">
      <c r="A770" t="s">
        <v>8707</v>
      </c>
      <c r="B770" t="s">
        <v>740</v>
      </c>
      <c r="C770" t="s">
        <v>741</v>
      </c>
      <c r="D770" s="11">
        <v>0</v>
      </c>
    </row>
    <row r="771" spans="1:4" x14ac:dyDescent="0.3">
      <c r="A771" t="s">
        <v>8712</v>
      </c>
      <c r="B771" t="s">
        <v>1170</v>
      </c>
      <c r="C771" t="s">
        <v>1171</v>
      </c>
      <c r="D771" s="11">
        <v>-4788.461538461539</v>
      </c>
    </row>
    <row r="772" spans="1:4" x14ac:dyDescent="0.3">
      <c r="A772" t="s">
        <v>8721</v>
      </c>
      <c r="B772" t="s">
        <v>2305</v>
      </c>
      <c r="C772" t="s">
        <v>2306</v>
      </c>
      <c r="D772" s="11">
        <v>-192.30769230769232</v>
      </c>
    </row>
    <row r="773" spans="1:4" x14ac:dyDescent="0.3">
      <c r="A773" t="s">
        <v>8763</v>
      </c>
      <c r="B773" t="s">
        <v>5357</v>
      </c>
      <c r="C773" t="s">
        <v>5358</v>
      </c>
      <c r="D773" s="11">
        <v>0</v>
      </c>
    </row>
    <row r="774" spans="1:4" x14ac:dyDescent="0.3">
      <c r="A774" t="s">
        <v>8768</v>
      </c>
      <c r="B774" t="s">
        <v>1170</v>
      </c>
      <c r="C774" t="s">
        <v>1171</v>
      </c>
      <c r="D774" s="11">
        <v>-9576.923076923078</v>
      </c>
    </row>
    <row r="775" spans="1:4" x14ac:dyDescent="0.3">
      <c r="A775" t="s">
        <v>8777</v>
      </c>
      <c r="B775" t="s">
        <v>797</v>
      </c>
      <c r="C775" t="s">
        <v>798</v>
      </c>
      <c r="D775" s="11">
        <v>-29530.201342281878</v>
      </c>
    </row>
    <row r="776" spans="1:4" x14ac:dyDescent="0.3">
      <c r="A776" t="s">
        <v>8786</v>
      </c>
      <c r="B776" t="s">
        <v>3113</v>
      </c>
      <c r="C776" t="s">
        <v>3114</v>
      </c>
      <c r="D776" s="11">
        <v>0</v>
      </c>
    </row>
    <row r="777" spans="1:4" x14ac:dyDescent="0.3">
      <c r="A777" t="s">
        <v>8791</v>
      </c>
      <c r="B777" t="s">
        <v>3113</v>
      </c>
      <c r="C777" t="s">
        <v>3114</v>
      </c>
      <c r="D777" s="11">
        <v>-19130.434782608696</v>
      </c>
    </row>
    <row r="778" spans="1:4" x14ac:dyDescent="0.3">
      <c r="A778" t="s">
        <v>8800</v>
      </c>
      <c r="B778" t="s">
        <v>2100</v>
      </c>
      <c r="C778" t="s">
        <v>2101</v>
      </c>
      <c r="D778" s="11">
        <v>0</v>
      </c>
    </row>
    <row r="779" spans="1:4" x14ac:dyDescent="0.3">
      <c r="A779" t="s">
        <v>8805</v>
      </c>
      <c r="B779" t="s">
        <v>2100</v>
      </c>
      <c r="C779" t="s">
        <v>2101</v>
      </c>
      <c r="D779" s="11">
        <v>0</v>
      </c>
    </row>
    <row r="780" spans="1:4" x14ac:dyDescent="0.3">
      <c r="A780" t="s">
        <v>8810</v>
      </c>
      <c r="B780" t="s">
        <v>4791</v>
      </c>
      <c r="C780" t="s">
        <v>4792</v>
      </c>
      <c r="D780" s="11">
        <v>-7622.2222222222226</v>
      </c>
    </row>
    <row r="781" spans="1:4" x14ac:dyDescent="0.3">
      <c r="A781" t="s">
        <v>8819</v>
      </c>
      <c r="B781" t="s">
        <v>1170</v>
      </c>
      <c r="C781" t="s">
        <v>1171</v>
      </c>
      <c r="D781" s="11">
        <v>-9576.923076923078</v>
      </c>
    </row>
    <row r="782" spans="1:4" x14ac:dyDescent="0.3">
      <c r="A782" t="s">
        <v>8828</v>
      </c>
      <c r="B782" t="s">
        <v>1170</v>
      </c>
      <c r="C782" t="s">
        <v>1171</v>
      </c>
      <c r="D782" s="11">
        <v>0</v>
      </c>
    </row>
    <row r="783" spans="1:4" x14ac:dyDescent="0.3">
      <c r="A783" t="s">
        <v>8833</v>
      </c>
      <c r="B783" t="s">
        <v>2100</v>
      </c>
      <c r="C783" t="s">
        <v>2101</v>
      </c>
      <c r="D783" s="11">
        <v>0</v>
      </c>
    </row>
    <row r="784" spans="1:4" x14ac:dyDescent="0.3">
      <c r="A784" t="s">
        <v>8842</v>
      </c>
      <c r="B784" t="s">
        <v>91</v>
      </c>
      <c r="C784" t="s">
        <v>92</v>
      </c>
      <c r="D784" s="11">
        <v>-20481.927710843374</v>
      </c>
    </row>
    <row r="785" spans="1:4" x14ac:dyDescent="0.3">
      <c r="A785" t="s">
        <v>8855</v>
      </c>
      <c r="B785" t="s">
        <v>91</v>
      </c>
      <c r="C785" t="s">
        <v>92</v>
      </c>
      <c r="D785" s="11">
        <v>0</v>
      </c>
    </row>
    <row r="786" spans="1:4" x14ac:dyDescent="0.3">
      <c r="A786" t="s">
        <v>8864</v>
      </c>
      <c r="B786" t="s">
        <v>2086</v>
      </c>
      <c r="C786" t="s">
        <v>2087</v>
      </c>
      <c r="D786" s="11">
        <v>-3888.8888888888891</v>
      </c>
    </row>
    <row r="787" spans="1:4" x14ac:dyDescent="0.3">
      <c r="A787" t="s">
        <v>8877</v>
      </c>
      <c r="B787" t="s">
        <v>740</v>
      </c>
      <c r="C787" t="s">
        <v>741</v>
      </c>
      <c r="D787" s="11">
        <v>0</v>
      </c>
    </row>
    <row r="788" spans="1:4" x14ac:dyDescent="0.3">
      <c r="A788" t="s">
        <v>8886</v>
      </c>
      <c r="B788" t="s">
        <v>1027</v>
      </c>
      <c r="C788" t="s">
        <v>1028</v>
      </c>
      <c r="D788" s="11">
        <v>0</v>
      </c>
    </row>
    <row r="789" spans="1:4" x14ac:dyDescent="0.3">
      <c r="A789" t="s">
        <v>8891</v>
      </c>
      <c r="B789" t="s">
        <v>70</v>
      </c>
      <c r="C789" t="s">
        <v>71</v>
      </c>
      <c r="D789" s="11">
        <v>-8444.4444444444453</v>
      </c>
    </row>
    <row r="790" spans="1:4" x14ac:dyDescent="0.3">
      <c r="A790" t="s">
        <v>8900</v>
      </c>
      <c r="B790" t="s">
        <v>2086</v>
      </c>
      <c r="C790" t="s">
        <v>2087</v>
      </c>
      <c r="D790" s="11">
        <v>0</v>
      </c>
    </row>
    <row r="791" spans="1:4" x14ac:dyDescent="0.3">
      <c r="A791" t="s">
        <v>8905</v>
      </c>
      <c r="B791" t="s">
        <v>1667</v>
      </c>
      <c r="C791" t="s">
        <v>1668</v>
      </c>
      <c r="D791" s="11">
        <v>0</v>
      </c>
    </row>
    <row r="792" spans="1:4" x14ac:dyDescent="0.3">
      <c r="A792" t="s">
        <v>8922</v>
      </c>
      <c r="B792" t="s">
        <v>1027</v>
      </c>
      <c r="C792" t="s">
        <v>1028</v>
      </c>
      <c r="D792" s="11">
        <v>0</v>
      </c>
    </row>
    <row r="793" spans="1:4" x14ac:dyDescent="0.3">
      <c r="A793" t="s">
        <v>8927</v>
      </c>
      <c r="B793" t="s">
        <v>4791</v>
      </c>
      <c r="C793" t="s">
        <v>4792</v>
      </c>
      <c r="D793" s="11">
        <v>0</v>
      </c>
    </row>
    <row r="794" spans="1:4" x14ac:dyDescent="0.3">
      <c r="A794" t="s">
        <v>8932</v>
      </c>
      <c r="B794" t="s">
        <v>2100</v>
      </c>
      <c r="C794" t="s">
        <v>2101</v>
      </c>
      <c r="D794" s="11">
        <v>-10590.163934426229</v>
      </c>
    </row>
    <row r="795" spans="1:4" x14ac:dyDescent="0.3">
      <c r="A795" t="s">
        <v>8953</v>
      </c>
      <c r="B795" t="s">
        <v>3028</v>
      </c>
      <c r="C795" t="s">
        <v>3029</v>
      </c>
      <c r="D795" s="11">
        <v>-25319.148936170212</v>
      </c>
    </row>
    <row r="796" spans="1:4" x14ac:dyDescent="0.3">
      <c r="A796" t="s">
        <v>8974</v>
      </c>
      <c r="B796" t="s">
        <v>5357</v>
      </c>
      <c r="C796" t="s">
        <v>5358</v>
      </c>
      <c r="D796" s="11">
        <v>0</v>
      </c>
    </row>
    <row r="797" spans="1:4" x14ac:dyDescent="0.3">
      <c r="A797" t="s">
        <v>8979</v>
      </c>
      <c r="B797" t="s">
        <v>3028</v>
      </c>
      <c r="C797" t="s">
        <v>3029</v>
      </c>
      <c r="D797" s="11">
        <v>0</v>
      </c>
    </row>
    <row r="798" spans="1:4" x14ac:dyDescent="0.3">
      <c r="A798" t="s">
        <v>8999</v>
      </c>
      <c r="B798" t="s">
        <v>3028</v>
      </c>
      <c r="C798" t="s">
        <v>3029</v>
      </c>
      <c r="D798" s="11">
        <v>0</v>
      </c>
    </row>
    <row r="799" spans="1:4" x14ac:dyDescent="0.3">
      <c r="A799" t="s">
        <v>9004</v>
      </c>
      <c r="B799" t="s">
        <v>3028</v>
      </c>
      <c r="C799" t="s">
        <v>3029</v>
      </c>
      <c r="D799" s="11">
        <v>-25319.148936170212</v>
      </c>
    </row>
    <row r="800" spans="1:4" x14ac:dyDescent="0.3">
      <c r="A800" t="s">
        <v>9025</v>
      </c>
      <c r="B800" t="s">
        <v>91</v>
      </c>
      <c r="C800" t="s">
        <v>92</v>
      </c>
      <c r="D800" s="11">
        <v>0</v>
      </c>
    </row>
    <row r="801" spans="1:4" x14ac:dyDescent="0.3">
      <c r="A801" t="s">
        <v>9030</v>
      </c>
      <c r="B801" t="s">
        <v>3028</v>
      </c>
      <c r="C801" t="s">
        <v>3029</v>
      </c>
      <c r="D801" s="11">
        <v>0</v>
      </c>
    </row>
    <row r="802" spans="1:4" x14ac:dyDescent="0.3">
      <c r="A802" t="s">
        <v>9039</v>
      </c>
      <c r="B802" t="s">
        <v>797</v>
      </c>
      <c r="C802" t="s">
        <v>798</v>
      </c>
      <c r="D802" s="11">
        <v>0</v>
      </c>
    </row>
    <row r="803" spans="1:4" x14ac:dyDescent="0.3">
      <c r="A803" t="s">
        <v>9044</v>
      </c>
      <c r="B803" t="s">
        <v>1027</v>
      </c>
      <c r="C803" t="s">
        <v>1028</v>
      </c>
      <c r="D803" s="11">
        <v>0</v>
      </c>
    </row>
    <row r="804" spans="1:4" x14ac:dyDescent="0.3">
      <c r="A804" t="s">
        <v>9053</v>
      </c>
      <c r="B804" t="s">
        <v>4791</v>
      </c>
      <c r="C804" t="s">
        <v>4792</v>
      </c>
      <c r="D804" s="11">
        <v>-6622.2222222222226</v>
      </c>
    </row>
    <row r="805" spans="1:4" x14ac:dyDescent="0.3">
      <c r="A805" t="s">
        <v>9062</v>
      </c>
      <c r="B805" t="s">
        <v>4791</v>
      </c>
      <c r="C805" t="s">
        <v>4792</v>
      </c>
      <c r="D805" s="11">
        <v>0</v>
      </c>
    </row>
    <row r="806" spans="1:4" x14ac:dyDescent="0.3">
      <c r="A806" t="s">
        <v>9067</v>
      </c>
      <c r="B806" t="s">
        <v>70</v>
      </c>
      <c r="C806" t="s">
        <v>71</v>
      </c>
      <c r="D806" s="11">
        <v>0</v>
      </c>
    </row>
    <row r="807" spans="1:4" x14ac:dyDescent="0.3">
      <c r="A807" t="s">
        <v>9072</v>
      </c>
      <c r="B807" t="s">
        <v>797</v>
      </c>
      <c r="C807" t="s">
        <v>798</v>
      </c>
      <c r="D807" s="11">
        <v>0</v>
      </c>
    </row>
    <row r="808" spans="1:4" x14ac:dyDescent="0.3">
      <c r="A808" t="s">
        <v>9077</v>
      </c>
      <c r="B808" t="s">
        <v>5357</v>
      </c>
      <c r="C808" t="s">
        <v>5358</v>
      </c>
      <c r="D808" s="11">
        <v>0</v>
      </c>
    </row>
    <row r="809" spans="1:4" x14ac:dyDescent="0.3">
      <c r="A809" t="s">
        <v>9090</v>
      </c>
      <c r="B809" t="s">
        <v>97</v>
      </c>
      <c r="C809" t="s">
        <v>98</v>
      </c>
      <c r="D809" s="11">
        <v>0</v>
      </c>
    </row>
    <row r="810" spans="1:4" x14ac:dyDescent="0.3">
      <c r="A810" t="s">
        <v>9095</v>
      </c>
      <c r="B810" t="s">
        <v>740</v>
      </c>
      <c r="C810" t="s">
        <v>741</v>
      </c>
      <c r="D810" s="11">
        <v>0</v>
      </c>
    </row>
    <row r="811" spans="1:4" x14ac:dyDescent="0.3">
      <c r="A811" t="s">
        <v>9104</v>
      </c>
      <c r="B811" t="s">
        <v>5357</v>
      </c>
      <c r="C811" t="s">
        <v>5358</v>
      </c>
      <c r="D811" s="11">
        <v>0</v>
      </c>
    </row>
    <row r="812" spans="1:4" x14ac:dyDescent="0.3">
      <c r="A812" t="s">
        <v>9117</v>
      </c>
      <c r="B812" t="s">
        <v>1027</v>
      </c>
      <c r="C812" t="s">
        <v>1028</v>
      </c>
      <c r="D812" s="11">
        <v>0</v>
      </c>
    </row>
    <row r="813" spans="1:4" x14ac:dyDescent="0.3">
      <c r="A813" t="s">
        <v>9126</v>
      </c>
      <c r="B813" t="s">
        <v>97</v>
      </c>
      <c r="C813" t="s">
        <v>98</v>
      </c>
      <c r="D813" s="11">
        <v>0</v>
      </c>
    </row>
    <row r="814" spans="1:4" x14ac:dyDescent="0.3">
      <c r="A814" t="s">
        <v>9131</v>
      </c>
      <c r="B814" t="s">
        <v>1170</v>
      </c>
      <c r="C814" t="s">
        <v>1171</v>
      </c>
      <c r="D814" s="11">
        <v>0</v>
      </c>
    </row>
    <row r="815" spans="1:4" x14ac:dyDescent="0.3">
      <c r="A815" t="s">
        <v>9136</v>
      </c>
      <c r="B815" t="s">
        <v>517</v>
      </c>
      <c r="C815" t="s">
        <v>518</v>
      </c>
      <c r="D815" s="11">
        <v>0</v>
      </c>
    </row>
    <row r="816" spans="1:4" x14ac:dyDescent="0.3">
      <c r="A816" t="s">
        <v>9149</v>
      </c>
      <c r="B816" t="s">
        <v>1170</v>
      </c>
      <c r="C816" t="s">
        <v>1171</v>
      </c>
      <c r="D816" s="11">
        <v>-4788.461538461539</v>
      </c>
    </row>
    <row r="817" spans="1:4" x14ac:dyDescent="0.3">
      <c r="A817" t="s">
        <v>9158</v>
      </c>
      <c r="B817" t="s">
        <v>5477</v>
      </c>
      <c r="C817" t="s">
        <v>5478</v>
      </c>
      <c r="D817" s="11">
        <v>0</v>
      </c>
    </row>
    <row r="818" spans="1:4" x14ac:dyDescent="0.3">
      <c r="A818" t="s">
        <v>9167</v>
      </c>
      <c r="B818" t="s">
        <v>5357</v>
      </c>
      <c r="C818" t="s">
        <v>5358</v>
      </c>
      <c r="D818" s="11">
        <v>0</v>
      </c>
    </row>
    <row r="819" spans="1:4" x14ac:dyDescent="0.3">
      <c r="A819" t="s">
        <v>9180</v>
      </c>
      <c r="B819" t="s">
        <v>1027</v>
      </c>
      <c r="C819" t="s">
        <v>1028</v>
      </c>
      <c r="D819" s="11">
        <v>0</v>
      </c>
    </row>
    <row r="820" spans="1:4" x14ac:dyDescent="0.3">
      <c r="A820" t="s">
        <v>9189</v>
      </c>
      <c r="B820" t="s">
        <v>97</v>
      </c>
      <c r="C820" t="s">
        <v>98</v>
      </c>
      <c r="D820" s="11">
        <v>0</v>
      </c>
    </row>
    <row r="821" spans="1:4" x14ac:dyDescent="0.3">
      <c r="A821" t="s">
        <v>9198</v>
      </c>
      <c r="B821" t="s">
        <v>947</v>
      </c>
      <c r="C821" t="s">
        <v>948</v>
      </c>
      <c r="D821" s="11">
        <v>-20571.428571428572</v>
      </c>
    </row>
    <row r="822" spans="1:4" x14ac:dyDescent="0.3">
      <c r="A822" t="s">
        <v>9211</v>
      </c>
      <c r="B822" t="s">
        <v>1170</v>
      </c>
      <c r="C822" t="s">
        <v>1171</v>
      </c>
      <c r="D822" s="11">
        <v>-9576.923076923078</v>
      </c>
    </row>
    <row r="823" spans="1:4" x14ac:dyDescent="0.3">
      <c r="A823" t="s">
        <v>9220</v>
      </c>
      <c r="B823" t="s">
        <v>2023</v>
      </c>
      <c r="C823" t="s">
        <v>2024</v>
      </c>
      <c r="D823" s="11">
        <v>-16000</v>
      </c>
    </row>
    <row r="824" spans="1:4" x14ac:dyDescent="0.3">
      <c r="A824" t="s">
        <v>9229</v>
      </c>
      <c r="B824" t="s">
        <v>4791</v>
      </c>
      <c r="C824" t="s">
        <v>4792</v>
      </c>
      <c r="D824" s="11">
        <v>0</v>
      </c>
    </row>
    <row r="825" spans="1:4" x14ac:dyDescent="0.3">
      <c r="A825" t="s">
        <v>9238</v>
      </c>
      <c r="B825" t="s">
        <v>9267</v>
      </c>
      <c r="C825" t="s">
        <v>9268</v>
      </c>
      <c r="D825" s="11">
        <v>0</v>
      </c>
    </row>
    <row r="826" spans="1:4" x14ac:dyDescent="0.3">
      <c r="A826" t="s">
        <v>9280</v>
      </c>
      <c r="B826" t="s">
        <v>97</v>
      </c>
      <c r="C826" t="s">
        <v>98</v>
      </c>
      <c r="D826" s="11">
        <v>0</v>
      </c>
    </row>
    <row r="827" spans="1:4" x14ac:dyDescent="0.3">
      <c r="A827" t="s">
        <v>9285</v>
      </c>
      <c r="B827" t="s">
        <v>1170</v>
      </c>
      <c r="C827" t="s">
        <v>1171</v>
      </c>
      <c r="D827" s="11">
        <v>0</v>
      </c>
    </row>
    <row r="828" spans="1:4" x14ac:dyDescent="0.3">
      <c r="A828" t="s">
        <v>9290</v>
      </c>
      <c r="B828" t="s">
        <v>3113</v>
      </c>
      <c r="C828" t="s">
        <v>3114</v>
      </c>
      <c r="D828" s="11">
        <v>0</v>
      </c>
    </row>
    <row r="829" spans="1:4" x14ac:dyDescent="0.3">
      <c r="A829" t="s">
        <v>9299</v>
      </c>
      <c r="B829" t="s">
        <v>5347</v>
      </c>
      <c r="C829" t="s">
        <v>5348</v>
      </c>
      <c r="D829" s="11">
        <v>0</v>
      </c>
    </row>
    <row r="830" spans="1:4" x14ac:dyDescent="0.3">
      <c r="A830" t="s">
        <v>9308</v>
      </c>
      <c r="B830" t="s">
        <v>5357</v>
      </c>
      <c r="C830" t="s">
        <v>5358</v>
      </c>
      <c r="D830" s="11">
        <v>0</v>
      </c>
    </row>
    <row r="831" spans="1:4" x14ac:dyDescent="0.3">
      <c r="A831" t="s">
        <v>9317</v>
      </c>
      <c r="B831" t="s">
        <v>740</v>
      </c>
      <c r="C831" t="s">
        <v>741</v>
      </c>
      <c r="D831" s="11">
        <v>0</v>
      </c>
    </row>
    <row r="832" spans="1:4" x14ac:dyDescent="0.3">
      <c r="A832" t="s">
        <v>9322</v>
      </c>
      <c r="B832" t="s">
        <v>1027</v>
      </c>
      <c r="C832" t="s">
        <v>1028</v>
      </c>
      <c r="D832" s="11">
        <v>-10590.163934426229</v>
      </c>
    </row>
    <row r="833" spans="1:4" x14ac:dyDescent="0.3">
      <c r="A833" t="s">
        <v>9331</v>
      </c>
      <c r="B833" t="s">
        <v>4988</v>
      </c>
      <c r="C833" t="s">
        <v>4989</v>
      </c>
      <c r="D833" s="11">
        <v>-10075.187969924811</v>
      </c>
    </row>
    <row r="834" spans="1:4" x14ac:dyDescent="0.3">
      <c r="A834" t="s">
        <v>9340</v>
      </c>
      <c r="B834" t="s">
        <v>517</v>
      </c>
      <c r="C834" t="s">
        <v>518</v>
      </c>
      <c r="D834" s="11">
        <v>-1503.7593984962405</v>
      </c>
    </row>
    <row r="835" spans="1:4" x14ac:dyDescent="0.3">
      <c r="A835" t="s">
        <v>9349</v>
      </c>
      <c r="B835" t="s">
        <v>3028</v>
      </c>
      <c r="C835" t="s">
        <v>3029</v>
      </c>
      <c r="D835" s="11">
        <v>-25319.148936170212</v>
      </c>
    </row>
    <row r="836" spans="1:4" x14ac:dyDescent="0.3">
      <c r="A836" t="s">
        <v>9358</v>
      </c>
      <c r="B836" t="s">
        <v>3028</v>
      </c>
      <c r="C836" t="s">
        <v>3029</v>
      </c>
      <c r="D836" s="11">
        <v>-50638.297872340423</v>
      </c>
    </row>
    <row r="837" spans="1:4" x14ac:dyDescent="0.3">
      <c r="A837" t="s">
        <v>9368</v>
      </c>
      <c r="B837" t="s">
        <v>3028</v>
      </c>
      <c r="C837" t="s">
        <v>3029</v>
      </c>
      <c r="D837" s="11">
        <v>0</v>
      </c>
    </row>
    <row r="838" spans="1:4" x14ac:dyDescent="0.3">
      <c r="A838" t="s">
        <v>9377</v>
      </c>
      <c r="B838" t="s">
        <v>1667</v>
      </c>
      <c r="C838" t="s">
        <v>1668</v>
      </c>
      <c r="D838" s="11">
        <v>0</v>
      </c>
    </row>
    <row r="839" spans="1:4" x14ac:dyDescent="0.3">
      <c r="A839" t="s">
        <v>9386</v>
      </c>
      <c r="B839" t="s">
        <v>2115</v>
      </c>
      <c r="C839" t="s">
        <v>2116</v>
      </c>
      <c r="D839" s="11">
        <v>-10764.705882352942</v>
      </c>
    </row>
    <row r="840" spans="1:4" x14ac:dyDescent="0.3">
      <c r="A840" t="s">
        <v>9399</v>
      </c>
      <c r="B840" t="s">
        <v>797</v>
      </c>
      <c r="C840" t="s">
        <v>798</v>
      </c>
      <c r="D840" s="11">
        <v>0</v>
      </c>
    </row>
    <row r="841" spans="1:4" x14ac:dyDescent="0.3">
      <c r="A841" t="s">
        <v>9404</v>
      </c>
      <c r="B841" t="s">
        <v>9405</v>
      </c>
      <c r="C841" t="s">
        <v>9406</v>
      </c>
      <c r="D841" s="11">
        <v>0</v>
      </c>
    </row>
    <row r="842" spans="1:4" x14ac:dyDescent="0.3">
      <c r="A842" t="s">
        <v>9409</v>
      </c>
      <c r="B842" t="s">
        <v>9405</v>
      </c>
      <c r="C842" t="s">
        <v>9406</v>
      </c>
      <c r="D842" s="11">
        <v>0</v>
      </c>
    </row>
    <row r="843" spans="1:4" x14ac:dyDescent="0.3">
      <c r="A843" t="s">
        <v>9413</v>
      </c>
      <c r="B843" t="s">
        <v>18452</v>
      </c>
      <c r="C843" t="s">
        <v>18452</v>
      </c>
      <c r="D843" s="11">
        <v>-10590.163934426229</v>
      </c>
    </row>
    <row r="844" spans="1:4" x14ac:dyDescent="0.3">
      <c r="A844" t="s">
        <v>9423</v>
      </c>
      <c r="B844" t="s">
        <v>3142</v>
      </c>
      <c r="C844" t="s">
        <v>3143</v>
      </c>
      <c r="D844" s="11">
        <v>-6606.7864271457083</v>
      </c>
    </row>
    <row r="845" spans="1:4" x14ac:dyDescent="0.3">
      <c r="A845" t="s">
        <v>9432</v>
      </c>
      <c r="B845" t="s">
        <v>91</v>
      </c>
      <c r="C845" t="s">
        <v>92</v>
      </c>
      <c r="D845" s="11">
        <v>0</v>
      </c>
    </row>
    <row r="846" spans="1:4" x14ac:dyDescent="0.3">
      <c r="A846" t="s">
        <v>9437</v>
      </c>
      <c r="B846" t="s">
        <v>517</v>
      </c>
      <c r="C846" t="s">
        <v>518</v>
      </c>
      <c r="D846" s="11">
        <v>0</v>
      </c>
    </row>
    <row r="847" spans="1:4" x14ac:dyDescent="0.3">
      <c r="A847" t="s">
        <v>9442</v>
      </c>
      <c r="B847" t="s">
        <v>70</v>
      </c>
      <c r="C847" t="s">
        <v>71</v>
      </c>
      <c r="D847" s="11">
        <v>0</v>
      </c>
    </row>
    <row r="848" spans="1:4" x14ac:dyDescent="0.3">
      <c r="A848" t="s">
        <v>9450</v>
      </c>
      <c r="B848" t="s">
        <v>2611</v>
      </c>
      <c r="C848" t="s">
        <v>2612</v>
      </c>
      <c r="D848" s="11">
        <v>-10629.92125984252</v>
      </c>
    </row>
    <row r="849" spans="1:4" x14ac:dyDescent="0.3">
      <c r="A849" t="s">
        <v>9459</v>
      </c>
      <c r="B849" t="s">
        <v>517</v>
      </c>
      <c r="C849" t="s">
        <v>518</v>
      </c>
      <c r="D849" s="11">
        <v>0</v>
      </c>
    </row>
    <row r="850" spans="1:4" x14ac:dyDescent="0.3">
      <c r="A850" t="s">
        <v>9464</v>
      </c>
      <c r="B850" t="s">
        <v>517</v>
      </c>
      <c r="C850" t="s">
        <v>518</v>
      </c>
      <c r="D850" s="11">
        <v>-17969.924812030073</v>
      </c>
    </row>
    <row r="851" spans="1:4" x14ac:dyDescent="0.3">
      <c r="A851" t="s">
        <v>9477</v>
      </c>
      <c r="B851" t="s">
        <v>5357</v>
      </c>
      <c r="C851" t="s">
        <v>5358</v>
      </c>
      <c r="D851" s="11">
        <v>0</v>
      </c>
    </row>
    <row r="852" spans="1:4" x14ac:dyDescent="0.3">
      <c r="A852" t="s">
        <v>9490</v>
      </c>
      <c r="B852" t="s">
        <v>5986</v>
      </c>
      <c r="C852" t="s">
        <v>5987</v>
      </c>
      <c r="D852" s="11">
        <v>0</v>
      </c>
    </row>
    <row r="853" spans="1:4" x14ac:dyDescent="0.3">
      <c r="A853" t="s">
        <v>9499</v>
      </c>
      <c r="B853" t="s">
        <v>6244</v>
      </c>
      <c r="C853" t="s">
        <v>6245</v>
      </c>
      <c r="D853" s="11">
        <v>0</v>
      </c>
    </row>
    <row r="854" spans="1:4" x14ac:dyDescent="0.3">
      <c r="A854" t="s">
        <v>9504</v>
      </c>
      <c r="B854" t="s">
        <v>1027</v>
      </c>
      <c r="C854" t="s">
        <v>1028</v>
      </c>
      <c r="D854" s="11">
        <v>0</v>
      </c>
    </row>
    <row r="855" spans="1:4" x14ac:dyDescent="0.3">
      <c r="A855" t="s">
        <v>9509</v>
      </c>
      <c r="B855" t="s">
        <v>1027</v>
      </c>
      <c r="C855" t="s">
        <v>1028</v>
      </c>
      <c r="D855" s="11">
        <v>0</v>
      </c>
    </row>
    <row r="856" spans="1:4" x14ac:dyDescent="0.3">
      <c r="A856" t="s">
        <v>9514</v>
      </c>
      <c r="B856" t="s">
        <v>6955</v>
      </c>
      <c r="C856" t="s">
        <v>6956</v>
      </c>
      <c r="D856" s="11">
        <v>0</v>
      </c>
    </row>
    <row r="857" spans="1:4" x14ac:dyDescent="0.3">
      <c r="A857" t="s">
        <v>9523</v>
      </c>
      <c r="B857" t="s">
        <v>2934</v>
      </c>
      <c r="C857" t="s">
        <v>2935</v>
      </c>
      <c r="D857" s="11">
        <v>-8166.666666666667</v>
      </c>
    </row>
    <row r="858" spans="1:4" x14ac:dyDescent="0.3">
      <c r="A858" t="s">
        <v>9536</v>
      </c>
      <c r="B858" t="s">
        <v>4988</v>
      </c>
      <c r="C858" t="s">
        <v>4989</v>
      </c>
      <c r="D858" s="11">
        <v>-10075.187969924811</v>
      </c>
    </row>
    <row r="859" spans="1:4" x14ac:dyDescent="0.3">
      <c r="A859" t="s">
        <v>9549</v>
      </c>
      <c r="B859" t="s">
        <v>5477</v>
      </c>
      <c r="C859" t="s">
        <v>5478</v>
      </c>
      <c r="D859" s="11">
        <v>-6622.2222222222226</v>
      </c>
    </row>
    <row r="860" spans="1:4" x14ac:dyDescent="0.3">
      <c r="A860" t="s">
        <v>9562</v>
      </c>
      <c r="B860" t="s">
        <v>5477</v>
      </c>
      <c r="C860" t="s">
        <v>5478</v>
      </c>
      <c r="D860" s="11">
        <v>0</v>
      </c>
    </row>
    <row r="861" spans="1:4" x14ac:dyDescent="0.3">
      <c r="A861" t="s">
        <v>9571</v>
      </c>
      <c r="B861" t="s">
        <v>5357</v>
      </c>
      <c r="C861" t="s">
        <v>5358</v>
      </c>
      <c r="D861" s="11">
        <v>0</v>
      </c>
    </row>
    <row r="862" spans="1:4" x14ac:dyDescent="0.3">
      <c r="A862" t="s">
        <v>9580</v>
      </c>
      <c r="B862" t="s">
        <v>91</v>
      </c>
      <c r="C862" t="s">
        <v>92</v>
      </c>
      <c r="D862" s="11">
        <v>0</v>
      </c>
    </row>
    <row r="863" spans="1:4" x14ac:dyDescent="0.3">
      <c r="A863" t="s">
        <v>9589</v>
      </c>
      <c r="B863" t="s">
        <v>4988</v>
      </c>
      <c r="C863" t="s">
        <v>4989</v>
      </c>
      <c r="D863" s="11">
        <v>-10075.187969924811</v>
      </c>
    </row>
    <row r="864" spans="1:4" x14ac:dyDescent="0.3">
      <c r="A864" t="s">
        <v>9602</v>
      </c>
      <c r="B864" t="s">
        <v>5357</v>
      </c>
      <c r="C864" t="s">
        <v>5358</v>
      </c>
      <c r="D864" s="11">
        <v>0</v>
      </c>
    </row>
    <row r="865" spans="1:4" x14ac:dyDescent="0.3">
      <c r="A865" t="s">
        <v>9615</v>
      </c>
      <c r="B865" t="s">
        <v>740</v>
      </c>
      <c r="C865" t="s">
        <v>741</v>
      </c>
      <c r="D865" s="11">
        <v>0</v>
      </c>
    </row>
    <row r="866" spans="1:4" x14ac:dyDescent="0.3">
      <c r="A866" t="s">
        <v>9624</v>
      </c>
      <c r="B866" t="s">
        <v>4791</v>
      </c>
      <c r="C866" t="s">
        <v>4792</v>
      </c>
      <c r="D866" s="11">
        <v>0</v>
      </c>
    </row>
    <row r="867" spans="1:4" x14ac:dyDescent="0.3">
      <c r="A867" t="s">
        <v>9633</v>
      </c>
      <c r="B867" t="s">
        <v>293</v>
      </c>
      <c r="C867" t="s">
        <v>294</v>
      </c>
      <c r="D867" s="11">
        <v>0</v>
      </c>
    </row>
    <row r="868" spans="1:4" x14ac:dyDescent="0.3">
      <c r="A868" t="s">
        <v>9642</v>
      </c>
      <c r="B868" t="s">
        <v>103</v>
      </c>
      <c r="C868" t="s">
        <v>104</v>
      </c>
      <c r="D868" s="11">
        <v>0</v>
      </c>
    </row>
    <row r="869" spans="1:4" x14ac:dyDescent="0.3">
      <c r="A869" t="s">
        <v>9647</v>
      </c>
      <c r="B869" t="s">
        <v>103</v>
      </c>
      <c r="C869" t="s">
        <v>104</v>
      </c>
      <c r="D869" s="11">
        <v>-21180.327868852459</v>
      </c>
    </row>
    <row r="870" spans="1:4" x14ac:dyDescent="0.3">
      <c r="A870" t="s">
        <v>9656</v>
      </c>
      <c r="B870" t="s">
        <v>1093</v>
      </c>
      <c r="C870" t="s">
        <v>1094</v>
      </c>
      <c r="D870" s="11">
        <v>0</v>
      </c>
    </row>
    <row r="871" spans="1:4" x14ac:dyDescent="0.3">
      <c r="A871" t="s">
        <v>9665</v>
      </c>
      <c r="B871" t="s">
        <v>6244</v>
      </c>
      <c r="C871" t="s">
        <v>6245</v>
      </c>
      <c r="D871" s="11">
        <v>0</v>
      </c>
    </row>
    <row r="872" spans="1:4" x14ac:dyDescent="0.3">
      <c r="A872" t="s">
        <v>9674</v>
      </c>
      <c r="B872" t="s">
        <v>1093</v>
      </c>
      <c r="C872" t="s">
        <v>1094</v>
      </c>
      <c r="D872" s="11">
        <v>0</v>
      </c>
    </row>
    <row r="873" spans="1:4" x14ac:dyDescent="0.3">
      <c r="A873" t="s">
        <v>9683</v>
      </c>
      <c r="B873" t="s">
        <v>1027</v>
      </c>
      <c r="C873" t="s">
        <v>1028</v>
      </c>
      <c r="D873" s="11">
        <v>0</v>
      </c>
    </row>
    <row r="874" spans="1:4" x14ac:dyDescent="0.3">
      <c r="A874" t="s">
        <v>9688</v>
      </c>
      <c r="B874" t="s">
        <v>6955</v>
      </c>
      <c r="C874" t="s">
        <v>6956</v>
      </c>
      <c r="D874" s="11">
        <v>-5360</v>
      </c>
    </row>
    <row r="875" spans="1:4" x14ac:dyDescent="0.3">
      <c r="A875" t="s">
        <v>9713</v>
      </c>
      <c r="B875" t="s">
        <v>485</v>
      </c>
      <c r="C875" t="s">
        <v>486</v>
      </c>
      <c r="D875" s="11">
        <v>0</v>
      </c>
    </row>
    <row r="876" spans="1:4" x14ac:dyDescent="0.3">
      <c r="A876" t="s">
        <v>9734</v>
      </c>
      <c r="B876" t="s">
        <v>5357</v>
      </c>
      <c r="C876" t="s">
        <v>5358</v>
      </c>
      <c r="D876" s="11">
        <v>0</v>
      </c>
    </row>
    <row r="877" spans="1:4" x14ac:dyDescent="0.3">
      <c r="A877" t="s">
        <v>9739</v>
      </c>
      <c r="B877" t="s">
        <v>91</v>
      </c>
      <c r="C877" t="s">
        <v>92</v>
      </c>
      <c r="D877" s="11">
        <v>0</v>
      </c>
    </row>
    <row r="878" spans="1:4" x14ac:dyDescent="0.3">
      <c r="A878" t="s">
        <v>9760</v>
      </c>
      <c r="B878" t="s">
        <v>1093</v>
      </c>
      <c r="C878" t="s">
        <v>1094</v>
      </c>
      <c r="D878" s="11">
        <v>0</v>
      </c>
    </row>
    <row r="879" spans="1:4" x14ac:dyDescent="0.3">
      <c r="A879" t="s">
        <v>9765</v>
      </c>
      <c r="B879" t="s">
        <v>4791</v>
      </c>
      <c r="C879" t="s">
        <v>4792</v>
      </c>
      <c r="D879" s="11">
        <v>0</v>
      </c>
    </row>
    <row r="880" spans="1:4" x14ac:dyDescent="0.3">
      <c r="A880" t="s">
        <v>9770</v>
      </c>
      <c r="B880" t="s">
        <v>18452</v>
      </c>
      <c r="C880" t="s">
        <v>18452</v>
      </c>
      <c r="D880" s="11">
        <v>0</v>
      </c>
    </row>
    <row r="881" spans="1:4" x14ac:dyDescent="0.3">
      <c r="A881" t="s">
        <v>9791</v>
      </c>
      <c r="B881" t="s">
        <v>2840</v>
      </c>
      <c r="C881" t="s">
        <v>2841</v>
      </c>
      <c r="D881" s="11">
        <v>0</v>
      </c>
    </row>
    <row r="882" spans="1:4" x14ac:dyDescent="0.3">
      <c r="A882" t="s">
        <v>9796</v>
      </c>
      <c r="B882" t="s">
        <v>740</v>
      </c>
      <c r="C882" t="s">
        <v>741</v>
      </c>
      <c r="D882" s="11">
        <v>0</v>
      </c>
    </row>
    <row r="883" spans="1:4" x14ac:dyDescent="0.3">
      <c r="A883" t="s">
        <v>9809</v>
      </c>
      <c r="B883" t="s">
        <v>769</v>
      </c>
      <c r="C883" t="s">
        <v>770</v>
      </c>
      <c r="D883" s="11">
        <v>0</v>
      </c>
    </row>
    <row r="884" spans="1:4" x14ac:dyDescent="0.3">
      <c r="A884" t="s">
        <v>9842</v>
      </c>
      <c r="B884" t="s">
        <v>1027</v>
      </c>
      <c r="C884" t="s">
        <v>1028</v>
      </c>
      <c r="D884" s="11">
        <v>0</v>
      </c>
    </row>
    <row r="885" spans="1:4" x14ac:dyDescent="0.3">
      <c r="A885" t="s">
        <v>9851</v>
      </c>
      <c r="B885" t="s">
        <v>1093</v>
      </c>
      <c r="C885" t="s">
        <v>1094</v>
      </c>
      <c r="D885" s="11">
        <v>0</v>
      </c>
    </row>
    <row r="886" spans="1:4" x14ac:dyDescent="0.3">
      <c r="A886" t="s">
        <v>9864</v>
      </c>
      <c r="B886" t="s">
        <v>517</v>
      </c>
      <c r="C886" t="s">
        <v>518</v>
      </c>
      <c r="D886" s="11">
        <v>0</v>
      </c>
    </row>
    <row r="887" spans="1:4" x14ac:dyDescent="0.3">
      <c r="A887" t="s">
        <v>9877</v>
      </c>
      <c r="B887" t="s">
        <v>4791</v>
      </c>
      <c r="C887" t="s">
        <v>4792</v>
      </c>
      <c r="D887" s="11">
        <v>0</v>
      </c>
    </row>
    <row r="888" spans="1:4" x14ac:dyDescent="0.3">
      <c r="A888" t="s">
        <v>9886</v>
      </c>
      <c r="B888" t="s">
        <v>2115</v>
      </c>
      <c r="C888" t="s">
        <v>2116</v>
      </c>
      <c r="D888" s="11">
        <v>-14352.941176470589</v>
      </c>
    </row>
    <row r="889" spans="1:4" x14ac:dyDescent="0.3">
      <c r="A889" t="s">
        <v>9899</v>
      </c>
      <c r="B889" t="s">
        <v>4791</v>
      </c>
      <c r="C889" t="s">
        <v>4792</v>
      </c>
      <c r="D889" s="11">
        <v>0</v>
      </c>
    </row>
    <row r="890" spans="1:4" x14ac:dyDescent="0.3">
      <c r="A890" t="s">
        <v>9908</v>
      </c>
      <c r="B890" t="s">
        <v>1027</v>
      </c>
      <c r="C890" t="s">
        <v>1028</v>
      </c>
      <c r="D890" s="11">
        <v>0</v>
      </c>
    </row>
    <row r="891" spans="1:4" x14ac:dyDescent="0.3">
      <c r="A891" t="s">
        <v>9917</v>
      </c>
      <c r="B891" t="s">
        <v>5357</v>
      </c>
      <c r="C891" t="s">
        <v>5358</v>
      </c>
      <c r="D891" s="11">
        <v>0</v>
      </c>
    </row>
    <row r="892" spans="1:4" x14ac:dyDescent="0.3">
      <c r="A892" t="s">
        <v>9930</v>
      </c>
      <c r="B892" t="s">
        <v>517</v>
      </c>
      <c r="C892" t="s">
        <v>518</v>
      </c>
      <c r="D892" s="11">
        <v>0</v>
      </c>
    </row>
    <row r="893" spans="1:4" x14ac:dyDescent="0.3">
      <c r="A893" t="s">
        <v>9939</v>
      </c>
      <c r="B893" t="s">
        <v>797</v>
      </c>
      <c r="C893" t="s">
        <v>798</v>
      </c>
      <c r="D893" s="11">
        <v>-26442.953020134228</v>
      </c>
    </row>
    <row r="894" spans="1:4" x14ac:dyDescent="0.3">
      <c r="A894" t="s">
        <v>9948</v>
      </c>
      <c r="B894" t="s">
        <v>797</v>
      </c>
      <c r="C894" t="s">
        <v>798</v>
      </c>
      <c r="D894" s="11">
        <v>0</v>
      </c>
    </row>
    <row r="895" spans="1:4" x14ac:dyDescent="0.3">
      <c r="A895" t="s">
        <v>9960</v>
      </c>
      <c r="B895" t="s">
        <v>797</v>
      </c>
      <c r="C895" t="s">
        <v>798</v>
      </c>
      <c r="D895" s="11">
        <v>-29798.657718120805</v>
      </c>
    </row>
    <row r="896" spans="1:4" x14ac:dyDescent="0.3">
      <c r="A896" t="s">
        <v>9976</v>
      </c>
      <c r="B896" t="s">
        <v>445</v>
      </c>
      <c r="C896" t="s">
        <v>446</v>
      </c>
      <c r="D896" s="11">
        <v>0</v>
      </c>
    </row>
    <row r="897" spans="1:4" x14ac:dyDescent="0.3">
      <c r="A897" t="s">
        <v>9985</v>
      </c>
      <c r="B897" t="s">
        <v>445</v>
      </c>
      <c r="C897" t="s">
        <v>446</v>
      </c>
      <c r="D897" s="11">
        <v>-25319.148936170212</v>
      </c>
    </row>
    <row r="898" spans="1:4" x14ac:dyDescent="0.3">
      <c r="A898" t="s">
        <v>9998</v>
      </c>
      <c r="B898" t="s">
        <v>445</v>
      </c>
      <c r="C898" t="s">
        <v>446</v>
      </c>
      <c r="D898" s="11">
        <v>0</v>
      </c>
    </row>
    <row r="899" spans="1:4" x14ac:dyDescent="0.3">
      <c r="A899" t="s">
        <v>10007</v>
      </c>
      <c r="B899" t="s">
        <v>97</v>
      </c>
      <c r="C899" t="s">
        <v>98</v>
      </c>
      <c r="D899" s="11">
        <v>0</v>
      </c>
    </row>
    <row r="900" spans="1:4" x14ac:dyDescent="0.3">
      <c r="A900" t="s">
        <v>10016</v>
      </c>
      <c r="B900" t="s">
        <v>1170</v>
      </c>
      <c r="C900" t="s">
        <v>1171</v>
      </c>
      <c r="D900" s="11">
        <v>-9576.923076923078</v>
      </c>
    </row>
    <row r="901" spans="1:4" x14ac:dyDescent="0.3">
      <c r="A901" t="s">
        <v>10025</v>
      </c>
      <c r="B901" t="s">
        <v>70</v>
      </c>
      <c r="C901" t="s">
        <v>71</v>
      </c>
      <c r="D901" s="11">
        <v>-6333.3333333333339</v>
      </c>
    </row>
    <row r="902" spans="1:4" x14ac:dyDescent="0.3">
      <c r="A902" t="s">
        <v>10034</v>
      </c>
      <c r="B902" t="s">
        <v>5357</v>
      </c>
      <c r="C902" t="s">
        <v>5358</v>
      </c>
      <c r="D902" s="11">
        <v>0</v>
      </c>
    </row>
    <row r="903" spans="1:4" x14ac:dyDescent="0.3">
      <c r="A903" t="s">
        <v>10050</v>
      </c>
      <c r="B903" t="s">
        <v>1027</v>
      </c>
      <c r="C903" t="s">
        <v>1028</v>
      </c>
      <c r="D903" s="11">
        <v>0</v>
      </c>
    </row>
    <row r="904" spans="1:4" x14ac:dyDescent="0.3">
      <c r="A904" t="s">
        <v>10062</v>
      </c>
      <c r="B904" t="s">
        <v>517</v>
      </c>
      <c r="C904" t="s">
        <v>518</v>
      </c>
      <c r="D904" s="11">
        <v>0</v>
      </c>
    </row>
    <row r="905" spans="1:4" x14ac:dyDescent="0.3">
      <c r="A905" t="s">
        <v>10075</v>
      </c>
      <c r="B905" t="s">
        <v>97</v>
      </c>
      <c r="C905" t="s">
        <v>98</v>
      </c>
      <c r="D905" s="11">
        <v>0</v>
      </c>
    </row>
    <row r="906" spans="1:4" x14ac:dyDescent="0.3">
      <c r="A906" t="s">
        <v>10088</v>
      </c>
      <c r="B906" t="s">
        <v>70</v>
      </c>
      <c r="C906" t="s">
        <v>71</v>
      </c>
      <c r="D906" s="11">
        <v>0</v>
      </c>
    </row>
    <row r="907" spans="1:4" x14ac:dyDescent="0.3">
      <c r="A907" t="s">
        <v>10097</v>
      </c>
      <c r="B907" t="s">
        <v>797</v>
      </c>
      <c r="C907" t="s">
        <v>798</v>
      </c>
      <c r="D907" s="11">
        <v>0</v>
      </c>
    </row>
    <row r="908" spans="1:4" x14ac:dyDescent="0.3">
      <c r="A908" t="s">
        <v>10112</v>
      </c>
      <c r="B908" t="s">
        <v>445</v>
      </c>
      <c r="C908" t="s">
        <v>446</v>
      </c>
      <c r="D908" s="11">
        <v>0</v>
      </c>
    </row>
    <row r="909" spans="1:4" x14ac:dyDescent="0.3">
      <c r="A909" t="s">
        <v>10117</v>
      </c>
      <c r="B909" t="s">
        <v>517</v>
      </c>
      <c r="C909" t="s">
        <v>518</v>
      </c>
      <c r="D909" s="11">
        <v>0</v>
      </c>
    </row>
    <row r="910" spans="1:4" x14ac:dyDescent="0.3">
      <c r="A910" t="s">
        <v>10130</v>
      </c>
      <c r="B910" t="s">
        <v>97</v>
      </c>
      <c r="C910" t="s">
        <v>98</v>
      </c>
      <c r="D910" s="11">
        <v>0</v>
      </c>
    </row>
    <row r="911" spans="1:4" x14ac:dyDescent="0.3">
      <c r="A911" t="s">
        <v>10139</v>
      </c>
      <c r="B911" t="s">
        <v>4791</v>
      </c>
      <c r="C911" t="s">
        <v>4792</v>
      </c>
      <c r="D911" s="11">
        <v>0</v>
      </c>
    </row>
    <row r="912" spans="1:4" x14ac:dyDescent="0.3">
      <c r="A912" t="s">
        <v>10148</v>
      </c>
      <c r="B912" t="s">
        <v>1093</v>
      </c>
      <c r="C912" t="s">
        <v>1094</v>
      </c>
      <c r="D912" s="11">
        <v>0</v>
      </c>
    </row>
    <row r="913" spans="1:4" x14ac:dyDescent="0.3">
      <c r="A913" t="s">
        <v>10157</v>
      </c>
      <c r="B913" t="s">
        <v>2086</v>
      </c>
      <c r="C913" t="s">
        <v>2087</v>
      </c>
      <c r="D913" s="11">
        <v>-8444.4444444444453</v>
      </c>
    </row>
    <row r="914" spans="1:4" x14ac:dyDescent="0.3">
      <c r="A914" t="s">
        <v>10170</v>
      </c>
      <c r="B914" t="s">
        <v>6955</v>
      </c>
      <c r="C914" t="s">
        <v>6956</v>
      </c>
      <c r="D914" s="11">
        <v>-11200</v>
      </c>
    </row>
    <row r="915" spans="1:4" x14ac:dyDescent="0.3">
      <c r="A915" t="s">
        <v>10186</v>
      </c>
      <c r="B915" t="s">
        <v>5477</v>
      </c>
      <c r="C915" t="s">
        <v>5478</v>
      </c>
      <c r="D915" s="11">
        <v>0</v>
      </c>
    </row>
    <row r="916" spans="1:4" x14ac:dyDescent="0.3">
      <c r="A916" t="s">
        <v>10191</v>
      </c>
      <c r="B916" t="s">
        <v>4791</v>
      </c>
      <c r="C916" t="s">
        <v>4792</v>
      </c>
      <c r="D916" s="11">
        <v>0</v>
      </c>
    </row>
    <row r="917" spans="1:4" x14ac:dyDescent="0.3">
      <c r="A917" t="s">
        <v>10200</v>
      </c>
      <c r="B917" t="s">
        <v>1093</v>
      </c>
      <c r="C917" t="s">
        <v>1094</v>
      </c>
      <c r="D917" s="11">
        <v>0</v>
      </c>
    </row>
    <row r="918" spans="1:4" x14ac:dyDescent="0.3">
      <c r="A918" t="s">
        <v>10209</v>
      </c>
      <c r="B918" t="s">
        <v>517</v>
      </c>
      <c r="C918" t="s">
        <v>518</v>
      </c>
      <c r="D918" s="11">
        <v>0</v>
      </c>
    </row>
    <row r="919" spans="1:4" x14ac:dyDescent="0.3">
      <c r="A919" t="s">
        <v>10218</v>
      </c>
      <c r="B919" t="s">
        <v>1027</v>
      </c>
      <c r="C919" t="s">
        <v>1028</v>
      </c>
      <c r="D919" s="11">
        <v>0</v>
      </c>
    </row>
    <row r="920" spans="1:4" x14ac:dyDescent="0.3">
      <c r="A920" t="s">
        <v>10231</v>
      </c>
      <c r="B920" t="s">
        <v>1027</v>
      </c>
      <c r="C920" t="s">
        <v>1028</v>
      </c>
      <c r="D920" s="11">
        <v>0</v>
      </c>
    </row>
    <row r="921" spans="1:4" x14ac:dyDescent="0.3">
      <c r="A921" t="s">
        <v>10240</v>
      </c>
      <c r="B921" t="s">
        <v>1027</v>
      </c>
      <c r="C921" t="s">
        <v>1028</v>
      </c>
      <c r="D921" s="11">
        <v>-10590.163934426229</v>
      </c>
    </row>
    <row r="922" spans="1:4" x14ac:dyDescent="0.3">
      <c r="A922" t="s">
        <v>10253</v>
      </c>
      <c r="B922" t="s">
        <v>97</v>
      </c>
      <c r="C922" t="s">
        <v>98</v>
      </c>
      <c r="D922" s="11">
        <v>0</v>
      </c>
    </row>
    <row r="923" spans="1:4" x14ac:dyDescent="0.3">
      <c r="A923" t="s">
        <v>10262</v>
      </c>
      <c r="B923" t="s">
        <v>1170</v>
      </c>
      <c r="C923" t="s">
        <v>1171</v>
      </c>
      <c r="D923" s="11">
        <v>-4788.461538461539</v>
      </c>
    </row>
    <row r="924" spans="1:4" x14ac:dyDescent="0.3">
      <c r="A924" t="s">
        <v>10271</v>
      </c>
      <c r="B924" t="s">
        <v>1170</v>
      </c>
      <c r="C924" t="s">
        <v>1171</v>
      </c>
      <c r="D924" s="11">
        <v>0</v>
      </c>
    </row>
    <row r="925" spans="1:4" x14ac:dyDescent="0.3">
      <c r="A925" t="s">
        <v>10276</v>
      </c>
      <c r="B925" t="s">
        <v>647</v>
      </c>
      <c r="C925" t="s">
        <v>648</v>
      </c>
      <c r="D925" s="11">
        <v>-16333.333333333332</v>
      </c>
    </row>
    <row r="926" spans="1:4" x14ac:dyDescent="0.3">
      <c r="A926" t="s">
        <v>10285</v>
      </c>
      <c r="B926" t="s">
        <v>1093</v>
      </c>
      <c r="C926" t="s">
        <v>1094</v>
      </c>
      <c r="D926" s="11">
        <v>0</v>
      </c>
    </row>
    <row r="927" spans="1:4" x14ac:dyDescent="0.3">
      <c r="A927" t="s">
        <v>10294</v>
      </c>
      <c r="B927" t="s">
        <v>97</v>
      </c>
      <c r="C927" t="s">
        <v>98</v>
      </c>
      <c r="D927" s="11">
        <v>0</v>
      </c>
    </row>
    <row r="928" spans="1:4" x14ac:dyDescent="0.3">
      <c r="A928" t="s">
        <v>10303</v>
      </c>
      <c r="B928" t="s">
        <v>5507</v>
      </c>
      <c r="C928" t="s">
        <v>5508</v>
      </c>
      <c r="D928" s="11">
        <v>-19185.185185185186</v>
      </c>
    </row>
    <row r="929" spans="1:4" x14ac:dyDescent="0.3">
      <c r="A929" t="s">
        <v>10316</v>
      </c>
      <c r="B929" t="s">
        <v>693</v>
      </c>
      <c r="C929" t="s">
        <v>694</v>
      </c>
      <c r="D929" s="11">
        <v>0</v>
      </c>
    </row>
    <row r="930" spans="1:4" x14ac:dyDescent="0.3">
      <c r="A930" t="s">
        <v>10325</v>
      </c>
      <c r="B930" t="s">
        <v>4791</v>
      </c>
      <c r="C930" t="s">
        <v>4792</v>
      </c>
      <c r="D930" s="11">
        <v>0</v>
      </c>
    </row>
    <row r="931" spans="1:4" x14ac:dyDescent="0.3">
      <c r="A931" t="s">
        <v>10334</v>
      </c>
      <c r="B931" t="s">
        <v>5357</v>
      </c>
      <c r="C931" t="s">
        <v>5358</v>
      </c>
      <c r="D931" s="11">
        <v>0</v>
      </c>
    </row>
    <row r="932" spans="1:4" x14ac:dyDescent="0.3">
      <c r="A932" t="s">
        <v>10343</v>
      </c>
      <c r="B932" t="s">
        <v>10352</v>
      </c>
      <c r="C932" t="s">
        <v>10353</v>
      </c>
      <c r="D932" s="11">
        <v>-15777.777777777777</v>
      </c>
    </row>
    <row r="933" spans="1:4" x14ac:dyDescent="0.3">
      <c r="A933" t="s">
        <v>10357</v>
      </c>
      <c r="B933" t="s">
        <v>5357</v>
      </c>
      <c r="C933" t="s">
        <v>5358</v>
      </c>
      <c r="D933" s="11">
        <v>0</v>
      </c>
    </row>
    <row r="934" spans="1:4" x14ac:dyDescent="0.3">
      <c r="A934" t="s">
        <v>10366</v>
      </c>
      <c r="B934" t="s">
        <v>5347</v>
      </c>
      <c r="C934" t="s">
        <v>5348</v>
      </c>
      <c r="D934" s="11">
        <v>-5886.4</v>
      </c>
    </row>
    <row r="935" spans="1:4" x14ac:dyDescent="0.3">
      <c r="A935" t="s">
        <v>10382</v>
      </c>
      <c r="B935" t="s">
        <v>5357</v>
      </c>
      <c r="C935" t="s">
        <v>5358</v>
      </c>
      <c r="D935" s="11">
        <v>0</v>
      </c>
    </row>
    <row r="936" spans="1:4" x14ac:dyDescent="0.3">
      <c r="A936" t="s">
        <v>10391</v>
      </c>
      <c r="B936" t="s">
        <v>1667</v>
      </c>
      <c r="C936" t="s">
        <v>1668</v>
      </c>
      <c r="D936" s="11">
        <v>0</v>
      </c>
    </row>
    <row r="937" spans="1:4" x14ac:dyDescent="0.3">
      <c r="A937" t="s">
        <v>10400</v>
      </c>
      <c r="B937" t="s">
        <v>5477</v>
      </c>
      <c r="C937" t="s">
        <v>5478</v>
      </c>
      <c r="D937" s="11">
        <v>0</v>
      </c>
    </row>
    <row r="938" spans="1:4" x14ac:dyDescent="0.3">
      <c r="A938" t="s">
        <v>10405</v>
      </c>
      <c r="B938" t="s">
        <v>5477</v>
      </c>
      <c r="C938" t="s">
        <v>5478</v>
      </c>
      <c r="D938" s="11">
        <v>0</v>
      </c>
    </row>
    <row r="939" spans="1:4" x14ac:dyDescent="0.3">
      <c r="A939" t="s">
        <v>10410</v>
      </c>
      <c r="B939" t="s">
        <v>1170</v>
      </c>
      <c r="C939" t="s">
        <v>1171</v>
      </c>
      <c r="D939" s="11">
        <v>0</v>
      </c>
    </row>
    <row r="940" spans="1:4" x14ac:dyDescent="0.3">
      <c r="A940" t="s">
        <v>10415</v>
      </c>
      <c r="B940" t="s">
        <v>70</v>
      </c>
      <c r="C940" t="s">
        <v>71</v>
      </c>
      <c r="D940" s="11">
        <v>0</v>
      </c>
    </row>
    <row r="941" spans="1:4" x14ac:dyDescent="0.3">
      <c r="A941" t="s">
        <v>10420</v>
      </c>
      <c r="B941" t="s">
        <v>797</v>
      </c>
      <c r="C941" t="s">
        <v>798</v>
      </c>
      <c r="D941" s="11">
        <v>-29798.657718120805</v>
      </c>
    </row>
    <row r="942" spans="1:4" x14ac:dyDescent="0.3">
      <c r="A942" t="s">
        <v>10433</v>
      </c>
      <c r="B942" t="s">
        <v>5477</v>
      </c>
      <c r="C942" t="s">
        <v>5478</v>
      </c>
      <c r="D942" s="11">
        <v>0</v>
      </c>
    </row>
    <row r="943" spans="1:4" x14ac:dyDescent="0.3">
      <c r="A943" t="s">
        <v>10438</v>
      </c>
      <c r="B943" t="s">
        <v>3028</v>
      </c>
      <c r="C943" t="s">
        <v>3029</v>
      </c>
      <c r="D943" s="11">
        <v>0</v>
      </c>
    </row>
    <row r="944" spans="1:4" x14ac:dyDescent="0.3">
      <c r="A944" t="s">
        <v>10447</v>
      </c>
      <c r="B944" t="s">
        <v>3028</v>
      </c>
      <c r="C944" t="s">
        <v>3029</v>
      </c>
      <c r="D944" s="11">
        <v>-25319.148936170212</v>
      </c>
    </row>
    <row r="945" spans="1:4" x14ac:dyDescent="0.3">
      <c r="A945" t="s">
        <v>10460</v>
      </c>
      <c r="B945" t="s">
        <v>797</v>
      </c>
      <c r="C945" t="s">
        <v>798</v>
      </c>
      <c r="D945" s="11">
        <v>0</v>
      </c>
    </row>
    <row r="946" spans="1:4" x14ac:dyDescent="0.3">
      <c r="A946" t="s">
        <v>10469</v>
      </c>
      <c r="B946" t="s">
        <v>797</v>
      </c>
      <c r="C946" t="s">
        <v>798</v>
      </c>
      <c r="D946" s="11">
        <v>-33825.503355704699</v>
      </c>
    </row>
    <row r="947" spans="1:4" x14ac:dyDescent="0.3">
      <c r="A947" t="s">
        <v>10482</v>
      </c>
      <c r="B947" t="s">
        <v>1170</v>
      </c>
      <c r="C947" t="s">
        <v>1171</v>
      </c>
      <c r="D947" s="11">
        <v>-9596.1538461538457</v>
      </c>
    </row>
    <row r="948" spans="1:4" x14ac:dyDescent="0.3">
      <c r="A948" t="s">
        <v>10495</v>
      </c>
      <c r="B948" t="s">
        <v>5357</v>
      </c>
      <c r="C948" t="s">
        <v>5358</v>
      </c>
      <c r="D948" s="11">
        <v>0</v>
      </c>
    </row>
    <row r="949" spans="1:4" x14ac:dyDescent="0.3">
      <c r="A949" t="s">
        <v>10500</v>
      </c>
      <c r="B949" t="s">
        <v>5357</v>
      </c>
      <c r="C949" t="s">
        <v>5358</v>
      </c>
      <c r="D949" s="11">
        <v>0</v>
      </c>
    </row>
    <row r="950" spans="1:4" x14ac:dyDescent="0.3">
      <c r="A950" t="s">
        <v>10505</v>
      </c>
      <c r="B950" t="s">
        <v>4791</v>
      </c>
      <c r="C950" t="s">
        <v>4792</v>
      </c>
      <c r="D950" s="11">
        <v>0</v>
      </c>
    </row>
    <row r="951" spans="1:4" x14ac:dyDescent="0.3">
      <c r="A951" t="s">
        <v>10511</v>
      </c>
      <c r="B951" t="s">
        <v>740</v>
      </c>
      <c r="C951" t="s">
        <v>741</v>
      </c>
      <c r="D951" s="11">
        <v>0</v>
      </c>
    </row>
    <row r="952" spans="1:4" x14ac:dyDescent="0.3">
      <c r="A952" t="s">
        <v>10523</v>
      </c>
      <c r="B952" t="s">
        <v>3028</v>
      </c>
      <c r="C952" t="s">
        <v>3029</v>
      </c>
      <c r="D952" s="11">
        <v>-25319.148936170212</v>
      </c>
    </row>
    <row r="953" spans="1:4" x14ac:dyDescent="0.3">
      <c r="A953" t="s">
        <v>10539</v>
      </c>
      <c r="B953" t="s">
        <v>4988</v>
      </c>
      <c r="C953" t="s">
        <v>4989</v>
      </c>
      <c r="D953" s="11">
        <v>-10075.187969924811</v>
      </c>
    </row>
    <row r="954" spans="1:4" x14ac:dyDescent="0.3">
      <c r="A954" t="s">
        <v>10548</v>
      </c>
      <c r="B954" t="s">
        <v>4988</v>
      </c>
      <c r="C954" t="s">
        <v>4989</v>
      </c>
      <c r="D954" s="11">
        <v>0</v>
      </c>
    </row>
    <row r="955" spans="1:4" x14ac:dyDescent="0.3">
      <c r="A955" t="s">
        <v>10553</v>
      </c>
      <c r="B955" t="s">
        <v>2611</v>
      </c>
      <c r="C955" t="s">
        <v>2612</v>
      </c>
      <c r="D955" s="11">
        <v>-11023.622047244095</v>
      </c>
    </row>
    <row r="956" spans="1:4" x14ac:dyDescent="0.3">
      <c r="A956" t="s">
        <v>10566</v>
      </c>
      <c r="B956" t="s">
        <v>289</v>
      </c>
      <c r="C956" t="s">
        <v>290</v>
      </c>
      <c r="D956" s="11">
        <v>0</v>
      </c>
    </row>
    <row r="957" spans="1:4" x14ac:dyDescent="0.3">
      <c r="A957" t="s">
        <v>10571</v>
      </c>
      <c r="B957" t="s">
        <v>2803</v>
      </c>
      <c r="C957" t="s">
        <v>2804</v>
      </c>
      <c r="D957" s="11">
        <v>-5263.1578947368416</v>
      </c>
    </row>
    <row r="958" spans="1:4" x14ac:dyDescent="0.3">
      <c r="A958" t="s">
        <v>10580</v>
      </c>
      <c r="B958" t="s">
        <v>1027</v>
      </c>
      <c r="C958" t="s">
        <v>1028</v>
      </c>
      <c r="D958" s="11">
        <v>0</v>
      </c>
    </row>
    <row r="959" spans="1:4" x14ac:dyDescent="0.3">
      <c r="A959" t="s">
        <v>10589</v>
      </c>
      <c r="B959" t="s">
        <v>797</v>
      </c>
      <c r="C959" t="s">
        <v>798</v>
      </c>
      <c r="D959" s="11">
        <v>0</v>
      </c>
    </row>
    <row r="960" spans="1:4" x14ac:dyDescent="0.3">
      <c r="A960" t="s">
        <v>10598</v>
      </c>
      <c r="B960" t="s">
        <v>797</v>
      </c>
      <c r="C960" t="s">
        <v>798</v>
      </c>
      <c r="D960" s="11">
        <v>0</v>
      </c>
    </row>
    <row r="961" spans="1:4" x14ac:dyDescent="0.3">
      <c r="A961" t="s">
        <v>10613</v>
      </c>
      <c r="B961" t="s">
        <v>2121</v>
      </c>
      <c r="C961" t="s">
        <v>2122</v>
      </c>
      <c r="D961" s="11">
        <v>0</v>
      </c>
    </row>
    <row r="962" spans="1:4" x14ac:dyDescent="0.3">
      <c r="A962" t="s">
        <v>10622</v>
      </c>
      <c r="B962" t="s">
        <v>2934</v>
      </c>
      <c r="C962" t="s">
        <v>2935</v>
      </c>
      <c r="D962" s="11">
        <v>-8166.666666666667</v>
      </c>
    </row>
    <row r="963" spans="1:4" x14ac:dyDescent="0.3">
      <c r="A963" t="s">
        <v>10635</v>
      </c>
      <c r="B963" t="s">
        <v>4955</v>
      </c>
      <c r="C963" t="s">
        <v>4956</v>
      </c>
      <c r="D963" s="11">
        <v>0</v>
      </c>
    </row>
    <row r="964" spans="1:4" x14ac:dyDescent="0.3">
      <c r="A964" t="s">
        <v>10640</v>
      </c>
      <c r="B964" t="s">
        <v>1027</v>
      </c>
      <c r="C964" t="s">
        <v>1028</v>
      </c>
      <c r="D964" s="11">
        <v>0</v>
      </c>
    </row>
    <row r="965" spans="1:4" x14ac:dyDescent="0.3">
      <c r="A965" t="s">
        <v>10652</v>
      </c>
      <c r="B965" t="s">
        <v>3028</v>
      </c>
      <c r="C965" t="s">
        <v>3029</v>
      </c>
      <c r="D965" s="11">
        <v>0</v>
      </c>
    </row>
    <row r="966" spans="1:4" x14ac:dyDescent="0.3">
      <c r="A966" t="s">
        <v>10664</v>
      </c>
      <c r="B966" t="s">
        <v>783</v>
      </c>
      <c r="C966" t="s">
        <v>784</v>
      </c>
      <c r="D966" s="11">
        <v>0</v>
      </c>
    </row>
    <row r="967" spans="1:4" x14ac:dyDescent="0.3">
      <c r="A967" t="s">
        <v>10677</v>
      </c>
      <c r="B967" t="s">
        <v>91</v>
      </c>
      <c r="C967" t="s">
        <v>92</v>
      </c>
      <c r="D967" s="11">
        <v>0</v>
      </c>
    </row>
    <row r="968" spans="1:4" x14ac:dyDescent="0.3">
      <c r="A968" t="s">
        <v>10686</v>
      </c>
      <c r="B968" t="s">
        <v>91</v>
      </c>
      <c r="C968" t="s">
        <v>92</v>
      </c>
      <c r="D968" s="11">
        <v>-26987.951807228914</v>
      </c>
    </row>
    <row r="969" spans="1:4" x14ac:dyDescent="0.3">
      <c r="A969" t="s">
        <v>10699</v>
      </c>
      <c r="B969" t="s">
        <v>18452</v>
      </c>
      <c r="C969" t="s">
        <v>18452</v>
      </c>
      <c r="D969" s="11">
        <v>0</v>
      </c>
    </row>
    <row r="970" spans="1:4" x14ac:dyDescent="0.3">
      <c r="A970" t="s">
        <v>10705</v>
      </c>
      <c r="B970" t="s">
        <v>1667</v>
      </c>
      <c r="C970" t="s">
        <v>1668</v>
      </c>
      <c r="D970" s="11">
        <v>0</v>
      </c>
    </row>
    <row r="971" spans="1:4" x14ac:dyDescent="0.3">
      <c r="A971" t="s">
        <v>10714</v>
      </c>
      <c r="B971" t="s">
        <v>10719</v>
      </c>
      <c r="C971" t="s">
        <v>10720</v>
      </c>
      <c r="D971" s="11">
        <v>-20869.565217391304</v>
      </c>
    </row>
    <row r="972" spans="1:4" x14ac:dyDescent="0.3">
      <c r="A972" t="s">
        <v>10724</v>
      </c>
      <c r="B972" t="s">
        <v>693</v>
      </c>
      <c r="C972" t="s">
        <v>694</v>
      </c>
      <c r="D972" s="11">
        <v>0</v>
      </c>
    </row>
    <row r="973" spans="1:4" x14ac:dyDescent="0.3">
      <c r="A973" t="s">
        <v>10729</v>
      </c>
      <c r="B973" t="s">
        <v>103</v>
      </c>
      <c r="C973" t="s">
        <v>104</v>
      </c>
      <c r="D973" s="11">
        <v>-10590.163934426229</v>
      </c>
    </row>
    <row r="974" spans="1:4" x14ac:dyDescent="0.3">
      <c r="A974" t="s">
        <v>10746</v>
      </c>
      <c r="B974" t="s">
        <v>5357</v>
      </c>
      <c r="C974" t="s">
        <v>5358</v>
      </c>
      <c r="D974" s="11">
        <v>0</v>
      </c>
    </row>
    <row r="975" spans="1:4" x14ac:dyDescent="0.3">
      <c r="A975" t="s">
        <v>10751</v>
      </c>
      <c r="B975" t="s">
        <v>5357</v>
      </c>
      <c r="C975" t="s">
        <v>5358</v>
      </c>
      <c r="D975" s="11">
        <v>0</v>
      </c>
    </row>
    <row r="976" spans="1:4" x14ac:dyDescent="0.3">
      <c r="A976" t="s">
        <v>10756</v>
      </c>
      <c r="B976" t="s">
        <v>2305</v>
      </c>
      <c r="C976" t="s">
        <v>2306</v>
      </c>
      <c r="D976" s="11">
        <v>0</v>
      </c>
    </row>
    <row r="977" spans="1:4" x14ac:dyDescent="0.3">
      <c r="A977" t="s">
        <v>10769</v>
      </c>
      <c r="B977" t="s">
        <v>740</v>
      </c>
      <c r="C977" t="s">
        <v>741</v>
      </c>
      <c r="D977" s="11">
        <v>0</v>
      </c>
    </row>
    <row r="978" spans="1:4" x14ac:dyDescent="0.3">
      <c r="A978" t="s">
        <v>10774</v>
      </c>
      <c r="B978" t="s">
        <v>9405</v>
      </c>
      <c r="C978" t="s">
        <v>9406</v>
      </c>
      <c r="D978" s="11">
        <v>0</v>
      </c>
    </row>
    <row r="979" spans="1:4" x14ac:dyDescent="0.3">
      <c r="A979" t="s">
        <v>10783</v>
      </c>
      <c r="B979" t="s">
        <v>2121</v>
      </c>
      <c r="C979" t="s">
        <v>2122</v>
      </c>
      <c r="D979" s="11">
        <v>0</v>
      </c>
    </row>
    <row r="980" spans="1:4" x14ac:dyDescent="0.3">
      <c r="A980" t="s">
        <v>10792</v>
      </c>
      <c r="B980" t="s">
        <v>1027</v>
      </c>
      <c r="C980" t="s">
        <v>1028</v>
      </c>
      <c r="D980" s="11">
        <v>0</v>
      </c>
    </row>
    <row r="981" spans="1:4" x14ac:dyDescent="0.3">
      <c r="A981" t="s">
        <v>10797</v>
      </c>
      <c r="B981" t="s">
        <v>97</v>
      </c>
      <c r="C981" t="s">
        <v>98</v>
      </c>
      <c r="D981" s="11">
        <v>0</v>
      </c>
    </row>
    <row r="982" spans="1:4" x14ac:dyDescent="0.3">
      <c r="A982" t="s">
        <v>10818</v>
      </c>
      <c r="B982" t="s">
        <v>9405</v>
      </c>
      <c r="C982" t="s">
        <v>9406</v>
      </c>
      <c r="D982" s="11">
        <v>-25319.148936170212</v>
      </c>
    </row>
    <row r="983" spans="1:4" x14ac:dyDescent="0.3">
      <c r="A983" t="s">
        <v>10831</v>
      </c>
      <c r="B983" t="s">
        <v>97</v>
      </c>
      <c r="C983" t="s">
        <v>98</v>
      </c>
      <c r="D983" s="11">
        <v>0</v>
      </c>
    </row>
    <row r="984" spans="1:4" x14ac:dyDescent="0.3">
      <c r="A984" t="s">
        <v>10836</v>
      </c>
      <c r="B984" t="s">
        <v>4988</v>
      </c>
      <c r="C984" t="s">
        <v>4989</v>
      </c>
      <c r="D984" s="11">
        <v>0</v>
      </c>
    </row>
    <row r="985" spans="1:4" x14ac:dyDescent="0.3">
      <c r="A985" t="s">
        <v>10845</v>
      </c>
      <c r="B985" t="s">
        <v>4988</v>
      </c>
      <c r="C985" t="s">
        <v>4989</v>
      </c>
      <c r="D985" s="11">
        <v>0</v>
      </c>
    </row>
    <row r="986" spans="1:4" x14ac:dyDescent="0.3">
      <c r="A986" t="s">
        <v>10850</v>
      </c>
      <c r="B986" t="s">
        <v>2023</v>
      </c>
      <c r="C986" t="s">
        <v>2024</v>
      </c>
      <c r="D986" s="11">
        <v>-2000</v>
      </c>
    </row>
    <row r="987" spans="1:4" x14ac:dyDescent="0.3">
      <c r="A987" t="s">
        <v>10859</v>
      </c>
      <c r="B987" t="s">
        <v>293</v>
      </c>
      <c r="C987" t="s">
        <v>294</v>
      </c>
      <c r="D987" s="11">
        <v>0</v>
      </c>
    </row>
    <row r="988" spans="1:4" x14ac:dyDescent="0.3">
      <c r="A988" t="s">
        <v>10864</v>
      </c>
      <c r="B988" t="s">
        <v>2086</v>
      </c>
      <c r="C988" t="s">
        <v>2087</v>
      </c>
      <c r="D988" s="11">
        <v>0</v>
      </c>
    </row>
    <row r="989" spans="1:4" x14ac:dyDescent="0.3">
      <c r="A989" t="s">
        <v>10873</v>
      </c>
      <c r="B989" t="s">
        <v>485</v>
      </c>
      <c r="C989" t="s">
        <v>486</v>
      </c>
      <c r="D989" s="11">
        <v>0</v>
      </c>
    </row>
    <row r="990" spans="1:4" x14ac:dyDescent="0.3">
      <c r="A990" t="s">
        <v>10882</v>
      </c>
      <c r="B990" t="s">
        <v>9405</v>
      </c>
      <c r="C990" t="s">
        <v>9406</v>
      </c>
      <c r="D990" s="11">
        <v>0</v>
      </c>
    </row>
    <row r="991" spans="1:4" x14ac:dyDescent="0.3">
      <c r="A991" t="s">
        <v>10891</v>
      </c>
      <c r="B991" t="s">
        <v>97</v>
      </c>
      <c r="C991" t="s">
        <v>98</v>
      </c>
      <c r="D991" s="11">
        <v>0</v>
      </c>
    </row>
    <row r="992" spans="1:4" x14ac:dyDescent="0.3">
      <c r="A992" t="s">
        <v>10904</v>
      </c>
      <c r="B992" t="s">
        <v>517</v>
      </c>
      <c r="C992" t="s">
        <v>518</v>
      </c>
      <c r="D992" s="11">
        <v>0</v>
      </c>
    </row>
    <row r="993" spans="1:4" x14ac:dyDescent="0.3">
      <c r="A993" t="s">
        <v>10913</v>
      </c>
      <c r="B993" t="s">
        <v>6955</v>
      </c>
      <c r="C993" t="s">
        <v>6956</v>
      </c>
      <c r="D993" s="11">
        <v>0</v>
      </c>
    </row>
    <row r="994" spans="1:4" x14ac:dyDescent="0.3">
      <c r="A994" t="s">
        <v>10926</v>
      </c>
      <c r="B994" t="s">
        <v>797</v>
      </c>
      <c r="C994" t="s">
        <v>798</v>
      </c>
      <c r="D994" s="11">
        <v>-29798.657718120805</v>
      </c>
    </row>
    <row r="995" spans="1:4" x14ac:dyDescent="0.3">
      <c r="A995" t="s">
        <v>10947</v>
      </c>
      <c r="B995" t="s">
        <v>797</v>
      </c>
      <c r="C995" t="s">
        <v>798</v>
      </c>
      <c r="D995" s="11">
        <v>0</v>
      </c>
    </row>
    <row r="996" spans="1:4" x14ac:dyDescent="0.3">
      <c r="A996" t="s">
        <v>10960</v>
      </c>
      <c r="B996" t="s">
        <v>517</v>
      </c>
      <c r="C996" t="s">
        <v>518</v>
      </c>
      <c r="D996" s="11">
        <v>0</v>
      </c>
    </row>
    <row r="997" spans="1:4" x14ac:dyDescent="0.3">
      <c r="A997" t="s">
        <v>10972</v>
      </c>
      <c r="B997" t="s">
        <v>2305</v>
      </c>
      <c r="C997" t="s">
        <v>2306</v>
      </c>
      <c r="D997" s="11">
        <v>-50576.923076923078</v>
      </c>
    </row>
    <row r="998" spans="1:4" x14ac:dyDescent="0.3">
      <c r="A998" t="s">
        <v>10989</v>
      </c>
      <c r="B998" t="s">
        <v>97</v>
      </c>
      <c r="C998" t="s">
        <v>98</v>
      </c>
      <c r="D998" s="11">
        <v>0</v>
      </c>
    </row>
    <row r="999" spans="1:4" x14ac:dyDescent="0.3">
      <c r="A999" t="s">
        <v>10998</v>
      </c>
      <c r="B999" t="s">
        <v>2086</v>
      </c>
      <c r="C999" t="s">
        <v>2087</v>
      </c>
      <c r="D999" s="11">
        <v>0</v>
      </c>
    </row>
    <row r="1000" spans="1:4" x14ac:dyDescent="0.3">
      <c r="A1000" t="s">
        <v>11007</v>
      </c>
      <c r="B1000" t="s">
        <v>11040</v>
      </c>
      <c r="C1000" t="s">
        <v>11041</v>
      </c>
      <c r="D1000" s="11">
        <v>0</v>
      </c>
    </row>
    <row r="1001" spans="1:4" x14ac:dyDescent="0.3">
      <c r="A1001" t="s">
        <v>11011</v>
      </c>
      <c r="B1001" t="s">
        <v>11068</v>
      </c>
      <c r="C1001" t="s">
        <v>11069</v>
      </c>
      <c r="D1001" s="11">
        <v>0</v>
      </c>
    </row>
    <row r="1002" spans="1:4" x14ac:dyDescent="0.3">
      <c r="A1002" t="s">
        <v>11015</v>
      </c>
      <c r="B1002" t="s">
        <v>11054</v>
      </c>
      <c r="C1002" t="s">
        <v>11055</v>
      </c>
      <c r="D1002" s="11">
        <v>0</v>
      </c>
    </row>
    <row r="1003" spans="1:4" x14ac:dyDescent="0.3">
      <c r="A1003" t="s">
        <v>11019</v>
      </c>
      <c r="B1003" t="s">
        <v>11082</v>
      </c>
      <c r="C1003" t="s">
        <v>11083</v>
      </c>
      <c r="D1003" s="11">
        <v>0</v>
      </c>
    </row>
    <row r="1004" spans="1:4" x14ac:dyDescent="0.3">
      <c r="A1004" t="s">
        <v>11023</v>
      </c>
      <c r="B1004" t="s">
        <v>18423</v>
      </c>
      <c r="C1004" t="s">
        <v>18424</v>
      </c>
      <c r="D1004" s="11">
        <v>0</v>
      </c>
    </row>
    <row r="1005" spans="1:4" x14ac:dyDescent="0.3">
      <c r="A1005" t="s">
        <v>11027</v>
      </c>
      <c r="B1005" t="s">
        <v>11531</v>
      </c>
      <c r="C1005" t="s">
        <v>11532</v>
      </c>
      <c r="D1005" s="11">
        <v>0</v>
      </c>
    </row>
    <row r="1006" spans="1:4" x14ac:dyDescent="0.3">
      <c r="A1006" t="s">
        <v>11031</v>
      </c>
      <c r="B1006" t="s">
        <v>11040</v>
      </c>
      <c r="C1006" t="s">
        <v>11041</v>
      </c>
      <c r="D1006" s="11">
        <v>-2786.8852459016393</v>
      </c>
    </row>
    <row r="1007" spans="1:4" x14ac:dyDescent="0.3">
      <c r="A1007" t="s">
        <v>11045</v>
      </c>
      <c r="B1007" t="s">
        <v>11054</v>
      </c>
      <c r="C1007" t="s">
        <v>11055</v>
      </c>
      <c r="D1007" s="11">
        <v>0</v>
      </c>
    </row>
    <row r="1008" spans="1:4" x14ac:dyDescent="0.3">
      <c r="A1008" t="s">
        <v>11059</v>
      </c>
      <c r="B1008" t="s">
        <v>11068</v>
      </c>
      <c r="C1008" t="s">
        <v>11069</v>
      </c>
      <c r="D1008" s="11">
        <v>-2721.311475409836</v>
      </c>
    </row>
    <row r="1009" spans="1:4" x14ac:dyDescent="0.3">
      <c r="A1009" t="s">
        <v>11073</v>
      </c>
      <c r="B1009" t="s">
        <v>11082</v>
      </c>
      <c r="C1009" t="s">
        <v>11083</v>
      </c>
      <c r="D1009" s="11">
        <v>-2200</v>
      </c>
    </row>
    <row r="1010" spans="1:4" x14ac:dyDescent="0.3">
      <c r="A1010" t="s">
        <v>11087</v>
      </c>
      <c r="B1010" t="s">
        <v>4511</v>
      </c>
      <c r="C1010" t="s">
        <v>4512</v>
      </c>
      <c r="D1010" s="11">
        <v>0</v>
      </c>
    </row>
    <row r="1011" spans="1:4" x14ac:dyDescent="0.3">
      <c r="A1011" t="s">
        <v>11096</v>
      </c>
      <c r="B1011" t="s">
        <v>6156</v>
      </c>
      <c r="C1011" t="s">
        <v>6157</v>
      </c>
      <c r="D1011" s="11">
        <v>0</v>
      </c>
    </row>
    <row r="1012" spans="1:4" x14ac:dyDescent="0.3">
      <c r="A1012" t="s">
        <v>11105</v>
      </c>
      <c r="B1012" t="s">
        <v>517</v>
      </c>
      <c r="C1012" t="s">
        <v>518</v>
      </c>
      <c r="D1012" s="11">
        <v>0</v>
      </c>
    </row>
    <row r="1013" spans="1:4" x14ac:dyDescent="0.3">
      <c r="A1013" t="s">
        <v>11118</v>
      </c>
      <c r="B1013" t="s">
        <v>97</v>
      </c>
      <c r="C1013" t="s">
        <v>98</v>
      </c>
      <c r="D1013" s="11">
        <v>0</v>
      </c>
    </row>
    <row r="1014" spans="1:4" x14ac:dyDescent="0.3">
      <c r="A1014" t="s">
        <v>11127</v>
      </c>
      <c r="B1014" t="s">
        <v>517</v>
      </c>
      <c r="C1014" t="s">
        <v>518</v>
      </c>
      <c r="D1014" s="11">
        <v>0</v>
      </c>
    </row>
    <row r="1015" spans="1:4" x14ac:dyDescent="0.3">
      <c r="A1015" t="s">
        <v>11132</v>
      </c>
      <c r="B1015" t="s">
        <v>1170</v>
      </c>
      <c r="C1015" t="s">
        <v>1171</v>
      </c>
      <c r="D1015" s="11">
        <v>-14384.615384615385</v>
      </c>
    </row>
    <row r="1016" spans="1:4" x14ac:dyDescent="0.3">
      <c r="A1016" t="s">
        <v>11141</v>
      </c>
      <c r="B1016" t="s">
        <v>11531</v>
      </c>
      <c r="C1016" t="s">
        <v>11532</v>
      </c>
      <c r="D1016" s="11">
        <v>0</v>
      </c>
    </row>
    <row r="1017" spans="1:4" x14ac:dyDescent="0.3">
      <c r="A1017" t="s">
        <v>11145</v>
      </c>
      <c r="B1017" t="s">
        <v>6156</v>
      </c>
      <c r="C1017" t="s">
        <v>6157</v>
      </c>
      <c r="D1017" s="11">
        <v>0</v>
      </c>
    </row>
    <row r="1018" spans="1:4" x14ac:dyDescent="0.3">
      <c r="A1018" t="s">
        <v>11158</v>
      </c>
      <c r="B1018" t="s">
        <v>6156</v>
      </c>
      <c r="C1018" t="s">
        <v>6157</v>
      </c>
      <c r="D1018" s="11">
        <v>-2947.3684210526317</v>
      </c>
    </row>
    <row r="1019" spans="1:4" x14ac:dyDescent="0.3">
      <c r="A1019" t="s">
        <v>11171</v>
      </c>
      <c r="B1019" t="s">
        <v>13810</v>
      </c>
      <c r="C1019" t="s">
        <v>13811</v>
      </c>
      <c r="D1019" s="11">
        <v>-1475.4098360655737</v>
      </c>
    </row>
    <row r="1020" spans="1:4" x14ac:dyDescent="0.3">
      <c r="A1020" t="s">
        <v>11188</v>
      </c>
      <c r="B1020" t="s">
        <v>4791</v>
      </c>
      <c r="C1020" t="s">
        <v>4792</v>
      </c>
      <c r="D1020" s="11">
        <v>0</v>
      </c>
    </row>
    <row r="1021" spans="1:4" x14ac:dyDescent="0.3">
      <c r="A1021" t="s">
        <v>11201</v>
      </c>
      <c r="B1021" t="s">
        <v>11210</v>
      </c>
      <c r="C1021" t="s">
        <v>11211</v>
      </c>
      <c r="D1021" s="11">
        <v>-10075.187969924811</v>
      </c>
    </row>
    <row r="1022" spans="1:4" x14ac:dyDescent="0.3">
      <c r="A1022" t="s">
        <v>11215</v>
      </c>
      <c r="B1022" t="s">
        <v>3028</v>
      </c>
      <c r="C1022" t="s">
        <v>3029</v>
      </c>
      <c r="D1022" s="11">
        <v>-25319.148936170212</v>
      </c>
    </row>
    <row r="1023" spans="1:4" x14ac:dyDescent="0.3">
      <c r="A1023" t="s">
        <v>11232</v>
      </c>
      <c r="B1023" t="s">
        <v>3028</v>
      </c>
      <c r="C1023" t="s">
        <v>3029</v>
      </c>
      <c r="D1023" s="11">
        <v>0</v>
      </c>
    </row>
    <row r="1024" spans="1:4" x14ac:dyDescent="0.3">
      <c r="A1024" t="s">
        <v>11246</v>
      </c>
      <c r="B1024" t="s">
        <v>517</v>
      </c>
      <c r="C1024" t="s">
        <v>518</v>
      </c>
      <c r="D1024" s="11">
        <v>0</v>
      </c>
    </row>
    <row r="1025" spans="1:4" x14ac:dyDescent="0.3">
      <c r="A1025" t="s">
        <v>11251</v>
      </c>
      <c r="B1025" t="s">
        <v>517</v>
      </c>
      <c r="C1025" t="s">
        <v>518</v>
      </c>
      <c r="D1025" s="11">
        <v>0</v>
      </c>
    </row>
    <row r="1026" spans="1:4" x14ac:dyDescent="0.3">
      <c r="A1026" t="s">
        <v>11256</v>
      </c>
      <c r="B1026" t="s">
        <v>11257</v>
      </c>
      <c r="C1026" t="s">
        <v>11258</v>
      </c>
      <c r="D1026" s="11">
        <v>0</v>
      </c>
    </row>
    <row r="1027" spans="1:4" x14ac:dyDescent="0.3">
      <c r="A1027" t="s">
        <v>11265</v>
      </c>
      <c r="B1027" t="s">
        <v>740</v>
      </c>
      <c r="C1027" t="s">
        <v>741</v>
      </c>
      <c r="D1027" s="11">
        <v>0</v>
      </c>
    </row>
    <row r="1028" spans="1:4" x14ac:dyDescent="0.3">
      <c r="A1028" t="s">
        <v>11274</v>
      </c>
      <c r="B1028" t="s">
        <v>4791</v>
      </c>
      <c r="C1028" t="s">
        <v>4792</v>
      </c>
      <c r="D1028" s="11">
        <v>0</v>
      </c>
    </row>
    <row r="1029" spans="1:4" x14ac:dyDescent="0.3">
      <c r="A1029" t="s">
        <v>11283</v>
      </c>
      <c r="B1029" t="s">
        <v>3028</v>
      </c>
      <c r="C1029" t="s">
        <v>3029</v>
      </c>
      <c r="D1029" s="11">
        <v>0</v>
      </c>
    </row>
    <row r="1030" spans="1:4" x14ac:dyDescent="0.3">
      <c r="A1030" t="s">
        <v>11296</v>
      </c>
      <c r="B1030" t="s">
        <v>4511</v>
      </c>
      <c r="C1030" t="s">
        <v>4512</v>
      </c>
      <c r="D1030" s="11">
        <v>0</v>
      </c>
    </row>
    <row r="1031" spans="1:4" x14ac:dyDescent="0.3">
      <c r="A1031" t="s">
        <v>11301</v>
      </c>
      <c r="B1031" t="s">
        <v>97</v>
      </c>
      <c r="C1031" t="s">
        <v>98</v>
      </c>
      <c r="D1031" s="11">
        <v>0</v>
      </c>
    </row>
    <row r="1032" spans="1:4" x14ac:dyDescent="0.3">
      <c r="A1032" t="s">
        <v>11310</v>
      </c>
      <c r="B1032" t="s">
        <v>18423</v>
      </c>
      <c r="C1032" t="s">
        <v>18424</v>
      </c>
      <c r="D1032" s="11">
        <v>0</v>
      </c>
    </row>
    <row r="1033" spans="1:4" x14ac:dyDescent="0.3">
      <c r="A1033" t="s">
        <v>11314</v>
      </c>
      <c r="B1033" t="s">
        <v>97</v>
      </c>
      <c r="C1033" t="s">
        <v>98</v>
      </c>
      <c r="D1033" s="11">
        <v>0</v>
      </c>
    </row>
    <row r="1034" spans="1:4" x14ac:dyDescent="0.3">
      <c r="A1034" t="s">
        <v>11323</v>
      </c>
      <c r="B1034" t="s">
        <v>11332</v>
      </c>
      <c r="C1034" t="s">
        <v>11333</v>
      </c>
      <c r="D1034" s="11">
        <v>-20880</v>
      </c>
    </row>
    <row r="1035" spans="1:4" x14ac:dyDescent="0.3">
      <c r="A1035" t="s">
        <v>11337</v>
      </c>
      <c r="B1035" t="s">
        <v>740</v>
      </c>
      <c r="C1035" t="s">
        <v>741</v>
      </c>
      <c r="D1035" s="11">
        <v>0</v>
      </c>
    </row>
    <row r="1036" spans="1:4" x14ac:dyDescent="0.3">
      <c r="A1036" t="s">
        <v>11346</v>
      </c>
      <c r="B1036" t="s">
        <v>740</v>
      </c>
      <c r="C1036" t="s">
        <v>741</v>
      </c>
      <c r="D1036" s="11">
        <v>0</v>
      </c>
    </row>
    <row r="1037" spans="1:4" x14ac:dyDescent="0.3">
      <c r="A1037" t="s">
        <v>11351</v>
      </c>
      <c r="B1037" t="s">
        <v>740</v>
      </c>
      <c r="C1037" t="s">
        <v>741</v>
      </c>
      <c r="D1037" s="11">
        <v>0</v>
      </c>
    </row>
    <row r="1038" spans="1:4" x14ac:dyDescent="0.3">
      <c r="A1038" t="s">
        <v>11356</v>
      </c>
      <c r="B1038" t="s">
        <v>1170</v>
      </c>
      <c r="C1038" t="s">
        <v>1171</v>
      </c>
      <c r="D1038" s="11">
        <v>-4788.461538461539</v>
      </c>
    </row>
    <row r="1039" spans="1:4" x14ac:dyDescent="0.3">
      <c r="A1039" t="s">
        <v>11369</v>
      </c>
      <c r="B1039" t="s">
        <v>9405</v>
      </c>
      <c r="C1039" t="s">
        <v>9406</v>
      </c>
      <c r="D1039" s="11">
        <v>0</v>
      </c>
    </row>
    <row r="1040" spans="1:4" x14ac:dyDescent="0.3">
      <c r="A1040" t="s">
        <v>11378</v>
      </c>
      <c r="B1040" t="s">
        <v>5347</v>
      </c>
      <c r="C1040" t="s">
        <v>5348</v>
      </c>
      <c r="D1040" s="11">
        <v>0</v>
      </c>
    </row>
    <row r="1041" spans="1:4" x14ac:dyDescent="0.3">
      <c r="A1041" t="s">
        <v>11387</v>
      </c>
      <c r="B1041" t="s">
        <v>5347</v>
      </c>
      <c r="C1041" t="s">
        <v>5348</v>
      </c>
      <c r="D1041" s="11">
        <v>0</v>
      </c>
    </row>
    <row r="1042" spans="1:4" x14ac:dyDescent="0.3">
      <c r="A1042" t="s">
        <v>11392</v>
      </c>
      <c r="B1042" t="s">
        <v>5347</v>
      </c>
      <c r="C1042" t="s">
        <v>5348</v>
      </c>
      <c r="D1042" s="11">
        <v>0</v>
      </c>
    </row>
    <row r="1043" spans="1:4" x14ac:dyDescent="0.3">
      <c r="A1043" t="s">
        <v>11397</v>
      </c>
      <c r="B1043" t="s">
        <v>5347</v>
      </c>
      <c r="C1043" t="s">
        <v>5348</v>
      </c>
      <c r="D1043" s="11">
        <v>0</v>
      </c>
    </row>
    <row r="1044" spans="1:4" x14ac:dyDescent="0.3">
      <c r="A1044" t="s">
        <v>11402</v>
      </c>
      <c r="B1044" t="s">
        <v>97</v>
      </c>
      <c r="C1044" t="s">
        <v>98</v>
      </c>
      <c r="D1044" s="11">
        <v>0</v>
      </c>
    </row>
    <row r="1045" spans="1:4" x14ac:dyDescent="0.3">
      <c r="A1045" t="s">
        <v>11415</v>
      </c>
      <c r="B1045" t="s">
        <v>10719</v>
      </c>
      <c r="C1045" t="s">
        <v>10720</v>
      </c>
      <c r="D1045" s="11">
        <v>-104347.82608695653</v>
      </c>
    </row>
    <row r="1046" spans="1:4" x14ac:dyDescent="0.3">
      <c r="A1046" t="s">
        <v>11428</v>
      </c>
      <c r="B1046" t="s">
        <v>9405</v>
      </c>
      <c r="C1046" t="s">
        <v>9406</v>
      </c>
      <c r="D1046" s="11">
        <v>0</v>
      </c>
    </row>
    <row r="1047" spans="1:4" x14ac:dyDescent="0.3">
      <c r="A1047" t="s">
        <v>11441</v>
      </c>
      <c r="B1047" t="s">
        <v>3028</v>
      </c>
      <c r="C1047" t="s">
        <v>3029</v>
      </c>
      <c r="D1047" s="11">
        <v>0</v>
      </c>
    </row>
    <row r="1048" spans="1:4" x14ac:dyDescent="0.3">
      <c r="A1048" t="s">
        <v>11446</v>
      </c>
      <c r="B1048" t="s">
        <v>2115</v>
      </c>
      <c r="C1048" t="s">
        <v>2116</v>
      </c>
      <c r="D1048" s="11">
        <v>-2745.0980392156866</v>
      </c>
    </row>
    <row r="1049" spans="1:4" x14ac:dyDescent="0.3">
      <c r="A1049" t="s">
        <v>11455</v>
      </c>
      <c r="B1049" t="s">
        <v>97</v>
      </c>
      <c r="C1049" t="s">
        <v>98</v>
      </c>
      <c r="D1049" s="11">
        <v>0</v>
      </c>
    </row>
    <row r="1050" spans="1:4" x14ac:dyDescent="0.3">
      <c r="A1050" t="s">
        <v>11464</v>
      </c>
      <c r="B1050" t="s">
        <v>5507</v>
      </c>
      <c r="C1050" t="s">
        <v>5508</v>
      </c>
      <c r="D1050" s="11">
        <v>-19185.185185185186</v>
      </c>
    </row>
    <row r="1051" spans="1:4" x14ac:dyDescent="0.3">
      <c r="A1051" t="s">
        <v>11477</v>
      </c>
      <c r="B1051" t="s">
        <v>1170</v>
      </c>
      <c r="C1051" t="s">
        <v>1171</v>
      </c>
      <c r="D1051" s="11">
        <v>-4788.461538461539</v>
      </c>
    </row>
    <row r="1052" spans="1:4" x14ac:dyDescent="0.3">
      <c r="A1052" t="s">
        <v>11490</v>
      </c>
      <c r="B1052" t="s">
        <v>2803</v>
      </c>
      <c r="C1052" t="s">
        <v>2804</v>
      </c>
      <c r="D1052" s="11">
        <v>0</v>
      </c>
    </row>
    <row r="1053" spans="1:4" x14ac:dyDescent="0.3">
      <c r="A1053" t="s">
        <v>11499</v>
      </c>
      <c r="B1053" t="s">
        <v>3028</v>
      </c>
      <c r="C1053" t="s">
        <v>3029</v>
      </c>
      <c r="D1053" s="11">
        <v>0</v>
      </c>
    </row>
    <row r="1054" spans="1:4" x14ac:dyDescent="0.3">
      <c r="A1054" t="s">
        <v>11504</v>
      </c>
      <c r="B1054" t="s">
        <v>3113</v>
      </c>
      <c r="C1054" t="s">
        <v>3114</v>
      </c>
      <c r="D1054" s="11">
        <v>0</v>
      </c>
    </row>
    <row r="1055" spans="1:4" x14ac:dyDescent="0.3">
      <c r="A1055" t="s">
        <v>11509</v>
      </c>
      <c r="B1055" t="s">
        <v>797</v>
      </c>
      <c r="C1055" t="s">
        <v>798</v>
      </c>
      <c r="D1055" s="11">
        <v>0</v>
      </c>
    </row>
    <row r="1056" spans="1:4" x14ac:dyDescent="0.3">
      <c r="A1056" t="s">
        <v>11514</v>
      </c>
      <c r="B1056" t="s">
        <v>797</v>
      </c>
      <c r="C1056" t="s">
        <v>798</v>
      </c>
      <c r="D1056" s="11">
        <v>0</v>
      </c>
    </row>
    <row r="1057" spans="1:4" x14ac:dyDescent="0.3">
      <c r="A1057" t="s">
        <v>11527</v>
      </c>
      <c r="B1057" t="s">
        <v>11531</v>
      </c>
      <c r="C1057" t="s">
        <v>11532</v>
      </c>
      <c r="D1057" s="11">
        <v>0</v>
      </c>
    </row>
    <row r="1058" spans="1:4" x14ac:dyDescent="0.3">
      <c r="A1058" t="s">
        <v>11534</v>
      </c>
      <c r="B1058" t="s">
        <v>18423</v>
      </c>
      <c r="C1058" t="s">
        <v>18424</v>
      </c>
      <c r="D1058" s="11">
        <v>0</v>
      </c>
    </row>
    <row r="1059" spans="1:4" x14ac:dyDescent="0.3">
      <c r="A1059" t="s">
        <v>11538</v>
      </c>
      <c r="B1059" t="s">
        <v>70</v>
      </c>
      <c r="C1059" t="s">
        <v>71</v>
      </c>
      <c r="D1059" s="11">
        <v>0</v>
      </c>
    </row>
    <row r="1060" spans="1:4" x14ac:dyDescent="0.3">
      <c r="A1060" t="s">
        <v>11563</v>
      </c>
      <c r="B1060" t="s">
        <v>4791</v>
      </c>
      <c r="C1060" t="s">
        <v>4792</v>
      </c>
      <c r="D1060" s="11">
        <v>0</v>
      </c>
    </row>
    <row r="1061" spans="1:4" x14ac:dyDescent="0.3">
      <c r="A1061" t="s">
        <v>11568</v>
      </c>
      <c r="B1061" t="s">
        <v>9405</v>
      </c>
      <c r="C1061" t="s">
        <v>9406</v>
      </c>
      <c r="D1061" s="11">
        <v>0</v>
      </c>
    </row>
    <row r="1062" spans="1:4" x14ac:dyDescent="0.3">
      <c r="A1062" t="s">
        <v>11573</v>
      </c>
      <c r="B1062" t="s">
        <v>2127</v>
      </c>
      <c r="C1062" t="s">
        <v>2128</v>
      </c>
      <c r="D1062" s="11">
        <v>-14911.764705882351</v>
      </c>
    </row>
    <row r="1063" spans="1:4" x14ac:dyDescent="0.3">
      <c r="A1063" t="s">
        <v>11598</v>
      </c>
      <c r="B1063" t="s">
        <v>3028</v>
      </c>
      <c r="C1063" t="s">
        <v>3029</v>
      </c>
      <c r="D1063" s="11">
        <v>0</v>
      </c>
    </row>
    <row r="1064" spans="1:4" x14ac:dyDescent="0.3">
      <c r="A1064" t="s">
        <v>11623</v>
      </c>
      <c r="B1064" t="s">
        <v>11210</v>
      </c>
      <c r="C1064" t="s">
        <v>11211</v>
      </c>
      <c r="D1064" s="11">
        <v>0</v>
      </c>
    </row>
    <row r="1065" spans="1:4" x14ac:dyDescent="0.3">
      <c r="A1065" t="s">
        <v>11644</v>
      </c>
      <c r="B1065" t="s">
        <v>2934</v>
      </c>
      <c r="C1065" t="s">
        <v>2935</v>
      </c>
      <c r="D1065" s="11">
        <v>-24500.000000000004</v>
      </c>
    </row>
    <row r="1066" spans="1:4" x14ac:dyDescent="0.3">
      <c r="A1066" t="s">
        <v>11669</v>
      </c>
      <c r="B1066" t="s">
        <v>1027</v>
      </c>
      <c r="C1066" t="s">
        <v>1028</v>
      </c>
      <c r="D1066" s="11">
        <v>0</v>
      </c>
    </row>
    <row r="1067" spans="1:4" x14ac:dyDescent="0.3">
      <c r="A1067" t="s">
        <v>11674</v>
      </c>
      <c r="B1067" t="s">
        <v>9405</v>
      </c>
      <c r="C1067" t="s">
        <v>9406</v>
      </c>
      <c r="D1067" s="11">
        <v>0</v>
      </c>
    </row>
    <row r="1068" spans="1:4" x14ac:dyDescent="0.3">
      <c r="A1068" t="s">
        <v>11679</v>
      </c>
      <c r="B1068" t="s">
        <v>4791</v>
      </c>
      <c r="C1068" t="s">
        <v>4792</v>
      </c>
      <c r="D1068" s="11">
        <v>0</v>
      </c>
    </row>
    <row r="1069" spans="1:4" x14ac:dyDescent="0.3">
      <c r="A1069" t="s">
        <v>11684</v>
      </c>
      <c r="B1069" t="s">
        <v>5357</v>
      </c>
      <c r="C1069" t="s">
        <v>5358</v>
      </c>
      <c r="D1069" s="11">
        <v>0</v>
      </c>
    </row>
    <row r="1070" spans="1:4" x14ac:dyDescent="0.3">
      <c r="A1070" t="s">
        <v>11701</v>
      </c>
      <c r="B1070" t="s">
        <v>740</v>
      </c>
      <c r="C1070" t="s">
        <v>741</v>
      </c>
      <c r="D1070" s="11">
        <v>0</v>
      </c>
    </row>
    <row r="1071" spans="1:4" x14ac:dyDescent="0.3">
      <c r="A1071" t="s">
        <v>11710</v>
      </c>
      <c r="B1071" t="s">
        <v>91</v>
      </c>
      <c r="C1071" t="s">
        <v>92</v>
      </c>
      <c r="D1071" s="11">
        <v>0</v>
      </c>
    </row>
    <row r="1072" spans="1:4" x14ac:dyDescent="0.3">
      <c r="A1072" t="s">
        <v>11715</v>
      </c>
      <c r="B1072" t="s">
        <v>1027</v>
      </c>
      <c r="C1072" t="s">
        <v>1028</v>
      </c>
      <c r="D1072" s="11">
        <v>0</v>
      </c>
    </row>
    <row r="1073" spans="1:4" x14ac:dyDescent="0.3">
      <c r="A1073" t="s">
        <v>11720</v>
      </c>
      <c r="B1073" t="s">
        <v>1027</v>
      </c>
      <c r="C1073" t="s">
        <v>1028</v>
      </c>
      <c r="D1073" s="11">
        <v>-1016.3934426229508</v>
      </c>
    </row>
    <row r="1074" spans="1:4" x14ac:dyDescent="0.3">
      <c r="A1074" t="s">
        <v>11729</v>
      </c>
      <c r="B1074" t="s">
        <v>740</v>
      </c>
      <c r="C1074" t="s">
        <v>741</v>
      </c>
      <c r="D1074" s="11">
        <v>0</v>
      </c>
    </row>
    <row r="1075" spans="1:4" x14ac:dyDescent="0.3">
      <c r="A1075" t="s">
        <v>11734</v>
      </c>
      <c r="B1075" t="s">
        <v>3028</v>
      </c>
      <c r="C1075" t="s">
        <v>3029</v>
      </c>
      <c r="D1075" s="11">
        <v>0</v>
      </c>
    </row>
    <row r="1076" spans="1:4" x14ac:dyDescent="0.3">
      <c r="A1076" t="s">
        <v>11743</v>
      </c>
      <c r="B1076" t="s">
        <v>5347</v>
      </c>
      <c r="C1076" t="s">
        <v>5348</v>
      </c>
      <c r="D1076" s="11">
        <v>0</v>
      </c>
    </row>
    <row r="1077" spans="1:4" x14ac:dyDescent="0.3">
      <c r="A1077" t="s">
        <v>11748</v>
      </c>
      <c r="B1077" t="s">
        <v>5347</v>
      </c>
      <c r="C1077" t="s">
        <v>5348</v>
      </c>
      <c r="D1077" s="11">
        <v>0</v>
      </c>
    </row>
    <row r="1078" spans="1:4" x14ac:dyDescent="0.3">
      <c r="A1078" t="s">
        <v>11753</v>
      </c>
      <c r="B1078" t="s">
        <v>797</v>
      </c>
      <c r="C1078" t="s">
        <v>798</v>
      </c>
      <c r="D1078" s="11">
        <v>0</v>
      </c>
    </row>
    <row r="1079" spans="1:4" x14ac:dyDescent="0.3">
      <c r="A1079" t="s">
        <v>11758</v>
      </c>
      <c r="B1079" t="s">
        <v>797</v>
      </c>
      <c r="C1079" t="s">
        <v>798</v>
      </c>
      <c r="D1079" s="11">
        <v>0</v>
      </c>
    </row>
    <row r="1080" spans="1:4" x14ac:dyDescent="0.3">
      <c r="A1080" t="s">
        <v>11763</v>
      </c>
      <c r="B1080" t="s">
        <v>5357</v>
      </c>
      <c r="C1080" t="s">
        <v>5358</v>
      </c>
      <c r="D1080" s="11">
        <v>0</v>
      </c>
    </row>
    <row r="1081" spans="1:4" x14ac:dyDescent="0.3">
      <c r="A1081" t="s">
        <v>11772</v>
      </c>
      <c r="B1081" t="s">
        <v>740</v>
      </c>
      <c r="C1081" t="s">
        <v>741</v>
      </c>
      <c r="D1081" s="11">
        <v>0</v>
      </c>
    </row>
    <row r="1082" spans="1:4" x14ac:dyDescent="0.3">
      <c r="A1082" t="s">
        <v>11777</v>
      </c>
      <c r="B1082" t="s">
        <v>797</v>
      </c>
      <c r="C1082" t="s">
        <v>798</v>
      </c>
      <c r="D1082" s="11">
        <v>0</v>
      </c>
    </row>
    <row r="1083" spans="1:4" x14ac:dyDescent="0.3">
      <c r="A1083" t="s">
        <v>11782</v>
      </c>
      <c r="B1083" t="s">
        <v>797</v>
      </c>
      <c r="C1083" t="s">
        <v>798</v>
      </c>
      <c r="D1083" s="11">
        <v>0</v>
      </c>
    </row>
    <row r="1084" spans="1:4" x14ac:dyDescent="0.3">
      <c r="A1084" t="s">
        <v>11787</v>
      </c>
      <c r="B1084" t="s">
        <v>11210</v>
      </c>
      <c r="C1084" t="s">
        <v>11211</v>
      </c>
      <c r="D1084" s="11">
        <v>0</v>
      </c>
    </row>
    <row r="1085" spans="1:4" x14ac:dyDescent="0.3">
      <c r="A1085" t="s">
        <v>11796</v>
      </c>
      <c r="B1085" t="s">
        <v>3028</v>
      </c>
      <c r="C1085" t="s">
        <v>3029</v>
      </c>
      <c r="D1085" s="11">
        <v>0</v>
      </c>
    </row>
    <row r="1086" spans="1:4" x14ac:dyDescent="0.3">
      <c r="A1086" t="s">
        <v>11809</v>
      </c>
      <c r="B1086" t="s">
        <v>2086</v>
      </c>
      <c r="C1086" t="s">
        <v>2087</v>
      </c>
      <c r="D1086" s="11">
        <v>0</v>
      </c>
    </row>
    <row r="1087" spans="1:4" x14ac:dyDescent="0.3">
      <c r="A1087" t="s">
        <v>11818</v>
      </c>
      <c r="B1087" t="s">
        <v>2611</v>
      </c>
      <c r="C1087" t="s">
        <v>2612</v>
      </c>
      <c r="D1087" s="11">
        <v>0</v>
      </c>
    </row>
    <row r="1088" spans="1:4" x14ac:dyDescent="0.3">
      <c r="A1088" t="s">
        <v>11827</v>
      </c>
      <c r="B1088" t="s">
        <v>5347</v>
      </c>
      <c r="C1088" t="s">
        <v>5348</v>
      </c>
      <c r="D1088" s="11">
        <v>0</v>
      </c>
    </row>
    <row r="1089" spans="1:4" x14ac:dyDescent="0.3">
      <c r="A1089" t="s">
        <v>11832</v>
      </c>
      <c r="B1089" t="s">
        <v>740</v>
      </c>
      <c r="C1089" t="s">
        <v>741</v>
      </c>
      <c r="D1089" s="11">
        <v>0</v>
      </c>
    </row>
    <row r="1090" spans="1:4" x14ac:dyDescent="0.3">
      <c r="A1090" t="s">
        <v>11837</v>
      </c>
      <c r="B1090" t="s">
        <v>18452</v>
      </c>
      <c r="C1090" t="s">
        <v>18452</v>
      </c>
      <c r="D1090" s="11">
        <v>0</v>
      </c>
    </row>
    <row r="1091" spans="1:4" x14ac:dyDescent="0.3">
      <c r="A1091" t="s">
        <v>11863</v>
      </c>
      <c r="B1091" t="s">
        <v>97</v>
      </c>
      <c r="C1091" t="s">
        <v>98</v>
      </c>
      <c r="D1091" s="11">
        <v>0</v>
      </c>
    </row>
    <row r="1092" spans="1:4" x14ac:dyDescent="0.3">
      <c r="A1092" t="s">
        <v>11880</v>
      </c>
      <c r="B1092" t="s">
        <v>97</v>
      </c>
      <c r="C1092" t="s">
        <v>98</v>
      </c>
      <c r="D1092" s="11">
        <v>0</v>
      </c>
    </row>
    <row r="1093" spans="1:4" x14ac:dyDescent="0.3">
      <c r="A1093" t="s">
        <v>11889</v>
      </c>
      <c r="B1093" t="s">
        <v>797</v>
      </c>
      <c r="C1093" t="s">
        <v>798</v>
      </c>
      <c r="D1093" s="11">
        <v>-2953.020134228188</v>
      </c>
    </row>
    <row r="1094" spans="1:4" x14ac:dyDescent="0.3">
      <c r="A1094" t="s">
        <v>11902</v>
      </c>
      <c r="B1094" t="s">
        <v>740</v>
      </c>
      <c r="C1094" t="s">
        <v>741</v>
      </c>
      <c r="D1094" s="11">
        <v>0</v>
      </c>
    </row>
    <row r="1095" spans="1:4" x14ac:dyDescent="0.3">
      <c r="A1095" t="s">
        <v>11907</v>
      </c>
      <c r="B1095" t="s">
        <v>11210</v>
      </c>
      <c r="C1095" t="s">
        <v>11211</v>
      </c>
      <c r="D1095" s="11">
        <v>-20150.375939849622</v>
      </c>
    </row>
    <row r="1096" spans="1:4" x14ac:dyDescent="0.3">
      <c r="A1096" t="s">
        <v>11920</v>
      </c>
      <c r="B1096" t="s">
        <v>97</v>
      </c>
      <c r="C1096" t="s">
        <v>98</v>
      </c>
      <c r="D1096" s="11">
        <v>0</v>
      </c>
    </row>
    <row r="1097" spans="1:4" x14ac:dyDescent="0.3">
      <c r="A1097" t="s">
        <v>11929</v>
      </c>
      <c r="B1097" t="s">
        <v>1027</v>
      </c>
      <c r="C1097" t="s">
        <v>1028</v>
      </c>
      <c r="D1097" s="11">
        <v>0</v>
      </c>
    </row>
    <row r="1098" spans="1:4" x14ac:dyDescent="0.3">
      <c r="A1098" t="s">
        <v>11938</v>
      </c>
      <c r="B1098" t="s">
        <v>2086</v>
      </c>
      <c r="C1098" t="s">
        <v>2087</v>
      </c>
      <c r="D1098" s="11">
        <v>0</v>
      </c>
    </row>
    <row r="1099" spans="1:4" x14ac:dyDescent="0.3">
      <c r="A1099" t="s">
        <v>11943</v>
      </c>
      <c r="B1099" t="s">
        <v>517</v>
      </c>
      <c r="C1099" t="s">
        <v>518</v>
      </c>
      <c r="D1099" s="11">
        <v>0</v>
      </c>
    </row>
    <row r="1100" spans="1:4" x14ac:dyDescent="0.3">
      <c r="A1100" t="s">
        <v>11948</v>
      </c>
      <c r="B1100" t="s">
        <v>97</v>
      </c>
      <c r="C1100" t="s">
        <v>98</v>
      </c>
      <c r="D1100" s="11">
        <v>0</v>
      </c>
    </row>
    <row r="1101" spans="1:4" x14ac:dyDescent="0.3">
      <c r="A1101" t="s">
        <v>11957</v>
      </c>
      <c r="B1101" t="s">
        <v>1027</v>
      </c>
      <c r="C1101" t="s">
        <v>1028</v>
      </c>
      <c r="D1101" s="11">
        <v>0</v>
      </c>
    </row>
    <row r="1102" spans="1:4" x14ac:dyDescent="0.3">
      <c r="A1102" t="s">
        <v>11966</v>
      </c>
      <c r="B1102" t="s">
        <v>517</v>
      </c>
      <c r="C1102" t="s">
        <v>518</v>
      </c>
      <c r="D1102" s="11">
        <v>0</v>
      </c>
    </row>
    <row r="1103" spans="1:4" x14ac:dyDescent="0.3">
      <c r="A1103" t="s">
        <v>11971</v>
      </c>
      <c r="B1103" t="s">
        <v>11332</v>
      </c>
      <c r="C1103" t="s">
        <v>11333</v>
      </c>
      <c r="D1103" s="11">
        <v>-36800</v>
      </c>
    </row>
    <row r="1104" spans="1:4" x14ac:dyDescent="0.3">
      <c r="A1104" t="s">
        <v>11989</v>
      </c>
      <c r="B1104" t="s">
        <v>5357</v>
      </c>
      <c r="C1104" t="s">
        <v>5358</v>
      </c>
      <c r="D1104" s="11">
        <v>0</v>
      </c>
    </row>
    <row r="1105" spans="1:4" x14ac:dyDescent="0.3">
      <c r="A1105" t="s">
        <v>11998</v>
      </c>
      <c r="B1105" t="s">
        <v>517</v>
      </c>
      <c r="C1105" t="s">
        <v>518</v>
      </c>
      <c r="D1105" s="11">
        <v>0</v>
      </c>
    </row>
    <row r="1106" spans="1:4" x14ac:dyDescent="0.3">
      <c r="A1106" t="s">
        <v>12003</v>
      </c>
      <c r="B1106" t="s">
        <v>97</v>
      </c>
      <c r="C1106" t="s">
        <v>98</v>
      </c>
      <c r="D1106" s="11">
        <v>0</v>
      </c>
    </row>
    <row r="1107" spans="1:4" x14ac:dyDescent="0.3">
      <c r="A1107" t="s">
        <v>12012</v>
      </c>
      <c r="B1107" t="s">
        <v>517</v>
      </c>
      <c r="C1107" t="s">
        <v>518</v>
      </c>
      <c r="D1107" s="11">
        <v>0</v>
      </c>
    </row>
    <row r="1108" spans="1:4" x14ac:dyDescent="0.3">
      <c r="A1108" t="s">
        <v>12017</v>
      </c>
      <c r="B1108" t="s">
        <v>3028</v>
      </c>
      <c r="C1108" t="s">
        <v>3029</v>
      </c>
      <c r="D1108" s="11">
        <v>0</v>
      </c>
    </row>
    <row r="1109" spans="1:4" x14ac:dyDescent="0.3">
      <c r="A1109" t="s">
        <v>12030</v>
      </c>
      <c r="B1109" t="s">
        <v>6250</v>
      </c>
      <c r="C1109" t="s">
        <v>6251</v>
      </c>
      <c r="D1109" s="11">
        <v>-17065.868263473054</v>
      </c>
    </row>
    <row r="1110" spans="1:4" x14ac:dyDescent="0.3">
      <c r="A1110" t="s">
        <v>12043</v>
      </c>
      <c r="B1110" t="s">
        <v>1170</v>
      </c>
      <c r="C1110" t="s">
        <v>1171</v>
      </c>
      <c r="D1110" s="11">
        <v>0</v>
      </c>
    </row>
    <row r="1111" spans="1:4" x14ac:dyDescent="0.3">
      <c r="A1111" t="s">
        <v>12052</v>
      </c>
      <c r="B1111" t="s">
        <v>5357</v>
      </c>
      <c r="C1111" t="s">
        <v>5358</v>
      </c>
      <c r="D1111" s="11">
        <v>0</v>
      </c>
    </row>
    <row r="1112" spans="1:4" x14ac:dyDescent="0.3">
      <c r="A1112" t="s">
        <v>12057</v>
      </c>
      <c r="B1112" t="s">
        <v>1170</v>
      </c>
      <c r="C1112" t="s">
        <v>1171</v>
      </c>
      <c r="D1112" s="11">
        <v>-4788.461538461539</v>
      </c>
    </row>
    <row r="1113" spans="1:4" x14ac:dyDescent="0.3">
      <c r="A1113" t="s">
        <v>12070</v>
      </c>
      <c r="B1113" t="s">
        <v>91</v>
      </c>
      <c r="C1113" t="s">
        <v>92</v>
      </c>
      <c r="D1113" s="11">
        <v>-4819.2771084337346</v>
      </c>
    </row>
    <row r="1114" spans="1:4" x14ac:dyDescent="0.3">
      <c r="A1114" t="s">
        <v>12083</v>
      </c>
      <c r="B1114" t="s">
        <v>5357</v>
      </c>
      <c r="C1114" t="s">
        <v>5358</v>
      </c>
      <c r="D1114" s="11">
        <v>0</v>
      </c>
    </row>
    <row r="1115" spans="1:4" x14ac:dyDescent="0.3">
      <c r="A1115" t="s">
        <v>12088</v>
      </c>
      <c r="B1115" t="s">
        <v>1170</v>
      </c>
      <c r="C1115" t="s">
        <v>1171</v>
      </c>
      <c r="D1115" s="11">
        <v>0</v>
      </c>
    </row>
    <row r="1116" spans="1:4" x14ac:dyDescent="0.3">
      <c r="A1116" t="s">
        <v>12097</v>
      </c>
      <c r="B1116" t="s">
        <v>2127</v>
      </c>
      <c r="C1116" t="s">
        <v>2128</v>
      </c>
      <c r="D1116" s="11">
        <v>0</v>
      </c>
    </row>
    <row r="1117" spans="1:4" x14ac:dyDescent="0.3">
      <c r="A1117" t="s">
        <v>12106</v>
      </c>
      <c r="B1117" t="s">
        <v>2121</v>
      </c>
      <c r="C1117" t="s">
        <v>2122</v>
      </c>
      <c r="D1117" s="11">
        <v>0</v>
      </c>
    </row>
    <row r="1118" spans="1:4" x14ac:dyDescent="0.3">
      <c r="A1118" t="s">
        <v>12115</v>
      </c>
      <c r="B1118" t="s">
        <v>18452</v>
      </c>
      <c r="C1118" t="s">
        <v>18452</v>
      </c>
      <c r="D1118" s="11">
        <v>0</v>
      </c>
    </row>
    <row r="1119" spans="1:4" x14ac:dyDescent="0.3">
      <c r="A1119" t="s">
        <v>12120</v>
      </c>
      <c r="B1119" t="s">
        <v>6250</v>
      </c>
      <c r="C1119" t="s">
        <v>6251</v>
      </c>
      <c r="D1119" s="11">
        <v>-17065.868263473054</v>
      </c>
    </row>
    <row r="1120" spans="1:4" x14ac:dyDescent="0.3">
      <c r="A1120" t="s">
        <v>12133</v>
      </c>
      <c r="B1120" t="s">
        <v>5357</v>
      </c>
      <c r="C1120" t="s">
        <v>5358</v>
      </c>
      <c r="D1120" s="11">
        <v>0</v>
      </c>
    </row>
    <row r="1121" spans="1:4" x14ac:dyDescent="0.3">
      <c r="A1121" t="s">
        <v>12142</v>
      </c>
      <c r="B1121" t="s">
        <v>2121</v>
      </c>
      <c r="C1121" t="s">
        <v>2122</v>
      </c>
      <c r="D1121" s="11">
        <v>0</v>
      </c>
    </row>
    <row r="1122" spans="1:4" x14ac:dyDescent="0.3">
      <c r="A1122" t="s">
        <v>12151</v>
      </c>
      <c r="B1122" t="s">
        <v>2115</v>
      </c>
      <c r="C1122" t="s">
        <v>2116</v>
      </c>
      <c r="D1122" s="11">
        <v>-7176.4705882352946</v>
      </c>
    </row>
    <row r="1123" spans="1:4" x14ac:dyDescent="0.3">
      <c r="A1123" t="s">
        <v>12160</v>
      </c>
      <c r="B1123" t="s">
        <v>797</v>
      </c>
      <c r="C1123" t="s">
        <v>798</v>
      </c>
      <c r="D1123" s="11">
        <v>0</v>
      </c>
    </row>
    <row r="1124" spans="1:4" x14ac:dyDescent="0.3">
      <c r="A1124" t="s">
        <v>12173</v>
      </c>
      <c r="B1124" t="s">
        <v>797</v>
      </c>
      <c r="C1124" t="s">
        <v>798</v>
      </c>
      <c r="D1124" s="11">
        <v>0</v>
      </c>
    </row>
    <row r="1125" spans="1:4" x14ac:dyDescent="0.3">
      <c r="A1125" t="s">
        <v>12178</v>
      </c>
      <c r="B1125" t="s">
        <v>797</v>
      </c>
      <c r="C1125" t="s">
        <v>798</v>
      </c>
      <c r="D1125" s="11">
        <v>0</v>
      </c>
    </row>
    <row r="1126" spans="1:4" x14ac:dyDescent="0.3">
      <c r="A1126" t="s">
        <v>12186</v>
      </c>
      <c r="B1126" t="s">
        <v>5357</v>
      </c>
      <c r="C1126" t="s">
        <v>5358</v>
      </c>
      <c r="D1126" s="11">
        <v>-1400</v>
      </c>
    </row>
    <row r="1127" spans="1:4" x14ac:dyDescent="0.3">
      <c r="A1127" t="s">
        <v>12195</v>
      </c>
      <c r="B1127" t="s">
        <v>5357</v>
      </c>
      <c r="C1127" t="s">
        <v>5358</v>
      </c>
      <c r="D1127" s="11">
        <v>0</v>
      </c>
    </row>
    <row r="1128" spans="1:4" x14ac:dyDescent="0.3">
      <c r="A1128" t="s">
        <v>12200</v>
      </c>
      <c r="B1128" t="s">
        <v>2803</v>
      </c>
      <c r="C1128" t="s">
        <v>2804</v>
      </c>
      <c r="D1128" s="11">
        <v>-10075.187969924811</v>
      </c>
    </row>
    <row r="1129" spans="1:4" x14ac:dyDescent="0.3">
      <c r="A1129" t="s">
        <v>12213</v>
      </c>
      <c r="B1129" t="s">
        <v>1027</v>
      </c>
      <c r="C1129" t="s">
        <v>1028</v>
      </c>
      <c r="D1129" s="11">
        <v>0</v>
      </c>
    </row>
    <row r="1130" spans="1:4" x14ac:dyDescent="0.3">
      <c r="A1130" t="s">
        <v>12222</v>
      </c>
      <c r="B1130" t="s">
        <v>1027</v>
      </c>
      <c r="C1130" t="s">
        <v>1028</v>
      </c>
      <c r="D1130" s="11">
        <v>0</v>
      </c>
    </row>
    <row r="1131" spans="1:4" x14ac:dyDescent="0.3">
      <c r="A1131" t="s">
        <v>12231</v>
      </c>
      <c r="B1131" t="s">
        <v>797</v>
      </c>
      <c r="C1131" t="s">
        <v>798</v>
      </c>
      <c r="D1131" s="11">
        <v>0</v>
      </c>
    </row>
    <row r="1132" spans="1:4" x14ac:dyDescent="0.3">
      <c r="A1132" t="s">
        <v>12244</v>
      </c>
      <c r="B1132" t="s">
        <v>797</v>
      </c>
      <c r="C1132" t="s">
        <v>798</v>
      </c>
      <c r="D1132" s="11">
        <v>0</v>
      </c>
    </row>
    <row r="1133" spans="1:4" x14ac:dyDescent="0.3">
      <c r="A1133" t="s">
        <v>12257</v>
      </c>
      <c r="B1133" t="s">
        <v>740</v>
      </c>
      <c r="C1133" t="s">
        <v>741</v>
      </c>
      <c r="D1133" s="11">
        <v>0</v>
      </c>
    </row>
    <row r="1134" spans="1:4" x14ac:dyDescent="0.3">
      <c r="A1134" t="s">
        <v>12266</v>
      </c>
      <c r="B1134" t="s">
        <v>517</v>
      </c>
      <c r="C1134" t="s">
        <v>518</v>
      </c>
      <c r="D1134" s="11">
        <v>0</v>
      </c>
    </row>
    <row r="1135" spans="1:4" x14ac:dyDescent="0.3">
      <c r="A1135" t="s">
        <v>12271</v>
      </c>
      <c r="B1135" t="s">
        <v>70</v>
      </c>
      <c r="C1135" t="s">
        <v>71</v>
      </c>
      <c r="D1135" s="11">
        <v>0</v>
      </c>
    </row>
    <row r="1136" spans="1:4" x14ac:dyDescent="0.3">
      <c r="A1136" t="s">
        <v>12276</v>
      </c>
      <c r="B1136" t="s">
        <v>11210</v>
      </c>
      <c r="C1136" t="s">
        <v>11211</v>
      </c>
      <c r="D1136" s="11">
        <v>0</v>
      </c>
    </row>
    <row r="1137" spans="1:4" x14ac:dyDescent="0.3">
      <c r="A1137" t="s">
        <v>12285</v>
      </c>
      <c r="B1137" t="s">
        <v>1093</v>
      </c>
      <c r="C1137" t="s">
        <v>1094</v>
      </c>
      <c r="D1137" s="11">
        <v>0</v>
      </c>
    </row>
    <row r="1138" spans="1:4" x14ac:dyDescent="0.3">
      <c r="A1138" t="s">
        <v>12290</v>
      </c>
      <c r="B1138" t="s">
        <v>11332</v>
      </c>
      <c r="C1138" t="s">
        <v>11333</v>
      </c>
      <c r="D1138" s="11">
        <v>-3280</v>
      </c>
    </row>
    <row r="1139" spans="1:4" x14ac:dyDescent="0.3">
      <c r="A1139" t="s">
        <v>12303</v>
      </c>
      <c r="B1139" t="s">
        <v>12304</v>
      </c>
      <c r="C1139" t="s">
        <v>12305</v>
      </c>
      <c r="D1139" s="11">
        <v>0</v>
      </c>
    </row>
    <row r="1140" spans="1:4" x14ac:dyDescent="0.3">
      <c r="A1140" t="s">
        <v>12309</v>
      </c>
      <c r="B1140" t="s">
        <v>9267</v>
      </c>
      <c r="C1140" t="s">
        <v>9268</v>
      </c>
      <c r="D1140" s="11">
        <v>0</v>
      </c>
    </row>
    <row r="1141" spans="1:4" x14ac:dyDescent="0.3">
      <c r="A1141" t="s">
        <v>12350</v>
      </c>
      <c r="B1141" t="s">
        <v>11210</v>
      </c>
      <c r="C1141" t="s">
        <v>11211</v>
      </c>
      <c r="D1141" s="11">
        <v>0</v>
      </c>
    </row>
    <row r="1142" spans="1:4" x14ac:dyDescent="0.3">
      <c r="A1142" t="s">
        <v>12359</v>
      </c>
      <c r="B1142" t="s">
        <v>12368</v>
      </c>
      <c r="C1142" t="s">
        <v>12369</v>
      </c>
      <c r="D1142" s="11">
        <v>0</v>
      </c>
    </row>
    <row r="1143" spans="1:4" x14ac:dyDescent="0.3">
      <c r="A1143" t="s">
        <v>12373</v>
      </c>
      <c r="B1143" t="s">
        <v>12378</v>
      </c>
      <c r="C1143" t="s">
        <v>12379</v>
      </c>
      <c r="D1143" s="11">
        <v>0</v>
      </c>
    </row>
    <row r="1144" spans="1:4" x14ac:dyDescent="0.3">
      <c r="A1144" t="s">
        <v>12383</v>
      </c>
      <c r="B1144" t="s">
        <v>11332</v>
      </c>
      <c r="C1144" t="s">
        <v>11333</v>
      </c>
      <c r="D1144" s="11">
        <v>0</v>
      </c>
    </row>
    <row r="1145" spans="1:4" x14ac:dyDescent="0.3">
      <c r="A1145" t="s">
        <v>12388</v>
      </c>
      <c r="B1145" t="s">
        <v>3028</v>
      </c>
      <c r="C1145" t="s">
        <v>3029</v>
      </c>
      <c r="D1145" s="11">
        <v>0</v>
      </c>
    </row>
    <row r="1146" spans="1:4" x14ac:dyDescent="0.3">
      <c r="A1146" t="s">
        <v>12401</v>
      </c>
      <c r="B1146" t="s">
        <v>12410</v>
      </c>
      <c r="C1146" t="s">
        <v>12411</v>
      </c>
      <c r="D1146" s="11">
        <v>-18580.645161290322</v>
      </c>
    </row>
    <row r="1147" spans="1:4" x14ac:dyDescent="0.3">
      <c r="A1147" t="s">
        <v>12415</v>
      </c>
      <c r="B1147" t="s">
        <v>18425</v>
      </c>
      <c r="C1147" t="s">
        <v>18426</v>
      </c>
      <c r="D1147" s="11">
        <v>0</v>
      </c>
    </row>
    <row r="1148" spans="1:4" x14ac:dyDescent="0.3">
      <c r="A1148" t="s">
        <v>12420</v>
      </c>
      <c r="B1148" t="s">
        <v>1989</v>
      </c>
      <c r="C1148" t="s">
        <v>1990</v>
      </c>
      <c r="D1148" s="11">
        <v>-17851.85185185185</v>
      </c>
    </row>
    <row r="1149" spans="1:4" x14ac:dyDescent="0.3">
      <c r="A1149" t="s">
        <v>12433</v>
      </c>
      <c r="B1149" t="s">
        <v>293</v>
      </c>
      <c r="C1149" t="s">
        <v>294</v>
      </c>
      <c r="D1149" s="11">
        <v>0</v>
      </c>
    </row>
    <row r="1150" spans="1:4" x14ac:dyDescent="0.3">
      <c r="A1150" t="s">
        <v>12442</v>
      </c>
      <c r="B1150" t="s">
        <v>9267</v>
      </c>
      <c r="C1150" t="s">
        <v>9268</v>
      </c>
      <c r="D1150" s="11">
        <v>0</v>
      </c>
    </row>
    <row r="1151" spans="1:4" x14ac:dyDescent="0.3">
      <c r="A1151" t="s">
        <v>12483</v>
      </c>
      <c r="B1151" t="s">
        <v>3028</v>
      </c>
      <c r="C1151" t="s">
        <v>3029</v>
      </c>
      <c r="D1151" s="11">
        <v>0</v>
      </c>
    </row>
    <row r="1152" spans="1:4" x14ac:dyDescent="0.3">
      <c r="A1152" t="s">
        <v>12496</v>
      </c>
      <c r="B1152" t="s">
        <v>293</v>
      </c>
      <c r="C1152" t="s">
        <v>294</v>
      </c>
      <c r="D1152" s="11">
        <v>0</v>
      </c>
    </row>
    <row r="1153" spans="1:4" x14ac:dyDescent="0.3">
      <c r="A1153" t="s">
        <v>12501</v>
      </c>
      <c r="B1153" t="s">
        <v>2611</v>
      </c>
      <c r="C1153" t="s">
        <v>2612</v>
      </c>
      <c r="D1153" s="11">
        <v>0</v>
      </c>
    </row>
    <row r="1154" spans="1:4" x14ac:dyDescent="0.3">
      <c r="A1154" t="s">
        <v>12510</v>
      </c>
      <c r="B1154" t="s">
        <v>18423</v>
      </c>
      <c r="C1154" t="s">
        <v>18424</v>
      </c>
      <c r="D1154" s="11">
        <v>0</v>
      </c>
    </row>
    <row r="1155" spans="1:4" x14ac:dyDescent="0.3">
      <c r="A1155" t="s">
        <v>12514</v>
      </c>
      <c r="B1155" t="s">
        <v>18423</v>
      </c>
      <c r="C1155" t="s">
        <v>18424</v>
      </c>
      <c r="D1155" s="11">
        <v>0</v>
      </c>
    </row>
    <row r="1156" spans="1:4" x14ac:dyDescent="0.3">
      <c r="A1156" t="s">
        <v>12518</v>
      </c>
      <c r="B1156" t="s">
        <v>2934</v>
      </c>
      <c r="C1156" t="s">
        <v>2935</v>
      </c>
      <c r="D1156" s="11">
        <v>0</v>
      </c>
    </row>
    <row r="1157" spans="1:4" x14ac:dyDescent="0.3">
      <c r="A1157" t="s">
        <v>12527</v>
      </c>
      <c r="B1157" t="s">
        <v>3028</v>
      </c>
      <c r="C1157" t="s">
        <v>3029</v>
      </c>
      <c r="D1157" s="11">
        <v>0</v>
      </c>
    </row>
    <row r="1158" spans="1:4" x14ac:dyDescent="0.3">
      <c r="A1158" t="s">
        <v>12540</v>
      </c>
      <c r="B1158" t="s">
        <v>2611</v>
      </c>
      <c r="C1158" t="s">
        <v>2612</v>
      </c>
      <c r="D1158" s="11">
        <v>0</v>
      </c>
    </row>
    <row r="1159" spans="1:4" x14ac:dyDescent="0.3">
      <c r="A1159" t="s">
        <v>12549</v>
      </c>
      <c r="B1159" t="s">
        <v>6250</v>
      </c>
      <c r="C1159" t="s">
        <v>6251</v>
      </c>
      <c r="D1159" s="11">
        <v>0</v>
      </c>
    </row>
    <row r="1160" spans="1:4" x14ac:dyDescent="0.3">
      <c r="A1160" t="s">
        <v>12554</v>
      </c>
      <c r="B1160" t="s">
        <v>11210</v>
      </c>
      <c r="C1160" t="s">
        <v>11211</v>
      </c>
      <c r="D1160" s="11">
        <v>0</v>
      </c>
    </row>
    <row r="1161" spans="1:4" x14ac:dyDescent="0.3">
      <c r="A1161" t="s">
        <v>12563</v>
      </c>
      <c r="B1161" t="s">
        <v>3028</v>
      </c>
      <c r="C1161" t="s">
        <v>3029</v>
      </c>
      <c r="D1161" s="11">
        <v>0</v>
      </c>
    </row>
    <row r="1162" spans="1:4" x14ac:dyDescent="0.3">
      <c r="A1162" t="s">
        <v>12576</v>
      </c>
      <c r="B1162" t="s">
        <v>103</v>
      </c>
      <c r="C1162" t="s">
        <v>104</v>
      </c>
      <c r="D1162" s="11">
        <v>-10590.163934426229</v>
      </c>
    </row>
    <row r="1163" spans="1:4" x14ac:dyDescent="0.3">
      <c r="A1163" t="s">
        <v>12589</v>
      </c>
      <c r="B1163" t="s">
        <v>11210</v>
      </c>
      <c r="C1163" t="s">
        <v>11211</v>
      </c>
      <c r="D1163" s="11">
        <v>0</v>
      </c>
    </row>
    <row r="1164" spans="1:4" x14ac:dyDescent="0.3">
      <c r="A1164" t="s">
        <v>12594</v>
      </c>
      <c r="B1164" t="s">
        <v>5357</v>
      </c>
      <c r="C1164" t="s">
        <v>5358</v>
      </c>
      <c r="D1164" s="11">
        <v>0</v>
      </c>
    </row>
    <row r="1165" spans="1:4" x14ac:dyDescent="0.3">
      <c r="A1165" t="s">
        <v>12599</v>
      </c>
      <c r="B1165" t="s">
        <v>740</v>
      </c>
      <c r="C1165" t="s">
        <v>741</v>
      </c>
      <c r="D1165" s="11">
        <v>0</v>
      </c>
    </row>
    <row r="1166" spans="1:4" x14ac:dyDescent="0.3">
      <c r="A1166" t="s">
        <v>12604</v>
      </c>
      <c r="B1166" t="s">
        <v>740</v>
      </c>
      <c r="C1166" t="s">
        <v>741</v>
      </c>
      <c r="D1166" s="11">
        <v>0</v>
      </c>
    </row>
    <row r="1167" spans="1:4" x14ac:dyDescent="0.3">
      <c r="A1167" t="s">
        <v>12609</v>
      </c>
      <c r="B1167" t="s">
        <v>517</v>
      </c>
      <c r="C1167" t="s">
        <v>518</v>
      </c>
      <c r="D1167" s="11">
        <v>0</v>
      </c>
    </row>
    <row r="1168" spans="1:4" x14ac:dyDescent="0.3">
      <c r="A1168" t="s">
        <v>12618</v>
      </c>
      <c r="B1168" t="s">
        <v>517</v>
      </c>
      <c r="C1168" t="s">
        <v>518</v>
      </c>
      <c r="D1168" s="11">
        <v>0</v>
      </c>
    </row>
    <row r="1169" spans="1:4" x14ac:dyDescent="0.3">
      <c r="A1169" t="s">
        <v>12627</v>
      </c>
      <c r="B1169" t="s">
        <v>5357</v>
      </c>
      <c r="C1169" t="s">
        <v>5358</v>
      </c>
      <c r="D1169" s="11">
        <v>0</v>
      </c>
    </row>
    <row r="1170" spans="1:4" x14ac:dyDescent="0.3">
      <c r="A1170" t="s">
        <v>12636</v>
      </c>
      <c r="B1170" t="s">
        <v>5357</v>
      </c>
      <c r="C1170" t="s">
        <v>5358</v>
      </c>
      <c r="D1170" s="11">
        <v>0</v>
      </c>
    </row>
    <row r="1171" spans="1:4" x14ac:dyDescent="0.3">
      <c r="A1171" t="s">
        <v>12649</v>
      </c>
      <c r="B1171" t="s">
        <v>97</v>
      </c>
      <c r="C1171" t="s">
        <v>98</v>
      </c>
      <c r="D1171" s="11">
        <v>0</v>
      </c>
    </row>
    <row r="1172" spans="1:4" x14ac:dyDescent="0.3">
      <c r="A1172" t="s">
        <v>12658</v>
      </c>
      <c r="B1172" t="s">
        <v>1170</v>
      </c>
      <c r="C1172" t="s">
        <v>1171</v>
      </c>
      <c r="D1172" s="11">
        <v>-4788.461538461539</v>
      </c>
    </row>
    <row r="1173" spans="1:4" x14ac:dyDescent="0.3">
      <c r="A1173" t="s">
        <v>12669</v>
      </c>
      <c r="B1173" t="s">
        <v>103</v>
      </c>
      <c r="C1173" t="s">
        <v>104</v>
      </c>
      <c r="D1173" s="11">
        <v>0</v>
      </c>
    </row>
    <row r="1174" spans="1:4" x14ac:dyDescent="0.3">
      <c r="A1174" t="s">
        <v>12674</v>
      </c>
      <c r="B1174" t="s">
        <v>103</v>
      </c>
      <c r="C1174" t="s">
        <v>104</v>
      </c>
      <c r="D1174" s="11">
        <v>0</v>
      </c>
    </row>
    <row r="1175" spans="1:4" x14ac:dyDescent="0.3">
      <c r="A1175" t="s">
        <v>12679</v>
      </c>
      <c r="B1175" t="s">
        <v>5357</v>
      </c>
      <c r="C1175" t="s">
        <v>5358</v>
      </c>
      <c r="D1175" s="11">
        <v>0</v>
      </c>
    </row>
    <row r="1176" spans="1:4" x14ac:dyDescent="0.3">
      <c r="A1176" t="s">
        <v>12688</v>
      </c>
      <c r="B1176" t="s">
        <v>97</v>
      </c>
      <c r="C1176" t="s">
        <v>98</v>
      </c>
      <c r="D1176" s="11">
        <v>0</v>
      </c>
    </row>
    <row r="1177" spans="1:4" x14ac:dyDescent="0.3">
      <c r="A1177" t="s">
        <v>12697</v>
      </c>
      <c r="B1177" t="s">
        <v>1170</v>
      </c>
      <c r="C1177" t="s">
        <v>1171</v>
      </c>
      <c r="D1177" s="11">
        <v>0</v>
      </c>
    </row>
    <row r="1178" spans="1:4" x14ac:dyDescent="0.3">
      <c r="A1178" t="s">
        <v>12706</v>
      </c>
      <c r="B1178" t="s">
        <v>5357</v>
      </c>
      <c r="C1178" t="s">
        <v>5358</v>
      </c>
      <c r="D1178" s="11">
        <v>0</v>
      </c>
    </row>
    <row r="1179" spans="1:4" x14ac:dyDescent="0.3">
      <c r="A1179" t="s">
        <v>12719</v>
      </c>
      <c r="B1179" t="s">
        <v>2840</v>
      </c>
      <c r="C1179" t="s">
        <v>2841</v>
      </c>
      <c r="D1179" s="11">
        <v>0</v>
      </c>
    </row>
    <row r="1180" spans="1:4" x14ac:dyDescent="0.3">
      <c r="A1180" t="s">
        <v>12724</v>
      </c>
      <c r="B1180" t="s">
        <v>21</v>
      </c>
      <c r="C1180" t="s">
        <v>22</v>
      </c>
      <c r="D1180" s="11">
        <v>0</v>
      </c>
    </row>
    <row r="1181" spans="1:4" x14ac:dyDescent="0.3">
      <c r="A1181" t="s">
        <v>12728</v>
      </c>
      <c r="B1181" t="s">
        <v>91</v>
      </c>
      <c r="C1181" t="s">
        <v>92</v>
      </c>
      <c r="D1181" s="11">
        <v>-40481.927710843374</v>
      </c>
    </row>
    <row r="1182" spans="1:4" x14ac:dyDescent="0.3">
      <c r="A1182" t="s">
        <v>12767</v>
      </c>
      <c r="B1182" t="s">
        <v>5357</v>
      </c>
      <c r="C1182" t="s">
        <v>5358</v>
      </c>
      <c r="D1182" s="11">
        <v>-3200</v>
      </c>
    </row>
    <row r="1183" spans="1:4" x14ac:dyDescent="0.3">
      <c r="A1183" t="s">
        <v>12788</v>
      </c>
      <c r="B1183" t="s">
        <v>5357</v>
      </c>
      <c r="C1183" t="s">
        <v>5358</v>
      </c>
      <c r="D1183" s="11">
        <v>0</v>
      </c>
    </row>
    <row r="1184" spans="1:4" x14ac:dyDescent="0.3">
      <c r="A1184" t="s">
        <v>12805</v>
      </c>
      <c r="B1184" t="s">
        <v>740</v>
      </c>
      <c r="C1184" t="s">
        <v>741</v>
      </c>
      <c r="D1184" s="11">
        <v>0</v>
      </c>
    </row>
    <row r="1185" spans="1:4" x14ac:dyDescent="0.3">
      <c r="A1185" t="s">
        <v>12822</v>
      </c>
      <c r="B1185" t="s">
        <v>740</v>
      </c>
      <c r="C1185" t="s">
        <v>741</v>
      </c>
      <c r="D1185" s="11">
        <v>0</v>
      </c>
    </row>
    <row r="1186" spans="1:4" x14ac:dyDescent="0.3">
      <c r="A1186" t="s">
        <v>12827</v>
      </c>
      <c r="B1186" t="s">
        <v>740</v>
      </c>
      <c r="C1186" t="s">
        <v>741</v>
      </c>
      <c r="D1186" s="11">
        <v>-10590.163934426229</v>
      </c>
    </row>
    <row r="1187" spans="1:4" x14ac:dyDescent="0.3">
      <c r="A1187" t="s">
        <v>12848</v>
      </c>
      <c r="B1187" t="s">
        <v>517</v>
      </c>
      <c r="C1187" t="s">
        <v>518</v>
      </c>
      <c r="D1187" s="11">
        <v>0</v>
      </c>
    </row>
    <row r="1188" spans="1:4" x14ac:dyDescent="0.3">
      <c r="A1188" t="s">
        <v>12853</v>
      </c>
      <c r="B1188" t="s">
        <v>91</v>
      </c>
      <c r="C1188" t="s">
        <v>92</v>
      </c>
      <c r="D1188" s="11">
        <v>-21807.22891566265</v>
      </c>
    </row>
    <row r="1189" spans="1:4" x14ac:dyDescent="0.3">
      <c r="A1189" t="s">
        <v>12862</v>
      </c>
      <c r="B1189" t="s">
        <v>2840</v>
      </c>
      <c r="C1189" t="s">
        <v>2841</v>
      </c>
      <c r="D1189" s="11">
        <v>0</v>
      </c>
    </row>
    <row r="1190" spans="1:4" x14ac:dyDescent="0.3">
      <c r="A1190" t="s">
        <v>12867</v>
      </c>
      <c r="B1190" t="s">
        <v>11210</v>
      </c>
      <c r="C1190" t="s">
        <v>11211</v>
      </c>
      <c r="D1190" s="11">
        <v>0</v>
      </c>
    </row>
    <row r="1191" spans="1:4" x14ac:dyDescent="0.3">
      <c r="A1191" t="s">
        <v>12876</v>
      </c>
      <c r="B1191" t="s">
        <v>517</v>
      </c>
      <c r="C1191" t="s">
        <v>518</v>
      </c>
      <c r="D1191" s="11">
        <v>0</v>
      </c>
    </row>
    <row r="1192" spans="1:4" x14ac:dyDescent="0.3">
      <c r="A1192" t="s">
        <v>12881</v>
      </c>
      <c r="B1192" t="s">
        <v>1667</v>
      </c>
      <c r="C1192" t="s">
        <v>1668</v>
      </c>
      <c r="D1192" s="11">
        <v>0</v>
      </c>
    </row>
    <row r="1193" spans="1:4" x14ac:dyDescent="0.3">
      <c r="A1193" t="s">
        <v>12898</v>
      </c>
      <c r="B1193" t="s">
        <v>3028</v>
      </c>
      <c r="C1193" t="s">
        <v>3029</v>
      </c>
      <c r="D1193" s="11">
        <v>-25319.148936170212</v>
      </c>
    </row>
    <row r="1194" spans="1:4" x14ac:dyDescent="0.3">
      <c r="A1194" t="s">
        <v>12919</v>
      </c>
      <c r="B1194" t="s">
        <v>11210</v>
      </c>
      <c r="C1194" t="s">
        <v>11211</v>
      </c>
      <c r="D1194" s="11">
        <v>0</v>
      </c>
    </row>
    <row r="1195" spans="1:4" x14ac:dyDescent="0.3">
      <c r="A1195" t="s">
        <v>12936</v>
      </c>
      <c r="B1195" t="s">
        <v>1027</v>
      </c>
      <c r="C1195" t="s">
        <v>1028</v>
      </c>
      <c r="D1195" s="11">
        <v>0</v>
      </c>
    </row>
    <row r="1196" spans="1:4" x14ac:dyDescent="0.3">
      <c r="A1196" t="s">
        <v>12953</v>
      </c>
      <c r="B1196" t="s">
        <v>1027</v>
      </c>
      <c r="C1196" t="s">
        <v>1028</v>
      </c>
      <c r="D1196" s="11">
        <v>0</v>
      </c>
    </row>
    <row r="1197" spans="1:4" x14ac:dyDescent="0.3">
      <c r="A1197" t="s">
        <v>12970</v>
      </c>
      <c r="B1197" t="s">
        <v>1027</v>
      </c>
      <c r="C1197" t="s">
        <v>1028</v>
      </c>
      <c r="D1197" s="11">
        <v>0</v>
      </c>
    </row>
    <row r="1198" spans="1:4" x14ac:dyDescent="0.3">
      <c r="A1198" t="s">
        <v>12987</v>
      </c>
      <c r="B1198" t="s">
        <v>2086</v>
      </c>
      <c r="C1198" t="s">
        <v>2087</v>
      </c>
      <c r="D1198" s="11">
        <v>0</v>
      </c>
    </row>
    <row r="1199" spans="1:4" x14ac:dyDescent="0.3">
      <c r="A1199" t="s">
        <v>13004</v>
      </c>
      <c r="B1199" t="s">
        <v>3028</v>
      </c>
      <c r="C1199" t="s">
        <v>3029</v>
      </c>
      <c r="D1199" s="11">
        <v>-25319.148936170212</v>
      </c>
    </row>
    <row r="1200" spans="1:4" x14ac:dyDescent="0.3">
      <c r="A1200" t="s">
        <v>13021</v>
      </c>
      <c r="B1200" t="s">
        <v>2086</v>
      </c>
      <c r="C1200" t="s">
        <v>2087</v>
      </c>
      <c r="D1200" s="11">
        <v>-8444.4444444444453</v>
      </c>
    </row>
    <row r="1201" spans="1:4" x14ac:dyDescent="0.3">
      <c r="A1201" t="s">
        <v>13034</v>
      </c>
      <c r="B1201" t="s">
        <v>11210</v>
      </c>
      <c r="C1201" t="s">
        <v>11211</v>
      </c>
      <c r="D1201" s="11">
        <v>0</v>
      </c>
    </row>
    <row r="1202" spans="1:4" x14ac:dyDescent="0.3">
      <c r="A1202" t="s">
        <v>13043</v>
      </c>
      <c r="B1202" t="s">
        <v>5357</v>
      </c>
      <c r="C1202" t="s">
        <v>5358</v>
      </c>
      <c r="D1202" s="11">
        <v>0</v>
      </c>
    </row>
    <row r="1203" spans="1:4" x14ac:dyDescent="0.3">
      <c r="A1203" t="s">
        <v>13052</v>
      </c>
      <c r="B1203" t="s">
        <v>91</v>
      </c>
      <c r="C1203" t="s">
        <v>92</v>
      </c>
      <c r="D1203" s="11">
        <v>0</v>
      </c>
    </row>
    <row r="1204" spans="1:4" x14ac:dyDescent="0.3">
      <c r="A1204" t="s">
        <v>13061</v>
      </c>
      <c r="B1204" t="s">
        <v>5357</v>
      </c>
      <c r="C1204" t="s">
        <v>5358</v>
      </c>
      <c r="D1204" s="11">
        <v>0</v>
      </c>
    </row>
    <row r="1205" spans="1:4" x14ac:dyDescent="0.3">
      <c r="A1205" t="s">
        <v>13070</v>
      </c>
      <c r="B1205" t="s">
        <v>3028</v>
      </c>
      <c r="C1205" t="s">
        <v>3029</v>
      </c>
      <c r="D1205" s="11">
        <v>-25319.148936170212</v>
      </c>
    </row>
    <row r="1206" spans="1:4" x14ac:dyDescent="0.3">
      <c r="A1206" t="s">
        <v>13087</v>
      </c>
      <c r="B1206" t="s">
        <v>103</v>
      </c>
      <c r="C1206" t="s">
        <v>104</v>
      </c>
      <c r="D1206" s="11">
        <v>0</v>
      </c>
    </row>
    <row r="1207" spans="1:4" x14ac:dyDescent="0.3">
      <c r="A1207" t="s">
        <v>13092</v>
      </c>
      <c r="B1207" t="s">
        <v>1017</v>
      </c>
      <c r="C1207" t="s">
        <v>1018</v>
      </c>
      <c r="D1207" s="11">
        <v>0</v>
      </c>
    </row>
    <row r="1208" spans="1:4" x14ac:dyDescent="0.3">
      <c r="A1208" t="s">
        <v>13100</v>
      </c>
      <c r="B1208" t="s">
        <v>5357</v>
      </c>
      <c r="C1208" t="s">
        <v>5358</v>
      </c>
      <c r="D1208" s="11">
        <v>0</v>
      </c>
    </row>
    <row r="1209" spans="1:4" x14ac:dyDescent="0.3">
      <c r="A1209" t="s">
        <v>13109</v>
      </c>
      <c r="B1209" t="s">
        <v>740</v>
      </c>
      <c r="C1209" t="s">
        <v>741</v>
      </c>
      <c r="D1209" s="11">
        <v>0</v>
      </c>
    </row>
    <row r="1210" spans="1:4" x14ac:dyDescent="0.3">
      <c r="A1210" t="s">
        <v>13118</v>
      </c>
      <c r="B1210" t="s">
        <v>2803</v>
      </c>
      <c r="C1210" t="s">
        <v>2804</v>
      </c>
      <c r="D1210" s="11">
        <v>0</v>
      </c>
    </row>
    <row r="1211" spans="1:4" x14ac:dyDescent="0.3">
      <c r="A1211" t="s">
        <v>13123</v>
      </c>
      <c r="B1211" t="s">
        <v>103</v>
      </c>
      <c r="C1211" t="s">
        <v>104</v>
      </c>
      <c r="D1211" s="11">
        <v>0</v>
      </c>
    </row>
    <row r="1212" spans="1:4" x14ac:dyDescent="0.3">
      <c r="A1212" t="s">
        <v>13128</v>
      </c>
      <c r="B1212" t="s">
        <v>103</v>
      </c>
      <c r="C1212" t="s">
        <v>104</v>
      </c>
      <c r="D1212" s="11">
        <v>0</v>
      </c>
    </row>
    <row r="1213" spans="1:4" x14ac:dyDescent="0.3">
      <c r="A1213" t="s">
        <v>13133</v>
      </c>
      <c r="B1213" t="s">
        <v>5357</v>
      </c>
      <c r="C1213" t="s">
        <v>5358</v>
      </c>
      <c r="D1213" s="11">
        <v>0</v>
      </c>
    </row>
    <row r="1214" spans="1:4" x14ac:dyDescent="0.3">
      <c r="A1214" t="s">
        <v>13138</v>
      </c>
      <c r="B1214" t="s">
        <v>797</v>
      </c>
      <c r="C1214" t="s">
        <v>798</v>
      </c>
      <c r="D1214" s="11">
        <v>0</v>
      </c>
    </row>
    <row r="1215" spans="1:4" x14ac:dyDescent="0.3">
      <c r="A1215" t="s">
        <v>13147</v>
      </c>
      <c r="B1215" t="s">
        <v>1170</v>
      </c>
      <c r="C1215" t="s">
        <v>1171</v>
      </c>
      <c r="D1215" s="11">
        <v>0</v>
      </c>
    </row>
    <row r="1216" spans="1:4" x14ac:dyDescent="0.3">
      <c r="A1216" t="s">
        <v>13152</v>
      </c>
      <c r="B1216" t="s">
        <v>1027</v>
      </c>
      <c r="C1216" t="s">
        <v>1028</v>
      </c>
      <c r="D1216" s="11">
        <v>0</v>
      </c>
    </row>
    <row r="1217" spans="1:4" x14ac:dyDescent="0.3">
      <c r="A1217" t="s">
        <v>13161</v>
      </c>
      <c r="B1217" t="s">
        <v>517</v>
      </c>
      <c r="C1217" t="s">
        <v>518</v>
      </c>
      <c r="D1217" s="11">
        <v>0</v>
      </c>
    </row>
    <row r="1218" spans="1:4" x14ac:dyDescent="0.3">
      <c r="A1218" t="s">
        <v>13170</v>
      </c>
      <c r="B1218" t="s">
        <v>1170</v>
      </c>
      <c r="C1218" t="s">
        <v>1171</v>
      </c>
      <c r="D1218" s="11">
        <v>0</v>
      </c>
    </row>
    <row r="1219" spans="1:4" x14ac:dyDescent="0.3">
      <c r="A1219" t="s">
        <v>13175</v>
      </c>
      <c r="B1219" t="s">
        <v>1667</v>
      </c>
      <c r="C1219" t="s">
        <v>1668</v>
      </c>
      <c r="D1219" s="11">
        <v>0</v>
      </c>
    </row>
    <row r="1220" spans="1:4" x14ac:dyDescent="0.3">
      <c r="A1220" t="s">
        <v>13180</v>
      </c>
      <c r="B1220" t="s">
        <v>4511</v>
      </c>
      <c r="C1220" t="s">
        <v>4512</v>
      </c>
      <c r="D1220" s="11">
        <v>0</v>
      </c>
    </row>
    <row r="1221" spans="1:4" x14ac:dyDescent="0.3">
      <c r="A1221" t="s">
        <v>13185</v>
      </c>
      <c r="B1221" t="s">
        <v>1027</v>
      </c>
      <c r="C1221" t="s">
        <v>1028</v>
      </c>
      <c r="D1221" s="11">
        <v>0</v>
      </c>
    </row>
    <row r="1222" spans="1:4" x14ac:dyDescent="0.3">
      <c r="A1222" t="s">
        <v>13190</v>
      </c>
      <c r="B1222" t="s">
        <v>517</v>
      </c>
      <c r="C1222" t="s">
        <v>518</v>
      </c>
      <c r="D1222" s="11">
        <v>0</v>
      </c>
    </row>
    <row r="1223" spans="1:4" x14ac:dyDescent="0.3">
      <c r="A1223" t="s">
        <v>13199</v>
      </c>
      <c r="B1223" t="s">
        <v>11068</v>
      </c>
      <c r="C1223" t="s">
        <v>11069</v>
      </c>
      <c r="D1223" s="11">
        <v>0</v>
      </c>
    </row>
    <row r="1224" spans="1:4" x14ac:dyDescent="0.3">
      <c r="A1224" t="s">
        <v>13208</v>
      </c>
      <c r="B1224" t="s">
        <v>97</v>
      </c>
      <c r="C1224" t="s">
        <v>98</v>
      </c>
      <c r="D1224" s="11">
        <v>0</v>
      </c>
    </row>
    <row r="1225" spans="1:4" x14ac:dyDescent="0.3">
      <c r="A1225" t="s">
        <v>13225</v>
      </c>
      <c r="B1225" t="s">
        <v>91</v>
      </c>
      <c r="C1225" t="s">
        <v>92</v>
      </c>
      <c r="D1225" s="11">
        <v>0</v>
      </c>
    </row>
    <row r="1226" spans="1:4" x14ac:dyDescent="0.3">
      <c r="A1226" t="s">
        <v>13242</v>
      </c>
      <c r="B1226" t="s">
        <v>5357</v>
      </c>
      <c r="C1226" t="s">
        <v>5358</v>
      </c>
      <c r="D1226" s="11">
        <v>0</v>
      </c>
    </row>
    <row r="1227" spans="1:4" x14ac:dyDescent="0.3">
      <c r="A1227" t="s">
        <v>13247</v>
      </c>
      <c r="B1227" t="s">
        <v>11068</v>
      </c>
      <c r="C1227" t="s">
        <v>11069</v>
      </c>
      <c r="D1227" s="11">
        <v>0</v>
      </c>
    </row>
    <row r="1228" spans="1:4" x14ac:dyDescent="0.3">
      <c r="A1228" t="s">
        <v>13264</v>
      </c>
      <c r="B1228" t="s">
        <v>91</v>
      </c>
      <c r="C1228" t="s">
        <v>92</v>
      </c>
      <c r="D1228" s="11">
        <v>0</v>
      </c>
    </row>
    <row r="1229" spans="1:4" x14ac:dyDescent="0.3">
      <c r="A1229" t="s">
        <v>13269</v>
      </c>
      <c r="B1229" t="s">
        <v>4796</v>
      </c>
      <c r="C1229" t="s">
        <v>4797</v>
      </c>
      <c r="D1229" s="11">
        <v>-4854.166666666667</v>
      </c>
    </row>
    <row r="1230" spans="1:4" x14ac:dyDescent="0.3">
      <c r="A1230" t="s">
        <v>13278</v>
      </c>
      <c r="B1230" t="s">
        <v>11068</v>
      </c>
      <c r="C1230" t="s">
        <v>11069</v>
      </c>
      <c r="D1230" s="11">
        <v>0</v>
      </c>
    </row>
    <row r="1231" spans="1:4" x14ac:dyDescent="0.3">
      <c r="A1231" t="s">
        <v>13287</v>
      </c>
      <c r="B1231" t="s">
        <v>97</v>
      </c>
      <c r="C1231" t="s">
        <v>98</v>
      </c>
      <c r="D1231" s="11">
        <v>0</v>
      </c>
    </row>
    <row r="1232" spans="1:4" x14ac:dyDescent="0.3">
      <c r="A1232" t="s">
        <v>13296</v>
      </c>
      <c r="B1232" t="s">
        <v>2086</v>
      </c>
      <c r="C1232" t="s">
        <v>2087</v>
      </c>
      <c r="D1232" s="11">
        <v>0</v>
      </c>
    </row>
    <row r="1233" spans="1:4" x14ac:dyDescent="0.3">
      <c r="A1233" t="s">
        <v>13301</v>
      </c>
      <c r="B1233" t="s">
        <v>97</v>
      </c>
      <c r="C1233" t="s">
        <v>98</v>
      </c>
      <c r="D1233" s="11">
        <v>0</v>
      </c>
    </row>
    <row r="1234" spans="1:4" x14ac:dyDescent="0.3">
      <c r="A1234" t="s">
        <v>13310</v>
      </c>
      <c r="B1234" t="s">
        <v>11068</v>
      </c>
      <c r="C1234" t="s">
        <v>11069</v>
      </c>
      <c r="D1234" s="11">
        <v>0</v>
      </c>
    </row>
    <row r="1235" spans="1:4" x14ac:dyDescent="0.3">
      <c r="A1235" t="s">
        <v>13319</v>
      </c>
      <c r="B1235" t="s">
        <v>1170</v>
      </c>
      <c r="C1235" t="s">
        <v>1171</v>
      </c>
      <c r="D1235" s="11">
        <v>0</v>
      </c>
    </row>
    <row r="1236" spans="1:4" x14ac:dyDescent="0.3">
      <c r="A1236" t="s">
        <v>13328</v>
      </c>
      <c r="B1236" t="s">
        <v>97</v>
      </c>
      <c r="C1236" t="s">
        <v>98</v>
      </c>
      <c r="D1236" s="11">
        <v>0</v>
      </c>
    </row>
    <row r="1237" spans="1:4" x14ac:dyDescent="0.3">
      <c r="A1237" t="s">
        <v>13337</v>
      </c>
      <c r="B1237" t="s">
        <v>1170</v>
      </c>
      <c r="C1237" t="s">
        <v>1171</v>
      </c>
      <c r="D1237" s="11">
        <v>-4788.461538461539</v>
      </c>
    </row>
    <row r="1238" spans="1:4" x14ac:dyDescent="0.3">
      <c r="A1238" t="s">
        <v>13352</v>
      </c>
      <c r="B1238" t="s">
        <v>5357</v>
      </c>
      <c r="C1238" t="s">
        <v>5358</v>
      </c>
      <c r="D1238" s="11">
        <v>0</v>
      </c>
    </row>
    <row r="1239" spans="1:4" x14ac:dyDescent="0.3">
      <c r="A1239" t="s">
        <v>13361</v>
      </c>
      <c r="B1239" t="s">
        <v>517</v>
      </c>
      <c r="C1239" t="s">
        <v>518</v>
      </c>
      <c r="D1239" s="11">
        <v>0</v>
      </c>
    </row>
    <row r="1240" spans="1:4" x14ac:dyDescent="0.3">
      <c r="A1240" t="s">
        <v>13370</v>
      </c>
      <c r="B1240" t="s">
        <v>11040</v>
      </c>
      <c r="C1240" t="s">
        <v>11041</v>
      </c>
      <c r="D1240" s="11">
        <v>0</v>
      </c>
    </row>
    <row r="1241" spans="1:4" x14ac:dyDescent="0.3">
      <c r="A1241" t="s">
        <v>13379</v>
      </c>
      <c r="B1241" t="s">
        <v>11241</v>
      </c>
      <c r="C1241" t="s">
        <v>11242</v>
      </c>
      <c r="D1241" s="11">
        <v>0</v>
      </c>
    </row>
    <row r="1242" spans="1:4" x14ac:dyDescent="0.3">
      <c r="A1242" t="s">
        <v>13388</v>
      </c>
      <c r="B1242" t="s">
        <v>5357</v>
      </c>
      <c r="C1242" t="s">
        <v>5358</v>
      </c>
      <c r="D1242" s="11">
        <v>0</v>
      </c>
    </row>
    <row r="1243" spans="1:4" x14ac:dyDescent="0.3">
      <c r="A1243" t="s">
        <v>13397</v>
      </c>
      <c r="B1243" t="s">
        <v>11040</v>
      </c>
      <c r="C1243" t="s">
        <v>11041</v>
      </c>
      <c r="D1243" s="11">
        <v>0</v>
      </c>
    </row>
    <row r="1244" spans="1:4" x14ac:dyDescent="0.3">
      <c r="A1244" t="s">
        <v>13406</v>
      </c>
      <c r="B1244" t="s">
        <v>11241</v>
      </c>
      <c r="C1244" t="s">
        <v>11242</v>
      </c>
      <c r="D1244" s="11">
        <v>0</v>
      </c>
    </row>
    <row r="1245" spans="1:4" x14ac:dyDescent="0.3">
      <c r="A1245" t="s">
        <v>13415</v>
      </c>
      <c r="B1245" t="s">
        <v>1170</v>
      </c>
      <c r="C1245" t="s">
        <v>1171</v>
      </c>
      <c r="D1245" s="11">
        <v>0</v>
      </c>
    </row>
    <row r="1246" spans="1:4" x14ac:dyDescent="0.3">
      <c r="A1246" t="s">
        <v>13424</v>
      </c>
      <c r="B1246" t="s">
        <v>8256</v>
      </c>
      <c r="C1246" t="s">
        <v>8257</v>
      </c>
      <c r="D1246" s="11">
        <v>0</v>
      </c>
    </row>
    <row r="1247" spans="1:4" x14ac:dyDescent="0.3">
      <c r="A1247" t="s">
        <v>13429</v>
      </c>
      <c r="B1247" t="s">
        <v>4791</v>
      </c>
      <c r="C1247" t="s">
        <v>4792</v>
      </c>
      <c r="D1247" s="11">
        <v>0</v>
      </c>
    </row>
    <row r="1248" spans="1:4" x14ac:dyDescent="0.3">
      <c r="A1248" t="s">
        <v>13438</v>
      </c>
      <c r="B1248" t="s">
        <v>11040</v>
      </c>
      <c r="C1248" t="s">
        <v>11041</v>
      </c>
      <c r="D1248" s="11">
        <v>0</v>
      </c>
    </row>
    <row r="1249" spans="1:4" x14ac:dyDescent="0.3">
      <c r="A1249" t="s">
        <v>13447</v>
      </c>
      <c r="B1249" t="s">
        <v>4791</v>
      </c>
      <c r="C1249" t="s">
        <v>4792</v>
      </c>
      <c r="D1249" s="11">
        <v>0</v>
      </c>
    </row>
    <row r="1250" spans="1:4" x14ac:dyDescent="0.3">
      <c r="A1250" t="s">
        <v>13456</v>
      </c>
      <c r="B1250" t="s">
        <v>3028</v>
      </c>
      <c r="C1250" t="s">
        <v>3029</v>
      </c>
      <c r="D1250" s="11">
        <v>-50638.297872340423</v>
      </c>
    </row>
    <row r="1251" spans="1:4" x14ac:dyDescent="0.3">
      <c r="A1251" t="s">
        <v>13473</v>
      </c>
      <c r="B1251" t="s">
        <v>4796</v>
      </c>
      <c r="C1251" t="s">
        <v>4797</v>
      </c>
      <c r="D1251" s="11">
        <v>0</v>
      </c>
    </row>
    <row r="1252" spans="1:4" x14ac:dyDescent="0.3">
      <c r="A1252" t="s">
        <v>13478</v>
      </c>
      <c r="B1252" t="s">
        <v>11040</v>
      </c>
      <c r="C1252" t="s">
        <v>11041</v>
      </c>
      <c r="D1252" s="11">
        <v>0</v>
      </c>
    </row>
    <row r="1253" spans="1:4" x14ac:dyDescent="0.3">
      <c r="A1253" t="s">
        <v>13487</v>
      </c>
      <c r="B1253" t="s">
        <v>5477</v>
      </c>
      <c r="C1253" t="s">
        <v>5478</v>
      </c>
      <c r="D1253" s="11">
        <v>-3955.5555555555557</v>
      </c>
    </row>
    <row r="1254" spans="1:4" x14ac:dyDescent="0.3">
      <c r="A1254" t="s">
        <v>13500</v>
      </c>
      <c r="B1254" t="s">
        <v>3142</v>
      </c>
      <c r="C1254" t="s">
        <v>3143</v>
      </c>
      <c r="D1254" s="11">
        <v>-8163.6726546906193</v>
      </c>
    </row>
    <row r="1255" spans="1:4" x14ac:dyDescent="0.3">
      <c r="A1255" t="s">
        <v>13513</v>
      </c>
      <c r="B1255" t="s">
        <v>97</v>
      </c>
      <c r="C1255" t="s">
        <v>98</v>
      </c>
      <c r="D1255" s="11">
        <v>0</v>
      </c>
    </row>
    <row r="1256" spans="1:4" x14ac:dyDescent="0.3">
      <c r="A1256" t="s">
        <v>13530</v>
      </c>
      <c r="B1256" t="s">
        <v>11068</v>
      </c>
      <c r="C1256" t="s">
        <v>11069</v>
      </c>
      <c r="D1256" s="11">
        <v>0</v>
      </c>
    </row>
    <row r="1257" spans="1:4" x14ac:dyDescent="0.3">
      <c r="A1257" t="s">
        <v>13547</v>
      </c>
      <c r="B1257" t="s">
        <v>11040</v>
      </c>
      <c r="C1257" t="s">
        <v>11041</v>
      </c>
      <c r="D1257" s="11">
        <v>0</v>
      </c>
    </row>
    <row r="1258" spans="1:4" x14ac:dyDescent="0.3">
      <c r="A1258" t="s">
        <v>13564</v>
      </c>
      <c r="B1258" t="s">
        <v>70</v>
      </c>
      <c r="C1258" t="s">
        <v>71</v>
      </c>
      <c r="D1258" s="11">
        <v>-12666.666666666668</v>
      </c>
    </row>
    <row r="1259" spans="1:4" x14ac:dyDescent="0.3">
      <c r="A1259" t="s">
        <v>13585</v>
      </c>
      <c r="B1259" t="s">
        <v>11068</v>
      </c>
      <c r="C1259" t="s">
        <v>11069</v>
      </c>
      <c r="D1259" s="11">
        <v>0</v>
      </c>
    </row>
    <row r="1260" spans="1:4" x14ac:dyDescent="0.3">
      <c r="A1260" t="s">
        <v>13594</v>
      </c>
      <c r="B1260" t="s">
        <v>97</v>
      </c>
      <c r="C1260" t="s">
        <v>98</v>
      </c>
      <c r="D1260" s="11">
        <v>0</v>
      </c>
    </row>
    <row r="1261" spans="1:4" x14ac:dyDescent="0.3">
      <c r="A1261" t="s">
        <v>13599</v>
      </c>
      <c r="B1261" t="s">
        <v>2086</v>
      </c>
      <c r="C1261" t="s">
        <v>2087</v>
      </c>
      <c r="D1261" s="11">
        <v>-4222.2222222222226</v>
      </c>
    </row>
    <row r="1262" spans="1:4" x14ac:dyDescent="0.3">
      <c r="A1262" t="s">
        <v>13612</v>
      </c>
      <c r="B1262" t="s">
        <v>517</v>
      </c>
      <c r="C1262" t="s">
        <v>518</v>
      </c>
      <c r="D1262" s="11">
        <v>0</v>
      </c>
    </row>
    <row r="1263" spans="1:4" x14ac:dyDescent="0.3">
      <c r="A1263" t="s">
        <v>13621</v>
      </c>
      <c r="B1263" t="s">
        <v>18392</v>
      </c>
      <c r="C1263" t="s">
        <v>18393</v>
      </c>
      <c r="D1263" s="11">
        <v>0</v>
      </c>
    </row>
    <row r="1264" spans="1:4" x14ac:dyDescent="0.3">
      <c r="A1264" t="s">
        <v>13650</v>
      </c>
      <c r="B1264" t="s">
        <v>18435</v>
      </c>
      <c r="C1264" t="s">
        <v>18436</v>
      </c>
      <c r="D1264" s="11">
        <v>0</v>
      </c>
    </row>
    <row r="1265" spans="1:4" x14ac:dyDescent="0.3">
      <c r="A1265" t="s">
        <v>13684</v>
      </c>
      <c r="B1265" t="s">
        <v>18452</v>
      </c>
      <c r="C1265" t="s">
        <v>18452</v>
      </c>
      <c r="D1265" s="11">
        <v>-21180.327868852459</v>
      </c>
    </row>
    <row r="1266" spans="1:4" x14ac:dyDescent="0.3">
      <c r="A1266" t="s">
        <v>13705</v>
      </c>
      <c r="B1266" t="s">
        <v>11068</v>
      </c>
      <c r="C1266" t="s">
        <v>11069</v>
      </c>
      <c r="D1266" s="11">
        <v>0</v>
      </c>
    </row>
    <row r="1267" spans="1:4" x14ac:dyDescent="0.3">
      <c r="A1267" t="s">
        <v>13722</v>
      </c>
      <c r="B1267" t="s">
        <v>97</v>
      </c>
      <c r="C1267" t="s">
        <v>98</v>
      </c>
      <c r="D1267" s="11">
        <v>0</v>
      </c>
    </row>
    <row r="1268" spans="1:4" x14ac:dyDescent="0.3">
      <c r="A1268" t="s">
        <v>13731</v>
      </c>
      <c r="B1268" t="s">
        <v>517</v>
      </c>
      <c r="C1268" t="s">
        <v>518</v>
      </c>
      <c r="D1268" s="11">
        <v>0</v>
      </c>
    </row>
    <row r="1269" spans="1:4" x14ac:dyDescent="0.3">
      <c r="A1269" t="s">
        <v>13740</v>
      </c>
      <c r="B1269" t="s">
        <v>11040</v>
      </c>
      <c r="C1269" t="s">
        <v>11041</v>
      </c>
      <c r="D1269" s="11">
        <v>0</v>
      </c>
    </row>
    <row r="1270" spans="1:4" x14ac:dyDescent="0.3">
      <c r="A1270" t="s">
        <v>13749</v>
      </c>
      <c r="B1270" t="s">
        <v>2121</v>
      </c>
      <c r="C1270" t="s">
        <v>2122</v>
      </c>
      <c r="D1270" s="11">
        <v>0</v>
      </c>
    </row>
    <row r="1271" spans="1:4" x14ac:dyDescent="0.3">
      <c r="A1271" t="s">
        <v>13758</v>
      </c>
      <c r="B1271" t="s">
        <v>18435</v>
      </c>
      <c r="C1271" t="s">
        <v>18436</v>
      </c>
      <c r="D1271" s="11">
        <v>0</v>
      </c>
    </row>
    <row r="1272" spans="1:4" x14ac:dyDescent="0.3">
      <c r="A1272" t="s">
        <v>13787</v>
      </c>
      <c r="B1272" t="s">
        <v>11040</v>
      </c>
      <c r="C1272" t="s">
        <v>11041</v>
      </c>
      <c r="D1272" s="11">
        <v>0</v>
      </c>
    </row>
    <row r="1273" spans="1:4" x14ac:dyDescent="0.3">
      <c r="A1273" t="s">
        <v>13796</v>
      </c>
      <c r="B1273" t="s">
        <v>97</v>
      </c>
      <c r="C1273" t="s">
        <v>98</v>
      </c>
      <c r="D1273" s="11">
        <v>0</v>
      </c>
    </row>
    <row r="1274" spans="1:4" x14ac:dyDescent="0.3">
      <c r="A1274" t="s">
        <v>13805</v>
      </c>
      <c r="B1274" t="s">
        <v>11040</v>
      </c>
      <c r="C1274" t="s">
        <v>11041</v>
      </c>
      <c r="D1274" s="11">
        <v>0</v>
      </c>
    </row>
    <row r="1275" spans="1:4" x14ac:dyDescent="0.3">
      <c r="A1275" t="s">
        <v>13815</v>
      </c>
      <c r="B1275" t="s">
        <v>2121</v>
      </c>
      <c r="C1275" t="s">
        <v>2122</v>
      </c>
      <c r="D1275" s="11">
        <v>0</v>
      </c>
    </row>
    <row r="1276" spans="1:4" x14ac:dyDescent="0.3">
      <c r="A1276" t="s">
        <v>13824</v>
      </c>
      <c r="B1276" t="s">
        <v>18435</v>
      </c>
      <c r="C1276" t="s">
        <v>18436</v>
      </c>
      <c r="D1276" s="11">
        <v>0</v>
      </c>
    </row>
    <row r="1277" spans="1:4" x14ac:dyDescent="0.3">
      <c r="A1277" t="s">
        <v>13849</v>
      </c>
      <c r="B1277" t="s">
        <v>11040</v>
      </c>
      <c r="C1277" t="s">
        <v>11041</v>
      </c>
      <c r="D1277" s="11">
        <v>-10590.163934426229</v>
      </c>
    </row>
    <row r="1278" spans="1:4" x14ac:dyDescent="0.3">
      <c r="A1278" t="s">
        <v>13862</v>
      </c>
      <c r="B1278" t="s">
        <v>97</v>
      </c>
      <c r="C1278" t="s">
        <v>98</v>
      </c>
      <c r="D1278" s="11">
        <v>0</v>
      </c>
    </row>
    <row r="1279" spans="1:4" x14ac:dyDescent="0.3">
      <c r="A1279" t="s">
        <v>13871</v>
      </c>
      <c r="B1279" t="s">
        <v>103</v>
      </c>
      <c r="C1279" t="s">
        <v>104</v>
      </c>
      <c r="D1279" s="11">
        <v>0</v>
      </c>
    </row>
    <row r="1280" spans="1:4" x14ac:dyDescent="0.3">
      <c r="A1280" t="s">
        <v>13880</v>
      </c>
      <c r="B1280" t="s">
        <v>5357</v>
      </c>
      <c r="C1280" t="s">
        <v>5358</v>
      </c>
      <c r="D1280" s="11">
        <v>0</v>
      </c>
    </row>
    <row r="1281" spans="1:4" x14ac:dyDescent="0.3">
      <c r="A1281" t="s">
        <v>13889</v>
      </c>
      <c r="B1281" t="s">
        <v>1027</v>
      </c>
      <c r="C1281" t="s">
        <v>1028</v>
      </c>
      <c r="D1281" s="11">
        <v>-41606.557377049183</v>
      </c>
    </row>
    <row r="1282" spans="1:4" x14ac:dyDescent="0.3">
      <c r="A1282" t="s">
        <v>13937</v>
      </c>
      <c r="B1282" t="s">
        <v>18435</v>
      </c>
      <c r="C1282" t="s">
        <v>18436</v>
      </c>
      <c r="D1282" s="11">
        <v>0</v>
      </c>
    </row>
    <row r="1283" spans="1:4" x14ac:dyDescent="0.3">
      <c r="A1283" t="s">
        <v>13966</v>
      </c>
      <c r="B1283" t="s">
        <v>13967</v>
      </c>
      <c r="C1283" t="s">
        <v>13968</v>
      </c>
      <c r="D1283" s="11">
        <v>0</v>
      </c>
    </row>
    <row r="1284" spans="1:4" x14ac:dyDescent="0.3">
      <c r="A1284" t="s">
        <v>13971</v>
      </c>
      <c r="B1284" t="s">
        <v>103</v>
      </c>
      <c r="C1284" t="s">
        <v>104</v>
      </c>
      <c r="D1284" s="11">
        <v>0</v>
      </c>
    </row>
    <row r="1285" spans="1:4" x14ac:dyDescent="0.3">
      <c r="A1285" t="s">
        <v>13980</v>
      </c>
      <c r="B1285" t="s">
        <v>5357</v>
      </c>
      <c r="C1285" t="s">
        <v>5358</v>
      </c>
      <c r="D1285" s="11">
        <v>0</v>
      </c>
    </row>
    <row r="1286" spans="1:4" x14ac:dyDescent="0.3">
      <c r="A1286" t="s">
        <v>13989</v>
      </c>
      <c r="B1286" t="s">
        <v>13967</v>
      </c>
      <c r="C1286" t="s">
        <v>13968</v>
      </c>
      <c r="D1286" s="11">
        <v>0</v>
      </c>
    </row>
    <row r="1287" spans="1:4" x14ac:dyDescent="0.3">
      <c r="A1287" t="s">
        <v>13996</v>
      </c>
      <c r="B1287" t="s">
        <v>11068</v>
      </c>
      <c r="C1287" t="s">
        <v>11069</v>
      </c>
      <c r="D1287" s="11">
        <v>0</v>
      </c>
    </row>
    <row r="1288" spans="1:4" x14ac:dyDescent="0.3">
      <c r="A1288" t="s">
        <v>14001</v>
      </c>
      <c r="B1288" t="s">
        <v>1027</v>
      </c>
      <c r="C1288" t="s">
        <v>1028</v>
      </c>
      <c r="D1288" s="11">
        <v>-10590.163934426229</v>
      </c>
    </row>
    <row r="1289" spans="1:4" x14ac:dyDescent="0.3">
      <c r="A1289" t="s">
        <v>14050</v>
      </c>
      <c r="B1289" t="s">
        <v>103</v>
      </c>
      <c r="C1289" t="s">
        <v>104</v>
      </c>
      <c r="D1289" s="11">
        <v>-43934.426229508201</v>
      </c>
    </row>
    <row r="1290" spans="1:4" x14ac:dyDescent="0.3">
      <c r="A1290" t="s">
        <v>14063</v>
      </c>
      <c r="B1290" t="s">
        <v>97</v>
      </c>
      <c r="C1290" t="s">
        <v>98</v>
      </c>
      <c r="D1290" s="11">
        <v>0</v>
      </c>
    </row>
    <row r="1291" spans="1:4" x14ac:dyDescent="0.3">
      <c r="A1291" t="s">
        <v>14068</v>
      </c>
      <c r="B1291" t="s">
        <v>1027</v>
      </c>
      <c r="C1291" t="s">
        <v>1028</v>
      </c>
      <c r="D1291" s="11">
        <v>-10590.163934426229</v>
      </c>
    </row>
    <row r="1292" spans="1:4" x14ac:dyDescent="0.3">
      <c r="A1292" t="s">
        <v>14077</v>
      </c>
      <c r="B1292" t="s">
        <v>13967</v>
      </c>
      <c r="C1292" t="s">
        <v>13968</v>
      </c>
      <c r="D1292" s="11">
        <v>-12142.857142857143</v>
      </c>
    </row>
    <row r="1293" spans="1:4" x14ac:dyDescent="0.3">
      <c r="A1293" t="s">
        <v>14087</v>
      </c>
      <c r="B1293" t="s">
        <v>97</v>
      </c>
      <c r="C1293" t="s">
        <v>98</v>
      </c>
      <c r="D1293" s="11">
        <v>0</v>
      </c>
    </row>
    <row r="1294" spans="1:4" x14ac:dyDescent="0.3">
      <c r="A1294" t="s">
        <v>14096</v>
      </c>
      <c r="B1294" t="s">
        <v>14101</v>
      </c>
      <c r="C1294" t="s">
        <v>14102</v>
      </c>
      <c r="D1294" s="11">
        <v>0</v>
      </c>
    </row>
    <row r="1295" spans="1:4" x14ac:dyDescent="0.3">
      <c r="A1295" t="s">
        <v>14106</v>
      </c>
      <c r="B1295" t="s">
        <v>5357</v>
      </c>
      <c r="C1295" t="s">
        <v>5358</v>
      </c>
      <c r="D1295" s="11">
        <v>0</v>
      </c>
    </row>
    <row r="1296" spans="1:4" x14ac:dyDescent="0.3">
      <c r="A1296" t="s">
        <v>14115</v>
      </c>
      <c r="B1296" t="s">
        <v>5357</v>
      </c>
      <c r="C1296" t="s">
        <v>5358</v>
      </c>
      <c r="D1296" s="11">
        <v>0</v>
      </c>
    </row>
    <row r="1297" spans="1:4" x14ac:dyDescent="0.3">
      <c r="A1297" t="s">
        <v>14124</v>
      </c>
      <c r="B1297" t="s">
        <v>1667</v>
      </c>
      <c r="C1297" t="s">
        <v>1668</v>
      </c>
      <c r="D1297" s="11">
        <v>-20869.565217391304</v>
      </c>
    </row>
    <row r="1298" spans="1:4" x14ac:dyDescent="0.3">
      <c r="A1298" t="s">
        <v>14137</v>
      </c>
      <c r="B1298" t="s">
        <v>2127</v>
      </c>
      <c r="C1298" t="s">
        <v>2128</v>
      </c>
      <c r="D1298" s="11">
        <v>0</v>
      </c>
    </row>
    <row r="1299" spans="1:4" x14ac:dyDescent="0.3">
      <c r="A1299" t="s">
        <v>14146</v>
      </c>
      <c r="B1299" t="s">
        <v>97</v>
      </c>
      <c r="C1299" t="s">
        <v>98</v>
      </c>
      <c r="D1299" s="11">
        <v>0</v>
      </c>
    </row>
    <row r="1300" spans="1:4" x14ac:dyDescent="0.3">
      <c r="A1300" t="s">
        <v>14155</v>
      </c>
      <c r="B1300" t="s">
        <v>1027</v>
      </c>
      <c r="C1300" t="s">
        <v>1028</v>
      </c>
      <c r="D1300" s="11">
        <v>-10590.163934426229</v>
      </c>
    </row>
    <row r="1301" spans="1:4" x14ac:dyDescent="0.3">
      <c r="A1301" t="s">
        <v>14168</v>
      </c>
      <c r="B1301" t="s">
        <v>2127</v>
      </c>
      <c r="C1301" t="s">
        <v>2128</v>
      </c>
      <c r="D1301" s="11">
        <v>-4117.6470588235288</v>
      </c>
    </row>
    <row r="1302" spans="1:4" x14ac:dyDescent="0.3">
      <c r="A1302" t="s">
        <v>14181</v>
      </c>
      <c r="B1302" t="s">
        <v>6182</v>
      </c>
      <c r="C1302" t="s">
        <v>6183</v>
      </c>
      <c r="D1302" s="11">
        <v>-29798.657718120805</v>
      </c>
    </row>
    <row r="1303" spans="1:4" x14ac:dyDescent="0.3">
      <c r="A1303" t="s">
        <v>14194</v>
      </c>
      <c r="B1303" t="s">
        <v>5357</v>
      </c>
      <c r="C1303" t="s">
        <v>5358</v>
      </c>
      <c r="D1303" s="11">
        <v>0</v>
      </c>
    </row>
    <row r="1304" spans="1:4" x14ac:dyDescent="0.3">
      <c r="A1304" t="s">
        <v>14203</v>
      </c>
      <c r="B1304" t="s">
        <v>5357</v>
      </c>
      <c r="C1304" t="s">
        <v>5358</v>
      </c>
      <c r="D1304" s="11">
        <v>0</v>
      </c>
    </row>
    <row r="1305" spans="1:4" x14ac:dyDescent="0.3">
      <c r="A1305" t="s">
        <v>14212</v>
      </c>
      <c r="B1305" t="s">
        <v>1667</v>
      </c>
      <c r="C1305" t="s">
        <v>1668</v>
      </c>
      <c r="D1305" s="11">
        <v>-41739.130434782608</v>
      </c>
    </row>
    <row r="1306" spans="1:4" x14ac:dyDescent="0.3">
      <c r="A1306" t="s">
        <v>14225</v>
      </c>
      <c r="B1306" t="s">
        <v>2115</v>
      </c>
      <c r="C1306" t="s">
        <v>2116</v>
      </c>
      <c r="D1306" s="11">
        <v>-7176.4705882352946</v>
      </c>
    </row>
    <row r="1307" spans="1:4" x14ac:dyDescent="0.3">
      <c r="A1307" t="s">
        <v>14238</v>
      </c>
      <c r="B1307" t="s">
        <v>2611</v>
      </c>
      <c r="C1307" t="s">
        <v>2612</v>
      </c>
      <c r="D1307" s="11">
        <v>-10629.92125984252</v>
      </c>
    </row>
    <row r="1308" spans="1:4" x14ac:dyDescent="0.3">
      <c r="A1308" t="s">
        <v>14251</v>
      </c>
      <c r="B1308" t="s">
        <v>293</v>
      </c>
      <c r="C1308" t="s">
        <v>294</v>
      </c>
      <c r="D1308" s="11">
        <v>0</v>
      </c>
    </row>
    <row r="1309" spans="1:4" x14ac:dyDescent="0.3">
      <c r="A1309" t="s">
        <v>14260</v>
      </c>
      <c r="B1309" t="s">
        <v>1667</v>
      </c>
      <c r="C1309" t="s">
        <v>1668</v>
      </c>
      <c r="D1309" s="11">
        <v>0</v>
      </c>
    </row>
    <row r="1310" spans="1:4" x14ac:dyDescent="0.3">
      <c r="A1310" t="s">
        <v>14269</v>
      </c>
      <c r="B1310" t="s">
        <v>86</v>
      </c>
      <c r="C1310" t="s">
        <v>87</v>
      </c>
      <c r="D1310" s="11">
        <v>0</v>
      </c>
    </row>
    <row r="1311" spans="1:4" x14ac:dyDescent="0.3">
      <c r="A1311" t="s">
        <v>14273</v>
      </c>
      <c r="B1311" t="s">
        <v>65</v>
      </c>
      <c r="C1311" t="s">
        <v>66</v>
      </c>
      <c r="D1311" s="11">
        <v>0</v>
      </c>
    </row>
    <row r="1312" spans="1:4" x14ac:dyDescent="0.3">
      <c r="A1312" t="s">
        <v>14277</v>
      </c>
      <c r="B1312" t="s">
        <v>65</v>
      </c>
      <c r="C1312" t="s">
        <v>66</v>
      </c>
      <c r="D1312" s="11">
        <v>0</v>
      </c>
    </row>
    <row r="1313" spans="1:4" x14ac:dyDescent="0.3">
      <c r="A1313" t="s">
        <v>14281</v>
      </c>
      <c r="B1313" t="s">
        <v>21</v>
      </c>
      <c r="C1313" t="s">
        <v>22</v>
      </c>
      <c r="D1313" s="11">
        <v>0</v>
      </c>
    </row>
    <row r="1314" spans="1:4" x14ac:dyDescent="0.3">
      <c r="A1314" t="s">
        <v>14285</v>
      </c>
      <c r="B1314" t="s">
        <v>21</v>
      </c>
      <c r="C1314" t="s">
        <v>22</v>
      </c>
      <c r="D1314" s="11">
        <v>0</v>
      </c>
    </row>
    <row r="1315" spans="1:4" x14ac:dyDescent="0.3">
      <c r="A1315" t="s">
        <v>14289</v>
      </c>
      <c r="B1315" t="s">
        <v>5357</v>
      </c>
      <c r="C1315" t="s">
        <v>5358</v>
      </c>
      <c r="D1315" s="11">
        <v>0</v>
      </c>
    </row>
    <row r="1316" spans="1:4" x14ac:dyDescent="0.3">
      <c r="A1316" t="s">
        <v>14298</v>
      </c>
      <c r="B1316" t="s">
        <v>1667</v>
      </c>
      <c r="C1316" t="s">
        <v>1668</v>
      </c>
      <c r="D1316" s="11">
        <v>-20869.565217391304</v>
      </c>
    </row>
    <row r="1317" spans="1:4" x14ac:dyDescent="0.3">
      <c r="A1317" t="s">
        <v>14311</v>
      </c>
      <c r="B1317" t="s">
        <v>1667</v>
      </c>
      <c r="C1317" t="s">
        <v>1668</v>
      </c>
      <c r="D1317" s="11">
        <v>-20869.565217391304</v>
      </c>
    </row>
    <row r="1318" spans="1:4" x14ac:dyDescent="0.3">
      <c r="A1318" t="s">
        <v>14324</v>
      </c>
      <c r="B1318" t="s">
        <v>2934</v>
      </c>
      <c r="C1318" t="s">
        <v>2935</v>
      </c>
      <c r="D1318" s="11">
        <v>0</v>
      </c>
    </row>
    <row r="1319" spans="1:4" x14ac:dyDescent="0.3">
      <c r="A1319" t="s">
        <v>14333</v>
      </c>
      <c r="B1319" t="s">
        <v>2115</v>
      </c>
      <c r="C1319" t="s">
        <v>2116</v>
      </c>
      <c r="D1319" s="11">
        <v>-3588.2352941176473</v>
      </c>
    </row>
    <row r="1320" spans="1:4" x14ac:dyDescent="0.3">
      <c r="A1320" t="s">
        <v>14346</v>
      </c>
      <c r="B1320" t="s">
        <v>11068</v>
      </c>
      <c r="C1320" t="s">
        <v>11069</v>
      </c>
      <c r="D1320" s="11">
        <v>0</v>
      </c>
    </row>
    <row r="1321" spans="1:4" x14ac:dyDescent="0.3">
      <c r="A1321" t="s">
        <v>14355</v>
      </c>
      <c r="B1321" t="s">
        <v>5357</v>
      </c>
      <c r="C1321" t="s">
        <v>5358</v>
      </c>
      <c r="D1321" s="11">
        <v>0</v>
      </c>
    </row>
    <row r="1322" spans="1:4" x14ac:dyDescent="0.3">
      <c r="A1322" t="s">
        <v>14364</v>
      </c>
      <c r="B1322" t="s">
        <v>1027</v>
      </c>
      <c r="C1322" t="s">
        <v>1028</v>
      </c>
      <c r="D1322" s="11">
        <v>0</v>
      </c>
    </row>
    <row r="1323" spans="1:4" x14ac:dyDescent="0.3">
      <c r="A1323" t="s">
        <v>14373</v>
      </c>
      <c r="B1323" t="s">
        <v>1093</v>
      </c>
      <c r="C1323" t="s">
        <v>1094</v>
      </c>
      <c r="D1323" s="11">
        <v>0</v>
      </c>
    </row>
    <row r="1324" spans="1:4" x14ac:dyDescent="0.3">
      <c r="A1324" t="s">
        <v>14382</v>
      </c>
      <c r="B1324" t="s">
        <v>1093</v>
      </c>
      <c r="C1324" t="s">
        <v>1094</v>
      </c>
      <c r="D1324" s="11">
        <v>0</v>
      </c>
    </row>
    <row r="1325" spans="1:4" x14ac:dyDescent="0.3">
      <c r="A1325" t="s">
        <v>14387</v>
      </c>
      <c r="B1325" t="s">
        <v>517</v>
      </c>
      <c r="C1325" t="s">
        <v>518</v>
      </c>
      <c r="D1325" s="11">
        <v>0</v>
      </c>
    </row>
    <row r="1326" spans="1:4" x14ac:dyDescent="0.3">
      <c r="A1326" t="s">
        <v>14392</v>
      </c>
      <c r="B1326" t="s">
        <v>1027</v>
      </c>
      <c r="C1326" t="s">
        <v>1028</v>
      </c>
      <c r="D1326" s="11">
        <v>0</v>
      </c>
    </row>
    <row r="1327" spans="1:4" x14ac:dyDescent="0.3">
      <c r="A1327" t="s">
        <v>14397</v>
      </c>
      <c r="B1327" t="s">
        <v>5357</v>
      </c>
      <c r="C1327" t="s">
        <v>5358</v>
      </c>
      <c r="D1327" s="11">
        <v>0</v>
      </c>
    </row>
    <row r="1328" spans="1:4" x14ac:dyDescent="0.3">
      <c r="A1328" t="s">
        <v>14402</v>
      </c>
      <c r="B1328" t="s">
        <v>2086</v>
      </c>
      <c r="C1328" t="s">
        <v>2087</v>
      </c>
      <c r="D1328" s="11">
        <v>0</v>
      </c>
    </row>
    <row r="1329" spans="1:4" x14ac:dyDescent="0.3">
      <c r="A1329" t="s">
        <v>14407</v>
      </c>
      <c r="B1329" t="s">
        <v>517</v>
      </c>
      <c r="C1329" t="s">
        <v>518</v>
      </c>
      <c r="D1329" s="11">
        <v>0</v>
      </c>
    </row>
    <row r="1330" spans="1:4" x14ac:dyDescent="0.3">
      <c r="A1330" t="s">
        <v>14412</v>
      </c>
      <c r="B1330" t="s">
        <v>1027</v>
      </c>
      <c r="C1330" t="s">
        <v>1028</v>
      </c>
      <c r="D1330" s="11">
        <v>0</v>
      </c>
    </row>
    <row r="1331" spans="1:4" x14ac:dyDescent="0.3">
      <c r="A1331" t="s">
        <v>14429</v>
      </c>
      <c r="B1331" t="s">
        <v>5357</v>
      </c>
      <c r="C1331" t="s">
        <v>5358</v>
      </c>
      <c r="D1331" s="11">
        <v>0</v>
      </c>
    </row>
    <row r="1332" spans="1:4" x14ac:dyDescent="0.3">
      <c r="A1332" t="s">
        <v>14446</v>
      </c>
      <c r="B1332" t="s">
        <v>1027</v>
      </c>
      <c r="C1332" t="s">
        <v>1028</v>
      </c>
      <c r="D1332" s="11">
        <v>0</v>
      </c>
    </row>
    <row r="1333" spans="1:4" x14ac:dyDescent="0.3">
      <c r="A1333" t="s">
        <v>14463</v>
      </c>
      <c r="B1333" t="s">
        <v>740</v>
      </c>
      <c r="C1333" t="s">
        <v>741</v>
      </c>
      <c r="D1333" s="11">
        <v>0</v>
      </c>
    </row>
    <row r="1334" spans="1:4" x14ac:dyDescent="0.3">
      <c r="A1334" t="s">
        <v>14468</v>
      </c>
      <c r="B1334" t="s">
        <v>1027</v>
      </c>
      <c r="C1334" t="s">
        <v>1028</v>
      </c>
      <c r="D1334" s="11">
        <v>0</v>
      </c>
    </row>
    <row r="1335" spans="1:4" x14ac:dyDescent="0.3">
      <c r="A1335" t="s">
        <v>14473</v>
      </c>
      <c r="B1335" t="s">
        <v>517</v>
      </c>
      <c r="C1335" t="s">
        <v>518</v>
      </c>
      <c r="D1335" s="11">
        <v>0</v>
      </c>
    </row>
    <row r="1336" spans="1:4" x14ac:dyDescent="0.3">
      <c r="A1336" t="s">
        <v>14478</v>
      </c>
      <c r="B1336" t="s">
        <v>5357</v>
      </c>
      <c r="C1336" t="s">
        <v>5358</v>
      </c>
      <c r="D1336" s="11">
        <v>0</v>
      </c>
    </row>
    <row r="1337" spans="1:4" x14ac:dyDescent="0.3">
      <c r="A1337" t="s">
        <v>14495</v>
      </c>
      <c r="B1337" t="s">
        <v>97</v>
      </c>
      <c r="C1337" t="s">
        <v>98</v>
      </c>
      <c r="D1337" s="11">
        <v>0</v>
      </c>
    </row>
    <row r="1338" spans="1:4" x14ac:dyDescent="0.3">
      <c r="A1338" t="s">
        <v>14509</v>
      </c>
      <c r="B1338" t="s">
        <v>1027</v>
      </c>
      <c r="C1338" t="s">
        <v>1028</v>
      </c>
      <c r="D1338" s="11">
        <v>0</v>
      </c>
    </row>
    <row r="1339" spans="1:4" x14ac:dyDescent="0.3">
      <c r="A1339" t="s">
        <v>14514</v>
      </c>
      <c r="B1339" t="s">
        <v>517</v>
      </c>
      <c r="C1339" t="s">
        <v>518</v>
      </c>
      <c r="D1339" s="11">
        <v>0</v>
      </c>
    </row>
    <row r="1340" spans="1:4" x14ac:dyDescent="0.3">
      <c r="A1340" t="s">
        <v>14519</v>
      </c>
      <c r="B1340" t="s">
        <v>740</v>
      </c>
      <c r="C1340" t="s">
        <v>741</v>
      </c>
      <c r="D1340" s="11">
        <v>0</v>
      </c>
    </row>
    <row r="1341" spans="1:4" x14ac:dyDescent="0.3">
      <c r="A1341" t="s">
        <v>14524</v>
      </c>
      <c r="B1341" t="s">
        <v>18452</v>
      </c>
      <c r="C1341" t="s">
        <v>18452</v>
      </c>
      <c r="D1341" s="11">
        <v>0</v>
      </c>
    </row>
    <row r="1342" spans="1:4" x14ac:dyDescent="0.3">
      <c r="A1342" t="s">
        <v>14542</v>
      </c>
      <c r="B1342" t="s">
        <v>1027</v>
      </c>
      <c r="C1342" t="s">
        <v>1028</v>
      </c>
      <c r="D1342" s="11">
        <v>-105901.63934426229</v>
      </c>
    </row>
    <row r="1343" spans="1:4" x14ac:dyDescent="0.3">
      <c r="A1343" t="s">
        <v>14563</v>
      </c>
      <c r="B1343" t="s">
        <v>740</v>
      </c>
      <c r="C1343" t="s">
        <v>741</v>
      </c>
      <c r="D1343" s="11">
        <v>0</v>
      </c>
    </row>
    <row r="1344" spans="1:4" x14ac:dyDescent="0.3">
      <c r="A1344" t="s">
        <v>14568</v>
      </c>
      <c r="B1344" t="s">
        <v>97</v>
      </c>
      <c r="C1344" t="s">
        <v>98</v>
      </c>
      <c r="D1344" s="11">
        <v>0</v>
      </c>
    </row>
    <row r="1345" spans="1:4" x14ac:dyDescent="0.3">
      <c r="A1345" t="s">
        <v>14585</v>
      </c>
      <c r="B1345" t="s">
        <v>5477</v>
      </c>
      <c r="C1345" t="s">
        <v>5478</v>
      </c>
      <c r="D1345" s="11">
        <v>0</v>
      </c>
    </row>
    <row r="1346" spans="1:4" x14ac:dyDescent="0.3">
      <c r="A1346" t="s">
        <v>14602</v>
      </c>
      <c r="B1346" t="s">
        <v>97</v>
      </c>
      <c r="C1346" t="s">
        <v>98</v>
      </c>
      <c r="D1346" s="11">
        <v>0</v>
      </c>
    </row>
    <row r="1347" spans="1:4" x14ac:dyDescent="0.3">
      <c r="A1347" t="s">
        <v>14611</v>
      </c>
      <c r="B1347" t="s">
        <v>5477</v>
      </c>
      <c r="C1347" t="s">
        <v>5478</v>
      </c>
      <c r="D1347" s="11">
        <v>0</v>
      </c>
    </row>
    <row r="1348" spans="1:4" x14ac:dyDescent="0.3">
      <c r="A1348" t="s">
        <v>14620</v>
      </c>
      <c r="B1348" t="s">
        <v>5357</v>
      </c>
      <c r="C1348" t="s">
        <v>5358</v>
      </c>
      <c r="D1348" s="11">
        <v>0</v>
      </c>
    </row>
    <row r="1349" spans="1:4" x14ac:dyDescent="0.3">
      <c r="A1349" t="s">
        <v>14629</v>
      </c>
      <c r="B1349" t="s">
        <v>5357</v>
      </c>
      <c r="C1349" t="s">
        <v>5358</v>
      </c>
      <c r="D1349" s="11">
        <v>0</v>
      </c>
    </row>
    <row r="1350" spans="1:4" x14ac:dyDescent="0.3">
      <c r="A1350" t="s">
        <v>14638</v>
      </c>
      <c r="B1350" t="s">
        <v>740</v>
      </c>
      <c r="C1350" t="s">
        <v>741</v>
      </c>
      <c r="D1350" s="11">
        <v>0</v>
      </c>
    </row>
    <row r="1351" spans="1:4" x14ac:dyDescent="0.3">
      <c r="A1351" t="s">
        <v>14647</v>
      </c>
      <c r="B1351" t="s">
        <v>1027</v>
      </c>
      <c r="C1351" t="s">
        <v>1028</v>
      </c>
      <c r="D1351" s="11">
        <v>0</v>
      </c>
    </row>
    <row r="1352" spans="1:4" x14ac:dyDescent="0.3">
      <c r="A1352" t="s">
        <v>14656</v>
      </c>
      <c r="B1352" t="s">
        <v>2023</v>
      </c>
      <c r="C1352" t="s">
        <v>2024</v>
      </c>
      <c r="D1352" s="11">
        <v>0</v>
      </c>
    </row>
    <row r="1353" spans="1:4" x14ac:dyDescent="0.3">
      <c r="A1353" t="s">
        <v>14665</v>
      </c>
      <c r="B1353" t="s">
        <v>5477</v>
      </c>
      <c r="C1353" t="s">
        <v>5478</v>
      </c>
      <c r="D1353" s="11">
        <v>0</v>
      </c>
    </row>
    <row r="1354" spans="1:4" x14ac:dyDescent="0.3">
      <c r="A1354" t="s">
        <v>14674</v>
      </c>
      <c r="B1354" t="s">
        <v>2023</v>
      </c>
      <c r="C1354" t="s">
        <v>2024</v>
      </c>
      <c r="D1354" s="11">
        <v>-20571.428571428572</v>
      </c>
    </row>
    <row r="1355" spans="1:4" x14ac:dyDescent="0.3">
      <c r="A1355" t="s">
        <v>14687</v>
      </c>
      <c r="B1355" t="s">
        <v>1027</v>
      </c>
      <c r="C1355" t="s">
        <v>1028</v>
      </c>
      <c r="D1355" s="11">
        <v>0</v>
      </c>
    </row>
    <row r="1356" spans="1:4" x14ac:dyDescent="0.3">
      <c r="A1356" t="s">
        <v>14696</v>
      </c>
      <c r="B1356" t="s">
        <v>2115</v>
      </c>
      <c r="C1356" t="s">
        <v>2116</v>
      </c>
      <c r="D1356" s="11">
        <v>-2745.0980392156866</v>
      </c>
    </row>
    <row r="1357" spans="1:4" x14ac:dyDescent="0.3">
      <c r="A1357" t="s">
        <v>14709</v>
      </c>
      <c r="B1357" t="s">
        <v>5477</v>
      </c>
      <c r="C1357" t="s">
        <v>5478</v>
      </c>
      <c r="D1357" s="11">
        <v>0</v>
      </c>
    </row>
    <row r="1358" spans="1:4" x14ac:dyDescent="0.3">
      <c r="A1358" t="s">
        <v>14726</v>
      </c>
      <c r="B1358" t="s">
        <v>3759</v>
      </c>
      <c r="C1358" t="s">
        <v>3760</v>
      </c>
      <c r="D1358" s="11">
        <v>0</v>
      </c>
    </row>
    <row r="1359" spans="1:4" x14ac:dyDescent="0.3">
      <c r="A1359" t="s">
        <v>14739</v>
      </c>
      <c r="B1359" t="s">
        <v>5357</v>
      </c>
      <c r="C1359" t="s">
        <v>5358</v>
      </c>
      <c r="D1359" s="11">
        <v>0</v>
      </c>
    </row>
    <row r="1360" spans="1:4" x14ac:dyDescent="0.3">
      <c r="A1360" t="s">
        <v>14748</v>
      </c>
      <c r="B1360" t="s">
        <v>740</v>
      </c>
      <c r="C1360" t="s">
        <v>741</v>
      </c>
      <c r="D1360" s="11">
        <v>0</v>
      </c>
    </row>
    <row r="1361" spans="1:4" x14ac:dyDescent="0.3">
      <c r="A1361" t="s">
        <v>14757</v>
      </c>
      <c r="B1361" t="s">
        <v>11241</v>
      </c>
      <c r="C1361" t="s">
        <v>11242</v>
      </c>
      <c r="D1361" s="11">
        <v>-25425.531914893618</v>
      </c>
    </row>
    <row r="1362" spans="1:4" x14ac:dyDescent="0.3">
      <c r="A1362" t="s">
        <v>14770</v>
      </c>
      <c r="B1362" t="s">
        <v>11241</v>
      </c>
      <c r="C1362" t="s">
        <v>11242</v>
      </c>
      <c r="D1362" s="11">
        <v>0</v>
      </c>
    </row>
    <row r="1363" spans="1:4" x14ac:dyDescent="0.3">
      <c r="A1363" t="s">
        <v>14779</v>
      </c>
      <c r="B1363" t="s">
        <v>11210</v>
      </c>
      <c r="C1363" t="s">
        <v>11211</v>
      </c>
      <c r="D1363" s="11">
        <v>-20150.375939849622</v>
      </c>
    </row>
    <row r="1364" spans="1:4" x14ac:dyDescent="0.3">
      <c r="A1364" t="s">
        <v>14792</v>
      </c>
      <c r="B1364" t="s">
        <v>2115</v>
      </c>
      <c r="C1364" t="s">
        <v>2116</v>
      </c>
      <c r="D1364" s="11">
        <v>-3588.2352941176473</v>
      </c>
    </row>
    <row r="1365" spans="1:4" x14ac:dyDescent="0.3">
      <c r="A1365" t="s">
        <v>14805</v>
      </c>
      <c r="B1365" t="s">
        <v>14810</v>
      </c>
      <c r="C1365" t="s">
        <v>14811</v>
      </c>
      <c r="D1365" s="11">
        <v>0</v>
      </c>
    </row>
    <row r="1366" spans="1:4" x14ac:dyDescent="0.3">
      <c r="A1366" t="s">
        <v>14815</v>
      </c>
      <c r="B1366" t="s">
        <v>4237</v>
      </c>
      <c r="C1366" t="s">
        <v>4238</v>
      </c>
      <c r="D1366" s="11">
        <v>0</v>
      </c>
    </row>
    <row r="1367" spans="1:4" x14ac:dyDescent="0.3">
      <c r="A1367" t="s">
        <v>14820</v>
      </c>
      <c r="B1367" t="s">
        <v>18435</v>
      </c>
      <c r="C1367" t="s">
        <v>18436</v>
      </c>
      <c r="D1367" s="11">
        <v>0</v>
      </c>
    </row>
    <row r="1368" spans="1:4" x14ac:dyDescent="0.3">
      <c r="A1368" t="s">
        <v>14845</v>
      </c>
      <c r="B1368" t="s">
        <v>5357</v>
      </c>
      <c r="C1368" t="s">
        <v>5358</v>
      </c>
      <c r="D1368" s="11">
        <v>0</v>
      </c>
    </row>
    <row r="1369" spans="1:4" x14ac:dyDescent="0.3">
      <c r="A1369" t="s">
        <v>14854</v>
      </c>
      <c r="B1369" t="s">
        <v>11332</v>
      </c>
      <c r="C1369" t="s">
        <v>11333</v>
      </c>
      <c r="D1369" s="11">
        <v>-41760</v>
      </c>
    </row>
    <row r="1370" spans="1:4" x14ac:dyDescent="0.3">
      <c r="A1370" t="s">
        <v>14867</v>
      </c>
      <c r="B1370" t="s">
        <v>740</v>
      </c>
      <c r="C1370" t="s">
        <v>741</v>
      </c>
      <c r="D1370" s="11">
        <v>0</v>
      </c>
    </row>
    <row r="1371" spans="1:4" x14ac:dyDescent="0.3">
      <c r="A1371" t="s">
        <v>14876</v>
      </c>
      <c r="B1371" t="s">
        <v>517</v>
      </c>
      <c r="C1371" t="s">
        <v>518</v>
      </c>
      <c r="D1371" s="11">
        <v>-10075.187969924811</v>
      </c>
    </row>
    <row r="1372" spans="1:4" x14ac:dyDescent="0.3">
      <c r="A1372" t="s">
        <v>14889</v>
      </c>
      <c r="B1372" t="s">
        <v>5357</v>
      </c>
      <c r="C1372" t="s">
        <v>5358</v>
      </c>
      <c r="D1372" s="11">
        <v>0</v>
      </c>
    </row>
    <row r="1373" spans="1:4" x14ac:dyDescent="0.3">
      <c r="A1373" t="s">
        <v>14898</v>
      </c>
      <c r="B1373" t="s">
        <v>517</v>
      </c>
      <c r="C1373" t="s">
        <v>518</v>
      </c>
      <c r="D1373" s="11">
        <v>0</v>
      </c>
    </row>
    <row r="1374" spans="1:4" x14ac:dyDescent="0.3">
      <c r="A1374" t="s">
        <v>14907</v>
      </c>
      <c r="B1374" t="s">
        <v>517</v>
      </c>
      <c r="C1374" t="s">
        <v>518</v>
      </c>
      <c r="D1374" s="11">
        <v>-20075.187969924809</v>
      </c>
    </row>
    <row r="1375" spans="1:4" x14ac:dyDescent="0.3">
      <c r="A1375" t="s">
        <v>14924</v>
      </c>
      <c r="B1375" t="s">
        <v>517</v>
      </c>
      <c r="C1375" t="s">
        <v>518</v>
      </c>
      <c r="D1375" s="11">
        <v>-30225.563909774435</v>
      </c>
    </row>
    <row r="1376" spans="1:4" x14ac:dyDescent="0.3">
      <c r="A1376" t="s">
        <v>14941</v>
      </c>
      <c r="B1376" t="s">
        <v>5357</v>
      </c>
      <c r="C1376" t="s">
        <v>5358</v>
      </c>
      <c r="D1376" s="11">
        <v>0</v>
      </c>
    </row>
    <row r="1377" spans="1:4" x14ac:dyDescent="0.3">
      <c r="A1377" t="s">
        <v>14954</v>
      </c>
      <c r="B1377" t="s">
        <v>5357</v>
      </c>
      <c r="C1377" t="s">
        <v>5358</v>
      </c>
      <c r="D1377" s="11">
        <v>0</v>
      </c>
    </row>
    <row r="1378" spans="1:4" x14ac:dyDescent="0.3">
      <c r="A1378" t="s">
        <v>14967</v>
      </c>
      <c r="B1378" t="s">
        <v>11068</v>
      </c>
      <c r="C1378" t="s">
        <v>11069</v>
      </c>
      <c r="D1378" s="11">
        <v>0</v>
      </c>
    </row>
    <row r="1379" spans="1:4" x14ac:dyDescent="0.3">
      <c r="A1379" t="s">
        <v>14976</v>
      </c>
      <c r="B1379" t="s">
        <v>2611</v>
      </c>
      <c r="C1379" t="s">
        <v>2612</v>
      </c>
      <c r="D1379" s="11">
        <v>-4960.6299212598424</v>
      </c>
    </row>
    <row r="1380" spans="1:4" x14ac:dyDescent="0.3">
      <c r="A1380" t="s">
        <v>14989</v>
      </c>
      <c r="B1380" t="s">
        <v>2803</v>
      </c>
      <c r="C1380" t="s">
        <v>2804</v>
      </c>
      <c r="D1380" s="11">
        <v>-9473.6842105263149</v>
      </c>
    </row>
    <row r="1381" spans="1:4" x14ac:dyDescent="0.3">
      <c r="A1381" t="s">
        <v>15006</v>
      </c>
      <c r="B1381" t="s">
        <v>5357</v>
      </c>
      <c r="C1381" t="s">
        <v>5358</v>
      </c>
      <c r="D1381" s="11">
        <v>0</v>
      </c>
    </row>
    <row r="1382" spans="1:4" x14ac:dyDescent="0.3">
      <c r="A1382" t="s">
        <v>15023</v>
      </c>
      <c r="B1382" t="s">
        <v>11068</v>
      </c>
      <c r="C1382" t="s">
        <v>11069</v>
      </c>
      <c r="D1382" s="11">
        <v>0</v>
      </c>
    </row>
    <row r="1383" spans="1:4" x14ac:dyDescent="0.3">
      <c r="A1383" t="s">
        <v>15032</v>
      </c>
      <c r="B1383" t="s">
        <v>97</v>
      </c>
      <c r="C1383" t="s">
        <v>98</v>
      </c>
      <c r="D1383" s="11">
        <v>0</v>
      </c>
    </row>
    <row r="1384" spans="1:4" x14ac:dyDescent="0.3">
      <c r="A1384" t="s">
        <v>15045</v>
      </c>
      <c r="B1384" t="s">
        <v>11068</v>
      </c>
      <c r="C1384" t="s">
        <v>11069</v>
      </c>
      <c r="D1384" s="11">
        <v>0</v>
      </c>
    </row>
    <row r="1385" spans="1:4" x14ac:dyDescent="0.3">
      <c r="A1385" t="s">
        <v>15054</v>
      </c>
      <c r="B1385" t="s">
        <v>97</v>
      </c>
      <c r="C1385" t="s">
        <v>98</v>
      </c>
      <c r="D1385" s="11">
        <v>0</v>
      </c>
    </row>
    <row r="1386" spans="1:4" x14ac:dyDescent="0.3">
      <c r="A1386" t="s">
        <v>15067</v>
      </c>
      <c r="B1386" t="s">
        <v>97</v>
      </c>
      <c r="C1386" t="s">
        <v>98</v>
      </c>
      <c r="D1386" s="11">
        <v>0</v>
      </c>
    </row>
    <row r="1387" spans="1:4" x14ac:dyDescent="0.3">
      <c r="A1387" t="s">
        <v>15076</v>
      </c>
      <c r="B1387" t="s">
        <v>18454</v>
      </c>
      <c r="C1387" t="s">
        <v>18458</v>
      </c>
      <c r="D1387" s="11">
        <v>0</v>
      </c>
    </row>
    <row r="1388" spans="1:4" x14ac:dyDescent="0.3">
      <c r="A1388" t="s">
        <v>15081</v>
      </c>
      <c r="B1388" t="s">
        <v>21</v>
      </c>
      <c r="C1388" t="s">
        <v>22</v>
      </c>
      <c r="D1388" s="11">
        <v>0</v>
      </c>
    </row>
    <row r="1389" spans="1:4" x14ac:dyDescent="0.3">
      <c r="A1389" t="s">
        <v>15085</v>
      </c>
      <c r="B1389" t="s">
        <v>18454</v>
      </c>
      <c r="C1389" t="s">
        <v>18458</v>
      </c>
      <c r="D1389" s="11">
        <v>0</v>
      </c>
    </row>
    <row r="1390" spans="1:4" x14ac:dyDescent="0.3">
      <c r="A1390" t="s">
        <v>15102</v>
      </c>
      <c r="B1390" t="s">
        <v>2086</v>
      </c>
      <c r="C1390" t="s">
        <v>2087</v>
      </c>
      <c r="D1390" s="11">
        <v>-4222.2222222222226</v>
      </c>
    </row>
    <row r="1391" spans="1:4" x14ac:dyDescent="0.3">
      <c r="A1391" t="s">
        <v>15123</v>
      </c>
      <c r="B1391" t="s">
        <v>11068</v>
      </c>
      <c r="C1391" t="s">
        <v>11069</v>
      </c>
      <c r="D1391" s="11">
        <v>0</v>
      </c>
    </row>
    <row r="1392" spans="1:4" x14ac:dyDescent="0.3">
      <c r="A1392" t="s">
        <v>15140</v>
      </c>
      <c r="B1392" t="s">
        <v>11068</v>
      </c>
      <c r="C1392" t="s">
        <v>11069</v>
      </c>
      <c r="D1392" s="11">
        <v>0</v>
      </c>
    </row>
    <row r="1393" spans="1:4" x14ac:dyDescent="0.3">
      <c r="A1393" t="s">
        <v>15149</v>
      </c>
      <c r="B1393" t="s">
        <v>4791</v>
      </c>
      <c r="C1393" t="s">
        <v>4792</v>
      </c>
      <c r="D1393" s="11">
        <v>0</v>
      </c>
    </row>
    <row r="1394" spans="1:4" x14ac:dyDescent="0.3">
      <c r="A1394" t="s">
        <v>18448</v>
      </c>
      <c r="D1394" s="11">
        <v>-7430576.4036263172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391-74F8-47CE-A1F1-D74A8385AB8C}">
  <dimension ref="A1:J1793"/>
  <sheetViews>
    <sheetView topLeftCell="C1767" workbookViewId="0">
      <selection activeCell="I1" sqref="I1:J1"/>
    </sheetView>
  </sheetViews>
  <sheetFormatPr defaultRowHeight="14.4" x14ac:dyDescent="0.3"/>
  <cols>
    <col min="1" max="1" width="11" bestFit="1" customWidth="1"/>
    <col min="2" max="2" width="19.109375" bestFit="1" customWidth="1"/>
    <col min="3" max="3" width="39.5546875" bestFit="1" customWidth="1"/>
    <col min="4" max="4" width="26.6640625" bestFit="1" customWidth="1"/>
    <col min="5" max="5" width="24.5546875" bestFit="1" customWidth="1"/>
    <col min="6" max="6" width="27.109375" bestFit="1" customWidth="1"/>
    <col min="8" max="8" width="11.6640625" style="8" customWidth="1"/>
    <col min="9" max="9" width="19.109375" bestFit="1" customWidth="1"/>
    <col min="10" max="10" width="39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18446</v>
      </c>
      <c r="H1" s="1" t="s">
        <v>18447</v>
      </c>
      <c r="I1" s="1" t="s">
        <v>18450</v>
      </c>
      <c r="J1" s="1" t="s">
        <v>18451</v>
      </c>
    </row>
    <row r="2" spans="1:10" x14ac:dyDescent="0.3">
      <c r="A2" s="2" t="s">
        <v>13</v>
      </c>
      <c r="B2" s="2" t="s">
        <v>21</v>
      </c>
      <c r="C2" s="2" t="s">
        <v>22</v>
      </c>
      <c r="D2" s="5">
        <v>-894</v>
      </c>
      <c r="E2" s="5">
        <v>-894</v>
      </c>
      <c r="F2" s="2" t="s">
        <v>23</v>
      </c>
      <c r="G2">
        <v>4.4999999999999998E-2</v>
      </c>
      <c r="H2" s="9">
        <f>IFERROR(IF(LEFT(B2,1)="F",E2/G2,0),0)</f>
        <v>-19866.666666666668</v>
      </c>
      <c r="I2" t="s">
        <v>27</v>
      </c>
      <c r="J2" t="s">
        <v>28</v>
      </c>
    </row>
    <row r="3" spans="1:10" x14ac:dyDescent="0.3">
      <c r="A3" s="2" t="s">
        <v>13</v>
      </c>
      <c r="B3" s="2" t="s">
        <v>27</v>
      </c>
      <c r="C3" s="2" t="s">
        <v>28</v>
      </c>
      <c r="D3" s="3">
        <v>337824</v>
      </c>
      <c r="E3" s="3">
        <v>337824</v>
      </c>
      <c r="F3" s="2" t="s">
        <v>16</v>
      </c>
      <c r="G3">
        <v>4.4999999999999998E-2</v>
      </c>
      <c r="H3" s="9">
        <f t="shared" ref="H3:H66" si="0">IFERROR(IF(LEFT(B3,1)="F",E3/G3,0),0)</f>
        <v>0</v>
      </c>
      <c r="I3" t="s">
        <v>27</v>
      </c>
      <c r="J3" t="s">
        <v>28</v>
      </c>
    </row>
    <row r="4" spans="1:10" x14ac:dyDescent="0.3">
      <c r="A4" s="2" t="s">
        <v>32</v>
      </c>
      <c r="B4" s="2" t="s">
        <v>50</v>
      </c>
      <c r="C4" s="2" t="s">
        <v>51</v>
      </c>
      <c r="D4" s="3">
        <v>1984000</v>
      </c>
      <c r="E4" s="3">
        <v>1984000</v>
      </c>
      <c r="F4" s="2" t="s">
        <v>16</v>
      </c>
      <c r="G4">
        <v>2.9000000000000001E-2</v>
      </c>
      <c r="H4" s="9">
        <f t="shared" si="0"/>
        <v>0</v>
      </c>
      <c r="I4" t="s">
        <v>18411</v>
      </c>
      <c r="J4" t="s">
        <v>18412</v>
      </c>
    </row>
    <row r="5" spans="1:10" x14ac:dyDescent="0.3">
      <c r="A5" s="2" t="s">
        <v>54</v>
      </c>
      <c r="B5" s="2" t="s">
        <v>59</v>
      </c>
      <c r="C5" s="2" t="s">
        <v>60</v>
      </c>
      <c r="D5" s="3">
        <v>2081160</v>
      </c>
      <c r="E5" s="3">
        <v>2081160</v>
      </c>
      <c r="F5" s="2" t="s">
        <v>16</v>
      </c>
      <c r="G5">
        <v>9.6999999999999986E-3</v>
      </c>
      <c r="H5" s="9">
        <f t="shared" si="0"/>
        <v>0</v>
      </c>
      <c r="I5" t="s">
        <v>59</v>
      </c>
      <c r="J5" t="s">
        <v>60</v>
      </c>
    </row>
    <row r="6" spans="1:10" x14ac:dyDescent="0.3">
      <c r="A6" s="2" t="s">
        <v>64</v>
      </c>
      <c r="B6" s="2" t="s">
        <v>65</v>
      </c>
      <c r="C6" s="2" t="s">
        <v>66</v>
      </c>
      <c r="D6" s="5">
        <v>-684</v>
      </c>
      <c r="E6" s="5">
        <v>-684</v>
      </c>
      <c r="F6" s="2" t="s">
        <v>23</v>
      </c>
      <c r="G6">
        <v>3.5999999999999997E-2</v>
      </c>
      <c r="H6" s="9">
        <f t="shared" si="0"/>
        <v>-19000</v>
      </c>
      <c r="I6" t="s">
        <v>70</v>
      </c>
      <c r="J6" t="s">
        <v>71</v>
      </c>
    </row>
    <row r="7" spans="1:10" x14ac:dyDescent="0.3">
      <c r="A7" s="2" t="s">
        <v>64</v>
      </c>
      <c r="B7" s="2" t="s">
        <v>70</v>
      </c>
      <c r="C7" s="2" t="s">
        <v>71</v>
      </c>
      <c r="D7" s="3">
        <v>76032</v>
      </c>
      <c r="E7" s="3">
        <v>76032</v>
      </c>
      <c r="F7" s="2" t="s">
        <v>16</v>
      </c>
      <c r="G7">
        <v>3.5999999999999997E-2</v>
      </c>
      <c r="H7" s="9">
        <f t="shared" si="0"/>
        <v>0</v>
      </c>
      <c r="I7" t="s">
        <v>70</v>
      </c>
      <c r="J7" t="s">
        <v>71</v>
      </c>
    </row>
    <row r="8" spans="1:10" x14ac:dyDescent="0.3">
      <c r="A8" s="2" t="s">
        <v>75</v>
      </c>
      <c r="B8" s="2" t="s">
        <v>76</v>
      </c>
      <c r="C8" s="2" t="s">
        <v>77</v>
      </c>
      <c r="D8" s="3">
        <v>253802</v>
      </c>
      <c r="E8" s="3">
        <v>0</v>
      </c>
      <c r="F8" s="2" t="s">
        <v>16</v>
      </c>
      <c r="G8">
        <v>9.4000000000000004E-3</v>
      </c>
      <c r="H8" s="9">
        <f t="shared" si="0"/>
        <v>0</v>
      </c>
      <c r="I8" t="s">
        <v>3028</v>
      </c>
      <c r="J8" t="s">
        <v>3029</v>
      </c>
    </row>
    <row r="9" spans="1:10" x14ac:dyDescent="0.3">
      <c r="A9" s="2" t="s">
        <v>81</v>
      </c>
      <c r="B9" s="2" t="s">
        <v>86</v>
      </c>
      <c r="C9" s="2" t="s">
        <v>87</v>
      </c>
      <c r="D9" s="5">
        <v>-450</v>
      </c>
      <c r="E9" s="5">
        <v>-450</v>
      </c>
      <c r="F9" s="2" t="s">
        <v>23</v>
      </c>
      <c r="G9">
        <v>8.3000000000000001E-3</v>
      </c>
      <c r="H9" s="9">
        <f t="shared" si="0"/>
        <v>-54216.867469879515</v>
      </c>
      <c r="I9" t="s">
        <v>91</v>
      </c>
      <c r="J9" t="s">
        <v>92</v>
      </c>
    </row>
    <row r="10" spans="1:10" x14ac:dyDescent="0.3">
      <c r="A10" s="2" t="s">
        <v>81</v>
      </c>
      <c r="B10" s="2" t="s">
        <v>91</v>
      </c>
      <c r="C10" s="2" t="s">
        <v>92</v>
      </c>
      <c r="D10" s="3">
        <v>540000</v>
      </c>
      <c r="E10" s="3">
        <v>540000</v>
      </c>
      <c r="F10" s="2" t="s">
        <v>16</v>
      </c>
      <c r="G10">
        <v>8.3000000000000001E-3</v>
      </c>
      <c r="H10" s="9">
        <f t="shared" si="0"/>
        <v>0</v>
      </c>
      <c r="I10" t="s">
        <v>91</v>
      </c>
      <c r="J10" t="s">
        <v>92</v>
      </c>
    </row>
    <row r="11" spans="1:10" x14ac:dyDescent="0.3">
      <c r="A11" s="2" t="s">
        <v>96</v>
      </c>
      <c r="B11" s="2" t="s">
        <v>97</v>
      </c>
      <c r="C11" s="2" t="s">
        <v>98</v>
      </c>
      <c r="D11" s="3">
        <v>672000</v>
      </c>
      <c r="E11" s="3">
        <v>67200</v>
      </c>
      <c r="F11" s="2" t="s">
        <v>16</v>
      </c>
      <c r="G11">
        <v>5.1999999999999998E-2</v>
      </c>
      <c r="H11" s="9">
        <f t="shared" si="0"/>
        <v>0</v>
      </c>
      <c r="I11" t="s">
        <v>97</v>
      </c>
      <c r="J11" t="s">
        <v>98</v>
      </c>
    </row>
    <row r="12" spans="1:10" x14ac:dyDescent="0.3">
      <c r="A12" s="2" t="s">
        <v>102</v>
      </c>
      <c r="B12" s="2" t="s">
        <v>103</v>
      </c>
      <c r="C12" s="2" t="s">
        <v>104</v>
      </c>
      <c r="D12" s="3">
        <v>10620</v>
      </c>
      <c r="E12" s="3">
        <v>10620</v>
      </c>
      <c r="F12" s="2" t="s">
        <v>16</v>
      </c>
      <c r="G12">
        <v>3.0499999999999999E-2</v>
      </c>
      <c r="H12" s="9">
        <f t="shared" si="0"/>
        <v>0</v>
      </c>
      <c r="I12" t="s">
        <v>103</v>
      </c>
      <c r="J12" t="s">
        <v>104</v>
      </c>
    </row>
    <row r="13" spans="1:10" x14ac:dyDescent="0.3">
      <c r="A13" s="2" t="s">
        <v>108</v>
      </c>
      <c r="B13" s="2" t="s">
        <v>109</v>
      </c>
      <c r="C13" s="2" t="s">
        <v>110</v>
      </c>
      <c r="D13" s="3">
        <v>81000</v>
      </c>
      <c r="E13" s="3">
        <v>81000</v>
      </c>
      <c r="F13" s="2" t="s">
        <v>16</v>
      </c>
      <c r="G13">
        <v>8.3000000000000001E-3</v>
      </c>
      <c r="H13" s="9">
        <f t="shared" si="0"/>
        <v>0</v>
      </c>
      <c r="I13" t="s">
        <v>396</v>
      </c>
      <c r="J13" t="s">
        <v>397</v>
      </c>
    </row>
    <row r="14" spans="1:10" x14ac:dyDescent="0.3">
      <c r="A14" s="2" t="s">
        <v>114</v>
      </c>
      <c r="B14" s="2" t="s">
        <v>115</v>
      </c>
      <c r="C14" s="2" t="s">
        <v>116</v>
      </c>
      <c r="D14" s="3">
        <v>32760</v>
      </c>
      <c r="E14" s="3">
        <v>32760</v>
      </c>
      <c r="F14" s="2" t="s">
        <v>16</v>
      </c>
      <c r="G14">
        <v>2.1000000000000001E-2</v>
      </c>
      <c r="H14" s="9">
        <f t="shared" si="0"/>
        <v>0</v>
      </c>
      <c r="I14" t="s">
        <v>693</v>
      </c>
      <c r="J14" t="s">
        <v>694</v>
      </c>
    </row>
    <row r="15" spans="1:10" x14ac:dyDescent="0.3">
      <c r="A15" s="2" t="s">
        <v>120</v>
      </c>
      <c r="B15" s="2" t="s">
        <v>121</v>
      </c>
      <c r="C15" s="2" t="s">
        <v>122</v>
      </c>
      <c r="D15" s="3">
        <v>152352</v>
      </c>
      <c r="E15" s="3">
        <v>152352</v>
      </c>
      <c r="F15" s="2" t="s">
        <v>16</v>
      </c>
      <c r="G15">
        <v>4.4999999999999998E-2</v>
      </c>
      <c r="H15" s="9">
        <f t="shared" si="0"/>
        <v>0</v>
      </c>
      <c r="I15" t="s">
        <v>27</v>
      </c>
      <c r="J15" t="s">
        <v>28</v>
      </c>
    </row>
    <row r="16" spans="1:10" x14ac:dyDescent="0.3">
      <c r="A16" s="2" t="s">
        <v>120</v>
      </c>
      <c r="B16" s="2" t="s">
        <v>27</v>
      </c>
      <c r="C16" s="2" t="s">
        <v>28</v>
      </c>
      <c r="D16" s="3">
        <v>79488</v>
      </c>
      <c r="E16" s="3">
        <v>79488</v>
      </c>
      <c r="F16" s="2" t="s">
        <v>16</v>
      </c>
      <c r="G16">
        <v>4.4999999999999998E-2</v>
      </c>
      <c r="H16" s="9">
        <f t="shared" si="0"/>
        <v>0</v>
      </c>
      <c r="I16" t="s">
        <v>27</v>
      </c>
      <c r="J16" t="s">
        <v>28</v>
      </c>
    </row>
    <row r="17" spans="1:10" x14ac:dyDescent="0.3">
      <c r="A17" s="2" t="s">
        <v>134</v>
      </c>
      <c r="B17" s="2" t="s">
        <v>21</v>
      </c>
      <c r="C17" s="2" t="s">
        <v>22</v>
      </c>
      <c r="D17" s="3">
        <v>0</v>
      </c>
      <c r="E17" s="3">
        <v>0</v>
      </c>
      <c r="F17" s="2" t="s">
        <v>23</v>
      </c>
      <c r="G17" t="e">
        <v>#N/A</v>
      </c>
      <c r="H17" s="9">
        <f t="shared" si="0"/>
        <v>0</v>
      </c>
      <c r="I17" t="e">
        <v>#N/A</v>
      </c>
      <c r="J17" t="e">
        <v>#N/A</v>
      </c>
    </row>
    <row r="18" spans="1:10" x14ac:dyDescent="0.3">
      <c r="A18" s="2" t="s">
        <v>134</v>
      </c>
      <c r="B18" s="2" t="s">
        <v>289</v>
      </c>
      <c r="C18" s="2" t="s">
        <v>290</v>
      </c>
      <c r="D18" s="3">
        <v>150000</v>
      </c>
      <c r="E18" s="3">
        <v>0</v>
      </c>
      <c r="F18" s="2" t="s">
        <v>16</v>
      </c>
      <c r="G18">
        <v>1.55E-2</v>
      </c>
      <c r="H18" s="9">
        <f t="shared" si="0"/>
        <v>0</v>
      </c>
      <c r="I18" t="e">
        <v>#N/A</v>
      </c>
      <c r="J18" t="e">
        <v>#N/A</v>
      </c>
    </row>
    <row r="19" spans="1:10" x14ac:dyDescent="0.3">
      <c r="A19" s="2" t="s">
        <v>134</v>
      </c>
      <c r="B19" s="2" t="s">
        <v>293</v>
      </c>
      <c r="C19" s="2" t="s">
        <v>294</v>
      </c>
      <c r="D19" s="3">
        <v>100000</v>
      </c>
      <c r="E19" s="3">
        <v>0</v>
      </c>
      <c r="F19" s="2" t="s">
        <v>16</v>
      </c>
      <c r="G19" t="e">
        <v>#N/A</v>
      </c>
      <c r="H19" s="9">
        <f t="shared" si="0"/>
        <v>0</v>
      </c>
      <c r="I19" t="e">
        <v>#N/A</v>
      </c>
      <c r="J19" t="e">
        <v>#N/A</v>
      </c>
    </row>
    <row r="20" spans="1:10" x14ac:dyDescent="0.3">
      <c r="A20" s="2" t="s">
        <v>297</v>
      </c>
      <c r="B20" s="2" t="s">
        <v>27</v>
      </c>
      <c r="C20" s="2" t="s">
        <v>28</v>
      </c>
      <c r="D20" s="3">
        <v>33120</v>
      </c>
      <c r="E20" s="3">
        <v>33120</v>
      </c>
      <c r="F20" s="2" t="s">
        <v>16</v>
      </c>
      <c r="G20">
        <v>4.4999999999999998E-2</v>
      </c>
      <c r="H20" s="9">
        <f t="shared" si="0"/>
        <v>0</v>
      </c>
      <c r="I20" t="s">
        <v>27</v>
      </c>
      <c r="J20" t="s">
        <v>28</v>
      </c>
    </row>
    <row r="21" spans="1:10" x14ac:dyDescent="0.3">
      <c r="A21" s="2" t="s">
        <v>302</v>
      </c>
      <c r="B21" s="2" t="s">
        <v>59</v>
      </c>
      <c r="C21" s="2" t="s">
        <v>60</v>
      </c>
      <c r="D21" s="3">
        <v>2055780</v>
      </c>
      <c r="E21" s="3">
        <v>2055780</v>
      </c>
      <c r="F21" s="2" t="s">
        <v>16</v>
      </c>
      <c r="G21">
        <v>9.6999999999999986E-3</v>
      </c>
      <c r="H21" s="9">
        <f t="shared" si="0"/>
        <v>0</v>
      </c>
      <c r="I21" t="s">
        <v>59</v>
      </c>
      <c r="J21" t="s">
        <v>60</v>
      </c>
    </row>
    <row r="22" spans="1:10" x14ac:dyDescent="0.3">
      <c r="A22" s="2" t="s">
        <v>307</v>
      </c>
      <c r="B22" s="2" t="s">
        <v>308</v>
      </c>
      <c r="C22" s="2" t="s">
        <v>309</v>
      </c>
      <c r="D22" s="3">
        <v>189000</v>
      </c>
      <c r="E22" s="3">
        <v>189000</v>
      </c>
      <c r="F22" s="2" t="s">
        <v>16</v>
      </c>
      <c r="G22">
        <v>8.3000000000000001E-3</v>
      </c>
      <c r="H22" s="9">
        <f t="shared" si="0"/>
        <v>0</v>
      </c>
      <c r="I22" t="s">
        <v>91</v>
      </c>
      <c r="J22" t="s">
        <v>92</v>
      </c>
    </row>
    <row r="23" spans="1:10" x14ac:dyDescent="0.3">
      <c r="A23" s="2" t="s">
        <v>313</v>
      </c>
      <c r="B23" s="2" t="s">
        <v>86</v>
      </c>
      <c r="C23" s="2" t="s">
        <v>87</v>
      </c>
      <c r="D23" s="5">
        <v>-831</v>
      </c>
      <c r="E23" s="5">
        <v>-831</v>
      </c>
      <c r="F23" s="2" t="s">
        <v>23</v>
      </c>
      <c r="G23">
        <v>9.4000000000000004E-3</v>
      </c>
      <c r="H23" s="9">
        <f t="shared" si="0"/>
        <v>-88404.255319148928</v>
      </c>
      <c r="I23" t="s">
        <v>3028</v>
      </c>
      <c r="J23" t="s">
        <v>3029</v>
      </c>
    </row>
    <row r="24" spans="1:10" x14ac:dyDescent="0.3">
      <c r="A24" s="2" t="s">
        <v>313</v>
      </c>
      <c r="B24" s="2" t="s">
        <v>322</v>
      </c>
      <c r="C24" s="2" t="s">
        <v>323</v>
      </c>
      <c r="D24" s="3">
        <v>570600</v>
      </c>
      <c r="E24" s="3">
        <v>570600</v>
      </c>
      <c r="F24" s="2" t="s">
        <v>16</v>
      </c>
      <c r="G24">
        <v>9.4000000000000004E-3</v>
      </c>
      <c r="H24" s="9">
        <f t="shared" si="0"/>
        <v>0</v>
      </c>
      <c r="I24" t="s">
        <v>3028</v>
      </c>
      <c r="J24" t="s">
        <v>3029</v>
      </c>
    </row>
    <row r="25" spans="1:10" x14ac:dyDescent="0.3">
      <c r="A25" s="2" t="s">
        <v>327</v>
      </c>
      <c r="B25" s="2" t="s">
        <v>27</v>
      </c>
      <c r="C25" s="2" t="s">
        <v>28</v>
      </c>
      <c r="D25" s="3">
        <v>33120</v>
      </c>
      <c r="E25" s="3">
        <v>33120</v>
      </c>
      <c r="F25" s="2" t="s">
        <v>16</v>
      </c>
      <c r="G25">
        <v>4.4999999999999998E-2</v>
      </c>
      <c r="H25" s="9">
        <f t="shared" si="0"/>
        <v>0</v>
      </c>
      <c r="I25" t="s">
        <v>27</v>
      </c>
      <c r="J25" t="s">
        <v>28</v>
      </c>
    </row>
    <row r="26" spans="1:10" x14ac:dyDescent="0.3">
      <c r="A26" s="2" t="s">
        <v>332</v>
      </c>
      <c r="B26" s="2" t="s">
        <v>121</v>
      </c>
      <c r="C26" s="2" t="s">
        <v>122</v>
      </c>
      <c r="D26" s="3">
        <v>0</v>
      </c>
      <c r="E26" s="3">
        <v>0</v>
      </c>
      <c r="F26" s="2" t="s">
        <v>16</v>
      </c>
      <c r="G26">
        <v>4.4999999999999998E-2</v>
      </c>
      <c r="H26" s="9">
        <f t="shared" si="0"/>
        <v>0</v>
      </c>
      <c r="I26" t="s">
        <v>27</v>
      </c>
      <c r="J26" t="s">
        <v>28</v>
      </c>
    </row>
    <row r="27" spans="1:10" x14ac:dyDescent="0.3">
      <c r="A27" s="2" t="s">
        <v>332</v>
      </c>
      <c r="B27" s="2" t="s">
        <v>27</v>
      </c>
      <c r="C27" s="2" t="s">
        <v>28</v>
      </c>
      <c r="D27" s="3">
        <v>152352</v>
      </c>
      <c r="E27" s="3">
        <v>152352</v>
      </c>
      <c r="F27" s="2" t="s">
        <v>16</v>
      </c>
      <c r="G27">
        <v>4.4999999999999998E-2</v>
      </c>
      <c r="H27" s="9">
        <f t="shared" si="0"/>
        <v>0</v>
      </c>
      <c r="I27" t="s">
        <v>27</v>
      </c>
      <c r="J27" t="s">
        <v>28</v>
      </c>
    </row>
    <row r="28" spans="1:10" x14ac:dyDescent="0.3">
      <c r="A28" s="2" t="s">
        <v>340</v>
      </c>
      <c r="B28" s="2" t="s">
        <v>341</v>
      </c>
      <c r="C28" s="2" t="s">
        <v>342</v>
      </c>
      <c r="D28" s="3">
        <v>391390</v>
      </c>
      <c r="E28" s="3">
        <v>391390</v>
      </c>
      <c r="F28" s="2" t="s">
        <v>16</v>
      </c>
      <c r="G28">
        <v>2.93E-2</v>
      </c>
      <c r="H28" s="9">
        <f t="shared" si="0"/>
        <v>0</v>
      </c>
      <c r="I28" t="s">
        <v>18429</v>
      </c>
      <c r="J28" t="s">
        <v>18455</v>
      </c>
    </row>
    <row r="29" spans="1:10" x14ac:dyDescent="0.3">
      <c r="A29" s="2" t="s">
        <v>340</v>
      </c>
      <c r="B29" s="2" t="s">
        <v>86</v>
      </c>
      <c r="C29" s="2" t="s">
        <v>87</v>
      </c>
      <c r="D29" s="5">
        <v>-2607</v>
      </c>
      <c r="E29" s="5">
        <v>-2607</v>
      </c>
      <c r="F29" s="2" t="s">
        <v>23</v>
      </c>
      <c r="G29">
        <v>2.93E-2</v>
      </c>
      <c r="H29" s="9">
        <f t="shared" si="0"/>
        <v>-88976.109215017059</v>
      </c>
      <c r="I29" t="s">
        <v>18429</v>
      </c>
      <c r="J29" t="s">
        <v>18455</v>
      </c>
    </row>
    <row r="30" spans="1:10" x14ac:dyDescent="0.3">
      <c r="A30" s="2" t="s">
        <v>360</v>
      </c>
      <c r="B30" s="2" t="s">
        <v>59</v>
      </c>
      <c r="C30" s="2" t="s">
        <v>60</v>
      </c>
      <c r="D30" s="3">
        <v>2081160</v>
      </c>
      <c r="E30" s="3">
        <v>2081160</v>
      </c>
      <c r="F30" s="2" t="s">
        <v>16</v>
      </c>
      <c r="G30">
        <v>9.6999999999999986E-3</v>
      </c>
      <c r="H30" s="9">
        <f t="shared" si="0"/>
        <v>0</v>
      </c>
      <c r="I30" t="s">
        <v>59</v>
      </c>
      <c r="J30" t="s">
        <v>60</v>
      </c>
    </row>
    <row r="31" spans="1:10" x14ac:dyDescent="0.3">
      <c r="A31" s="2" t="s">
        <v>369</v>
      </c>
      <c r="B31" s="2" t="s">
        <v>97</v>
      </c>
      <c r="C31" s="2" t="s">
        <v>98</v>
      </c>
      <c r="D31" s="3">
        <v>432000</v>
      </c>
      <c r="E31" s="3">
        <v>432000</v>
      </c>
      <c r="F31" s="2" t="s">
        <v>16</v>
      </c>
      <c r="G31">
        <v>5.1999999999999998E-2</v>
      </c>
      <c r="H31" s="9">
        <f t="shared" si="0"/>
        <v>0</v>
      </c>
      <c r="I31" t="s">
        <v>97</v>
      </c>
      <c r="J31" t="s">
        <v>98</v>
      </c>
    </row>
    <row r="32" spans="1:10" x14ac:dyDescent="0.3">
      <c r="A32" s="2" t="s">
        <v>374</v>
      </c>
      <c r="B32" s="2" t="s">
        <v>86</v>
      </c>
      <c r="C32" s="2" t="s">
        <v>87</v>
      </c>
      <c r="D32" s="5">
        <v>-450</v>
      </c>
      <c r="E32" s="5">
        <v>-450</v>
      </c>
      <c r="F32" s="2" t="s">
        <v>23</v>
      </c>
      <c r="G32">
        <v>8.3000000000000001E-3</v>
      </c>
      <c r="H32" s="9">
        <f t="shared" si="0"/>
        <v>-54216.867469879515</v>
      </c>
      <c r="I32" t="s">
        <v>91</v>
      </c>
      <c r="J32" t="s">
        <v>92</v>
      </c>
    </row>
    <row r="33" spans="1:10" x14ac:dyDescent="0.3">
      <c r="A33" s="2" t="s">
        <v>374</v>
      </c>
      <c r="B33" s="2" t="s">
        <v>91</v>
      </c>
      <c r="C33" s="2" t="s">
        <v>92</v>
      </c>
      <c r="D33" s="3">
        <v>189000</v>
      </c>
      <c r="E33" s="3">
        <v>189000</v>
      </c>
      <c r="F33" s="2" t="s">
        <v>16</v>
      </c>
      <c r="G33">
        <v>8.3000000000000001E-3</v>
      </c>
      <c r="H33" s="9">
        <f t="shared" si="0"/>
        <v>0</v>
      </c>
      <c r="I33" t="s">
        <v>91</v>
      </c>
      <c r="J33" t="s">
        <v>92</v>
      </c>
    </row>
    <row r="34" spans="1:10" x14ac:dyDescent="0.3">
      <c r="A34" s="2" t="s">
        <v>387</v>
      </c>
      <c r="B34" s="2" t="s">
        <v>65</v>
      </c>
      <c r="C34" s="2" t="s">
        <v>66</v>
      </c>
      <c r="D34" s="5">
        <v>-225</v>
      </c>
      <c r="E34" s="5">
        <v>-225</v>
      </c>
      <c r="F34" s="2" t="s">
        <v>23</v>
      </c>
      <c r="G34">
        <v>8.3000000000000001E-3</v>
      </c>
      <c r="H34" s="9">
        <f t="shared" si="0"/>
        <v>-27108.433734939757</v>
      </c>
      <c r="I34" t="s">
        <v>396</v>
      </c>
      <c r="J34" t="s">
        <v>397</v>
      </c>
    </row>
    <row r="35" spans="1:10" x14ac:dyDescent="0.3">
      <c r="A35" s="2" t="s">
        <v>387</v>
      </c>
      <c r="B35" s="2" t="s">
        <v>396</v>
      </c>
      <c r="C35" s="2" t="s">
        <v>397</v>
      </c>
      <c r="D35" s="3">
        <v>108000</v>
      </c>
      <c r="E35" s="3">
        <v>108000</v>
      </c>
      <c r="F35" s="2" t="s">
        <v>16</v>
      </c>
      <c r="G35">
        <v>8.3000000000000001E-3</v>
      </c>
      <c r="H35" s="9">
        <f t="shared" si="0"/>
        <v>0</v>
      </c>
      <c r="I35" t="s">
        <v>396</v>
      </c>
      <c r="J35" t="s">
        <v>397</v>
      </c>
    </row>
    <row r="36" spans="1:10" x14ac:dyDescent="0.3">
      <c r="A36" s="2" t="s">
        <v>401</v>
      </c>
      <c r="B36" s="2" t="s">
        <v>91</v>
      </c>
      <c r="C36" s="2" t="s">
        <v>92</v>
      </c>
      <c r="D36" s="3">
        <v>54000</v>
      </c>
      <c r="E36" s="3">
        <v>54000</v>
      </c>
      <c r="F36" s="2" t="s">
        <v>16</v>
      </c>
      <c r="G36">
        <v>8.3000000000000001E-3</v>
      </c>
      <c r="H36" s="9">
        <f t="shared" si="0"/>
        <v>0</v>
      </c>
      <c r="I36" t="s">
        <v>396</v>
      </c>
      <c r="J36" t="s">
        <v>397</v>
      </c>
    </row>
    <row r="37" spans="1:10" x14ac:dyDescent="0.3">
      <c r="A37" s="2" t="s">
        <v>406</v>
      </c>
      <c r="B37" s="2" t="s">
        <v>86</v>
      </c>
      <c r="C37" s="2" t="s">
        <v>87</v>
      </c>
      <c r="D37" s="5">
        <v>-313</v>
      </c>
      <c r="E37" s="5">
        <v>-313</v>
      </c>
      <c r="F37" s="2" t="s">
        <v>23</v>
      </c>
      <c r="G37">
        <v>5.0999999999999997E-2</v>
      </c>
      <c r="H37" s="9">
        <f t="shared" si="0"/>
        <v>-6137.254901960785</v>
      </c>
      <c r="I37" t="s">
        <v>416</v>
      </c>
      <c r="J37" t="s">
        <v>417</v>
      </c>
    </row>
    <row r="38" spans="1:10" x14ac:dyDescent="0.3">
      <c r="A38" s="2" t="s">
        <v>406</v>
      </c>
      <c r="B38" s="2" t="s">
        <v>416</v>
      </c>
      <c r="C38" s="2" t="s">
        <v>417</v>
      </c>
      <c r="D38" s="3">
        <v>42840</v>
      </c>
      <c r="E38" s="3">
        <v>42840</v>
      </c>
      <c r="F38" s="2" t="s">
        <v>16</v>
      </c>
      <c r="G38">
        <v>5.0999999999999997E-2</v>
      </c>
      <c r="H38" s="9">
        <f t="shared" si="0"/>
        <v>0</v>
      </c>
      <c r="I38" t="s">
        <v>416</v>
      </c>
      <c r="J38" t="s">
        <v>417</v>
      </c>
    </row>
    <row r="39" spans="1:10" x14ac:dyDescent="0.3">
      <c r="A39" s="2" t="s">
        <v>421</v>
      </c>
      <c r="B39" s="2" t="s">
        <v>426</v>
      </c>
      <c r="C39" s="2" t="s">
        <v>427</v>
      </c>
      <c r="D39" s="3">
        <v>185472</v>
      </c>
      <c r="E39" s="3">
        <v>185472</v>
      </c>
      <c r="F39" s="2" t="s">
        <v>16</v>
      </c>
      <c r="G39">
        <v>4.4999999999999998E-2</v>
      </c>
      <c r="H39" s="9">
        <f t="shared" si="0"/>
        <v>0</v>
      </c>
      <c r="I39" t="s">
        <v>699</v>
      </c>
      <c r="J39" t="s">
        <v>700</v>
      </c>
    </row>
    <row r="40" spans="1:10" x14ac:dyDescent="0.3">
      <c r="A40" s="2" t="s">
        <v>431</v>
      </c>
      <c r="B40" s="2" t="s">
        <v>121</v>
      </c>
      <c r="C40" s="2" t="s">
        <v>122</v>
      </c>
      <c r="D40" s="3">
        <v>26496</v>
      </c>
      <c r="E40" s="3">
        <v>26496</v>
      </c>
      <c r="F40" s="2" t="s">
        <v>16</v>
      </c>
      <c r="G40">
        <v>4.4999999999999998E-2</v>
      </c>
      <c r="H40" s="9">
        <f t="shared" si="0"/>
        <v>0</v>
      </c>
      <c r="I40" t="s">
        <v>699</v>
      </c>
      <c r="J40" t="s">
        <v>700</v>
      </c>
    </row>
    <row r="41" spans="1:10" x14ac:dyDescent="0.3">
      <c r="A41" s="2" t="s">
        <v>436</v>
      </c>
      <c r="B41" s="2" t="s">
        <v>445</v>
      </c>
      <c r="C41" s="2" t="s">
        <v>446</v>
      </c>
      <c r="D41" s="3">
        <v>532980</v>
      </c>
      <c r="E41" s="3">
        <v>532980</v>
      </c>
      <c r="F41" s="2" t="s">
        <v>16</v>
      </c>
      <c r="G41">
        <v>9.4000000000000004E-3</v>
      </c>
      <c r="H41" s="9">
        <f t="shared" si="0"/>
        <v>0</v>
      </c>
      <c r="I41" t="s">
        <v>3028</v>
      </c>
      <c r="J41" t="s">
        <v>3029</v>
      </c>
    </row>
    <row r="42" spans="1:10" x14ac:dyDescent="0.3">
      <c r="A42" s="2" t="s">
        <v>450</v>
      </c>
      <c r="B42" s="2" t="s">
        <v>59</v>
      </c>
      <c r="C42" s="2" t="s">
        <v>60</v>
      </c>
      <c r="D42" s="3">
        <v>2106540</v>
      </c>
      <c r="E42" s="3">
        <v>2106540</v>
      </c>
      <c r="F42" s="2" t="s">
        <v>16</v>
      </c>
      <c r="G42">
        <v>9.6999999999999986E-3</v>
      </c>
      <c r="H42" s="9">
        <f t="shared" si="0"/>
        <v>0</v>
      </c>
      <c r="I42" t="s">
        <v>59</v>
      </c>
      <c r="J42" t="s">
        <v>60</v>
      </c>
    </row>
    <row r="43" spans="1:10" x14ac:dyDescent="0.3">
      <c r="A43" s="2" t="s">
        <v>463</v>
      </c>
      <c r="B43" s="2" t="s">
        <v>97</v>
      </c>
      <c r="C43" s="2" t="s">
        <v>98</v>
      </c>
      <c r="D43" s="3">
        <v>235200</v>
      </c>
      <c r="E43" s="3">
        <v>235200</v>
      </c>
      <c r="F43" s="2" t="s">
        <v>16</v>
      </c>
      <c r="G43">
        <v>5.1999999999999998E-2</v>
      </c>
      <c r="H43" s="9">
        <f t="shared" si="0"/>
        <v>0</v>
      </c>
      <c r="I43" t="s">
        <v>97</v>
      </c>
      <c r="J43" t="s">
        <v>98</v>
      </c>
    </row>
    <row r="44" spans="1:10" x14ac:dyDescent="0.3">
      <c r="A44" s="2" t="s">
        <v>476</v>
      </c>
      <c r="B44" s="2" t="s">
        <v>86</v>
      </c>
      <c r="C44" s="2" t="s">
        <v>87</v>
      </c>
      <c r="D44" s="5">
        <v>-538</v>
      </c>
      <c r="E44" s="5">
        <v>-538</v>
      </c>
      <c r="F44" s="2" t="s">
        <v>23</v>
      </c>
      <c r="G44">
        <v>1.4E-2</v>
      </c>
      <c r="H44" s="9">
        <f t="shared" si="0"/>
        <v>-38428.571428571428</v>
      </c>
      <c r="I44" t="s">
        <v>485</v>
      </c>
      <c r="J44" t="s">
        <v>486</v>
      </c>
    </row>
    <row r="45" spans="1:10" x14ac:dyDescent="0.3">
      <c r="A45" s="2" t="s">
        <v>476</v>
      </c>
      <c r="B45" s="2" t="s">
        <v>485</v>
      </c>
      <c r="C45" s="2" t="s">
        <v>486</v>
      </c>
      <c r="D45" s="3">
        <v>192000</v>
      </c>
      <c r="E45" s="3">
        <v>192000</v>
      </c>
      <c r="F45" s="2" t="s">
        <v>16</v>
      </c>
      <c r="G45">
        <v>1.4E-2</v>
      </c>
      <c r="H45" s="9">
        <f t="shared" si="0"/>
        <v>0</v>
      </c>
      <c r="I45" t="s">
        <v>485</v>
      </c>
      <c r="J45" t="s">
        <v>486</v>
      </c>
    </row>
    <row r="46" spans="1:10" x14ac:dyDescent="0.3">
      <c r="A46" s="2" t="s">
        <v>490</v>
      </c>
      <c r="B46" s="2" t="s">
        <v>65</v>
      </c>
      <c r="C46" s="2" t="s">
        <v>66</v>
      </c>
      <c r="D46" s="5">
        <v>-249</v>
      </c>
      <c r="E46" s="5">
        <v>-249</v>
      </c>
      <c r="F46" s="2" t="s">
        <v>23</v>
      </c>
      <c r="G46">
        <v>5.1999999999999998E-2</v>
      </c>
      <c r="H46" s="9">
        <f t="shared" si="0"/>
        <v>-4788.461538461539</v>
      </c>
      <c r="I46" t="s">
        <v>1170</v>
      </c>
      <c r="J46" t="s">
        <v>1171</v>
      </c>
    </row>
    <row r="47" spans="1:10" x14ac:dyDescent="0.3">
      <c r="A47" s="2" t="s">
        <v>490</v>
      </c>
      <c r="B47" s="2" t="s">
        <v>97</v>
      </c>
      <c r="C47" s="2" t="s">
        <v>98</v>
      </c>
      <c r="D47" s="3">
        <v>100800</v>
      </c>
      <c r="E47" s="3">
        <v>100800</v>
      </c>
      <c r="F47" s="2" t="s">
        <v>16</v>
      </c>
      <c r="G47">
        <v>5.1999999999999998E-2</v>
      </c>
      <c r="H47" s="9">
        <f t="shared" si="0"/>
        <v>0</v>
      </c>
      <c r="I47" t="s">
        <v>1170</v>
      </c>
      <c r="J47" t="s">
        <v>1171</v>
      </c>
    </row>
    <row r="48" spans="1:10" x14ac:dyDescent="0.3">
      <c r="A48" s="2" t="s">
        <v>503</v>
      </c>
      <c r="B48" s="2" t="s">
        <v>426</v>
      </c>
      <c r="C48" s="2" t="s">
        <v>427</v>
      </c>
      <c r="D48" s="3">
        <v>19872</v>
      </c>
      <c r="E48" s="3">
        <v>19872</v>
      </c>
      <c r="F48" s="2" t="s">
        <v>16</v>
      </c>
      <c r="G48">
        <v>4.4999999999999998E-2</v>
      </c>
      <c r="H48" s="9">
        <f t="shared" si="0"/>
        <v>0</v>
      </c>
      <c r="I48" t="s">
        <v>426</v>
      </c>
      <c r="J48" t="s">
        <v>427</v>
      </c>
    </row>
    <row r="49" spans="1:10" x14ac:dyDescent="0.3">
      <c r="A49" s="2" t="s">
        <v>508</v>
      </c>
      <c r="B49" s="2" t="s">
        <v>517</v>
      </c>
      <c r="C49" s="2" t="s">
        <v>518</v>
      </c>
      <c r="D49" s="3">
        <v>483840</v>
      </c>
      <c r="E49" s="3">
        <v>483840</v>
      </c>
      <c r="F49" s="2" t="s">
        <v>16</v>
      </c>
      <c r="G49">
        <v>2.6600000000000002E-2</v>
      </c>
      <c r="H49" s="9">
        <f t="shared" si="0"/>
        <v>0</v>
      </c>
      <c r="I49" t="s">
        <v>3156</v>
      </c>
      <c r="J49" t="s">
        <v>3157</v>
      </c>
    </row>
    <row r="50" spans="1:10" x14ac:dyDescent="0.3">
      <c r="A50" s="2" t="s">
        <v>522</v>
      </c>
      <c r="B50" s="2" t="s">
        <v>426</v>
      </c>
      <c r="C50" s="2" t="s">
        <v>427</v>
      </c>
      <c r="D50" s="3">
        <v>298080</v>
      </c>
      <c r="E50" s="3">
        <v>298080</v>
      </c>
      <c r="F50" s="2" t="s">
        <v>16</v>
      </c>
      <c r="G50">
        <v>4.4999999999999998E-2</v>
      </c>
      <c r="H50" s="9">
        <f t="shared" si="0"/>
        <v>0</v>
      </c>
      <c r="I50" t="s">
        <v>426</v>
      </c>
      <c r="J50" t="s">
        <v>427</v>
      </c>
    </row>
    <row r="51" spans="1:10" x14ac:dyDescent="0.3">
      <c r="A51" s="2" t="s">
        <v>535</v>
      </c>
      <c r="B51" s="2" t="s">
        <v>59</v>
      </c>
      <c r="C51" s="2" t="s">
        <v>60</v>
      </c>
      <c r="D51" s="3">
        <v>253800</v>
      </c>
      <c r="E51" s="3">
        <v>253800</v>
      </c>
      <c r="F51" s="2" t="s">
        <v>16</v>
      </c>
      <c r="G51">
        <v>9.6999999999999986E-3</v>
      </c>
      <c r="H51" s="9">
        <f t="shared" si="0"/>
        <v>0</v>
      </c>
      <c r="I51" t="s">
        <v>59</v>
      </c>
      <c r="J51" t="s">
        <v>60</v>
      </c>
    </row>
    <row r="52" spans="1:10" x14ac:dyDescent="0.3">
      <c r="A52" s="2" t="s">
        <v>544</v>
      </c>
      <c r="B52" s="2" t="s">
        <v>86</v>
      </c>
      <c r="C52" s="2" t="s">
        <v>87</v>
      </c>
      <c r="D52" s="5">
        <v>-1340</v>
      </c>
      <c r="E52" s="5">
        <v>-1369.7</v>
      </c>
      <c r="F52" s="2" t="s">
        <v>23</v>
      </c>
      <c r="G52">
        <v>1.4E-2</v>
      </c>
      <c r="H52" s="9">
        <f t="shared" si="0"/>
        <v>-97835.71428571429</v>
      </c>
      <c r="I52" t="s">
        <v>485</v>
      </c>
      <c r="J52" t="s">
        <v>486</v>
      </c>
    </row>
    <row r="53" spans="1:10" x14ac:dyDescent="0.3">
      <c r="A53" s="2" t="s">
        <v>544</v>
      </c>
      <c r="B53" s="2" t="s">
        <v>485</v>
      </c>
      <c r="C53" s="2" t="s">
        <v>486</v>
      </c>
      <c r="D53" s="3">
        <v>518400</v>
      </c>
      <c r="E53" s="3">
        <v>518400</v>
      </c>
      <c r="F53" s="2" t="s">
        <v>16</v>
      </c>
      <c r="G53">
        <v>1.4E-2</v>
      </c>
      <c r="H53" s="9">
        <f t="shared" si="0"/>
        <v>0</v>
      </c>
      <c r="I53" t="s">
        <v>485</v>
      </c>
      <c r="J53" t="s">
        <v>486</v>
      </c>
    </row>
    <row r="54" spans="1:10" x14ac:dyDescent="0.3">
      <c r="A54" s="2" t="s">
        <v>557</v>
      </c>
      <c r="B54" s="2" t="s">
        <v>97</v>
      </c>
      <c r="C54" s="2" t="s">
        <v>98</v>
      </c>
      <c r="D54" s="3">
        <v>105600</v>
      </c>
      <c r="E54" s="3">
        <v>105600</v>
      </c>
      <c r="F54" s="2" t="s">
        <v>16</v>
      </c>
      <c r="G54">
        <v>5.1999999999999998E-2</v>
      </c>
      <c r="H54" s="9">
        <f t="shared" si="0"/>
        <v>0</v>
      </c>
      <c r="I54" t="s">
        <v>97</v>
      </c>
      <c r="J54" t="s">
        <v>98</v>
      </c>
    </row>
    <row r="55" spans="1:10" x14ac:dyDescent="0.3">
      <c r="A55" s="2" t="s">
        <v>562</v>
      </c>
      <c r="B55" s="2" t="s">
        <v>97</v>
      </c>
      <c r="C55" s="2" t="s">
        <v>98</v>
      </c>
      <c r="D55" s="3">
        <v>249600</v>
      </c>
      <c r="E55" s="3">
        <v>249600</v>
      </c>
      <c r="F55" s="2" t="s">
        <v>16</v>
      </c>
      <c r="G55">
        <v>5.1999999999999998E-2</v>
      </c>
      <c r="H55" s="9">
        <f t="shared" si="0"/>
        <v>0</v>
      </c>
      <c r="I55" t="s">
        <v>97</v>
      </c>
      <c r="J55" t="s">
        <v>98</v>
      </c>
    </row>
    <row r="56" spans="1:10" x14ac:dyDescent="0.3">
      <c r="A56" s="2" t="s">
        <v>575</v>
      </c>
      <c r="B56" s="2" t="s">
        <v>426</v>
      </c>
      <c r="C56" s="2" t="s">
        <v>427</v>
      </c>
      <c r="D56" s="3">
        <v>443808</v>
      </c>
      <c r="E56" s="3">
        <v>443808</v>
      </c>
      <c r="F56" s="2" t="s">
        <v>16</v>
      </c>
      <c r="G56">
        <v>4.4999999999999998E-2</v>
      </c>
      <c r="H56" s="9">
        <f t="shared" si="0"/>
        <v>0</v>
      </c>
      <c r="I56" t="s">
        <v>426</v>
      </c>
      <c r="J56" t="s">
        <v>427</v>
      </c>
    </row>
    <row r="57" spans="1:10" x14ac:dyDescent="0.3">
      <c r="A57" s="2" t="s">
        <v>588</v>
      </c>
      <c r="B57" s="2" t="s">
        <v>97</v>
      </c>
      <c r="C57" s="2" t="s">
        <v>98</v>
      </c>
      <c r="D57" s="3">
        <v>360000</v>
      </c>
      <c r="E57" s="3">
        <v>360000</v>
      </c>
      <c r="F57" s="2" t="s">
        <v>16</v>
      </c>
      <c r="G57">
        <v>5.1999999999999998E-2</v>
      </c>
      <c r="H57" s="9">
        <f t="shared" si="0"/>
        <v>0</v>
      </c>
      <c r="I57" t="s">
        <v>97</v>
      </c>
      <c r="J57" t="s">
        <v>98</v>
      </c>
    </row>
    <row r="58" spans="1:10" x14ac:dyDescent="0.3">
      <c r="A58" s="2" t="s">
        <v>593</v>
      </c>
      <c r="B58" s="2" t="s">
        <v>65</v>
      </c>
      <c r="C58" s="2" t="s">
        <v>66</v>
      </c>
      <c r="D58" s="5">
        <v>-498</v>
      </c>
      <c r="E58" s="5">
        <v>-498</v>
      </c>
      <c r="F58" s="2" t="s">
        <v>23</v>
      </c>
      <c r="G58">
        <v>5.1999999999999998E-2</v>
      </c>
      <c r="H58" s="9">
        <f t="shared" si="0"/>
        <v>-9576.923076923078</v>
      </c>
      <c r="I58" t="s">
        <v>1170</v>
      </c>
      <c r="J58" t="s">
        <v>1171</v>
      </c>
    </row>
    <row r="59" spans="1:10" x14ac:dyDescent="0.3">
      <c r="A59" s="2" t="s">
        <v>593</v>
      </c>
      <c r="B59" s="2" t="s">
        <v>97</v>
      </c>
      <c r="C59" s="2" t="s">
        <v>98</v>
      </c>
      <c r="D59" s="3">
        <v>105600</v>
      </c>
      <c r="E59" s="3">
        <v>105600</v>
      </c>
      <c r="F59" s="2" t="s">
        <v>16</v>
      </c>
      <c r="G59">
        <v>5.1999999999999998E-2</v>
      </c>
      <c r="H59" s="9">
        <f t="shared" si="0"/>
        <v>0</v>
      </c>
      <c r="I59" t="s">
        <v>1170</v>
      </c>
      <c r="J59" t="s">
        <v>1171</v>
      </c>
    </row>
    <row r="60" spans="1:10" x14ac:dyDescent="0.3">
      <c r="A60" s="2" t="s">
        <v>606</v>
      </c>
      <c r="B60" s="2" t="s">
        <v>86</v>
      </c>
      <c r="C60" s="2" t="s">
        <v>87</v>
      </c>
      <c r="D60" s="5">
        <v>-537</v>
      </c>
      <c r="E60" s="5">
        <v>-537</v>
      </c>
      <c r="F60" s="2" t="s">
        <v>23</v>
      </c>
      <c r="G60">
        <v>1.4E-2</v>
      </c>
      <c r="H60" s="9">
        <f t="shared" si="0"/>
        <v>-38357.142857142855</v>
      </c>
      <c r="I60" t="s">
        <v>485</v>
      </c>
      <c r="J60" t="s">
        <v>486</v>
      </c>
    </row>
    <row r="61" spans="1:10" x14ac:dyDescent="0.3">
      <c r="A61" s="2" t="s">
        <v>606</v>
      </c>
      <c r="B61" s="2" t="s">
        <v>485</v>
      </c>
      <c r="C61" s="2" t="s">
        <v>486</v>
      </c>
      <c r="D61" s="3">
        <v>307200</v>
      </c>
      <c r="E61" s="3">
        <v>307200</v>
      </c>
      <c r="F61" s="2" t="s">
        <v>16</v>
      </c>
      <c r="G61">
        <v>1.4E-2</v>
      </c>
      <c r="H61" s="9">
        <f t="shared" si="0"/>
        <v>0</v>
      </c>
      <c r="I61" t="s">
        <v>485</v>
      </c>
      <c r="J61" t="s">
        <v>486</v>
      </c>
    </row>
    <row r="62" spans="1:10" x14ac:dyDescent="0.3">
      <c r="A62" s="2" t="s">
        <v>615</v>
      </c>
      <c r="B62" s="2" t="s">
        <v>86</v>
      </c>
      <c r="C62" s="2" t="s">
        <v>87</v>
      </c>
      <c r="D62" s="5">
        <v>-537</v>
      </c>
      <c r="E62" s="5">
        <v>-537</v>
      </c>
      <c r="F62" s="2" t="s">
        <v>23</v>
      </c>
      <c r="G62">
        <v>1.4E-2</v>
      </c>
      <c r="H62" s="9">
        <f t="shared" si="0"/>
        <v>-38357.142857142855</v>
      </c>
      <c r="I62" t="s">
        <v>624</v>
      </c>
      <c r="J62" t="s">
        <v>625</v>
      </c>
    </row>
    <row r="63" spans="1:10" x14ac:dyDescent="0.3">
      <c r="A63" s="2" t="s">
        <v>615</v>
      </c>
      <c r="B63" s="2" t="s">
        <v>624</v>
      </c>
      <c r="C63" s="2" t="s">
        <v>625</v>
      </c>
      <c r="D63" s="3">
        <v>249600</v>
      </c>
      <c r="E63" s="3">
        <v>249600</v>
      </c>
      <c r="F63" s="2" t="s">
        <v>16</v>
      </c>
      <c r="G63">
        <v>1.4E-2</v>
      </c>
      <c r="H63" s="9">
        <f t="shared" si="0"/>
        <v>0</v>
      </c>
      <c r="I63" t="s">
        <v>624</v>
      </c>
      <c r="J63" t="s">
        <v>625</v>
      </c>
    </row>
    <row r="64" spans="1:10" x14ac:dyDescent="0.3">
      <c r="A64" s="2" t="s">
        <v>629</v>
      </c>
      <c r="B64" s="2" t="s">
        <v>426</v>
      </c>
      <c r="C64" s="2" t="s">
        <v>427</v>
      </c>
      <c r="D64" s="3">
        <v>172224</v>
      </c>
      <c r="E64" s="3">
        <v>172224</v>
      </c>
      <c r="F64" s="2" t="s">
        <v>16</v>
      </c>
      <c r="G64">
        <v>4.4999999999999998E-2</v>
      </c>
      <c r="H64" s="9">
        <f t="shared" si="0"/>
        <v>0</v>
      </c>
      <c r="I64" t="s">
        <v>426</v>
      </c>
      <c r="J64" t="s">
        <v>427</v>
      </c>
    </row>
    <row r="65" spans="1:10" x14ac:dyDescent="0.3">
      <c r="A65" s="2" t="s">
        <v>642</v>
      </c>
      <c r="B65" s="2" t="s">
        <v>21</v>
      </c>
      <c r="C65" s="2" t="s">
        <v>22</v>
      </c>
      <c r="D65" s="5">
        <v>-1375</v>
      </c>
      <c r="E65" s="5">
        <v>-1375</v>
      </c>
      <c r="F65" s="2" t="s">
        <v>23</v>
      </c>
      <c r="G65">
        <v>2.1000000000000001E-2</v>
      </c>
      <c r="H65" s="9">
        <f t="shared" si="0"/>
        <v>-65476.190476190473</v>
      </c>
      <c r="I65" t="s">
        <v>647</v>
      </c>
      <c r="J65" t="s">
        <v>648</v>
      </c>
    </row>
    <row r="66" spans="1:10" x14ac:dyDescent="0.3">
      <c r="A66" s="2" t="s">
        <v>642</v>
      </c>
      <c r="B66" s="2" t="s">
        <v>647</v>
      </c>
      <c r="C66" s="2" t="s">
        <v>648</v>
      </c>
      <c r="D66" s="3">
        <v>360360</v>
      </c>
      <c r="E66" s="3">
        <v>360360</v>
      </c>
      <c r="F66" s="2" t="s">
        <v>16</v>
      </c>
      <c r="G66">
        <v>2.1000000000000001E-2</v>
      </c>
      <c r="H66" s="9">
        <f t="shared" si="0"/>
        <v>0</v>
      </c>
      <c r="I66" t="s">
        <v>647</v>
      </c>
      <c r="J66" t="s">
        <v>648</v>
      </c>
    </row>
    <row r="67" spans="1:10" x14ac:dyDescent="0.3">
      <c r="A67" s="2" t="s">
        <v>652</v>
      </c>
      <c r="B67" s="2" t="s">
        <v>27</v>
      </c>
      <c r="C67" s="2" t="s">
        <v>28</v>
      </c>
      <c r="D67" s="3">
        <v>192096</v>
      </c>
      <c r="E67" s="3">
        <v>192096</v>
      </c>
      <c r="F67" s="2" t="s">
        <v>16</v>
      </c>
      <c r="G67">
        <v>4.4999999999999998E-2</v>
      </c>
      <c r="H67" s="9">
        <f t="shared" ref="H67:H130" si="1">IFERROR(IF(LEFT(B67,1)="F",E67/G67,0),0)</f>
        <v>0</v>
      </c>
      <c r="I67" t="s">
        <v>27</v>
      </c>
      <c r="J67" t="s">
        <v>28</v>
      </c>
    </row>
    <row r="68" spans="1:10" x14ac:dyDescent="0.3">
      <c r="A68" s="2" t="s">
        <v>665</v>
      </c>
      <c r="B68" s="2" t="s">
        <v>65</v>
      </c>
      <c r="C68" s="2" t="s">
        <v>66</v>
      </c>
      <c r="D68" s="5">
        <v>-498</v>
      </c>
      <c r="E68" s="5">
        <v>-498</v>
      </c>
      <c r="F68" s="2" t="s">
        <v>23</v>
      </c>
      <c r="G68">
        <v>5.1999999999999998E-2</v>
      </c>
      <c r="H68" s="9">
        <f t="shared" si="1"/>
        <v>-9576.923076923078</v>
      </c>
      <c r="I68" t="s">
        <v>1170</v>
      </c>
      <c r="J68" t="s">
        <v>1171</v>
      </c>
    </row>
    <row r="69" spans="1:10" x14ac:dyDescent="0.3">
      <c r="A69" s="2" t="s">
        <v>665</v>
      </c>
      <c r="B69" s="2" t="s">
        <v>97</v>
      </c>
      <c r="C69" s="2" t="s">
        <v>98</v>
      </c>
      <c r="D69" s="3">
        <v>81600</v>
      </c>
      <c r="E69" s="3">
        <v>81600</v>
      </c>
      <c r="F69" s="2" t="s">
        <v>16</v>
      </c>
      <c r="G69">
        <v>5.1999999999999998E-2</v>
      </c>
      <c r="H69" s="9">
        <f t="shared" si="1"/>
        <v>0</v>
      </c>
      <c r="I69" t="s">
        <v>1170</v>
      </c>
      <c r="J69" t="s">
        <v>1171</v>
      </c>
    </row>
    <row r="70" spans="1:10" x14ac:dyDescent="0.3">
      <c r="A70" s="2" t="s">
        <v>674</v>
      </c>
      <c r="B70" s="2" t="s">
        <v>65</v>
      </c>
      <c r="C70" s="2" t="s">
        <v>66</v>
      </c>
      <c r="D70" s="5">
        <v>-249</v>
      </c>
      <c r="E70" s="5">
        <v>-249</v>
      </c>
      <c r="F70" s="2" t="s">
        <v>23</v>
      </c>
      <c r="G70">
        <v>5.1999999999999998E-2</v>
      </c>
      <c r="H70" s="9">
        <f t="shared" si="1"/>
        <v>-4788.461538461539</v>
      </c>
      <c r="I70" t="s">
        <v>97</v>
      </c>
      <c r="J70" t="s">
        <v>98</v>
      </c>
    </row>
    <row r="71" spans="1:10" x14ac:dyDescent="0.3">
      <c r="A71" s="2" t="s">
        <v>674</v>
      </c>
      <c r="B71" s="2" t="s">
        <v>97</v>
      </c>
      <c r="C71" s="2" t="s">
        <v>98</v>
      </c>
      <c r="D71" s="3">
        <v>259200</v>
      </c>
      <c r="E71" s="3">
        <v>259200</v>
      </c>
      <c r="F71" s="2" t="s">
        <v>16</v>
      </c>
      <c r="G71">
        <v>5.1999999999999998E-2</v>
      </c>
      <c r="H71" s="9">
        <f t="shared" si="1"/>
        <v>0</v>
      </c>
      <c r="I71" t="s">
        <v>97</v>
      </c>
      <c r="J71" t="s">
        <v>98</v>
      </c>
    </row>
    <row r="72" spans="1:10" x14ac:dyDescent="0.3">
      <c r="A72" s="2" t="s">
        <v>683</v>
      </c>
      <c r="B72" s="2" t="s">
        <v>65</v>
      </c>
      <c r="C72" s="2" t="s">
        <v>66</v>
      </c>
      <c r="D72" s="5">
        <v>-343</v>
      </c>
      <c r="E72" s="5">
        <v>-343</v>
      </c>
      <c r="F72" s="2" t="s">
        <v>23</v>
      </c>
      <c r="G72">
        <v>2.1000000000000001E-2</v>
      </c>
      <c r="H72" s="9">
        <f t="shared" si="1"/>
        <v>-16333.333333333332</v>
      </c>
      <c r="I72" t="s">
        <v>115</v>
      </c>
      <c r="J72" t="s">
        <v>116</v>
      </c>
    </row>
    <row r="73" spans="1:10" x14ac:dyDescent="0.3">
      <c r="A73" s="2" t="s">
        <v>683</v>
      </c>
      <c r="B73" s="2" t="s">
        <v>115</v>
      </c>
      <c r="C73" s="2" t="s">
        <v>116</v>
      </c>
      <c r="D73" s="3">
        <v>131040</v>
      </c>
      <c r="E73" s="3">
        <v>131040</v>
      </c>
      <c r="F73" s="2" t="s">
        <v>16</v>
      </c>
      <c r="G73">
        <v>2.1000000000000001E-2</v>
      </c>
      <c r="H73" s="9">
        <f t="shared" si="1"/>
        <v>0</v>
      </c>
      <c r="I73" t="s">
        <v>115</v>
      </c>
      <c r="J73" t="s">
        <v>116</v>
      </c>
    </row>
    <row r="74" spans="1:10" x14ac:dyDescent="0.3">
      <c r="A74" s="2" t="s">
        <v>692</v>
      </c>
      <c r="B74" s="2" t="s">
        <v>693</v>
      </c>
      <c r="C74" s="2" t="s">
        <v>694</v>
      </c>
      <c r="D74" s="3">
        <v>49140</v>
      </c>
      <c r="E74" s="3">
        <v>49140</v>
      </c>
      <c r="F74" s="2" t="s">
        <v>16</v>
      </c>
      <c r="G74">
        <v>2.1000000000000001E-2</v>
      </c>
      <c r="H74" s="9">
        <f t="shared" si="1"/>
        <v>0</v>
      </c>
      <c r="I74" t="s">
        <v>115</v>
      </c>
      <c r="J74" t="s">
        <v>116</v>
      </c>
    </row>
    <row r="75" spans="1:10" x14ac:dyDescent="0.3">
      <c r="A75" s="2" t="s">
        <v>698</v>
      </c>
      <c r="B75" s="2" t="s">
        <v>699</v>
      </c>
      <c r="C75" s="2" t="s">
        <v>700</v>
      </c>
      <c r="D75" s="3">
        <v>33120</v>
      </c>
      <c r="E75" s="3">
        <v>33120</v>
      </c>
      <c r="F75" s="2" t="s">
        <v>16</v>
      </c>
      <c r="G75">
        <v>4.4999999999999998E-2</v>
      </c>
      <c r="H75" s="9">
        <f t="shared" si="1"/>
        <v>0</v>
      </c>
      <c r="I75" t="s">
        <v>699</v>
      </c>
      <c r="J75" t="s">
        <v>700</v>
      </c>
    </row>
    <row r="76" spans="1:10" x14ac:dyDescent="0.3">
      <c r="A76" s="2" t="s">
        <v>704</v>
      </c>
      <c r="B76" s="2" t="s">
        <v>27</v>
      </c>
      <c r="C76" s="2" t="s">
        <v>28</v>
      </c>
      <c r="D76" s="3">
        <v>271584</v>
      </c>
      <c r="E76" s="3">
        <v>271584</v>
      </c>
      <c r="F76" s="2" t="s">
        <v>16</v>
      </c>
      <c r="G76">
        <v>4.4999999999999998E-2</v>
      </c>
      <c r="H76" s="9">
        <f t="shared" si="1"/>
        <v>0</v>
      </c>
      <c r="I76" t="s">
        <v>27</v>
      </c>
      <c r="J76" t="s">
        <v>28</v>
      </c>
    </row>
    <row r="77" spans="1:10" x14ac:dyDescent="0.3">
      <c r="A77" s="2" t="s">
        <v>717</v>
      </c>
      <c r="B77" s="2" t="s">
        <v>647</v>
      </c>
      <c r="C77" s="2" t="s">
        <v>648</v>
      </c>
      <c r="D77" s="3">
        <v>32760</v>
      </c>
      <c r="E77" s="3">
        <v>32760</v>
      </c>
      <c r="F77" s="2" t="s">
        <v>16</v>
      </c>
      <c r="G77">
        <v>2.1000000000000001E-2</v>
      </c>
      <c r="H77" s="9">
        <f t="shared" si="1"/>
        <v>0</v>
      </c>
      <c r="I77" t="s">
        <v>115</v>
      </c>
      <c r="J77" t="s">
        <v>116</v>
      </c>
    </row>
    <row r="78" spans="1:10" x14ac:dyDescent="0.3">
      <c r="A78" s="2" t="s">
        <v>722</v>
      </c>
      <c r="B78" s="2" t="s">
        <v>97</v>
      </c>
      <c r="C78" s="2" t="s">
        <v>98</v>
      </c>
      <c r="D78" s="3">
        <v>273600</v>
      </c>
      <c r="E78" s="3">
        <v>273600</v>
      </c>
      <c r="F78" s="2" t="s">
        <v>16</v>
      </c>
      <c r="G78">
        <v>5.1999999999999998E-2</v>
      </c>
      <c r="H78" s="9">
        <f t="shared" si="1"/>
        <v>0</v>
      </c>
      <c r="I78" t="s">
        <v>97</v>
      </c>
      <c r="J78" t="s">
        <v>98</v>
      </c>
    </row>
    <row r="79" spans="1:10" x14ac:dyDescent="0.3">
      <c r="A79" s="2" t="s">
        <v>735</v>
      </c>
      <c r="B79" s="2" t="s">
        <v>740</v>
      </c>
      <c r="C79" s="2" t="s">
        <v>741</v>
      </c>
      <c r="D79" s="3">
        <v>562860</v>
      </c>
      <c r="E79" s="3">
        <v>562860</v>
      </c>
      <c r="F79" s="2" t="s">
        <v>16</v>
      </c>
      <c r="G79">
        <v>3.0499999999999999E-2</v>
      </c>
      <c r="H79" s="9">
        <f t="shared" si="1"/>
        <v>0</v>
      </c>
      <c r="I79" t="s">
        <v>740</v>
      </c>
      <c r="J79" t="s">
        <v>741</v>
      </c>
    </row>
    <row r="80" spans="1:10" x14ac:dyDescent="0.3">
      <c r="A80" s="2" t="s">
        <v>745</v>
      </c>
      <c r="B80" s="2" t="s">
        <v>27</v>
      </c>
      <c r="C80" s="2" t="s">
        <v>28</v>
      </c>
      <c r="D80" s="3">
        <v>172224</v>
      </c>
      <c r="E80" s="3">
        <v>172224</v>
      </c>
      <c r="F80" s="2" t="s">
        <v>16</v>
      </c>
      <c r="G80">
        <v>4.4999999999999998E-2</v>
      </c>
      <c r="H80" s="9">
        <f t="shared" si="1"/>
        <v>0</v>
      </c>
      <c r="I80" t="s">
        <v>27</v>
      </c>
      <c r="J80" t="s">
        <v>28</v>
      </c>
    </row>
    <row r="81" spans="1:10" x14ac:dyDescent="0.3">
      <c r="A81" s="2" t="s">
        <v>758</v>
      </c>
      <c r="B81" s="2" t="s">
        <v>769</v>
      </c>
      <c r="C81" s="2" t="s">
        <v>770</v>
      </c>
      <c r="D81" s="3">
        <v>3000</v>
      </c>
      <c r="E81" s="3">
        <v>3000</v>
      </c>
      <c r="F81" s="2" t="s">
        <v>16</v>
      </c>
      <c r="G81">
        <v>7.7999999999999996E-3</v>
      </c>
      <c r="H81" s="9">
        <f t="shared" si="1"/>
        <v>0</v>
      </c>
      <c r="I81" t="s">
        <v>769</v>
      </c>
      <c r="J81" t="s">
        <v>770</v>
      </c>
    </row>
    <row r="82" spans="1:10" x14ac:dyDescent="0.3">
      <c r="A82" s="2" t="s">
        <v>774</v>
      </c>
      <c r="B82" s="2" t="s">
        <v>783</v>
      </c>
      <c r="C82" s="2" t="s">
        <v>784</v>
      </c>
      <c r="D82" s="3">
        <v>5000</v>
      </c>
      <c r="E82" s="3">
        <v>5000</v>
      </c>
      <c r="F82" s="2" t="s">
        <v>16</v>
      </c>
      <c r="G82">
        <v>1.04E-2</v>
      </c>
      <c r="H82" s="9">
        <f t="shared" si="1"/>
        <v>0</v>
      </c>
      <c r="I82" t="s">
        <v>783</v>
      </c>
      <c r="J82" t="s">
        <v>784</v>
      </c>
    </row>
    <row r="83" spans="1:10" x14ac:dyDescent="0.3">
      <c r="A83" s="2" t="s">
        <v>788</v>
      </c>
      <c r="B83" s="2" t="s">
        <v>797</v>
      </c>
      <c r="C83" s="2" t="s">
        <v>798</v>
      </c>
      <c r="D83" s="3">
        <v>3000</v>
      </c>
      <c r="E83" s="3">
        <v>3000</v>
      </c>
      <c r="F83" s="2" t="s">
        <v>16</v>
      </c>
      <c r="G83">
        <v>7.45E-3</v>
      </c>
      <c r="H83" s="9">
        <f t="shared" si="1"/>
        <v>0</v>
      </c>
      <c r="I83" t="s">
        <v>797</v>
      </c>
      <c r="J83" t="s">
        <v>798</v>
      </c>
    </row>
    <row r="84" spans="1:10" x14ac:dyDescent="0.3">
      <c r="A84" s="2" t="s">
        <v>802</v>
      </c>
      <c r="B84" s="2" t="s">
        <v>65</v>
      </c>
      <c r="C84" s="2" t="s">
        <v>66</v>
      </c>
      <c r="D84" s="5">
        <v>-69.66</v>
      </c>
      <c r="E84" s="3">
        <v>0</v>
      </c>
      <c r="F84" s="2" t="s">
        <v>23</v>
      </c>
      <c r="G84">
        <v>3.0499999999999999E-2</v>
      </c>
      <c r="H84" s="9">
        <f t="shared" si="1"/>
        <v>0</v>
      </c>
      <c r="I84" t="s">
        <v>740</v>
      </c>
      <c r="J84" t="s">
        <v>741</v>
      </c>
    </row>
    <row r="85" spans="1:10" x14ac:dyDescent="0.3">
      <c r="A85" s="2" t="s">
        <v>802</v>
      </c>
      <c r="B85" s="2" t="s">
        <v>740</v>
      </c>
      <c r="C85" s="2" t="s">
        <v>741</v>
      </c>
      <c r="D85" s="3">
        <v>456660</v>
      </c>
      <c r="E85" s="3">
        <v>456660</v>
      </c>
      <c r="F85" s="2" t="s">
        <v>16</v>
      </c>
      <c r="G85">
        <v>3.0499999999999999E-2</v>
      </c>
      <c r="H85" s="9">
        <f t="shared" si="1"/>
        <v>0</v>
      </c>
      <c r="I85" t="s">
        <v>740</v>
      </c>
      <c r="J85" t="s">
        <v>741</v>
      </c>
    </row>
    <row r="86" spans="1:10" x14ac:dyDescent="0.3">
      <c r="A86" s="2" t="s">
        <v>938</v>
      </c>
      <c r="B86" s="2" t="s">
        <v>947</v>
      </c>
      <c r="C86" s="2" t="s">
        <v>948</v>
      </c>
      <c r="D86" s="3">
        <v>330240</v>
      </c>
      <c r="E86" s="3">
        <v>330240</v>
      </c>
      <c r="F86" s="2" t="s">
        <v>16</v>
      </c>
      <c r="G86">
        <v>1.4E-2</v>
      </c>
      <c r="H86" s="9">
        <f t="shared" si="1"/>
        <v>0</v>
      </c>
      <c r="I86" t="s">
        <v>947</v>
      </c>
      <c r="J86" t="s">
        <v>948</v>
      </c>
    </row>
    <row r="87" spans="1:10" x14ac:dyDescent="0.3">
      <c r="A87" s="2" t="s">
        <v>938</v>
      </c>
      <c r="B87" s="2" t="s">
        <v>65</v>
      </c>
      <c r="C87" s="2" t="s">
        <v>66</v>
      </c>
      <c r="D87" s="5">
        <v>-640</v>
      </c>
      <c r="E87" s="5">
        <v>-640</v>
      </c>
      <c r="F87" s="2" t="s">
        <v>23</v>
      </c>
      <c r="G87">
        <v>1.4E-2</v>
      </c>
      <c r="H87" s="9">
        <f t="shared" si="1"/>
        <v>-45714.28571428571</v>
      </c>
      <c r="I87" t="s">
        <v>947</v>
      </c>
      <c r="J87" t="s">
        <v>948</v>
      </c>
    </row>
    <row r="88" spans="1:10" x14ac:dyDescent="0.3">
      <c r="A88" s="2" t="s">
        <v>956</v>
      </c>
      <c r="B88" s="2" t="s">
        <v>27</v>
      </c>
      <c r="C88" s="2" t="s">
        <v>28</v>
      </c>
      <c r="D88" s="3">
        <v>245088</v>
      </c>
      <c r="E88" s="3">
        <v>245088</v>
      </c>
      <c r="F88" s="2" t="s">
        <v>16</v>
      </c>
      <c r="G88">
        <v>4.4999999999999998E-2</v>
      </c>
      <c r="H88" s="9">
        <f t="shared" si="1"/>
        <v>0</v>
      </c>
      <c r="I88" t="s">
        <v>27</v>
      </c>
      <c r="J88" t="s">
        <v>28</v>
      </c>
    </row>
    <row r="89" spans="1:10" x14ac:dyDescent="0.3">
      <c r="A89" s="2" t="s">
        <v>969</v>
      </c>
      <c r="B89" s="2" t="s">
        <v>97</v>
      </c>
      <c r="C89" s="2" t="s">
        <v>98</v>
      </c>
      <c r="D89" s="3">
        <v>350400</v>
      </c>
      <c r="E89" s="3">
        <v>350400</v>
      </c>
      <c r="F89" s="2" t="s">
        <v>16</v>
      </c>
      <c r="G89">
        <v>5.1999999999999998E-2</v>
      </c>
      <c r="H89" s="9">
        <f t="shared" si="1"/>
        <v>0</v>
      </c>
      <c r="I89" t="s">
        <v>97</v>
      </c>
      <c r="J89" t="s">
        <v>98</v>
      </c>
    </row>
    <row r="90" spans="1:10" x14ac:dyDescent="0.3">
      <c r="A90" s="2" t="s">
        <v>974</v>
      </c>
      <c r="B90" s="2" t="s">
        <v>517</v>
      </c>
      <c r="C90" s="2" t="s">
        <v>518</v>
      </c>
      <c r="D90" s="3">
        <v>171360</v>
      </c>
      <c r="E90" s="3">
        <v>171360</v>
      </c>
      <c r="F90" s="2" t="s">
        <v>16</v>
      </c>
      <c r="G90">
        <v>2.6600000000000002E-2</v>
      </c>
      <c r="H90" s="9">
        <f t="shared" si="1"/>
        <v>0</v>
      </c>
      <c r="I90" t="s">
        <v>517</v>
      </c>
      <c r="J90" t="s">
        <v>518</v>
      </c>
    </row>
    <row r="91" spans="1:10" x14ac:dyDescent="0.3">
      <c r="A91" s="2" t="s">
        <v>979</v>
      </c>
      <c r="B91" s="2" t="s">
        <v>65</v>
      </c>
      <c r="C91" s="2" t="s">
        <v>66</v>
      </c>
      <c r="D91" s="5">
        <v>-1490</v>
      </c>
      <c r="E91" s="5">
        <v>-1490</v>
      </c>
      <c r="F91" s="2" t="s">
        <v>23</v>
      </c>
      <c r="G91">
        <v>4.4999999999999998E-2</v>
      </c>
      <c r="H91" s="9">
        <f t="shared" si="1"/>
        <v>-33111.111111111109</v>
      </c>
      <c r="I91" t="s">
        <v>426</v>
      </c>
      <c r="J91" t="s">
        <v>427</v>
      </c>
    </row>
    <row r="92" spans="1:10" x14ac:dyDescent="0.3">
      <c r="A92" s="2" t="s">
        <v>979</v>
      </c>
      <c r="B92" s="2" t="s">
        <v>426</v>
      </c>
      <c r="C92" s="2" t="s">
        <v>427</v>
      </c>
      <c r="D92" s="3">
        <v>192096</v>
      </c>
      <c r="E92" s="3">
        <v>192096</v>
      </c>
      <c r="F92" s="2" t="s">
        <v>16</v>
      </c>
      <c r="G92">
        <v>4.4999999999999998E-2</v>
      </c>
      <c r="H92" s="9">
        <f t="shared" si="1"/>
        <v>0</v>
      </c>
      <c r="I92" t="s">
        <v>426</v>
      </c>
      <c r="J92" t="s">
        <v>427</v>
      </c>
    </row>
    <row r="93" spans="1:10" x14ac:dyDescent="0.3">
      <c r="A93" s="2" t="s">
        <v>996</v>
      </c>
      <c r="B93" s="2" t="s">
        <v>65</v>
      </c>
      <c r="C93" s="2" t="s">
        <v>66</v>
      </c>
      <c r="D93" s="5">
        <v>-249</v>
      </c>
      <c r="E93" s="5">
        <v>-249</v>
      </c>
      <c r="F93" s="2" t="s">
        <v>23</v>
      </c>
      <c r="G93">
        <v>5.1999999999999998E-2</v>
      </c>
      <c r="H93" s="9">
        <f t="shared" si="1"/>
        <v>-4788.461538461539</v>
      </c>
      <c r="I93" t="s">
        <v>1170</v>
      </c>
      <c r="J93" t="s">
        <v>1171</v>
      </c>
    </row>
    <row r="94" spans="1:10" x14ac:dyDescent="0.3">
      <c r="A94" s="2" t="s">
        <v>996</v>
      </c>
      <c r="B94" s="2" t="s">
        <v>97</v>
      </c>
      <c r="C94" s="2" t="s">
        <v>98</v>
      </c>
      <c r="D94" s="3">
        <v>28800</v>
      </c>
      <c r="E94" s="3">
        <v>28800</v>
      </c>
      <c r="F94" s="2" t="s">
        <v>16</v>
      </c>
      <c r="G94">
        <v>5.1999999999999998E-2</v>
      </c>
      <c r="H94" s="9">
        <f t="shared" si="1"/>
        <v>0</v>
      </c>
      <c r="I94" t="s">
        <v>1170</v>
      </c>
      <c r="J94" t="s">
        <v>1171</v>
      </c>
    </row>
    <row r="95" spans="1:10" x14ac:dyDescent="0.3">
      <c r="A95" s="2" t="s">
        <v>1005</v>
      </c>
      <c r="B95" s="2" t="s">
        <v>91</v>
      </c>
      <c r="C95" s="2" t="s">
        <v>92</v>
      </c>
      <c r="D95" s="3">
        <v>108000</v>
      </c>
      <c r="E95" s="3">
        <v>108000</v>
      </c>
      <c r="F95" s="2" t="s">
        <v>16</v>
      </c>
      <c r="G95">
        <v>8.3000000000000001E-3</v>
      </c>
      <c r="H95" s="9">
        <f t="shared" si="1"/>
        <v>0</v>
      </c>
      <c r="I95" t="s">
        <v>308</v>
      </c>
      <c r="J95" t="s">
        <v>309</v>
      </c>
    </row>
    <row r="96" spans="1:10" x14ac:dyDescent="0.3">
      <c r="A96" s="2" t="s">
        <v>1010</v>
      </c>
      <c r="B96" s="2" t="s">
        <v>65</v>
      </c>
      <c r="C96" s="2" t="s">
        <v>66</v>
      </c>
      <c r="D96" s="5">
        <v>-340</v>
      </c>
      <c r="E96" s="5">
        <v>-340</v>
      </c>
      <c r="F96" s="2" t="s">
        <v>23</v>
      </c>
      <c r="G96">
        <v>2.23E-2</v>
      </c>
      <c r="H96" s="9">
        <f t="shared" si="1"/>
        <v>-15246.636771300447</v>
      </c>
      <c r="I96" t="s">
        <v>1017</v>
      </c>
      <c r="J96" t="s">
        <v>1018</v>
      </c>
    </row>
    <row r="97" spans="1:10" x14ac:dyDescent="0.3">
      <c r="A97" s="2" t="s">
        <v>1010</v>
      </c>
      <c r="B97" s="2" t="s">
        <v>1017</v>
      </c>
      <c r="C97" s="2" t="s">
        <v>1018</v>
      </c>
      <c r="D97" s="3">
        <v>98280</v>
      </c>
      <c r="E97" s="3">
        <v>98280</v>
      </c>
      <c r="F97" s="2" t="s">
        <v>16</v>
      </c>
      <c r="G97">
        <v>2.23E-2</v>
      </c>
      <c r="H97" s="9">
        <f t="shared" si="1"/>
        <v>0</v>
      </c>
      <c r="I97" t="s">
        <v>1017</v>
      </c>
      <c r="J97" t="s">
        <v>1018</v>
      </c>
    </row>
    <row r="98" spans="1:10" x14ac:dyDescent="0.3">
      <c r="A98" s="2" t="s">
        <v>1021</v>
      </c>
      <c r="B98" s="2" t="s">
        <v>27</v>
      </c>
      <c r="C98" s="2" t="s">
        <v>28</v>
      </c>
      <c r="D98" s="3">
        <v>6624</v>
      </c>
      <c r="E98" s="3">
        <v>6624</v>
      </c>
      <c r="F98" s="2" t="s">
        <v>16</v>
      </c>
      <c r="G98">
        <v>4.4999999999999998E-2</v>
      </c>
      <c r="H98" s="9">
        <f t="shared" si="1"/>
        <v>0</v>
      </c>
      <c r="I98" t="s">
        <v>1113</v>
      </c>
      <c r="J98" t="s">
        <v>1114</v>
      </c>
    </row>
    <row r="99" spans="1:10" x14ac:dyDescent="0.3">
      <c r="A99" s="2" t="s">
        <v>1026</v>
      </c>
      <c r="B99" s="2" t="s">
        <v>1027</v>
      </c>
      <c r="C99" s="2" t="s">
        <v>1028</v>
      </c>
      <c r="D99" s="3">
        <v>10620</v>
      </c>
      <c r="E99" s="3">
        <v>10620</v>
      </c>
      <c r="F99" s="2" t="s">
        <v>16</v>
      </c>
      <c r="G99">
        <v>3.0499999999999999E-2</v>
      </c>
      <c r="H99" s="9">
        <f t="shared" si="1"/>
        <v>0</v>
      </c>
      <c r="I99" t="s">
        <v>2168</v>
      </c>
      <c r="J99" t="s">
        <v>2169</v>
      </c>
    </row>
    <row r="100" spans="1:10" x14ac:dyDescent="0.3">
      <c r="A100" s="2" t="s">
        <v>1032</v>
      </c>
      <c r="B100" s="2" t="s">
        <v>65</v>
      </c>
      <c r="C100" s="2" t="s">
        <v>66</v>
      </c>
      <c r="D100" s="5">
        <v>-340</v>
      </c>
      <c r="E100" s="3">
        <v>0</v>
      </c>
      <c r="F100" s="2" t="s">
        <v>23</v>
      </c>
      <c r="G100">
        <v>2.23E-2</v>
      </c>
      <c r="H100" s="9">
        <f t="shared" si="1"/>
        <v>0</v>
      </c>
      <c r="I100" t="s">
        <v>1017</v>
      </c>
      <c r="J100" t="s">
        <v>1018</v>
      </c>
    </row>
    <row r="101" spans="1:10" x14ac:dyDescent="0.3">
      <c r="A101" s="2" t="s">
        <v>1032</v>
      </c>
      <c r="B101" s="2" t="s">
        <v>1017</v>
      </c>
      <c r="C101" s="2" t="s">
        <v>1018</v>
      </c>
      <c r="D101" s="3">
        <v>98280</v>
      </c>
      <c r="E101" s="3">
        <v>0</v>
      </c>
      <c r="F101" s="2" t="s">
        <v>16</v>
      </c>
      <c r="G101">
        <v>2.23E-2</v>
      </c>
      <c r="H101" s="9">
        <f t="shared" si="1"/>
        <v>0</v>
      </c>
      <c r="I101" t="s">
        <v>1017</v>
      </c>
      <c r="J101" t="s">
        <v>1018</v>
      </c>
    </row>
    <row r="102" spans="1:10" x14ac:dyDescent="0.3">
      <c r="A102" s="2" t="s">
        <v>1039</v>
      </c>
      <c r="B102" s="2" t="s">
        <v>27</v>
      </c>
      <c r="C102" s="2" t="s">
        <v>28</v>
      </c>
      <c r="D102" s="3">
        <v>72864</v>
      </c>
      <c r="E102" s="3">
        <v>72864</v>
      </c>
      <c r="F102" s="2" t="s">
        <v>16</v>
      </c>
      <c r="G102">
        <v>4.4999999999999998E-2</v>
      </c>
      <c r="H102" s="9">
        <f t="shared" si="1"/>
        <v>0</v>
      </c>
      <c r="I102" t="s">
        <v>27</v>
      </c>
      <c r="J102" t="s">
        <v>28</v>
      </c>
    </row>
    <row r="103" spans="1:10" x14ac:dyDescent="0.3">
      <c r="A103" s="2" t="s">
        <v>1052</v>
      </c>
      <c r="B103" s="2" t="s">
        <v>97</v>
      </c>
      <c r="C103" s="2" t="s">
        <v>98</v>
      </c>
      <c r="D103" s="3">
        <v>220800</v>
      </c>
      <c r="E103" s="3">
        <v>220800</v>
      </c>
      <c r="F103" s="2" t="s">
        <v>16</v>
      </c>
      <c r="G103">
        <v>5.1999999999999998E-2</v>
      </c>
      <c r="H103" s="9">
        <f t="shared" si="1"/>
        <v>0</v>
      </c>
      <c r="I103" t="s">
        <v>97</v>
      </c>
      <c r="J103" t="s">
        <v>98</v>
      </c>
    </row>
    <row r="104" spans="1:10" x14ac:dyDescent="0.3">
      <c r="A104" s="2" t="s">
        <v>1065</v>
      </c>
      <c r="B104" s="2" t="s">
        <v>1027</v>
      </c>
      <c r="C104" s="2" t="s">
        <v>1028</v>
      </c>
      <c r="D104" s="3">
        <v>509760</v>
      </c>
      <c r="E104" s="3">
        <v>509760</v>
      </c>
      <c r="F104" s="2" t="s">
        <v>16</v>
      </c>
      <c r="G104">
        <v>3.0499999999999999E-2</v>
      </c>
      <c r="H104" s="9">
        <f t="shared" si="1"/>
        <v>0</v>
      </c>
      <c r="I104" t="s">
        <v>1027</v>
      </c>
      <c r="J104" t="s">
        <v>1028</v>
      </c>
    </row>
    <row r="105" spans="1:10" x14ac:dyDescent="0.3">
      <c r="A105" s="2" t="s">
        <v>1074</v>
      </c>
      <c r="B105" s="2" t="s">
        <v>517</v>
      </c>
      <c r="C105" s="2" t="s">
        <v>518</v>
      </c>
      <c r="D105" s="3">
        <v>372960</v>
      </c>
      <c r="E105" s="3">
        <v>372960</v>
      </c>
      <c r="F105" s="2" t="s">
        <v>16</v>
      </c>
      <c r="G105">
        <v>2.6600000000000002E-2</v>
      </c>
      <c r="H105" s="9">
        <f t="shared" si="1"/>
        <v>0</v>
      </c>
      <c r="I105" t="s">
        <v>517</v>
      </c>
      <c r="J105" t="s">
        <v>518</v>
      </c>
    </row>
    <row r="106" spans="1:10" x14ac:dyDescent="0.3">
      <c r="A106" s="2" t="s">
        <v>1083</v>
      </c>
      <c r="B106" s="2" t="s">
        <v>1093</v>
      </c>
      <c r="C106" s="2" t="s">
        <v>1094</v>
      </c>
      <c r="D106" s="3">
        <v>3006720</v>
      </c>
      <c r="E106" s="3">
        <v>3006720</v>
      </c>
      <c r="F106" s="2" t="s">
        <v>16</v>
      </c>
      <c r="G106" t="e">
        <v>#N/A</v>
      </c>
      <c r="H106" s="9">
        <f t="shared" si="1"/>
        <v>0</v>
      </c>
      <c r="I106" t="e">
        <v>#N/A</v>
      </c>
      <c r="J106" t="e">
        <v>#N/A</v>
      </c>
    </row>
    <row r="107" spans="1:10" x14ac:dyDescent="0.3">
      <c r="A107" s="2" t="s">
        <v>1098</v>
      </c>
      <c r="B107" s="2" t="s">
        <v>1107</v>
      </c>
      <c r="C107" s="2" t="s">
        <v>1108</v>
      </c>
      <c r="D107" s="3">
        <v>192000</v>
      </c>
      <c r="E107" s="3">
        <v>192000</v>
      </c>
      <c r="F107" s="2" t="s">
        <v>16</v>
      </c>
      <c r="G107">
        <v>1.35E-2</v>
      </c>
      <c r="H107" s="9">
        <f t="shared" si="1"/>
        <v>0</v>
      </c>
      <c r="I107" t="s">
        <v>2238</v>
      </c>
      <c r="J107" t="s">
        <v>2239</v>
      </c>
    </row>
    <row r="108" spans="1:10" x14ac:dyDescent="0.3">
      <c r="A108" s="2" t="s">
        <v>1112</v>
      </c>
      <c r="B108" s="2" t="s">
        <v>1113</v>
      </c>
      <c r="C108" s="2" t="s">
        <v>1114</v>
      </c>
      <c r="D108" s="3">
        <v>6624</v>
      </c>
      <c r="E108" s="3">
        <v>6624</v>
      </c>
      <c r="F108" s="2" t="s">
        <v>16</v>
      </c>
      <c r="G108">
        <v>4.4999999999999998E-2</v>
      </c>
      <c r="H108" s="9">
        <f t="shared" si="1"/>
        <v>0</v>
      </c>
      <c r="I108" t="s">
        <v>27</v>
      </c>
      <c r="J108" t="s">
        <v>28</v>
      </c>
    </row>
    <row r="109" spans="1:10" x14ac:dyDescent="0.3">
      <c r="A109" s="2" t="s">
        <v>1118</v>
      </c>
      <c r="B109" s="2" t="s">
        <v>1119</v>
      </c>
      <c r="C109" s="2" t="s">
        <v>1120</v>
      </c>
      <c r="D109" s="3">
        <v>25380</v>
      </c>
      <c r="E109" s="3">
        <v>25380</v>
      </c>
      <c r="F109" s="2" t="s">
        <v>16</v>
      </c>
      <c r="G109">
        <v>9.4000000000000004E-3</v>
      </c>
      <c r="H109" s="9">
        <f t="shared" si="1"/>
        <v>0</v>
      </c>
      <c r="I109" t="s">
        <v>1119</v>
      </c>
      <c r="J109" t="s">
        <v>1120</v>
      </c>
    </row>
    <row r="110" spans="1:10" x14ac:dyDescent="0.3">
      <c r="A110" s="2" t="s">
        <v>1124</v>
      </c>
      <c r="B110" s="2" t="s">
        <v>1027</v>
      </c>
      <c r="C110" s="2" t="s">
        <v>1028</v>
      </c>
      <c r="D110" s="3">
        <v>467280</v>
      </c>
      <c r="E110" s="3">
        <v>467280</v>
      </c>
      <c r="F110" s="2" t="s">
        <v>16</v>
      </c>
      <c r="G110">
        <v>3.0499999999999999E-2</v>
      </c>
      <c r="H110" s="9">
        <f t="shared" si="1"/>
        <v>0</v>
      </c>
      <c r="I110" t="s">
        <v>1027</v>
      </c>
      <c r="J110" t="s">
        <v>1028</v>
      </c>
    </row>
    <row r="111" spans="1:10" x14ac:dyDescent="0.3">
      <c r="A111" s="2" t="s">
        <v>1129</v>
      </c>
      <c r="B111" s="2" t="s">
        <v>517</v>
      </c>
      <c r="C111" s="2" t="s">
        <v>518</v>
      </c>
      <c r="D111" s="3">
        <v>564480</v>
      </c>
      <c r="E111" s="3">
        <v>564480</v>
      </c>
      <c r="F111" s="2" t="s">
        <v>16</v>
      </c>
      <c r="G111">
        <v>2.6600000000000002E-2</v>
      </c>
      <c r="H111" s="9">
        <f t="shared" si="1"/>
        <v>0</v>
      </c>
      <c r="I111" t="s">
        <v>517</v>
      </c>
      <c r="J111" t="s">
        <v>518</v>
      </c>
    </row>
    <row r="112" spans="1:10" x14ac:dyDescent="0.3">
      <c r="A112" s="2" t="s">
        <v>1138</v>
      </c>
      <c r="B112" s="2" t="s">
        <v>21</v>
      </c>
      <c r="C112" s="2" t="s">
        <v>22</v>
      </c>
      <c r="D112" s="5">
        <v>-298</v>
      </c>
      <c r="E112" s="5">
        <v>-298</v>
      </c>
      <c r="F112" s="2" t="s">
        <v>23</v>
      </c>
      <c r="G112">
        <v>4.4999999999999998E-2</v>
      </c>
      <c r="H112" s="9">
        <f t="shared" si="1"/>
        <v>-6622.2222222222226</v>
      </c>
      <c r="I112" t="s">
        <v>121</v>
      </c>
      <c r="J112" t="s">
        <v>122</v>
      </c>
    </row>
    <row r="113" spans="1:10" x14ac:dyDescent="0.3">
      <c r="A113" s="2" t="s">
        <v>1138</v>
      </c>
      <c r="B113" s="2" t="s">
        <v>121</v>
      </c>
      <c r="C113" s="2" t="s">
        <v>122</v>
      </c>
      <c r="D113" s="3">
        <v>59616</v>
      </c>
      <c r="E113" s="3">
        <v>59616</v>
      </c>
      <c r="F113" s="2" t="s">
        <v>16</v>
      </c>
      <c r="G113">
        <v>4.4999999999999998E-2</v>
      </c>
      <c r="H113" s="9">
        <f t="shared" si="1"/>
        <v>0</v>
      </c>
      <c r="I113" t="s">
        <v>121</v>
      </c>
      <c r="J113" t="s">
        <v>122</v>
      </c>
    </row>
    <row r="114" spans="1:10" x14ac:dyDescent="0.3">
      <c r="A114" s="2" t="s">
        <v>1151</v>
      </c>
      <c r="B114" s="2" t="s">
        <v>97</v>
      </c>
      <c r="C114" s="2" t="s">
        <v>98</v>
      </c>
      <c r="D114" s="3">
        <v>172800</v>
      </c>
      <c r="E114" s="3">
        <v>172800</v>
      </c>
      <c r="F114" s="2" t="s">
        <v>16</v>
      </c>
      <c r="G114">
        <v>5.1999999999999998E-2</v>
      </c>
      <c r="H114" s="9">
        <f t="shared" si="1"/>
        <v>0</v>
      </c>
      <c r="I114" t="s">
        <v>97</v>
      </c>
      <c r="J114" t="s">
        <v>98</v>
      </c>
    </row>
    <row r="115" spans="1:10" x14ac:dyDescent="0.3">
      <c r="A115" s="2" t="s">
        <v>1156</v>
      </c>
      <c r="B115" s="2" t="s">
        <v>65</v>
      </c>
      <c r="C115" s="2" t="s">
        <v>66</v>
      </c>
      <c r="D115" s="5">
        <v>-249</v>
      </c>
      <c r="E115" s="5">
        <v>-249</v>
      </c>
      <c r="F115" s="2" t="s">
        <v>23</v>
      </c>
      <c r="G115">
        <v>5.1999999999999998E-2</v>
      </c>
      <c r="H115" s="9">
        <f t="shared" si="1"/>
        <v>-4788.461538461539</v>
      </c>
      <c r="I115" t="s">
        <v>1170</v>
      </c>
      <c r="J115" t="s">
        <v>1171</v>
      </c>
    </row>
    <row r="116" spans="1:10" x14ac:dyDescent="0.3">
      <c r="A116" s="2" t="s">
        <v>1156</v>
      </c>
      <c r="B116" s="2" t="s">
        <v>97</v>
      </c>
      <c r="C116" s="2" t="s">
        <v>98</v>
      </c>
      <c r="D116" s="3">
        <v>24000</v>
      </c>
      <c r="E116" s="3">
        <v>24000</v>
      </c>
      <c r="F116" s="2" t="s">
        <v>16</v>
      </c>
      <c r="G116">
        <v>5.1999999999999998E-2</v>
      </c>
      <c r="H116" s="9">
        <f t="shared" si="1"/>
        <v>0</v>
      </c>
      <c r="I116" t="s">
        <v>1170</v>
      </c>
      <c r="J116" t="s">
        <v>1171</v>
      </c>
    </row>
    <row r="117" spans="1:10" x14ac:dyDescent="0.3">
      <c r="A117" s="2" t="s">
        <v>1169</v>
      </c>
      <c r="B117" s="2" t="s">
        <v>1170</v>
      </c>
      <c r="C117" s="2" t="s">
        <v>1171</v>
      </c>
      <c r="D117" s="3">
        <v>4800</v>
      </c>
      <c r="E117" s="3">
        <v>4800</v>
      </c>
      <c r="F117" s="2" t="s">
        <v>16</v>
      </c>
      <c r="G117">
        <v>5.1999999999999998E-2</v>
      </c>
      <c r="H117" s="9">
        <f t="shared" si="1"/>
        <v>0</v>
      </c>
      <c r="I117" t="s">
        <v>1170</v>
      </c>
      <c r="J117" t="s">
        <v>1171</v>
      </c>
    </row>
    <row r="118" spans="1:10" x14ac:dyDescent="0.3">
      <c r="A118" s="2" t="s">
        <v>1175</v>
      </c>
      <c r="B118" s="2" t="s">
        <v>86</v>
      </c>
      <c r="C118" s="2" t="s">
        <v>87</v>
      </c>
      <c r="D118" s="5">
        <v>-498</v>
      </c>
      <c r="E118" s="5">
        <v>-498</v>
      </c>
      <c r="F118" s="2" t="s">
        <v>23</v>
      </c>
      <c r="G118">
        <v>5.1999999999999998E-2</v>
      </c>
      <c r="H118" s="9">
        <f t="shared" si="1"/>
        <v>-9576.923076923078</v>
      </c>
      <c r="I118" t="s">
        <v>1180</v>
      </c>
      <c r="J118" t="s">
        <v>1181</v>
      </c>
    </row>
    <row r="119" spans="1:10" x14ac:dyDescent="0.3">
      <c r="A119" s="2" t="s">
        <v>1175</v>
      </c>
      <c r="B119" s="2" t="s">
        <v>1180</v>
      </c>
      <c r="C119" s="2" t="s">
        <v>1181</v>
      </c>
      <c r="D119" s="3">
        <v>43200</v>
      </c>
      <c r="E119" s="3">
        <v>43200</v>
      </c>
      <c r="F119" s="2" t="s">
        <v>16</v>
      </c>
      <c r="G119">
        <v>5.1999999999999998E-2</v>
      </c>
      <c r="H119" s="9">
        <f t="shared" si="1"/>
        <v>0</v>
      </c>
      <c r="I119" t="s">
        <v>1180</v>
      </c>
      <c r="J119" t="s">
        <v>1181</v>
      </c>
    </row>
    <row r="120" spans="1:10" x14ac:dyDescent="0.3">
      <c r="A120" s="2" t="s">
        <v>1185</v>
      </c>
      <c r="B120" s="2" t="s">
        <v>97</v>
      </c>
      <c r="C120" s="2" t="s">
        <v>98</v>
      </c>
      <c r="D120" s="3">
        <v>153600</v>
      </c>
      <c r="E120" s="3">
        <v>153600</v>
      </c>
      <c r="F120" s="2" t="s">
        <v>16</v>
      </c>
      <c r="G120">
        <v>5.1999999999999998E-2</v>
      </c>
      <c r="H120" s="9">
        <f t="shared" si="1"/>
        <v>0</v>
      </c>
      <c r="I120" t="s">
        <v>97</v>
      </c>
      <c r="J120" t="s">
        <v>98</v>
      </c>
    </row>
    <row r="121" spans="1:10" x14ac:dyDescent="0.3">
      <c r="A121" s="2" t="s">
        <v>1194</v>
      </c>
      <c r="B121" s="2" t="s">
        <v>1119</v>
      </c>
      <c r="C121" s="2" t="s">
        <v>1120</v>
      </c>
      <c r="D121" s="3">
        <v>1192860</v>
      </c>
      <c r="E121" s="3">
        <v>1192860</v>
      </c>
      <c r="F121" s="2" t="s">
        <v>16</v>
      </c>
      <c r="G121">
        <v>9.4000000000000004E-3</v>
      </c>
      <c r="H121" s="9">
        <f t="shared" si="1"/>
        <v>0</v>
      </c>
      <c r="I121" t="s">
        <v>1119</v>
      </c>
      <c r="J121" t="s">
        <v>1120</v>
      </c>
    </row>
    <row r="122" spans="1:10" x14ac:dyDescent="0.3">
      <c r="A122" s="2" t="s">
        <v>1203</v>
      </c>
      <c r="B122" s="2" t="s">
        <v>86</v>
      </c>
      <c r="C122" s="2" t="s">
        <v>87</v>
      </c>
      <c r="D122" s="5">
        <v>-249</v>
      </c>
      <c r="E122" s="5">
        <v>-249</v>
      </c>
      <c r="F122" s="2" t="s">
        <v>23</v>
      </c>
      <c r="G122">
        <v>5.1999999999999998E-2</v>
      </c>
      <c r="H122" s="9">
        <f t="shared" si="1"/>
        <v>-4788.461538461539</v>
      </c>
      <c r="I122" t="s">
        <v>1180</v>
      </c>
      <c r="J122" t="s">
        <v>1181</v>
      </c>
    </row>
    <row r="123" spans="1:10" x14ac:dyDescent="0.3">
      <c r="A123" s="2" t="s">
        <v>1203</v>
      </c>
      <c r="B123" s="2" t="s">
        <v>1180</v>
      </c>
      <c r="C123" s="2" t="s">
        <v>1181</v>
      </c>
      <c r="D123" s="3">
        <v>28800</v>
      </c>
      <c r="E123" s="3">
        <v>28800</v>
      </c>
      <c r="F123" s="2" t="s">
        <v>16</v>
      </c>
      <c r="G123">
        <v>5.1999999999999998E-2</v>
      </c>
      <c r="H123" s="9">
        <f t="shared" si="1"/>
        <v>0</v>
      </c>
      <c r="I123" t="s">
        <v>1180</v>
      </c>
      <c r="J123" t="s">
        <v>1181</v>
      </c>
    </row>
    <row r="124" spans="1:10" x14ac:dyDescent="0.3">
      <c r="A124" s="2" t="s">
        <v>1212</v>
      </c>
      <c r="B124" s="2" t="s">
        <v>1027</v>
      </c>
      <c r="C124" s="2" t="s">
        <v>1028</v>
      </c>
      <c r="D124" s="3">
        <v>106200</v>
      </c>
      <c r="E124" s="3">
        <v>106200</v>
      </c>
      <c r="F124" s="2" t="s">
        <v>16</v>
      </c>
      <c r="G124">
        <v>3.0499999999999999E-2</v>
      </c>
      <c r="H124" s="9">
        <f t="shared" si="1"/>
        <v>0</v>
      </c>
      <c r="I124" t="s">
        <v>1027</v>
      </c>
      <c r="J124" t="s">
        <v>1028</v>
      </c>
    </row>
    <row r="125" spans="1:10" x14ac:dyDescent="0.3">
      <c r="A125" s="2" t="s">
        <v>1217</v>
      </c>
      <c r="B125" s="2" t="s">
        <v>97</v>
      </c>
      <c r="C125" s="2" t="s">
        <v>98</v>
      </c>
      <c r="D125" s="3">
        <v>57600</v>
      </c>
      <c r="E125" s="3">
        <v>57600</v>
      </c>
      <c r="F125" s="2" t="s">
        <v>16</v>
      </c>
      <c r="G125">
        <v>5.1999999999999998E-2</v>
      </c>
      <c r="H125" s="9">
        <f t="shared" si="1"/>
        <v>0</v>
      </c>
      <c r="I125" t="s">
        <v>1170</v>
      </c>
      <c r="J125" t="s">
        <v>1171</v>
      </c>
    </row>
    <row r="126" spans="1:10" x14ac:dyDescent="0.3">
      <c r="A126" s="2" t="s">
        <v>1222</v>
      </c>
      <c r="B126" s="2" t="s">
        <v>1119</v>
      </c>
      <c r="C126" s="2" t="s">
        <v>1120</v>
      </c>
      <c r="D126" s="3">
        <v>558360</v>
      </c>
      <c r="E126" s="3">
        <v>558360</v>
      </c>
      <c r="F126" s="2" t="s">
        <v>16</v>
      </c>
      <c r="G126">
        <v>9.4000000000000004E-3</v>
      </c>
      <c r="H126" s="9">
        <f t="shared" si="1"/>
        <v>0</v>
      </c>
      <c r="I126" t="s">
        <v>1119</v>
      </c>
      <c r="J126" t="s">
        <v>1120</v>
      </c>
    </row>
    <row r="127" spans="1:10" x14ac:dyDescent="0.3">
      <c r="A127" s="2" t="s">
        <v>1231</v>
      </c>
      <c r="B127" s="2" t="s">
        <v>97</v>
      </c>
      <c r="C127" s="2" t="s">
        <v>98</v>
      </c>
      <c r="D127" s="3">
        <v>211200</v>
      </c>
      <c r="E127" s="3">
        <v>211200</v>
      </c>
      <c r="F127" s="2" t="s">
        <v>16</v>
      </c>
      <c r="G127">
        <v>5.1999999999999998E-2</v>
      </c>
      <c r="H127" s="9">
        <f t="shared" si="1"/>
        <v>0</v>
      </c>
      <c r="I127" t="s">
        <v>97</v>
      </c>
      <c r="J127" t="s">
        <v>98</v>
      </c>
    </row>
    <row r="128" spans="1:10" x14ac:dyDescent="0.3">
      <c r="A128" s="2" t="s">
        <v>1236</v>
      </c>
      <c r="B128" s="2" t="s">
        <v>65</v>
      </c>
      <c r="C128" s="2" t="s">
        <v>66</v>
      </c>
      <c r="D128" s="5">
        <v>-295</v>
      </c>
      <c r="E128" s="5">
        <v>-295</v>
      </c>
      <c r="F128" s="2" t="s">
        <v>23</v>
      </c>
      <c r="G128">
        <v>2.93E-2</v>
      </c>
      <c r="H128" s="9">
        <f t="shared" si="1"/>
        <v>-10068.259385665529</v>
      </c>
      <c r="I128" t="s">
        <v>1245</v>
      </c>
      <c r="J128" t="s">
        <v>1246</v>
      </c>
    </row>
    <row r="129" spans="1:10" x14ac:dyDescent="0.3">
      <c r="A129" s="2" t="s">
        <v>1236</v>
      </c>
      <c r="B129" s="2" t="s">
        <v>1245</v>
      </c>
      <c r="C129" s="2" t="s">
        <v>1246</v>
      </c>
      <c r="D129" s="3">
        <v>40320</v>
      </c>
      <c r="E129" s="3">
        <v>40320</v>
      </c>
      <c r="F129" s="2" t="s">
        <v>16</v>
      </c>
      <c r="G129">
        <v>2.93E-2</v>
      </c>
      <c r="H129" s="9">
        <f t="shared" si="1"/>
        <v>0</v>
      </c>
      <c r="I129" t="s">
        <v>1245</v>
      </c>
      <c r="J129" t="s">
        <v>1246</v>
      </c>
    </row>
    <row r="130" spans="1:10" x14ac:dyDescent="0.3">
      <c r="A130" s="2" t="s">
        <v>1250</v>
      </c>
      <c r="B130" s="2" t="s">
        <v>426</v>
      </c>
      <c r="C130" s="2" t="s">
        <v>427</v>
      </c>
      <c r="D130" s="3">
        <v>304704</v>
      </c>
      <c r="E130" s="3">
        <v>304704</v>
      </c>
      <c r="F130" s="2" t="s">
        <v>16</v>
      </c>
      <c r="G130">
        <v>4.4999999999999998E-2</v>
      </c>
      <c r="H130" s="9">
        <f t="shared" si="1"/>
        <v>0</v>
      </c>
      <c r="I130" t="s">
        <v>426</v>
      </c>
      <c r="J130" t="s">
        <v>427</v>
      </c>
    </row>
    <row r="131" spans="1:10" x14ac:dyDescent="0.3">
      <c r="A131" s="2" t="s">
        <v>1255</v>
      </c>
      <c r="B131" s="2" t="s">
        <v>97</v>
      </c>
      <c r="C131" s="2" t="s">
        <v>98</v>
      </c>
      <c r="D131" s="3">
        <v>100800</v>
      </c>
      <c r="E131" s="3">
        <v>100800</v>
      </c>
      <c r="F131" s="2" t="s">
        <v>16</v>
      </c>
      <c r="G131">
        <v>5.1999999999999998E-2</v>
      </c>
      <c r="H131" s="9">
        <f t="shared" ref="H131:H194" si="2">IFERROR(IF(LEFT(B131,1)="F",E131/G131,0),0)</f>
        <v>0</v>
      </c>
      <c r="I131" t="s">
        <v>97</v>
      </c>
      <c r="J131" t="s">
        <v>98</v>
      </c>
    </row>
    <row r="132" spans="1:10" x14ac:dyDescent="0.3">
      <c r="A132" s="2" t="s">
        <v>1260</v>
      </c>
      <c r="B132" s="2" t="s">
        <v>1119</v>
      </c>
      <c r="C132" s="2" t="s">
        <v>1120</v>
      </c>
      <c r="D132" s="3">
        <v>913680</v>
      </c>
      <c r="E132" s="3">
        <v>913680</v>
      </c>
      <c r="F132" s="2" t="s">
        <v>16</v>
      </c>
      <c r="G132">
        <v>9.4000000000000004E-3</v>
      </c>
      <c r="H132" s="9">
        <f t="shared" si="2"/>
        <v>0</v>
      </c>
      <c r="I132" t="s">
        <v>1119</v>
      </c>
      <c r="J132" t="s">
        <v>1120</v>
      </c>
    </row>
    <row r="133" spans="1:10" x14ac:dyDescent="0.3">
      <c r="A133" s="2" t="s">
        <v>1269</v>
      </c>
      <c r="B133" s="2" t="s">
        <v>65</v>
      </c>
      <c r="C133" s="2" t="s">
        <v>66</v>
      </c>
      <c r="D133" s="5">
        <v>-1155</v>
      </c>
      <c r="E133" s="5">
        <v>-1155</v>
      </c>
      <c r="F133" s="2" t="s">
        <v>23</v>
      </c>
      <c r="G133">
        <v>1.4E-2</v>
      </c>
      <c r="H133" s="9">
        <f t="shared" si="2"/>
        <v>-82500</v>
      </c>
      <c r="I133" t="s">
        <v>947</v>
      </c>
      <c r="J133" t="s">
        <v>948</v>
      </c>
    </row>
    <row r="134" spans="1:10" x14ac:dyDescent="0.3">
      <c r="A134" s="2" t="s">
        <v>1269</v>
      </c>
      <c r="B134" s="2" t="s">
        <v>947</v>
      </c>
      <c r="C134" s="2" t="s">
        <v>948</v>
      </c>
      <c r="D134" s="3">
        <v>330240</v>
      </c>
      <c r="E134" s="3">
        <v>330240</v>
      </c>
      <c r="F134" s="2" t="s">
        <v>16</v>
      </c>
      <c r="G134">
        <v>1.4E-2</v>
      </c>
      <c r="H134" s="9">
        <f t="shared" si="2"/>
        <v>0</v>
      </c>
      <c r="I134" t="s">
        <v>947</v>
      </c>
      <c r="J134" t="s">
        <v>948</v>
      </c>
    </row>
    <row r="135" spans="1:10" x14ac:dyDescent="0.3">
      <c r="A135" s="2" t="s">
        <v>1282</v>
      </c>
      <c r="B135" s="2" t="s">
        <v>426</v>
      </c>
      <c r="C135" s="2" t="s">
        <v>427</v>
      </c>
      <c r="D135" s="3">
        <v>105984</v>
      </c>
      <c r="E135" s="3">
        <v>105984</v>
      </c>
      <c r="F135" s="2" t="s">
        <v>16</v>
      </c>
      <c r="G135">
        <v>4.4999999999999998E-2</v>
      </c>
      <c r="H135" s="9">
        <f t="shared" si="2"/>
        <v>0</v>
      </c>
      <c r="I135" t="s">
        <v>426</v>
      </c>
      <c r="J135" t="s">
        <v>427</v>
      </c>
    </row>
    <row r="136" spans="1:10" x14ac:dyDescent="0.3">
      <c r="A136" s="2" t="s">
        <v>1287</v>
      </c>
      <c r="B136" s="2" t="s">
        <v>1119</v>
      </c>
      <c r="C136" s="2" t="s">
        <v>1120</v>
      </c>
      <c r="D136" s="3">
        <v>913680</v>
      </c>
      <c r="E136" s="3">
        <v>913680</v>
      </c>
      <c r="F136" s="2" t="s">
        <v>16</v>
      </c>
      <c r="G136">
        <v>9.4000000000000004E-3</v>
      </c>
      <c r="H136" s="9">
        <f t="shared" si="2"/>
        <v>0</v>
      </c>
      <c r="I136" t="s">
        <v>1119</v>
      </c>
      <c r="J136" t="s">
        <v>1120</v>
      </c>
    </row>
    <row r="137" spans="1:10" x14ac:dyDescent="0.3">
      <c r="A137" s="2" t="s">
        <v>1296</v>
      </c>
      <c r="B137" s="2" t="s">
        <v>426</v>
      </c>
      <c r="C137" s="2" t="s">
        <v>427</v>
      </c>
      <c r="D137" s="3">
        <v>384192</v>
      </c>
      <c r="E137" s="3">
        <v>384192</v>
      </c>
      <c r="F137" s="2" t="s">
        <v>16</v>
      </c>
      <c r="G137">
        <v>4.4999999999999998E-2</v>
      </c>
      <c r="H137" s="9">
        <f t="shared" si="2"/>
        <v>0</v>
      </c>
      <c r="I137" t="s">
        <v>426</v>
      </c>
      <c r="J137" t="s">
        <v>427</v>
      </c>
    </row>
    <row r="138" spans="1:10" x14ac:dyDescent="0.3">
      <c r="A138" s="2" t="s">
        <v>1309</v>
      </c>
      <c r="B138" s="2" t="s">
        <v>740</v>
      </c>
      <c r="C138" s="2" t="s">
        <v>741</v>
      </c>
      <c r="D138" s="3">
        <v>509760</v>
      </c>
      <c r="E138" s="3">
        <v>509760</v>
      </c>
      <c r="F138" s="2" t="s">
        <v>16</v>
      </c>
      <c r="G138">
        <v>3.0499999999999999E-2</v>
      </c>
      <c r="H138" s="9">
        <f t="shared" si="2"/>
        <v>0</v>
      </c>
      <c r="I138" t="s">
        <v>740</v>
      </c>
      <c r="J138" t="s">
        <v>741</v>
      </c>
    </row>
    <row r="139" spans="1:10" x14ac:dyDescent="0.3">
      <c r="A139" s="2" t="s">
        <v>1318</v>
      </c>
      <c r="B139" s="2" t="s">
        <v>1327</v>
      </c>
      <c r="C139" s="2" t="s">
        <v>1328</v>
      </c>
      <c r="D139" s="3">
        <v>5000</v>
      </c>
      <c r="E139" s="3">
        <v>5000</v>
      </c>
      <c r="F139" s="2" t="s">
        <v>16</v>
      </c>
      <c r="G139">
        <v>1.2500000000000001E-2</v>
      </c>
      <c r="H139" s="9">
        <f t="shared" si="2"/>
        <v>0</v>
      </c>
      <c r="I139" t="s">
        <v>1327</v>
      </c>
      <c r="J139" t="s">
        <v>1328</v>
      </c>
    </row>
    <row r="140" spans="1:10" x14ac:dyDescent="0.3">
      <c r="A140" s="2" t="s">
        <v>1332</v>
      </c>
      <c r="B140" s="2" t="s">
        <v>396</v>
      </c>
      <c r="C140" s="2" t="s">
        <v>397</v>
      </c>
      <c r="D140" s="3">
        <v>500</v>
      </c>
      <c r="E140" s="3">
        <v>500</v>
      </c>
      <c r="F140" s="2" t="s">
        <v>16</v>
      </c>
      <c r="G140">
        <v>8.3000000000000001E-3</v>
      </c>
      <c r="H140" s="9">
        <f t="shared" si="2"/>
        <v>0</v>
      </c>
      <c r="I140" t="s">
        <v>396</v>
      </c>
      <c r="J140" t="s">
        <v>397</v>
      </c>
    </row>
    <row r="141" spans="1:10" x14ac:dyDescent="0.3">
      <c r="A141" s="2" t="s">
        <v>1345</v>
      </c>
      <c r="B141" s="2" t="s">
        <v>1119</v>
      </c>
      <c r="C141" s="2" t="s">
        <v>1120</v>
      </c>
      <c r="D141" s="3">
        <v>913680</v>
      </c>
      <c r="E141" s="3">
        <v>913680</v>
      </c>
      <c r="F141" s="2" t="s">
        <v>16</v>
      </c>
      <c r="G141">
        <v>9.4000000000000004E-3</v>
      </c>
      <c r="H141" s="9">
        <f t="shared" si="2"/>
        <v>0</v>
      </c>
      <c r="I141" t="s">
        <v>1119</v>
      </c>
      <c r="J141" t="s">
        <v>1120</v>
      </c>
    </row>
    <row r="142" spans="1:10" x14ac:dyDescent="0.3">
      <c r="A142" s="2" t="s">
        <v>1362</v>
      </c>
      <c r="B142" s="2" t="s">
        <v>1027</v>
      </c>
      <c r="C142" s="2" t="s">
        <v>1028</v>
      </c>
      <c r="D142" s="3">
        <v>1019520</v>
      </c>
      <c r="E142" s="3">
        <v>1019520</v>
      </c>
      <c r="F142" s="2" t="s">
        <v>16</v>
      </c>
      <c r="G142">
        <v>3.0499999999999999E-2</v>
      </c>
      <c r="H142" s="9">
        <f t="shared" si="2"/>
        <v>0</v>
      </c>
      <c r="I142" t="s">
        <v>1027</v>
      </c>
      <c r="J142" t="s">
        <v>1028</v>
      </c>
    </row>
    <row r="143" spans="1:10" x14ac:dyDescent="0.3">
      <c r="A143" s="2" t="s">
        <v>1367</v>
      </c>
      <c r="B143" s="2" t="s">
        <v>27</v>
      </c>
      <c r="C143" s="2" t="s">
        <v>28</v>
      </c>
      <c r="D143" s="3">
        <v>317952</v>
      </c>
      <c r="E143" s="3">
        <v>317952</v>
      </c>
      <c r="F143" s="2" t="s">
        <v>16</v>
      </c>
      <c r="G143">
        <v>4.4999999999999998E-2</v>
      </c>
      <c r="H143" s="9">
        <f t="shared" si="2"/>
        <v>0</v>
      </c>
      <c r="I143" t="s">
        <v>27</v>
      </c>
      <c r="J143" t="s">
        <v>28</v>
      </c>
    </row>
    <row r="144" spans="1:10" x14ac:dyDescent="0.3">
      <c r="A144" s="2" t="s">
        <v>1372</v>
      </c>
      <c r="B144" s="2" t="s">
        <v>1119</v>
      </c>
      <c r="C144" s="2" t="s">
        <v>1120</v>
      </c>
      <c r="D144" s="3">
        <v>355320</v>
      </c>
      <c r="E144" s="3">
        <v>355320</v>
      </c>
      <c r="F144" s="2" t="s">
        <v>16</v>
      </c>
      <c r="G144">
        <v>9.4000000000000004E-3</v>
      </c>
      <c r="H144" s="9">
        <f t="shared" si="2"/>
        <v>0</v>
      </c>
      <c r="I144" t="s">
        <v>3028</v>
      </c>
      <c r="J144" t="s">
        <v>3029</v>
      </c>
    </row>
    <row r="145" spans="1:10" x14ac:dyDescent="0.3">
      <c r="A145" s="2" t="s">
        <v>1372</v>
      </c>
      <c r="B145" s="2" t="s">
        <v>86</v>
      </c>
      <c r="C145" s="2" t="s">
        <v>87</v>
      </c>
      <c r="D145" s="5">
        <v>-714</v>
      </c>
      <c r="E145" s="5">
        <v>-714</v>
      </c>
      <c r="F145" s="2" t="s">
        <v>23</v>
      </c>
      <c r="G145">
        <v>9.4000000000000004E-3</v>
      </c>
      <c r="H145" s="9">
        <f t="shared" si="2"/>
        <v>-75957.446808510635</v>
      </c>
      <c r="I145" t="s">
        <v>3028</v>
      </c>
      <c r="J145" t="s">
        <v>3029</v>
      </c>
    </row>
    <row r="146" spans="1:10" x14ac:dyDescent="0.3">
      <c r="A146" s="2" t="s">
        <v>1393</v>
      </c>
      <c r="B146" s="2" t="s">
        <v>322</v>
      </c>
      <c r="C146" s="2" t="s">
        <v>323</v>
      </c>
      <c r="D146" s="3">
        <v>685260</v>
      </c>
      <c r="E146" s="3">
        <v>685260</v>
      </c>
      <c r="F146" s="2" t="s">
        <v>16</v>
      </c>
      <c r="G146">
        <v>9.4000000000000004E-3</v>
      </c>
      <c r="H146" s="9">
        <f t="shared" si="2"/>
        <v>0</v>
      </c>
      <c r="I146" t="s">
        <v>3028</v>
      </c>
      <c r="J146" t="s">
        <v>3029</v>
      </c>
    </row>
    <row r="147" spans="1:10" x14ac:dyDescent="0.3">
      <c r="A147" s="2" t="s">
        <v>1393</v>
      </c>
      <c r="B147" s="2" t="s">
        <v>86</v>
      </c>
      <c r="C147" s="2" t="s">
        <v>87</v>
      </c>
      <c r="D147" s="5">
        <v>-952</v>
      </c>
      <c r="E147" s="5">
        <v>-952</v>
      </c>
      <c r="F147" s="2" t="s">
        <v>23</v>
      </c>
      <c r="G147">
        <v>9.4000000000000004E-3</v>
      </c>
      <c r="H147" s="9">
        <f t="shared" si="2"/>
        <v>-101276.59574468085</v>
      </c>
      <c r="I147" t="s">
        <v>3028</v>
      </c>
      <c r="J147" t="s">
        <v>3029</v>
      </c>
    </row>
    <row r="148" spans="1:10" x14ac:dyDescent="0.3">
      <c r="A148" s="2" t="s">
        <v>1414</v>
      </c>
      <c r="B148" s="2" t="s">
        <v>76</v>
      </c>
      <c r="C148" s="2" t="s">
        <v>77</v>
      </c>
      <c r="D148" s="3">
        <v>279180</v>
      </c>
      <c r="E148" s="3">
        <v>279180</v>
      </c>
      <c r="F148" s="2" t="s">
        <v>16</v>
      </c>
      <c r="G148">
        <v>9.4000000000000004E-3</v>
      </c>
      <c r="H148" s="9">
        <f t="shared" si="2"/>
        <v>0</v>
      </c>
      <c r="I148" t="s">
        <v>3028</v>
      </c>
      <c r="J148" t="s">
        <v>3029</v>
      </c>
    </row>
    <row r="149" spans="1:10" x14ac:dyDescent="0.3">
      <c r="A149" s="2" t="s">
        <v>1414</v>
      </c>
      <c r="B149" s="2" t="s">
        <v>86</v>
      </c>
      <c r="C149" s="2" t="s">
        <v>87</v>
      </c>
      <c r="D149" s="5">
        <v>-476</v>
      </c>
      <c r="E149" s="5">
        <v>-476</v>
      </c>
      <c r="F149" s="2" t="s">
        <v>23</v>
      </c>
      <c r="G149">
        <v>9.4000000000000004E-3</v>
      </c>
      <c r="H149" s="9">
        <f t="shared" si="2"/>
        <v>-50638.297872340423</v>
      </c>
      <c r="I149" t="s">
        <v>3028</v>
      </c>
      <c r="J149" t="s">
        <v>3029</v>
      </c>
    </row>
    <row r="150" spans="1:10" x14ac:dyDescent="0.3">
      <c r="A150" s="2" t="s">
        <v>1435</v>
      </c>
      <c r="B150" s="2" t="s">
        <v>426</v>
      </c>
      <c r="C150" s="2" t="s">
        <v>427</v>
      </c>
      <c r="D150" s="3">
        <v>145728</v>
      </c>
      <c r="E150" s="3">
        <v>145728</v>
      </c>
      <c r="F150" s="2" t="s">
        <v>16</v>
      </c>
      <c r="G150">
        <v>4.4999999999999998E-2</v>
      </c>
      <c r="H150" s="9">
        <f t="shared" si="2"/>
        <v>0</v>
      </c>
      <c r="I150" t="s">
        <v>426</v>
      </c>
      <c r="J150" t="s">
        <v>427</v>
      </c>
    </row>
    <row r="151" spans="1:10" x14ac:dyDescent="0.3">
      <c r="A151" s="2" t="s">
        <v>1440</v>
      </c>
      <c r="B151" s="2" t="s">
        <v>1445</v>
      </c>
      <c r="C151" s="2" t="s">
        <v>1446</v>
      </c>
      <c r="D151" s="3">
        <v>328680</v>
      </c>
      <c r="E151" s="3">
        <v>328680</v>
      </c>
      <c r="F151" s="2" t="s">
        <v>16</v>
      </c>
      <c r="G151">
        <v>7.7999999999999996E-3</v>
      </c>
      <c r="H151" s="9">
        <f t="shared" si="2"/>
        <v>0</v>
      </c>
      <c r="I151" t="s">
        <v>1590</v>
      </c>
      <c r="J151" t="s">
        <v>1591</v>
      </c>
    </row>
    <row r="152" spans="1:10" x14ac:dyDescent="0.3">
      <c r="A152" s="2" t="s">
        <v>1450</v>
      </c>
      <c r="B152" s="2" t="s">
        <v>27</v>
      </c>
      <c r="C152" s="2" t="s">
        <v>28</v>
      </c>
      <c r="D152" s="3">
        <v>370944</v>
      </c>
      <c r="E152" s="3">
        <v>370944</v>
      </c>
      <c r="F152" s="2" t="s">
        <v>16</v>
      </c>
      <c r="G152">
        <v>4.4999999999999998E-2</v>
      </c>
      <c r="H152" s="9">
        <f t="shared" si="2"/>
        <v>0</v>
      </c>
      <c r="I152" t="s">
        <v>27</v>
      </c>
      <c r="J152" t="s">
        <v>28</v>
      </c>
    </row>
    <row r="153" spans="1:10" x14ac:dyDescent="0.3">
      <c r="A153" s="2" t="s">
        <v>1455</v>
      </c>
      <c r="B153" s="2" t="s">
        <v>65</v>
      </c>
      <c r="C153" s="2" t="s">
        <v>66</v>
      </c>
      <c r="D153" s="5">
        <v>-894</v>
      </c>
      <c r="E153" s="5">
        <v>-894</v>
      </c>
      <c r="F153" s="2" t="s">
        <v>23</v>
      </c>
      <c r="G153">
        <v>4.4999999999999998E-2</v>
      </c>
      <c r="H153" s="9">
        <f t="shared" si="2"/>
        <v>-19866.666666666668</v>
      </c>
      <c r="I153" t="s">
        <v>426</v>
      </c>
      <c r="J153" t="s">
        <v>427</v>
      </c>
    </row>
    <row r="154" spans="1:10" x14ac:dyDescent="0.3">
      <c r="A154" s="2" t="s">
        <v>1455</v>
      </c>
      <c r="B154" s="2" t="s">
        <v>426</v>
      </c>
      <c r="C154" s="2" t="s">
        <v>427</v>
      </c>
      <c r="D154" s="3">
        <v>59616</v>
      </c>
      <c r="E154" s="3">
        <v>59616</v>
      </c>
      <c r="F154" s="2" t="s">
        <v>16</v>
      </c>
      <c r="G154">
        <v>4.4999999999999998E-2</v>
      </c>
      <c r="H154" s="9">
        <f t="shared" si="2"/>
        <v>0</v>
      </c>
      <c r="I154" t="s">
        <v>426</v>
      </c>
      <c r="J154" t="s">
        <v>427</v>
      </c>
    </row>
    <row r="155" spans="1:10" x14ac:dyDescent="0.3">
      <c r="A155" s="2" t="s">
        <v>1468</v>
      </c>
      <c r="B155" s="2" t="s">
        <v>426</v>
      </c>
      <c r="C155" s="2" t="s">
        <v>427</v>
      </c>
      <c r="D155" s="3">
        <v>13248</v>
      </c>
      <c r="E155" s="3">
        <v>13248</v>
      </c>
      <c r="F155" s="2" t="s">
        <v>16</v>
      </c>
      <c r="G155">
        <v>4.4999999999999998E-2</v>
      </c>
      <c r="H155" s="9">
        <f t="shared" si="2"/>
        <v>0</v>
      </c>
      <c r="I155" t="s">
        <v>426</v>
      </c>
      <c r="J155" t="s">
        <v>427</v>
      </c>
    </row>
    <row r="156" spans="1:10" x14ac:dyDescent="0.3">
      <c r="A156" s="2" t="s">
        <v>1473</v>
      </c>
      <c r="B156" s="2" t="s">
        <v>1093</v>
      </c>
      <c r="C156" s="2" t="s">
        <v>1094</v>
      </c>
      <c r="D156" s="3">
        <v>939600</v>
      </c>
      <c r="E156" s="3">
        <v>939600</v>
      </c>
      <c r="F156" s="2" t="s">
        <v>16</v>
      </c>
      <c r="G156">
        <v>1.2500000000000001E-2</v>
      </c>
      <c r="H156" s="9">
        <f t="shared" si="2"/>
        <v>0</v>
      </c>
      <c r="I156" t="s">
        <v>1093</v>
      </c>
      <c r="J156" t="s">
        <v>1094</v>
      </c>
    </row>
    <row r="157" spans="1:10" x14ac:dyDescent="0.3">
      <c r="A157" s="2" t="s">
        <v>1478</v>
      </c>
      <c r="B157" s="2" t="s">
        <v>27</v>
      </c>
      <c r="C157" s="2" t="s">
        <v>28</v>
      </c>
      <c r="D157" s="3">
        <v>298080</v>
      </c>
      <c r="E157" s="3">
        <v>298080</v>
      </c>
      <c r="F157" s="2" t="s">
        <v>16</v>
      </c>
      <c r="G157">
        <v>4.4999999999999998E-2</v>
      </c>
      <c r="H157" s="9">
        <f t="shared" si="2"/>
        <v>0</v>
      </c>
      <c r="I157" t="s">
        <v>27</v>
      </c>
      <c r="J157" t="s">
        <v>28</v>
      </c>
    </row>
    <row r="158" spans="1:10" x14ac:dyDescent="0.3">
      <c r="A158" s="2" t="s">
        <v>1478</v>
      </c>
      <c r="B158" s="2" t="s">
        <v>21</v>
      </c>
      <c r="C158" s="2" t="s">
        <v>22</v>
      </c>
      <c r="D158" s="5">
        <v>-1490</v>
      </c>
      <c r="E158" s="5">
        <v>-1490</v>
      </c>
      <c r="F158" s="2" t="s">
        <v>23</v>
      </c>
      <c r="G158">
        <v>4.4999999999999998E-2</v>
      </c>
      <c r="H158" s="9">
        <f t="shared" si="2"/>
        <v>-33111.111111111109</v>
      </c>
      <c r="I158" t="s">
        <v>27</v>
      </c>
      <c r="J158" t="s">
        <v>28</v>
      </c>
    </row>
    <row r="159" spans="1:10" x14ac:dyDescent="0.3">
      <c r="A159" s="2" t="s">
        <v>1503</v>
      </c>
      <c r="B159" s="2" t="s">
        <v>1512</v>
      </c>
      <c r="C159" s="2" t="s">
        <v>1513</v>
      </c>
      <c r="D159" s="3">
        <v>403560</v>
      </c>
      <c r="E159" s="3">
        <v>403560</v>
      </c>
      <c r="F159" s="2" t="s">
        <v>16</v>
      </c>
      <c r="G159">
        <v>3.0499999999999999E-2</v>
      </c>
      <c r="H159" s="9">
        <f t="shared" si="2"/>
        <v>0</v>
      </c>
      <c r="I159" t="s">
        <v>1027</v>
      </c>
      <c r="J159" t="s">
        <v>1028</v>
      </c>
    </row>
    <row r="160" spans="1:10" x14ac:dyDescent="0.3">
      <c r="A160" s="2" t="s">
        <v>1517</v>
      </c>
      <c r="B160" s="2" t="s">
        <v>97</v>
      </c>
      <c r="C160" s="2" t="s">
        <v>98</v>
      </c>
      <c r="D160" s="3">
        <v>168000</v>
      </c>
      <c r="E160" s="3">
        <v>168000</v>
      </c>
      <c r="F160" s="2" t="s">
        <v>16</v>
      </c>
      <c r="G160">
        <v>5.1999999999999998E-2</v>
      </c>
      <c r="H160" s="9">
        <f t="shared" si="2"/>
        <v>0</v>
      </c>
      <c r="I160" t="s">
        <v>97</v>
      </c>
      <c r="J160" t="s">
        <v>98</v>
      </c>
    </row>
    <row r="161" spans="1:10" x14ac:dyDescent="0.3">
      <c r="A161" s="2" t="s">
        <v>1534</v>
      </c>
      <c r="B161" s="2" t="s">
        <v>1535</v>
      </c>
      <c r="C161" s="2" t="s">
        <v>1536</v>
      </c>
      <c r="D161" s="3">
        <v>4000</v>
      </c>
      <c r="E161" s="3">
        <v>4000</v>
      </c>
      <c r="F161" s="2" t="s">
        <v>16</v>
      </c>
      <c r="G161">
        <v>1.15E-2</v>
      </c>
      <c r="H161" s="9">
        <f t="shared" si="2"/>
        <v>0</v>
      </c>
      <c r="I161" t="s">
        <v>1535</v>
      </c>
      <c r="J161" t="s">
        <v>1536</v>
      </c>
    </row>
    <row r="162" spans="1:10" x14ac:dyDescent="0.3">
      <c r="A162" s="2" t="s">
        <v>1540</v>
      </c>
      <c r="B162" s="2" t="s">
        <v>1027</v>
      </c>
      <c r="C162" s="2" t="s">
        <v>1028</v>
      </c>
      <c r="D162" s="3">
        <v>201780</v>
      </c>
      <c r="E162" s="3">
        <v>201780</v>
      </c>
      <c r="F162" s="2" t="s">
        <v>16</v>
      </c>
      <c r="G162">
        <v>3.0499999999999999E-2</v>
      </c>
      <c r="H162" s="9">
        <f t="shared" si="2"/>
        <v>0</v>
      </c>
      <c r="I162" t="s">
        <v>1027</v>
      </c>
      <c r="J162" t="s">
        <v>1028</v>
      </c>
    </row>
    <row r="163" spans="1:10" x14ac:dyDescent="0.3">
      <c r="A163" s="2" t="s">
        <v>1545</v>
      </c>
      <c r="B163" s="2" t="s">
        <v>27</v>
      </c>
      <c r="C163" s="2" t="s">
        <v>28</v>
      </c>
      <c r="D163" s="3">
        <v>205344</v>
      </c>
      <c r="E163" s="3">
        <v>205344</v>
      </c>
      <c r="F163" s="2" t="s">
        <v>16</v>
      </c>
      <c r="G163">
        <v>4.4999999999999998E-2</v>
      </c>
      <c r="H163" s="9">
        <f t="shared" si="2"/>
        <v>0</v>
      </c>
      <c r="I163" t="s">
        <v>27</v>
      </c>
      <c r="J163" t="s">
        <v>28</v>
      </c>
    </row>
    <row r="164" spans="1:10" x14ac:dyDescent="0.3">
      <c r="A164" s="2" t="s">
        <v>1550</v>
      </c>
      <c r="B164" s="2" t="s">
        <v>97</v>
      </c>
      <c r="C164" s="2" t="s">
        <v>98</v>
      </c>
      <c r="D164" s="3">
        <v>302400</v>
      </c>
      <c r="E164" s="3">
        <v>302400</v>
      </c>
      <c r="F164" s="2" t="s">
        <v>16</v>
      </c>
      <c r="G164">
        <v>5.1999999999999998E-2</v>
      </c>
      <c r="H164" s="9">
        <f t="shared" si="2"/>
        <v>0</v>
      </c>
      <c r="I164" t="s">
        <v>97</v>
      </c>
      <c r="J164" t="s">
        <v>98</v>
      </c>
    </row>
    <row r="165" spans="1:10" x14ac:dyDescent="0.3">
      <c r="A165" s="2" t="s">
        <v>1555</v>
      </c>
      <c r="B165" s="2" t="s">
        <v>1093</v>
      </c>
      <c r="C165" s="2" t="s">
        <v>1094</v>
      </c>
      <c r="D165" s="3">
        <v>2067120</v>
      </c>
      <c r="E165" s="3">
        <v>2067120</v>
      </c>
      <c r="F165" s="2" t="s">
        <v>16</v>
      </c>
      <c r="G165">
        <v>1.2500000000000001E-2</v>
      </c>
      <c r="H165" s="9">
        <f t="shared" si="2"/>
        <v>0</v>
      </c>
      <c r="I165" t="s">
        <v>1093</v>
      </c>
      <c r="J165" t="s">
        <v>1094</v>
      </c>
    </row>
    <row r="166" spans="1:10" x14ac:dyDescent="0.3">
      <c r="A166" s="2" t="s">
        <v>1560</v>
      </c>
      <c r="B166" s="2" t="s">
        <v>65</v>
      </c>
      <c r="C166" s="2" t="s">
        <v>66</v>
      </c>
      <c r="D166" s="5">
        <v>-410</v>
      </c>
      <c r="E166" s="5">
        <v>-410</v>
      </c>
      <c r="F166" s="2" t="s">
        <v>23</v>
      </c>
      <c r="G166">
        <v>5.1999999999999998E-2</v>
      </c>
      <c r="H166" s="9">
        <f t="shared" si="2"/>
        <v>-7884.6153846153848</v>
      </c>
      <c r="I166" t="s">
        <v>1170</v>
      </c>
      <c r="J166" t="s">
        <v>1171</v>
      </c>
    </row>
    <row r="167" spans="1:10" x14ac:dyDescent="0.3">
      <c r="A167" s="2" t="s">
        <v>1560</v>
      </c>
      <c r="B167" s="2" t="s">
        <v>97</v>
      </c>
      <c r="C167" s="2" t="s">
        <v>98</v>
      </c>
      <c r="D167" s="3">
        <v>57600</v>
      </c>
      <c r="E167" s="3">
        <v>57600</v>
      </c>
      <c r="F167" s="2" t="s">
        <v>16</v>
      </c>
      <c r="G167">
        <v>5.1999999999999998E-2</v>
      </c>
      <c r="H167" s="9">
        <f t="shared" si="2"/>
        <v>0</v>
      </c>
      <c r="I167" t="s">
        <v>1170</v>
      </c>
      <c r="J167" t="s">
        <v>1171</v>
      </c>
    </row>
    <row r="168" spans="1:10" x14ac:dyDescent="0.3">
      <c r="A168" s="2" t="s">
        <v>1569</v>
      </c>
      <c r="B168" s="2" t="s">
        <v>27</v>
      </c>
      <c r="C168" s="2" t="s">
        <v>28</v>
      </c>
      <c r="D168" s="3">
        <v>119232</v>
      </c>
      <c r="E168" s="3">
        <v>119232</v>
      </c>
      <c r="F168" s="2" t="s">
        <v>16</v>
      </c>
      <c r="G168">
        <v>4.4999999999999998E-2</v>
      </c>
      <c r="H168" s="9">
        <f t="shared" si="2"/>
        <v>0</v>
      </c>
      <c r="I168" t="s">
        <v>27</v>
      </c>
      <c r="J168" t="s">
        <v>28</v>
      </c>
    </row>
    <row r="169" spans="1:10" x14ac:dyDescent="0.3">
      <c r="A169" s="2" t="s">
        <v>1574</v>
      </c>
      <c r="B169" s="2" t="s">
        <v>27</v>
      </c>
      <c r="C169" s="2" t="s">
        <v>28</v>
      </c>
      <c r="D169" s="3">
        <v>417312</v>
      </c>
      <c r="E169" s="3">
        <v>417312</v>
      </c>
      <c r="F169" s="2" t="s">
        <v>16</v>
      </c>
      <c r="G169">
        <v>4.4999999999999998E-2</v>
      </c>
      <c r="H169" s="9">
        <f t="shared" si="2"/>
        <v>0</v>
      </c>
      <c r="I169" t="s">
        <v>27</v>
      </c>
      <c r="J169" t="s">
        <v>28</v>
      </c>
    </row>
    <row r="170" spans="1:10" x14ac:dyDescent="0.3">
      <c r="A170" s="2" t="s">
        <v>1579</v>
      </c>
      <c r="B170" s="2" t="s">
        <v>97</v>
      </c>
      <c r="C170" s="2" t="s">
        <v>98</v>
      </c>
      <c r="D170" s="3">
        <v>369600</v>
      </c>
      <c r="E170" s="3">
        <v>369600</v>
      </c>
      <c r="F170" s="2" t="s">
        <v>16</v>
      </c>
      <c r="G170">
        <v>5.1999999999999998E-2</v>
      </c>
      <c r="H170" s="9">
        <f t="shared" si="2"/>
        <v>0</v>
      </c>
      <c r="I170" t="s">
        <v>97</v>
      </c>
      <c r="J170" t="s">
        <v>98</v>
      </c>
    </row>
    <row r="171" spans="1:10" x14ac:dyDescent="0.3">
      <c r="A171" s="2" t="s">
        <v>1584</v>
      </c>
      <c r="B171" s="2" t="s">
        <v>740</v>
      </c>
      <c r="C171" s="2" t="s">
        <v>741</v>
      </c>
      <c r="D171" s="3">
        <v>1019520</v>
      </c>
      <c r="E171" s="3">
        <v>1019520</v>
      </c>
      <c r="F171" s="2" t="s">
        <v>16</v>
      </c>
      <c r="G171">
        <v>3.0499999999999999E-2</v>
      </c>
      <c r="H171" s="9">
        <f t="shared" si="2"/>
        <v>0</v>
      </c>
      <c r="I171" t="s">
        <v>740</v>
      </c>
      <c r="J171" t="s">
        <v>741</v>
      </c>
    </row>
    <row r="172" spans="1:10" x14ac:dyDescent="0.3">
      <c r="A172" s="2" t="s">
        <v>1589</v>
      </c>
      <c r="B172" s="2" t="s">
        <v>1590</v>
      </c>
      <c r="C172" s="2" t="s">
        <v>1591</v>
      </c>
      <c r="D172" s="3">
        <v>687240</v>
      </c>
      <c r="E172" s="3">
        <v>687240</v>
      </c>
      <c r="F172" s="2" t="s">
        <v>16</v>
      </c>
      <c r="G172">
        <v>7.7999999999999996E-3</v>
      </c>
      <c r="H172" s="9">
        <f t="shared" si="2"/>
        <v>0</v>
      </c>
      <c r="I172" t="s">
        <v>1590</v>
      </c>
      <c r="J172" t="s">
        <v>1591</v>
      </c>
    </row>
    <row r="173" spans="1:10" x14ac:dyDescent="0.3">
      <c r="A173" s="2" t="s">
        <v>1589</v>
      </c>
      <c r="B173" s="2" t="s">
        <v>86</v>
      </c>
      <c r="C173" s="2" t="s">
        <v>87</v>
      </c>
      <c r="D173" s="5">
        <v>-1864</v>
      </c>
      <c r="E173" s="5">
        <v>-1864</v>
      </c>
      <c r="F173" s="2" t="s">
        <v>23</v>
      </c>
      <c r="G173">
        <v>7.7999999999999996E-3</v>
      </c>
      <c r="H173" s="9">
        <f t="shared" si="2"/>
        <v>-238974.358974359</v>
      </c>
      <c r="I173" t="s">
        <v>1590</v>
      </c>
      <c r="J173" t="s">
        <v>1591</v>
      </c>
    </row>
    <row r="174" spans="1:10" x14ac:dyDescent="0.3">
      <c r="A174" s="2" t="s">
        <v>1611</v>
      </c>
      <c r="B174" s="2" t="s">
        <v>1445</v>
      </c>
      <c r="C174" s="2" t="s">
        <v>1446</v>
      </c>
      <c r="D174" s="3">
        <v>179280</v>
      </c>
      <c r="E174" s="3">
        <v>179280</v>
      </c>
      <c r="F174" s="2" t="s">
        <v>16</v>
      </c>
      <c r="G174">
        <v>7.7999999999999996E-3</v>
      </c>
      <c r="H174" s="9">
        <f t="shared" si="2"/>
        <v>0</v>
      </c>
      <c r="I174" t="s">
        <v>1590</v>
      </c>
      <c r="J174" t="s">
        <v>1591</v>
      </c>
    </row>
    <row r="175" spans="1:10" x14ac:dyDescent="0.3">
      <c r="A175" s="2" t="s">
        <v>1616</v>
      </c>
      <c r="B175" s="2" t="s">
        <v>1445</v>
      </c>
      <c r="C175" s="2" t="s">
        <v>1446</v>
      </c>
      <c r="D175" s="3">
        <v>268920</v>
      </c>
      <c r="E175" s="3">
        <v>268920</v>
      </c>
      <c r="F175" s="2" t="s">
        <v>16</v>
      </c>
      <c r="G175">
        <v>7.7999999999999996E-3</v>
      </c>
      <c r="H175" s="9">
        <f t="shared" si="2"/>
        <v>0</v>
      </c>
      <c r="I175" t="s">
        <v>1445</v>
      </c>
      <c r="J175" t="s">
        <v>1446</v>
      </c>
    </row>
    <row r="176" spans="1:10" x14ac:dyDescent="0.3">
      <c r="A176" s="2" t="s">
        <v>1616</v>
      </c>
      <c r="B176" s="2" t="s">
        <v>86</v>
      </c>
      <c r="C176" s="2" t="s">
        <v>87</v>
      </c>
      <c r="D176" s="5">
        <v>-699</v>
      </c>
      <c r="E176" s="5">
        <v>-699</v>
      </c>
      <c r="F176" s="2" t="s">
        <v>23</v>
      </c>
      <c r="G176">
        <v>7.7999999999999996E-3</v>
      </c>
      <c r="H176" s="9">
        <f t="shared" si="2"/>
        <v>-89615.384615384624</v>
      </c>
      <c r="I176" t="s">
        <v>1445</v>
      </c>
      <c r="J176" t="s">
        <v>1446</v>
      </c>
    </row>
    <row r="177" spans="1:10" x14ac:dyDescent="0.3">
      <c r="A177" s="2" t="s">
        <v>1641</v>
      </c>
      <c r="B177" s="2" t="s">
        <v>97</v>
      </c>
      <c r="C177" s="2" t="s">
        <v>98</v>
      </c>
      <c r="D177" s="3">
        <v>38400</v>
      </c>
      <c r="E177" s="3">
        <v>38400</v>
      </c>
      <c r="F177" s="2" t="s">
        <v>16</v>
      </c>
      <c r="G177">
        <v>5.1999999999999998E-2</v>
      </c>
      <c r="H177" s="9">
        <f t="shared" si="2"/>
        <v>0</v>
      </c>
      <c r="I177" t="s">
        <v>1170</v>
      </c>
      <c r="J177" t="s">
        <v>1171</v>
      </c>
    </row>
    <row r="178" spans="1:10" x14ac:dyDescent="0.3">
      <c r="A178" s="2" t="s">
        <v>1641</v>
      </c>
      <c r="B178" s="2" t="s">
        <v>65</v>
      </c>
      <c r="C178" s="2" t="s">
        <v>66</v>
      </c>
      <c r="D178" s="5">
        <v>-249</v>
      </c>
      <c r="E178" s="5">
        <v>-249</v>
      </c>
      <c r="F178" s="2" t="s">
        <v>23</v>
      </c>
      <c r="G178">
        <v>5.1999999999999998E-2</v>
      </c>
      <c r="H178" s="9">
        <f t="shared" si="2"/>
        <v>-4788.461538461539</v>
      </c>
      <c r="I178" t="s">
        <v>1170</v>
      </c>
      <c r="J178" t="s">
        <v>1171</v>
      </c>
    </row>
    <row r="179" spans="1:10" x14ac:dyDescent="0.3">
      <c r="A179" s="2" t="s">
        <v>1666</v>
      </c>
      <c r="B179" s="2" t="s">
        <v>1667</v>
      </c>
      <c r="C179" s="2" t="s">
        <v>1668</v>
      </c>
      <c r="D179" s="3">
        <v>334080</v>
      </c>
      <c r="E179" s="3">
        <v>334080</v>
      </c>
      <c r="F179" s="2" t="s">
        <v>16</v>
      </c>
      <c r="G179">
        <v>1.15E-2</v>
      </c>
      <c r="H179" s="9">
        <f t="shared" si="2"/>
        <v>0</v>
      </c>
      <c r="I179" t="s">
        <v>1667</v>
      </c>
      <c r="J179" t="s">
        <v>1668</v>
      </c>
    </row>
    <row r="180" spans="1:10" x14ac:dyDescent="0.3">
      <c r="A180" s="2" t="s">
        <v>1666</v>
      </c>
      <c r="B180" s="2" t="s">
        <v>86</v>
      </c>
      <c r="C180" s="2" t="s">
        <v>87</v>
      </c>
      <c r="D180" s="5">
        <v>-720</v>
      </c>
      <c r="E180" s="5">
        <v>-720</v>
      </c>
      <c r="F180" s="2" t="s">
        <v>23</v>
      </c>
      <c r="G180">
        <v>1.15E-2</v>
      </c>
      <c r="H180" s="9">
        <f t="shared" si="2"/>
        <v>-62608.695652173912</v>
      </c>
      <c r="I180" t="s">
        <v>1667</v>
      </c>
      <c r="J180" t="s">
        <v>1668</v>
      </c>
    </row>
    <row r="181" spans="1:10" x14ac:dyDescent="0.3">
      <c r="A181" s="2" t="s">
        <v>1692</v>
      </c>
      <c r="B181" s="2" t="s">
        <v>97</v>
      </c>
      <c r="C181" s="2" t="s">
        <v>98</v>
      </c>
      <c r="D181" s="3">
        <v>273600</v>
      </c>
      <c r="E181" s="3">
        <v>273600</v>
      </c>
      <c r="F181" s="2" t="s">
        <v>16</v>
      </c>
      <c r="G181">
        <v>5.1999999999999998E-2</v>
      </c>
      <c r="H181" s="9">
        <f t="shared" si="2"/>
        <v>0</v>
      </c>
      <c r="I181" t="s">
        <v>97</v>
      </c>
      <c r="J181" t="s">
        <v>98</v>
      </c>
    </row>
    <row r="182" spans="1:10" x14ac:dyDescent="0.3">
      <c r="A182" s="2" t="s">
        <v>1713</v>
      </c>
      <c r="B182" s="2" t="s">
        <v>27</v>
      </c>
      <c r="C182" s="2" t="s">
        <v>28</v>
      </c>
      <c r="D182" s="3">
        <v>291456</v>
      </c>
      <c r="E182" s="3">
        <v>291456</v>
      </c>
      <c r="F182" s="2" t="s">
        <v>16</v>
      </c>
      <c r="G182">
        <v>4.4999999999999998E-2</v>
      </c>
      <c r="H182" s="9">
        <f t="shared" si="2"/>
        <v>0</v>
      </c>
      <c r="I182" t="s">
        <v>27</v>
      </c>
      <c r="J182" t="s">
        <v>28</v>
      </c>
    </row>
    <row r="183" spans="1:10" x14ac:dyDescent="0.3">
      <c r="A183" s="2" t="s">
        <v>1718</v>
      </c>
      <c r="B183" s="2" t="s">
        <v>1170</v>
      </c>
      <c r="C183" s="2" t="s">
        <v>1171</v>
      </c>
      <c r="D183" s="3">
        <v>19200</v>
      </c>
      <c r="E183" s="3">
        <v>19200</v>
      </c>
      <c r="F183" s="2" t="s">
        <v>16</v>
      </c>
      <c r="G183">
        <v>5.1999999999999998E-2</v>
      </c>
      <c r="H183" s="9">
        <f t="shared" si="2"/>
        <v>0</v>
      </c>
      <c r="I183" t="s">
        <v>1170</v>
      </c>
      <c r="J183" t="s">
        <v>1171</v>
      </c>
    </row>
    <row r="184" spans="1:10" x14ac:dyDescent="0.3">
      <c r="A184" s="2" t="s">
        <v>1735</v>
      </c>
      <c r="B184" s="2" t="s">
        <v>97</v>
      </c>
      <c r="C184" s="2" t="s">
        <v>98</v>
      </c>
      <c r="D184" s="3">
        <v>134400</v>
      </c>
      <c r="E184" s="3">
        <v>134400</v>
      </c>
      <c r="F184" s="2" t="s">
        <v>16</v>
      </c>
      <c r="G184">
        <v>5.1999999999999998E-2</v>
      </c>
      <c r="H184" s="9">
        <f t="shared" si="2"/>
        <v>0</v>
      </c>
      <c r="I184" t="s">
        <v>1170</v>
      </c>
      <c r="J184" t="s">
        <v>1171</v>
      </c>
    </row>
    <row r="185" spans="1:10" x14ac:dyDescent="0.3">
      <c r="A185" s="2" t="s">
        <v>1735</v>
      </c>
      <c r="B185" s="2" t="s">
        <v>65</v>
      </c>
      <c r="C185" s="2" t="s">
        <v>66</v>
      </c>
      <c r="D185" s="5">
        <v>-498</v>
      </c>
      <c r="E185" s="5">
        <v>-498</v>
      </c>
      <c r="F185" s="2" t="s">
        <v>23</v>
      </c>
      <c r="G185">
        <v>5.1999999999999998E-2</v>
      </c>
      <c r="H185" s="9">
        <f t="shared" si="2"/>
        <v>-9576.923076923078</v>
      </c>
      <c r="I185" t="s">
        <v>1170</v>
      </c>
      <c r="J185" t="s">
        <v>1171</v>
      </c>
    </row>
    <row r="186" spans="1:10" x14ac:dyDescent="0.3">
      <c r="A186" s="2" t="s">
        <v>1760</v>
      </c>
      <c r="B186" s="2" t="s">
        <v>27</v>
      </c>
      <c r="C186" s="2" t="s">
        <v>28</v>
      </c>
      <c r="D186" s="3">
        <v>384192</v>
      </c>
      <c r="E186" s="3">
        <v>384192</v>
      </c>
      <c r="F186" s="2" t="s">
        <v>16</v>
      </c>
      <c r="G186">
        <v>4.4999999999999998E-2</v>
      </c>
      <c r="H186" s="9">
        <f t="shared" si="2"/>
        <v>0</v>
      </c>
      <c r="I186" t="s">
        <v>27</v>
      </c>
      <c r="J186" t="s">
        <v>28</v>
      </c>
    </row>
    <row r="187" spans="1:10" x14ac:dyDescent="0.3">
      <c r="A187" s="2" t="s">
        <v>1765</v>
      </c>
      <c r="B187" s="2" t="s">
        <v>699</v>
      </c>
      <c r="C187" s="2" t="s">
        <v>700</v>
      </c>
      <c r="D187" s="3">
        <v>13248</v>
      </c>
      <c r="E187" s="3">
        <v>13248</v>
      </c>
      <c r="F187" s="2" t="s">
        <v>16</v>
      </c>
      <c r="G187">
        <v>4.4999999999999998E-2</v>
      </c>
      <c r="H187" s="9">
        <f t="shared" si="2"/>
        <v>0</v>
      </c>
      <c r="I187" t="s">
        <v>10506</v>
      </c>
      <c r="J187" t="s">
        <v>10507</v>
      </c>
    </row>
    <row r="188" spans="1:10" x14ac:dyDescent="0.3">
      <c r="A188" s="2" t="s">
        <v>1786</v>
      </c>
      <c r="B188" s="2" t="s">
        <v>289</v>
      </c>
      <c r="C188" s="2" t="s">
        <v>290</v>
      </c>
      <c r="D188" s="3">
        <v>27000</v>
      </c>
      <c r="E188" s="3">
        <v>27000</v>
      </c>
      <c r="F188" s="2" t="s">
        <v>16</v>
      </c>
      <c r="G188">
        <v>1.55E-2</v>
      </c>
      <c r="H188" s="9">
        <f t="shared" si="2"/>
        <v>0</v>
      </c>
      <c r="I188" t="s">
        <v>2378</v>
      </c>
      <c r="J188" t="s">
        <v>2379</v>
      </c>
    </row>
    <row r="189" spans="1:10" x14ac:dyDescent="0.3">
      <c r="A189" s="2" t="s">
        <v>1786</v>
      </c>
      <c r="B189" s="2" t="s">
        <v>65</v>
      </c>
      <c r="C189" s="2" t="s">
        <v>66</v>
      </c>
      <c r="D189" s="5">
        <v>-20</v>
      </c>
      <c r="E189" s="5">
        <v>-20</v>
      </c>
      <c r="F189" s="2" t="s">
        <v>23</v>
      </c>
      <c r="G189">
        <v>1.55E-2</v>
      </c>
      <c r="H189" s="9">
        <f t="shared" si="2"/>
        <v>-1290.3225806451612</v>
      </c>
      <c r="I189" t="s">
        <v>2378</v>
      </c>
      <c r="J189" t="s">
        <v>2379</v>
      </c>
    </row>
    <row r="190" spans="1:10" x14ac:dyDescent="0.3">
      <c r="A190" s="2" t="s">
        <v>1811</v>
      </c>
      <c r="B190" s="2" t="s">
        <v>740</v>
      </c>
      <c r="C190" s="2" t="s">
        <v>741</v>
      </c>
      <c r="D190" s="3">
        <v>21240</v>
      </c>
      <c r="E190" s="3">
        <v>21240</v>
      </c>
      <c r="F190" s="2" t="s">
        <v>16</v>
      </c>
      <c r="G190">
        <v>3.0499999999999999E-2</v>
      </c>
      <c r="H190" s="9">
        <f t="shared" si="2"/>
        <v>0</v>
      </c>
      <c r="I190" t="s">
        <v>740</v>
      </c>
      <c r="J190" t="s">
        <v>741</v>
      </c>
    </row>
    <row r="191" spans="1:10" x14ac:dyDescent="0.3">
      <c r="A191" s="2" t="s">
        <v>1832</v>
      </c>
      <c r="B191" s="2" t="s">
        <v>97</v>
      </c>
      <c r="C191" s="2" t="s">
        <v>98</v>
      </c>
      <c r="D191" s="3">
        <v>350400</v>
      </c>
      <c r="E191" s="3">
        <v>350400</v>
      </c>
      <c r="F191" s="2" t="s">
        <v>16</v>
      </c>
      <c r="G191">
        <v>5.1999999999999998E-2</v>
      </c>
      <c r="H191" s="9">
        <f t="shared" si="2"/>
        <v>0</v>
      </c>
      <c r="I191" t="s">
        <v>97</v>
      </c>
      <c r="J191" t="s">
        <v>98</v>
      </c>
    </row>
    <row r="192" spans="1:10" x14ac:dyDescent="0.3">
      <c r="A192" s="2" t="s">
        <v>1853</v>
      </c>
      <c r="B192" s="2" t="s">
        <v>1590</v>
      </c>
      <c r="C192" s="2" t="s">
        <v>1591</v>
      </c>
      <c r="D192" s="3">
        <v>2868480</v>
      </c>
      <c r="E192" s="3">
        <v>2868480</v>
      </c>
      <c r="F192" s="2" t="s">
        <v>16</v>
      </c>
      <c r="G192">
        <v>7.7999999999999996E-3</v>
      </c>
      <c r="H192" s="9">
        <f t="shared" si="2"/>
        <v>0</v>
      </c>
      <c r="I192" t="s">
        <v>1590</v>
      </c>
      <c r="J192" t="s">
        <v>1591</v>
      </c>
    </row>
    <row r="193" spans="1:10" x14ac:dyDescent="0.3">
      <c r="A193" s="2" t="s">
        <v>1882</v>
      </c>
      <c r="B193" s="2" t="s">
        <v>65</v>
      </c>
      <c r="C193" s="2" t="s">
        <v>66</v>
      </c>
      <c r="D193" s="5">
        <v>-498</v>
      </c>
      <c r="E193" s="5">
        <v>-498</v>
      </c>
      <c r="F193" s="2" t="s">
        <v>23</v>
      </c>
      <c r="G193">
        <v>5.1999999999999998E-2</v>
      </c>
      <c r="H193" s="9">
        <f t="shared" si="2"/>
        <v>-9576.923076923078</v>
      </c>
      <c r="I193" t="s">
        <v>1170</v>
      </c>
      <c r="J193" t="s">
        <v>1171</v>
      </c>
    </row>
    <row r="194" spans="1:10" x14ac:dyDescent="0.3">
      <c r="A194" s="2" t="s">
        <v>1882</v>
      </c>
      <c r="B194" s="2" t="s">
        <v>97</v>
      </c>
      <c r="C194" s="2" t="s">
        <v>98</v>
      </c>
      <c r="D194" s="3">
        <v>67200</v>
      </c>
      <c r="E194" s="3">
        <v>67200</v>
      </c>
      <c r="F194" s="2" t="s">
        <v>16</v>
      </c>
      <c r="G194">
        <v>5.1999999999999998E-2</v>
      </c>
      <c r="H194" s="9">
        <f t="shared" si="2"/>
        <v>0</v>
      </c>
      <c r="I194" t="s">
        <v>1170</v>
      </c>
      <c r="J194" t="s">
        <v>1171</v>
      </c>
    </row>
    <row r="195" spans="1:10" x14ac:dyDescent="0.3">
      <c r="A195" s="2" t="s">
        <v>1895</v>
      </c>
      <c r="B195" s="2" t="s">
        <v>27</v>
      </c>
      <c r="C195" s="2" t="s">
        <v>28</v>
      </c>
      <c r="D195" s="3">
        <v>317952</v>
      </c>
      <c r="E195" s="3">
        <v>317952</v>
      </c>
      <c r="F195" s="2" t="s">
        <v>16</v>
      </c>
      <c r="G195">
        <v>4.4999999999999998E-2</v>
      </c>
      <c r="H195" s="9">
        <f t="shared" ref="H195:H258" si="3">IFERROR(IF(LEFT(B195,1)="F",E195/G195,0),0)</f>
        <v>0</v>
      </c>
      <c r="I195" t="s">
        <v>27</v>
      </c>
      <c r="J195" t="s">
        <v>28</v>
      </c>
    </row>
    <row r="196" spans="1:10" x14ac:dyDescent="0.3">
      <c r="A196" s="2" t="s">
        <v>1900</v>
      </c>
      <c r="B196" s="2" t="s">
        <v>1170</v>
      </c>
      <c r="C196" s="2" t="s">
        <v>1171</v>
      </c>
      <c r="D196" s="3">
        <v>19200</v>
      </c>
      <c r="E196" s="3">
        <v>19200</v>
      </c>
      <c r="F196" s="2" t="s">
        <v>16</v>
      </c>
      <c r="G196">
        <v>5.1999999999999998E-2</v>
      </c>
      <c r="H196" s="9">
        <f t="shared" si="3"/>
        <v>0</v>
      </c>
      <c r="I196" t="s">
        <v>1170</v>
      </c>
      <c r="J196" t="s">
        <v>1171</v>
      </c>
    </row>
    <row r="197" spans="1:10" x14ac:dyDescent="0.3">
      <c r="A197" s="2" t="s">
        <v>1905</v>
      </c>
      <c r="B197" s="2" t="s">
        <v>426</v>
      </c>
      <c r="C197" s="2" t="s">
        <v>427</v>
      </c>
      <c r="D197" s="3">
        <v>92736</v>
      </c>
      <c r="E197" s="3">
        <v>92736</v>
      </c>
      <c r="F197" s="2" t="s">
        <v>16</v>
      </c>
      <c r="G197">
        <v>4.4999999999999998E-2</v>
      </c>
      <c r="H197" s="9">
        <f t="shared" si="3"/>
        <v>0</v>
      </c>
      <c r="I197" t="s">
        <v>426</v>
      </c>
      <c r="J197" t="s">
        <v>427</v>
      </c>
    </row>
    <row r="198" spans="1:10" x14ac:dyDescent="0.3">
      <c r="A198" s="2" t="s">
        <v>1914</v>
      </c>
      <c r="B198" s="2" t="s">
        <v>426</v>
      </c>
      <c r="C198" s="2" t="s">
        <v>427</v>
      </c>
      <c r="D198" s="3">
        <v>377568</v>
      </c>
      <c r="E198" s="3">
        <v>377568</v>
      </c>
      <c r="F198" s="2" t="s">
        <v>16</v>
      </c>
      <c r="G198">
        <v>4.4999999999999998E-2</v>
      </c>
      <c r="H198" s="9">
        <f t="shared" si="3"/>
        <v>0</v>
      </c>
      <c r="I198" t="s">
        <v>426</v>
      </c>
      <c r="J198" t="s">
        <v>427</v>
      </c>
    </row>
    <row r="199" spans="1:10" x14ac:dyDescent="0.3">
      <c r="A199" s="2" t="s">
        <v>1923</v>
      </c>
      <c r="B199" s="2" t="s">
        <v>1924</v>
      </c>
      <c r="C199" s="2" t="s">
        <v>1925</v>
      </c>
      <c r="D199" s="3">
        <v>324576</v>
      </c>
      <c r="E199" s="3">
        <v>324576</v>
      </c>
      <c r="F199" s="2" t="s">
        <v>16</v>
      </c>
      <c r="G199">
        <v>5.0099999999999999E-2</v>
      </c>
      <c r="H199" s="9">
        <f t="shared" si="3"/>
        <v>0</v>
      </c>
      <c r="I199" t="s">
        <v>1924</v>
      </c>
      <c r="J199" t="s">
        <v>1925</v>
      </c>
    </row>
    <row r="200" spans="1:10" x14ac:dyDescent="0.3">
      <c r="A200" s="2" t="s">
        <v>1949</v>
      </c>
      <c r="B200" s="2" t="s">
        <v>21</v>
      </c>
      <c r="C200" s="2" t="s">
        <v>22</v>
      </c>
      <c r="D200" s="5">
        <v>-298</v>
      </c>
      <c r="E200" s="5">
        <v>-298</v>
      </c>
      <c r="F200" s="2" t="s">
        <v>23</v>
      </c>
      <c r="G200">
        <v>4.4999999999999998E-2</v>
      </c>
      <c r="H200" s="9">
        <f t="shared" si="3"/>
        <v>-6622.2222222222226</v>
      </c>
      <c r="I200" t="s">
        <v>27</v>
      </c>
      <c r="J200" t="s">
        <v>28</v>
      </c>
    </row>
    <row r="201" spans="1:10" x14ac:dyDescent="0.3">
      <c r="A201" s="2" t="s">
        <v>1949</v>
      </c>
      <c r="B201" s="2" t="s">
        <v>27</v>
      </c>
      <c r="C201" s="2" t="s">
        <v>28</v>
      </c>
      <c r="D201" s="3">
        <v>66240</v>
      </c>
      <c r="E201" s="3">
        <v>66240</v>
      </c>
      <c r="F201" s="2" t="s">
        <v>16</v>
      </c>
      <c r="G201">
        <v>4.4999999999999998E-2</v>
      </c>
      <c r="H201" s="9">
        <f t="shared" si="3"/>
        <v>0</v>
      </c>
      <c r="I201" t="s">
        <v>27</v>
      </c>
      <c r="J201" t="s">
        <v>28</v>
      </c>
    </row>
    <row r="202" spans="1:10" x14ac:dyDescent="0.3">
      <c r="A202" s="2" t="s">
        <v>1962</v>
      </c>
      <c r="B202" s="2" t="s">
        <v>21</v>
      </c>
      <c r="C202" s="2" t="s">
        <v>22</v>
      </c>
      <c r="D202" s="5">
        <v>-40</v>
      </c>
      <c r="E202" s="5">
        <v>-40</v>
      </c>
      <c r="F202" s="2" t="s">
        <v>23</v>
      </c>
      <c r="G202">
        <v>4.4999999999999998E-2</v>
      </c>
      <c r="H202" s="9">
        <f t="shared" si="3"/>
        <v>-888.88888888888891</v>
      </c>
      <c r="I202" t="s">
        <v>121</v>
      </c>
      <c r="J202" t="s">
        <v>122</v>
      </c>
    </row>
    <row r="203" spans="1:10" x14ac:dyDescent="0.3">
      <c r="A203" s="2" t="s">
        <v>1962</v>
      </c>
      <c r="B203" s="2" t="s">
        <v>121</v>
      </c>
      <c r="C203" s="2" t="s">
        <v>122</v>
      </c>
      <c r="D203" s="3">
        <v>27248</v>
      </c>
      <c r="E203" s="3">
        <v>27248</v>
      </c>
      <c r="F203" s="2" t="s">
        <v>16</v>
      </c>
      <c r="G203">
        <v>4.4999999999999998E-2</v>
      </c>
      <c r="H203" s="9">
        <f t="shared" si="3"/>
        <v>0</v>
      </c>
      <c r="I203" t="s">
        <v>121</v>
      </c>
      <c r="J203" t="s">
        <v>122</v>
      </c>
    </row>
    <row r="204" spans="1:10" x14ac:dyDescent="0.3">
      <c r="A204" s="2" t="s">
        <v>1975</v>
      </c>
      <c r="B204" s="2" t="s">
        <v>27</v>
      </c>
      <c r="C204" s="2" t="s">
        <v>28</v>
      </c>
      <c r="D204" s="3">
        <v>13248</v>
      </c>
      <c r="E204" s="3">
        <v>13248</v>
      </c>
      <c r="F204" s="2" t="s">
        <v>16</v>
      </c>
      <c r="G204">
        <v>4.4999999999999998E-2</v>
      </c>
      <c r="H204" s="9">
        <f t="shared" si="3"/>
        <v>0</v>
      </c>
      <c r="I204" t="s">
        <v>121</v>
      </c>
      <c r="J204" t="s">
        <v>122</v>
      </c>
    </row>
    <row r="205" spans="1:10" x14ac:dyDescent="0.3">
      <c r="A205" s="2" t="s">
        <v>1980</v>
      </c>
      <c r="B205" s="2" t="s">
        <v>65</v>
      </c>
      <c r="C205" s="2" t="s">
        <v>66</v>
      </c>
      <c r="D205" s="5">
        <v>-241</v>
      </c>
      <c r="E205" s="5">
        <v>-241</v>
      </c>
      <c r="F205" s="2" t="s">
        <v>23</v>
      </c>
      <c r="G205">
        <v>1.35E-2</v>
      </c>
      <c r="H205" s="9">
        <f t="shared" si="3"/>
        <v>-17851.85185185185</v>
      </c>
      <c r="I205" t="s">
        <v>1989</v>
      </c>
      <c r="J205" t="s">
        <v>1990</v>
      </c>
    </row>
    <row r="206" spans="1:10" x14ac:dyDescent="0.3">
      <c r="A206" s="2" t="s">
        <v>1980</v>
      </c>
      <c r="B206" s="2" t="s">
        <v>1989</v>
      </c>
      <c r="C206" s="2" t="s">
        <v>1990</v>
      </c>
      <c r="D206" s="3">
        <v>285696</v>
      </c>
      <c r="E206" s="3">
        <v>285696</v>
      </c>
      <c r="F206" s="2" t="s">
        <v>16</v>
      </c>
      <c r="G206">
        <v>1.35E-2</v>
      </c>
      <c r="H206" s="9">
        <f t="shared" si="3"/>
        <v>0</v>
      </c>
      <c r="I206" t="s">
        <v>1989</v>
      </c>
      <c r="J206" t="s">
        <v>1990</v>
      </c>
    </row>
    <row r="207" spans="1:10" x14ac:dyDescent="0.3">
      <c r="A207" s="2" t="s">
        <v>1994</v>
      </c>
      <c r="B207" s="2" t="s">
        <v>65</v>
      </c>
      <c r="C207" s="2" t="s">
        <v>66</v>
      </c>
      <c r="D207" s="5">
        <v>-1340</v>
      </c>
      <c r="E207" s="5">
        <v>-1340</v>
      </c>
      <c r="F207" s="2" t="s">
        <v>23</v>
      </c>
      <c r="G207">
        <v>2.6600000000000002E-2</v>
      </c>
      <c r="H207" s="9">
        <f t="shared" si="3"/>
        <v>-50375.939849624054</v>
      </c>
      <c r="I207" t="s">
        <v>517</v>
      </c>
      <c r="J207" t="s">
        <v>518</v>
      </c>
    </row>
    <row r="208" spans="1:10" x14ac:dyDescent="0.3">
      <c r="A208" s="2" t="s">
        <v>1994</v>
      </c>
      <c r="B208" s="2" t="s">
        <v>517</v>
      </c>
      <c r="C208" s="2" t="s">
        <v>518</v>
      </c>
      <c r="D208" s="3">
        <v>342720</v>
      </c>
      <c r="E208" s="3">
        <v>342720</v>
      </c>
      <c r="F208" s="2" t="s">
        <v>16</v>
      </c>
      <c r="G208">
        <v>2.6600000000000002E-2</v>
      </c>
      <c r="H208" s="9">
        <f t="shared" si="3"/>
        <v>0</v>
      </c>
      <c r="I208" t="s">
        <v>517</v>
      </c>
      <c r="J208" t="s">
        <v>518</v>
      </c>
    </row>
    <row r="209" spans="1:10" x14ac:dyDescent="0.3">
      <c r="A209" s="2" t="s">
        <v>2007</v>
      </c>
      <c r="B209" s="2" t="s">
        <v>2008</v>
      </c>
      <c r="C209" s="2" t="s">
        <v>2009</v>
      </c>
      <c r="D209" s="3">
        <v>30240</v>
      </c>
      <c r="E209" s="3">
        <v>30240</v>
      </c>
      <c r="F209" s="2" t="s">
        <v>16</v>
      </c>
      <c r="G209">
        <v>2.6600000000000002E-2</v>
      </c>
      <c r="H209" s="9">
        <f t="shared" si="3"/>
        <v>0</v>
      </c>
      <c r="I209" t="s">
        <v>517</v>
      </c>
      <c r="J209" t="s">
        <v>518</v>
      </c>
    </row>
    <row r="210" spans="1:10" x14ac:dyDescent="0.3">
      <c r="A210" s="2" t="s">
        <v>2013</v>
      </c>
      <c r="B210" s="2" t="s">
        <v>1027</v>
      </c>
      <c r="C210" s="2" t="s">
        <v>1028</v>
      </c>
      <c r="D210" s="3">
        <v>307980</v>
      </c>
      <c r="E210" s="3">
        <v>307980</v>
      </c>
      <c r="F210" s="2" t="s">
        <v>16</v>
      </c>
      <c r="G210">
        <v>3.0499999999999999E-2</v>
      </c>
      <c r="H210" s="9">
        <f t="shared" si="3"/>
        <v>0</v>
      </c>
      <c r="I210" t="s">
        <v>1027</v>
      </c>
      <c r="J210" t="s">
        <v>1028</v>
      </c>
    </row>
    <row r="211" spans="1:10" x14ac:dyDescent="0.3">
      <c r="A211" s="2" t="s">
        <v>2022</v>
      </c>
      <c r="B211" s="2" t="s">
        <v>2023</v>
      </c>
      <c r="C211" s="2" t="s">
        <v>2024</v>
      </c>
      <c r="D211" s="3">
        <v>20640</v>
      </c>
      <c r="E211" s="3">
        <v>20640</v>
      </c>
      <c r="F211" s="2" t="s">
        <v>16</v>
      </c>
      <c r="G211">
        <v>1.4E-2</v>
      </c>
      <c r="H211" s="9">
        <f t="shared" si="3"/>
        <v>0</v>
      </c>
      <c r="I211" t="s">
        <v>2023</v>
      </c>
      <c r="J211" t="s">
        <v>2024</v>
      </c>
    </row>
    <row r="212" spans="1:10" x14ac:dyDescent="0.3">
      <c r="A212" s="2" t="s">
        <v>2028</v>
      </c>
      <c r="B212" s="2" t="s">
        <v>21</v>
      </c>
      <c r="C212" s="2" t="s">
        <v>22</v>
      </c>
      <c r="D212" s="5">
        <v>-353.92</v>
      </c>
      <c r="E212" s="5">
        <v>-353.92</v>
      </c>
      <c r="F212" s="2" t="s">
        <v>23</v>
      </c>
      <c r="G212">
        <v>1.4E-2</v>
      </c>
      <c r="H212" s="9">
        <f t="shared" si="3"/>
        <v>-25280</v>
      </c>
      <c r="I212" t="s">
        <v>2023</v>
      </c>
      <c r="J212" t="s">
        <v>2024</v>
      </c>
    </row>
    <row r="213" spans="1:10" x14ac:dyDescent="0.3">
      <c r="A213" s="2" t="s">
        <v>2028</v>
      </c>
      <c r="B213" s="2" t="s">
        <v>2023</v>
      </c>
      <c r="C213" s="2" t="s">
        <v>2024</v>
      </c>
      <c r="D213" s="3">
        <v>190400</v>
      </c>
      <c r="E213" s="3">
        <v>190400</v>
      </c>
      <c r="F213" s="2" t="s">
        <v>16</v>
      </c>
      <c r="G213">
        <v>1.4E-2</v>
      </c>
      <c r="H213" s="9">
        <f t="shared" si="3"/>
        <v>0</v>
      </c>
      <c r="I213" t="s">
        <v>2023</v>
      </c>
      <c r="J213" t="s">
        <v>2024</v>
      </c>
    </row>
    <row r="214" spans="1:10" x14ac:dyDescent="0.3">
      <c r="A214" s="2" t="s">
        <v>2041</v>
      </c>
      <c r="B214" s="2" t="s">
        <v>65</v>
      </c>
      <c r="C214" s="2" t="s">
        <v>66</v>
      </c>
      <c r="D214" s="5">
        <v>-228</v>
      </c>
      <c r="E214" s="5">
        <v>-228</v>
      </c>
      <c r="F214" s="2" t="s">
        <v>23</v>
      </c>
      <c r="G214">
        <v>3.5999999999999997E-2</v>
      </c>
      <c r="H214" s="9">
        <f t="shared" si="3"/>
        <v>-6333.3333333333339</v>
      </c>
      <c r="I214" t="s">
        <v>70</v>
      </c>
      <c r="J214" t="s">
        <v>71</v>
      </c>
    </row>
    <row r="215" spans="1:10" x14ac:dyDescent="0.3">
      <c r="A215" s="2" t="s">
        <v>2041</v>
      </c>
      <c r="B215" s="2" t="s">
        <v>70</v>
      </c>
      <c r="C215" s="2" t="s">
        <v>71</v>
      </c>
      <c r="D215" s="3">
        <v>69696</v>
      </c>
      <c r="E215" s="3">
        <v>69696</v>
      </c>
      <c r="F215" s="2" t="s">
        <v>16</v>
      </c>
      <c r="G215">
        <v>3.5999999999999997E-2</v>
      </c>
      <c r="H215" s="9">
        <f t="shared" si="3"/>
        <v>0</v>
      </c>
      <c r="I215" t="s">
        <v>70</v>
      </c>
      <c r="J215" t="s">
        <v>71</v>
      </c>
    </row>
    <row r="216" spans="1:10" x14ac:dyDescent="0.3">
      <c r="A216" s="2" t="s">
        <v>2050</v>
      </c>
      <c r="B216" s="2" t="s">
        <v>65</v>
      </c>
      <c r="C216" s="2" t="s">
        <v>66</v>
      </c>
      <c r="D216" s="5">
        <v>-241</v>
      </c>
      <c r="E216" s="5">
        <v>-241</v>
      </c>
      <c r="F216" s="2" t="s">
        <v>23</v>
      </c>
      <c r="G216">
        <v>1.35E-2</v>
      </c>
      <c r="H216" s="9">
        <f t="shared" si="3"/>
        <v>-17851.85185185185</v>
      </c>
      <c r="I216" t="s">
        <v>1989</v>
      </c>
      <c r="J216" t="s">
        <v>1990</v>
      </c>
    </row>
    <row r="217" spans="1:10" x14ac:dyDescent="0.3">
      <c r="A217" s="2" t="s">
        <v>2050</v>
      </c>
      <c r="B217" s="2" t="s">
        <v>1989</v>
      </c>
      <c r="C217" s="2" t="s">
        <v>1990</v>
      </c>
      <c r="D217" s="3">
        <v>53568</v>
      </c>
      <c r="E217" s="3">
        <v>53568</v>
      </c>
      <c r="F217" s="2" t="s">
        <v>16</v>
      </c>
      <c r="G217">
        <v>1.35E-2</v>
      </c>
      <c r="H217" s="9">
        <f t="shared" si="3"/>
        <v>0</v>
      </c>
      <c r="I217" t="s">
        <v>1989</v>
      </c>
      <c r="J217" t="s">
        <v>1990</v>
      </c>
    </row>
    <row r="218" spans="1:10" x14ac:dyDescent="0.3">
      <c r="A218" s="2" t="s">
        <v>2063</v>
      </c>
      <c r="B218" s="2" t="s">
        <v>1027</v>
      </c>
      <c r="C218" s="2" t="s">
        <v>1028</v>
      </c>
      <c r="D218" s="3">
        <v>785880</v>
      </c>
      <c r="E218" s="3">
        <v>785880</v>
      </c>
      <c r="F218" s="2" t="s">
        <v>16</v>
      </c>
      <c r="G218">
        <v>3.0499999999999999E-2</v>
      </c>
      <c r="H218" s="9">
        <f t="shared" si="3"/>
        <v>0</v>
      </c>
      <c r="I218" t="s">
        <v>1027</v>
      </c>
      <c r="J218" t="s">
        <v>1028</v>
      </c>
    </row>
    <row r="219" spans="1:10" x14ac:dyDescent="0.3">
      <c r="A219" s="2" t="s">
        <v>2068</v>
      </c>
      <c r="B219" s="2" t="s">
        <v>426</v>
      </c>
      <c r="C219" s="2" t="s">
        <v>427</v>
      </c>
      <c r="D219" s="3">
        <v>390816</v>
      </c>
      <c r="E219" s="3">
        <v>390816</v>
      </c>
      <c r="F219" s="2" t="s">
        <v>16</v>
      </c>
      <c r="G219">
        <v>4.4999999999999998E-2</v>
      </c>
      <c r="H219" s="9">
        <f t="shared" si="3"/>
        <v>0</v>
      </c>
      <c r="I219" t="s">
        <v>426</v>
      </c>
      <c r="J219" t="s">
        <v>427</v>
      </c>
    </row>
    <row r="220" spans="1:10" x14ac:dyDescent="0.3">
      <c r="A220" s="2" t="s">
        <v>2077</v>
      </c>
      <c r="B220" s="2" t="s">
        <v>65</v>
      </c>
      <c r="C220" s="2" t="s">
        <v>66</v>
      </c>
      <c r="D220" s="5">
        <v>-608</v>
      </c>
      <c r="E220" s="5">
        <v>-608</v>
      </c>
      <c r="F220" s="2" t="s">
        <v>23</v>
      </c>
      <c r="G220">
        <v>3.5999999999999997E-2</v>
      </c>
      <c r="H220" s="9">
        <f t="shared" si="3"/>
        <v>-16888.888888888891</v>
      </c>
      <c r="I220" t="s">
        <v>2086</v>
      </c>
      <c r="J220" t="s">
        <v>2087</v>
      </c>
    </row>
    <row r="221" spans="1:10" x14ac:dyDescent="0.3">
      <c r="A221" s="2" t="s">
        <v>2077</v>
      </c>
      <c r="B221" s="2" t="s">
        <v>2086</v>
      </c>
      <c r="C221" s="2" t="s">
        <v>2087</v>
      </c>
      <c r="D221" s="3">
        <v>84480</v>
      </c>
      <c r="E221" s="3">
        <v>84480</v>
      </c>
      <c r="F221" s="2" t="s">
        <v>16</v>
      </c>
      <c r="G221">
        <v>3.5999999999999997E-2</v>
      </c>
      <c r="H221" s="9">
        <f t="shared" si="3"/>
        <v>0</v>
      </c>
      <c r="I221" t="s">
        <v>2086</v>
      </c>
      <c r="J221" t="s">
        <v>2087</v>
      </c>
    </row>
    <row r="222" spans="1:10" x14ac:dyDescent="0.3">
      <c r="A222" s="2" t="s">
        <v>2091</v>
      </c>
      <c r="B222" s="2" t="s">
        <v>65</v>
      </c>
      <c r="C222" s="2" t="s">
        <v>66</v>
      </c>
      <c r="D222" s="5">
        <v>-940</v>
      </c>
      <c r="E222" s="5">
        <v>-940</v>
      </c>
      <c r="F222" s="2" t="s">
        <v>23</v>
      </c>
      <c r="G222">
        <v>3.0499999999999999E-2</v>
      </c>
      <c r="H222" s="9">
        <f t="shared" si="3"/>
        <v>-30819.672131147541</v>
      </c>
      <c r="I222" t="s">
        <v>103</v>
      </c>
      <c r="J222" t="s">
        <v>104</v>
      </c>
    </row>
    <row r="223" spans="1:10" x14ac:dyDescent="0.3">
      <c r="A223" s="2" t="s">
        <v>2091</v>
      </c>
      <c r="B223" s="2" t="s">
        <v>2100</v>
      </c>
      <c r="C223" s="2" t="s">
        <v>2101</v>
      </c>
      <c r="D223" s="3">
        <v>106200</v>
      </c>
      <c r="E223" s="3">
        <v>106200</v>
      </c>
      <c r="F223" s="2" t="s">
        <v>16</v>
      </c>
      <c r="G223">
        <v>3.0499999999999999E-2</v>
      </c>
      <c r="H223" s="9">
        <f t="shared" si="3"/>
        <v>0</v>
      </c>
      <c r="I223" t="s">
        <v>103</v>
      </c>
      <c r="J223" t="s">
        <v>104</v>
      </c>
    </row>
    <row r="224" spans="1:10" x14ac:dyDescent="0.3">
      <c r="A224" s="2" t="s">
        <v>2105</v>
      </c>
      <c r="B224" s="2" t="s">
        <v>740</v>
      </c>
      <c r="C224" s="2" t="s">
        <v>741</v>
      </c>
      <c r="D224" s="3">
        <v>31860</v>
      </c>
      <c r="E224" s="3">
        <v>31860</v>
      </c>
      <c r="F224" s="2" t="s">
        <v>16</v>
      </c>
      <c r="G224">
        <v>3.0499999999999999E-2</v>
      </c>
      <c r="H224" s="9">
        <f t="shared" si="3"/>
        <v>0</v>
      </c>
      <c r="I224" t="s">
        <v>103</v>
      </c>
      <c r="J224" t="s">
        <v>104</v>
      </c>
    </row>
    <row r="225" spans="1:10" x14ac:dyDescent="0.3">
      <c r="A225" s="2" t="s">
        <v>2110</v>
      </c>
      <c r="B225" s="2" t="s">
        <v>2115</v>
      </c>
      <c r="C225" s="2" t="s">
        <v>2116</v>
      </c>
      <c r="D225" s="3">
        <v>14400</v>
      </c>
      <c r="E225" s="3">
        <v>14400</v>
      </c>
      <c r="F225" s="2" t="s">
        <v>16</v>
      </c>
      <c r="G225">
        <v>5.0999999999999997E-2</v>
      </c>
      <c r="H225" s="9">
        <f t="shared" si="3"/>
        <v>0</v>
      </c>
      <c r="I225" t="s">
        <v>2115</v>
      </c>
      <c r="J225" t="s">
        <v>2116</v>
      </c>
    </row>
    <row r="226" spans="1:10" x14ac:dyDescent="0.3">
      <c r="A226" s="2" t="s">
        <v>2120</v>
      </c>
      <c r="B226" s="2" t="s">
        <v>2121</v>
      </c>
      <c r="C226" s="2" t="s">
        <v>2122</v>
      </c>
      <c r="D226" s="3">
        <v>19872</v>
      </c>
      <c r="E226" s="3">
        <v>19872</v>
      </c>
      <c r="F226" s="2" t="s">
        <v>16</v>
      </c>
      <c r="G226">
        <v>3.4000000000000002E-2</v>
      </c>
      <c r="H226" s="9">
        <f t="shared" si="3"/>
        <v>0</v>
      </c>
      <c r="I226" t="s">
        <v>2121</v>
      </c>
      <c r="J226" t="s">
        <v>2122</v>
      </c>
    </row>
    <row r="227" spans="1:10" x14ac:dyDescent="0.3">
      <c r="A227" s="2" t="s">
        <v>2126</v>
      </c>
      <c r="B227" s="2" t="s">
        <v>2127</v>
      </c>
      <c r="C227" s="2" t="s">
        <v>2128</v>
      </c>
      <c r="D227" s="3">
        <v>9936</v>
      </c>
      <c r="E227" s="3">
        <v>9936</v>
      </c>
      <c r="F227" s="2" t="s">
        <v>16</v>
      </c>
      <c r="G227">
        <v>3.4000000000000002E-2</v>
      </c>
      <c r="H227" s="9">
        <f t="shared" si="3"/>
        <v>0</v>
      </c>
      <c r="I227" t="s">
        <v>2127</v>
      </c>
      <c r="J227" t="s">
        <v>2128</v>
      </c>
    </row>
    <row r="228" spans="1:10" x14ac:dyDescent="0.3">
      <c r="A228" s="2" t="s">
        <v>2132</v>
      </c>
      <c r="B228" s="2" t="s">
        <v>740</v>
      </c>
      <c r="C228" s="2" t="s">
        <v>741</v>
      </c>
      <c r="D228" s="3">
        <v>605340</v>
      </c>
      <c r="E228" s="3">
        <v>605340</v>
      </c>
      <c r="F228" s="2" t="s">
        <v>16</v>
      </c>
      <c r="G228">
        <v>3.0499999999999999E-2</v>
      </c>
      <c r="H228" s="9">
        <f t="shared" si="3"/>
        <v>0</v>
      </c>
      <c r="I228" t="s">
        <v>740</v>
      </c>
      <c r="J228" t="s">
        <v>741</v>
      </c>
    </row>
    <row r="229" spans="1:10" x14ac:dyDescent="0.3">
      <c r="A229" s="2" t="s">
        <v>2137</v>
      </c>
      <c r="B229" s="2" t="s">
        <v>426</v>
      </c>
      <c r="C229" s="2" t="s">
        <v>427</v>
      </c>
      <c r="D229" s="3">
        <v>410688</v>
      </c>
      <c r="E229" s="3">
        <v>410688</v>
      </c>
      <c r="F229" s="2" t="s">
        <v>16</v>
      </c>
      <c r="G229">
        <v>4.4999999999999998E-2</v>
      </c>
      <c r="H229" s="9">
        <f t="shared" si="3"/>
        <v>0</v>
      </c>
      <c r="I229" t="s">
        <v>426</v>
      </c>
      <c r="J229" t="s">
        <v>427</v>
      </c>
    </row>
    <row r="230" spans="1:10" x14ac:dyDescent="0.3">
      <c r="A230" s="2" t="s">
        <v>2142</v>
      </c>
      <c r="B230" s="2" t="s">
        <v>86</v>
      </c>
      <c r="C230" s="2" t="s">
        <v>87</v>
      </c>
      <c r="D230" s="5">
        <v>-211</v>
      </c>
      <c r="E230" s="5">
        <v>-211</v>
      </c>
      <c r="F230" s="2" t="s">
        <v>23</v>
      </c>
      <c r="G230">
        <v>1.04E-2</v>
      </c>
      <c r="H230" s="9">
        <f t="shared" si="3"/>
        <v>-20288.461538461539</v>
      </c>
      <c r="I230" t="s">
        <v>783</v>
      </c>
      <c r="J230" t="s">
        <v>784</v>
      </c>
    </row>
    <row r="231" spans="1:10" x14ac:dyDescent="0.3">
      <c r="A231" s="2" t="s">
        <v>2142</v>
      </c>
      <c r="B231" s="2" t="s">
        <v>783</v>
      </c>
      <c r="C231" s="2" t="s">
        <v>784</v>
      </c>
      <c r="D231" s="3">
        <v>197752</v>
      </c>
      <c r="E231" s="3">
        <v>197752</v>
      </c>
      <c r="F231" s="2" t="s">
        <v>16</v>
      </c>
      <c r="G231">
        <v>1.04E-2</v>
      </c>
      <c r="H231" s="9">
        <f t="shared" si="3"/>
        <v>0</v>
      </c>
      <c r="I231" t="s">
        <v>783</v>
      </c>
      <c r="J231" t="s">
        <v>784</v>
      </c>
    </row>
    <row r="232" spans="1:10" x14ac:dyDescent="0.3">
      <c r="A232" s="2" t="s">
        <v>2151</v>
      </c>
      <c r="B232" s="2" t="s">
        <v>21</v>
      </c>
      <c r="C232" s="2" t="s">
        <v>22</v>
      </c>
      <c r="D232" s="5">
        <v>-323</v>
      </c>
      <c r="E232" s="5">
        <v>-323</v>
      </c>
      <c r="F232" s="2" t="s">
        <v>23</v>
      </c>
      <c r="G232">
        <v>3.0499999999999999E-2</v>
      </c>
      <c r="H232" s="9">
        <f t="shared" si="3"/>
        <v>-10590.163934426229</v>
      </c>
      <c r="I232" t="s">
        <v>1027</v>
      </c>
      <c r="J232" t="s">
        <v>1028</v>
      </c>
    </row>
    <row r="233" spans="1:10" x14ac:dyDescent="0.3">
      <c r="A233" s="2" t="s">
        <v>2151</v>
      </c>
      <c r="B233" s="2" t="s">
        <v>1027</v>
      </c>
      <c r="C233" s="2" t="s">
        <v>1028</v>
      </c>
      <c r="D233" s="3">
        <v>74340</v>
      </c>
      <c r="E233" s="3">
        <v>0</v>
      </c>
      <c r="F233" s="2" t="s">
        <v>16</v>
      </c>
      <c r="G233">
        <v>3.0499999999999999E-2</v>
      </c>
      <c r="H233" s="9">
        <f t="shared" si="3"/>
        <v>0</v>
      </c>
      <c r="I233" t="s">
        <v>1027</v>
      </c>
      <c r="J233" t="s">
        <v>1028</v>
      </c>
    </row>
    <row r="234" spans="1:10" x14ac:dyDescent="0.3">
      <c r="A234" s="2" t="s">
        <v>2151</v>
      </c>
      <c r="B234" s="2" t="s">
        <v>1512</v>
      </c>
      <c r="C234" s="2" t="s">
        <v>1513</v>
      </c>
      <c r="D234" s="3">
        <v>74340</v>
      </c>
      <c r="E234" s="3">
        <v>74340</v>
      </c>
      <c r="F234" s="2" t="s">
        <v>16</v>
      </c>
      <c r="G234">
        <v>3.0499999999999999E-2</v>
      </c>
      <c r="H234" s="9">
        <f t="shared" si="3"/>
        <v>0</v>
      </c>
      <c r="I234" t="s">
        <v>1027</v>
      </c>
      <c r="J234" t="s">
        <v>1028</v>
      </c>
    </row>
    <row r="235" spans="1:10" x14ac:dyDescent="0.3">
      <c r="A235" s="2" t="s">
        <v>2163</v>
      </c>
      <c r="B235" s="2" t="s">
        <v>1027</v>
      </c>
      <c r="C235" s="2" t="s">
        <v>1028</v>
      </c>
      <c r="D235" s="3">
        <v>53100</v>
      </c>
      <c r="E235" s="3">
        <v>0</v>
      </c>
      <c r="F235" s="2" t="s">
        <v>16</v>
      </c>
      <c r="G235">
        <v>3.0499999999999999E-2</v>
      </c>
      <c r="H235" s="9">
        <f t="shared" si="3"/>
        <v>0</v>
      </c>
      <c r="I235" t="s">
        <v>1027</v>
      </c>
      <c r="J235" t="s">
        <v>1028</v>
      </c>
    </row>
    <row r="236" spans="1:10" x14ac:dyDescent="0.3">
      <c r="A236" s="2" t="s">
        <v>2163</v>
      </c>
      <c r="B236" s="2" t="s">
        <v>2168</v>
      </c>
      <c r="C236" s="2" t="s">
        <v>2169</v>
      </c>
      <c r="D236" s="3">
        <v>53100</v>
      </c>
      <c r="E236" s="3">
        <v>53100</v>
      </c>
      <c r="F236" s="2" t="s">
        <v>16</v>
      </c>
      <c r="G236">
        <v>3.0499999999999999E-2</v>
      </c>
      <c r="H236" s="9">
        <f t="shared" si="3"/>
        <v>0</v>
      </c>
      <c r="I236" t="s">
        <v>1027</v>
      </c>
      <c r="J236" t="s">
        <v>1028</v>
      </c>
    </row>
    <row r="237" spans="1:10" x14ac:dyDescent="0.3">
      <c r="A237" s="2" t="s">
        <v>2172</v>
      </c>
      <c r="B237" s="2" t="s">
        <v>2168</v>
      </c>
      <c r="C237" s="2" t="s">
        <v>2169</v>
      </c>
      <c r="D237" s="3">
        <v>42480</v>
      </c>
      <c r="E237" s="3">
        <v>0</v>
      </c>
      <c r="F237" s="2" t="s">
        <v>16</v>
      </c>
      <c r="G237">
        <v>3.0499999999999999E-2</v>
      </c>
      <c r="H237" s="9">
        <f t="shared" si="3"/>
        <v>0</v>
      </c>
      <c r="I237" t="s">
        <v>1027</v>
      </c>
      <c r="J237" t="s">
        <v>1028</v>
      </c>
    </row>
    <row r="238" spans="1:10" x14ac:dyDescent="0.3">
      <c r="A238" s="2" t="s">
        <v>2172</v>
      </c>
      <c r="B238" s="2" t="s">
        <v>1027</v>
      </c>
      <c r="C238" s="2" t="s">
        <v>1028</v>
      </c>
      <c r="D238" s="3">
        <v>42480</v>
      </c>
      <c r="E238" s="3">
        <v>42480</v>
      </c>
      <c r="F238" s="2" t="s">
        <v>16</v>
      </c>
      <c r="G238">
        <v>3.0499999999999999E-2</v>
      </c>
      <c r="H238" s="9">
        <f t="shared" si="3"/>
        <v>0</v>
      </c>
      <c r="I238" t="s">
        <v>1027</v>
      </c>
      <c r="J238" t="s">
        <v>1028</v>
      </c>
    </row>
    <row r="239" spans="1:10" x14ac:dyDescent="0.3">
      <c r="A239" s="2" t="s">
        <v>2180</v>
      </c>
      <c r="B239" s="2" t="s">
        <v>2168</v>
      </c>
      <c r="C239" s="2" t="s">
        <v>2169</v>
      </c>
      <c r="D239" s="3">
        <v>10620</v>
      </c>
      <c r="E239" s="3">
        <v>10620</v>
      </c>
      <c r="F239" s="2" t="s">
        <v>16</v>
      </c>
      <c r="G239">
        <v>3.0499999999999999E-2</v>
      </c>
      <c r="H239" s="9">
        <f t="shared" si="3"/>
        <v>0</v>
      </c>
      <c r="I239" t="s">
        <v>2168</v>
      </c>
      <c r="J239" t="s">
        <v>2169</v>
      </c>
    </row>
    <row r="240" spans="1:10" x14ac:dyDescent="0.3">
      <c r="A240" s="2" t="s">
        <v>2185</v>
      </c>
      <c r="B240" s="2" t="s">
        <v>740</v>
      </c>
      <c r="C240" s="2" t="s">
        <v>741</v>
      </c>
      <c r="D240" s="3">
        <v>10620</v>
      </c>
      <c r="E240" s="3">
        <v>10620</v>
      </c>
      <c r="F240" s="2" t="s">
        <v>16</v>
      </c>
      <c r="G240">
        <v>3.0499999999999999E-2</v>
      </c>
      <c r="H240" s="9">
        <f t="shared" si="3"/>
        <v>0</v>
      </c>
      <c r="I240" t="s">
        <v>103</v>
      </c>
      <c r="J240" t="s">
        <v>104</v>
      </c>
    </row>
    <row r="241" spans="1:10" x14ac:dyDescent="0.3">
      <c r="A241" s="2" t="s">
        <v>2190</v>
      </c>
      <c r="B241" s="2" t="s">
        <v>2218</v>
      </c>
      <c r="C241" s="2" t="s">
        <v>2219</v>
      </c>
      <c r="D241" s="3">
        <v>1344</v>
      </c>
      <c r="E241" s="3">
        <v>1344</v>
      </c>
      <c r="F241" s="2" t="s">
        <v>16</v>
      </c>
      <c r="G241">
        <v>1.3</v>
      </c>
      <c r="H241" s="9">
        <f t="shared" si="3"/>
        <v>0</v>
      </c>
      <c r="I241" t="s">
        <v>2218</v>
      </c>
      <c r="J241" t="s">
        <v>2219</v>
      </c>
    </row>
    <row r="242" spans="1:10" x14ac:dyDescent="0.3">
      <c r="A242" s="2" t="s">
        <v>2223</v>
      </c>
      <c r="B242" s="2" t="s">
        <v>2168</v>
      </c>
      <c r="C242" s="2" t="s">
        <v>2169</v>
      </c>
      <c r="D242" s="3">
        <v>10620</v>
      </c>
      <c r="E242" s="3">
        <v>10620</v>
      </c>
      <c r="F242" s="2" t="s">
        <v>16</v>
      </c>
      <c r="G242">
        <v>3.0499999999999999E-2</v>
      </c>
      <c r="H242" s="9">
        <f t="shared" si="3"/>
        <v>0</v>
      </c>
      <c r="I242" t="s">
        <v>1027</v>
      </c>
      <c r="J242" t="s">
        <v>1028</v>
      </c>
    </row>
    <row r="243" spans="1:10" x14ac:dyDescent="0.3">
      <c r="A243" s="2" t="s">
        <v>2228</v>
      </c>
      <c r="B243" s="2" t="s">
        <v>2238</v>
      </c>
      <c r="C243" s="2" t="s">
        <v>2239</v>
      </c>
      <c r="D243" s="3">
        <v>38400</v>
      </c>
      <c r="E243" s="3">
        <v>0</v>
      </c>
      <c r="F243" s="2" t="s">
        <v>16</v>
      </c>
      <c r="G243" t="e">
        <v>#N/A</v>
      </c>
      <c r="H243" s="9">
        <f t="shared" si="3"/>
        <v>0</v>
      </c>
      <c r="I243" t="e">
        <v>#N/A</v>
      </c>
      <c r="J243" t="e">
        <v>#N/A</v>
      </c>
    </row>
    <row r="244" spans="1:10" x14ac:dyDescent="0.3">
      <c r="A244" s="2" t="s">
        <v>2243</v>
      </c>
      <c r="B244" s="2" t="s">
        <v>740</v>
      </c>
      <c r="C244" s="2" t="s">
        <v>741</v>
      </c>
      <c r="D244" s="3">
        <v>414180</v>
      </c>
      <c r="E244" s="3">
        <v>414180</v>
      </c>
      <c r="F244" s="2" t="s">
        <v>16</v>
      </c>
      <c r="G244">
        <v>3.0499999999999999E-2</v>
      </c>
      <c r="H244" s="9">
        <f t="shared" si="3"/>
        <v>0</v>
      </c>
      <c r="I244" t="s">
        <v>740</v>
      </c>
      <c r="J244" t="s">
        <v>741</v>
      </c>
    </row>
    <row r="245" spans="1:10" x14ac:dyDescent="0.3">
      <c r="A245" s="2" t="s">
        <v>2248</v>
      </c>
      <c r="B245" s="2" t="s">
        <v>1027</v>
      </c>
      <c r="C245" s="2" t="s">
        <v>1028</v>
      </c>
      <c r="D245" s="3">
        <v>10620</v>
      </c>
      <c r="E245" s="3">
        <v>0</v>
      </c>
      <c r="F245" s="2" t="s">
        <v>16</v>
      </c>
      <c r="G245">
        <v>3.0499999999999999E-2</v>
      </c>
      <c r="H245" s="9">
        <f t="shared" si="3"/>
        <v>0</v>
      </c>
      <c r="I245" t="s">
        <v>103</v>
      </c>
      <c r="J245" t="s">
        <v>104</v>
      </c>
    </row>
    <row r="246" spans="1:10" x14ac:dyDescent="0.3">
      <c r="A246" s="2" t="s">
        <v>2253</v>
      </c>
      <c r="B246" s="2" t="s">
        <v>1027</v>
      </c>
      <c r="C246" s="2" t="s">
        <v>1028</v>
      </c>
      <c r="D246" s="3">
        <v>10620</v>
      </c>
      <c r="E246" s="3">
        <v>0</v>
      </c>
      <c r="F246" s="2" t="s">
        <v>16</v>
      </c>
      <c r="G246">
        <v>3.0499999999999999E-2</v>
      </c>
      <c r="H246" s="9">
        <f t="shared" si="3"/>
        <v>0</v>
      </c>
      <c r="I246" t="s">
        <v>103</v>
      </c>
      <c r="J246" t="s">
        <v>104</v>
      </c>
    </row>
    <row r="247" spans="1:10" x14ac:dyDescent="0.3">
      <c r="A247" s="2" t="s">
        <v>2258</v>
      </c>
      <c r="B247" s="2" t="s">
        <v>103</v>
      </c>
      <c r="C247" s="2" t="s">
        <v>104</v>
      </c>
      <c r="D247" s="3">
        <v>10620</v>
      </c>
      <c r="E247" s="3">
        <v>10620</v>
      </c>
      <c r="F247" s="2" t="s">
        <v>16</v>
      </c>
      <c r="G247">
        <v>3.0499999999999999E-2</v>
      </c>
      <c r="H247" s="9">
        <f t="shared" si="3"/>
        <v>0</v>
      </c>
      <c r="I247" t="s">
        <v>1027</v>
      </c>
      <c r="J247" t="s">
        <v>1028</v>
      </c>
    </row>
    <row r="248" spans="1:10" x14ac:dyDescent="0.3">
      <c r="A248" s="2" t="s">
        <v>2263</v>
      </c>
      <c r="B248" s="2" t="s">
        <v>103</v>
      </c>
      <c r="C248" s="2" t="s">
        <v>104</v>
      </c>
      <c r="D248" s="3">
        <v>10620</v>
      </c>
      <c r="E248" s="3">
        <v>10620</v>
      </c>
      <c r="F248" s="2" t="s">
        <v>16</v>
      </c>
      <c r="G248">
        <v>3.0499999999999999E-2</v>
      </c>
      <c r="H248" s="9">
        <f t="shared" si="3"/>
        <v>0</v>
      </c>
      <c r="I248" t="s">
        <v>1027</v>
      </c>
      <c r="J248" t="s">
        <v>1028</v>
      </c>
    </row>
    <row r="249" spans="1:10" x14ac:dyDescent="0.3">
      <c r="A249" s="2" t="s">
        <v>2268</v>
      </c>
      <c r="B249" s="2" t="s">
        <v>103</v>
      </c>
      <c r="C249" s="2" t="s">
        <v>104</v>
      </c>
      <c r="D249" s="3">
        <v>10620</v>
      </c>
      <c r="E249" s="3">
        <v>10620</v>
      </c>
      <c r="F249" s="2" t="s">
        <v>16</v>
      </c>
      <c r="G249">
        <v>3.0499999999999999E-2</v>
      </c>
      <c r="H249" s="9">
        <f t="shared" si="3"/>
        <v>0</v>
      </c>
      <c r="I249" t="s">
        <v>740</v>
      </c>
      <c r="J249" t="s">
        <v>741</v>
      </c>
    </row>
    <row r="250" spans="1:10" x14ac:dyDescent="0.3">
      <c r="A250" s="2" t="s">
        <v>2273</v>
      </c>
      <c r="B250" s="2" t="s">
        <v>2168</v>
      </c>
      <c r="C250" s="2" t="s">
        <v>2169</v>
      </c>
      <c r="D250" s="3">
        <v>10620</v>
      </c>
      <c r="E250" s="3">
        <v>10620</v>
      </c>
      <c r="F250" s="2" t="s">
        <v>16</v>
      </c>
      <c r="G250">
        <v>3.0499999999999999E-2</v>
      </c>
      <c r="H250" s="9">
        <f t="shared" si="3"/>
        <v>0</v>
      </c>
      <c r="I250" t="s">
        <v>1027</v>
      </c>
      <c r="J250" t="s">
        <v>1028</v>
      </c>
    </row>
    <row r="251" spans="1:10" x14ac:dyDescent="0.3">
      <c r="A251" s="2" t="s">
        <v>2278</v>
      </c>
      <c r="B251" s="2" t="s">
        <v>426</v>
      </c>
      <c r="C251" s="2" t="s">
        <v>427</v>
      </c>
      <c r="D251" s="3">
        <v>271584</v>
      </c>
      <c r="E251" s="3">
        <v>271584</v>
      </c>
      <c r="F251" s="2" t="s">
        <v>16</v>
      </c>
      <c r="G251">
        <v>4.4999999999999998E-2</v>
      </c>
      <c r="H251" s="9">
        <f t="shared" si="3"/>
        <v>0</v>
      </c>
      <c r="I251" t="s">
        <v>426</v>
      </c>
      <c r="J251" t="s">
        <v>427</v>
      </c>
    </row>
    <row r="252" spans="1:10" x14ac:dyDescent="0.3">
      <c r="A252" s="2" t="s">
        <v>2287</v>
      </c>
      <c r="B252" s="2" t="s">
        <v>86</v>
      </c>
      <c r="C252" s="2" t="s">
        <v>87</v>
      </c>
      <c r="D252" s="5">
        <v>-222</v>
      </c>
      <c r="E252" s="5">
        <v>-222</v>
      </c>
      <c r="F252" s="2" t="s">
        <v>23</v>
      </c>
      <c r="G252">
        <v>7.45E-3</v>
      </c>
      <c r="H252" s="9">
        <f t="shared" si="3"/>
        <v>-29798.657718120805</v>
      </c>
      <c r="I252" t="s">
        <v>797</v>
      </c>
      <c r="J252" t="s">
        <v>798</v>
      </c>
    </row>
    <row r="253" spans="1:10" x14ac:dyDescent="0.3">
      <c r="A253" s="2" t="s">
        <v>2287</v>
      </c>
      <c r="B253" s="2" t="s">
        <v>797</v>
      </c>
      <c r="C253" s="2" t="s">
        <v>798</v>
      </c>
      <c r="D253" s="3">
        <v>298800</v>
      </c>
      <c r="E253" s="3">
        <v>298800</v>
      </c>
      <c r="F253" s="2" t="s">
        <v>16</v>
      </c>
      <c r="G253">
        <v>7.45E-3</v>
      </c>
      <c r="H253" s="9">
        <f t="shared" si="3"/>
        <v>0</v>
      </c>
      <c r="I253" t="s">
        <v>797</v>
      </c>
      <c r="J253" t="s">
        <v>798</v>
      </c>
    </row>
    <row r="254" spans="1:10" x14ac:dyDescent="0.3">
      <c r="A254" s="2" t="s">
        <v>2300</v>
      </c>
      <c r="B254" s="2" t="s">
        <v>2305</v>
      </c>
      <c r="C254" s="2" t="s">
        <v>2306</v>
      </c>
      <c r="D254" s="3">
        <v>76032</v>
      </c>
      <c r="E254" s="3">
        <v>76032</v>
      </c>
      <c r="F254" s="2" t="s">
        <v>16</v>
      </c>
      <c r="G254">
        <v>1.04E-2</v>
      </c>
      <c r="H254" s="9">
        <f t="shared" si="3"/>
        <v>0</v>
      </c>
      <c r="I254" t="s">
        <v>2305</v>
      </c>
      <c r="J254" t="s">
        <v>2306</v>
      </c>
    </row>
    <row r="255" spans="1:10" x14ac:dyDescent="0.3">
      <c r="A255" s="2" t="s">
        <v>2310</v>
      </c>
      <c r="B255" s="2" t="s">
        <v>2319</v>
      </c>
      <c r="C255" s="2" t="s">
        <v>2320</v>
      </c>
      <c r="D255" s="3">
        <v>126720</v>
      </c>
      <c r="E255" s="3">
        <v>126720</v>
      </c>
      <c r="F255" s="2" t="s">
        <v>16</v>
      </c>
      <c r="G255">
        <v>1.04E-2</v>
      </c>
      <c r="H255" s="9">
        <f t="shared" si="3"/>
        <v>0</v>
      </c>
      <c r="I255" t="s">
        <v>2305</v>
      </c>
      <c r="J255" t="s">
        <v>2306</v>
      </c>
    </row>
    <row r="256" spans="1:10" x14ac:dyDescent="0.3">
      <c r="A256" s="2" t="s">
        <v>2324</v>
      </c>
      <c r="B256" s="2" t="s">
        <v>1512</v>
      </c>
      <c r="C256" s="2" t="s">
        <v>1513</v>
      </c>
      <c r="D256" s="3">
        <v>42480</v>
      </c>
      <c r="E256" s="3">
        <v>42480</v>
      </c>
      <c r="F256" s="2" t="s">
        <v>16</v>
      </c>
      <c r="G256">
        <v>3.0499999999999999E-2</v>
      </c>
      <c r="H256" s="9">
        <f t="shared" si="3"/>
        <v>0</v>
      </c>
      <c r="I256" t="s">
        <v>1027</v>
      </c>
      <c r="J256" t="s">
        <v>1028</v>
      </c>
    </row>
    <row r="257" spans="1:10" x14ac:dyDescent="0.3">
      <c r="A257" s="2" t="s">
        <v>2337</v>
      </c>
      <c r="B257" s="2" t="s">
        <v>27</v>
      </c>
      <c r="C257" s="2" t="s">
        <v>28</v>
      </c>
      <c r="D257" s="3">
        <v>317952</v>
      </c>
      <c r="E257" s="3">
        <v>317952</v>
      </c>
      <c r="F257" s="2" t="s">
        <v>16</v>
      </c>
      <c r="G257">
        <v>4.4999999999999998E-2</v>
      </c>
      <c r="H257" s="9">
        <f t="shared" si="3"/>
        <v>0</v>
      </c>
      <c r="I257" t="s">
        <v>27</v>
      </c>
      <c r="J257" t="s">
        <v>28</v>
      </c>
    </row>
    <row r="258" spans="1:10" x14ac:dyDescent="0.3">
      <c r="A258" s="2" t="s">
        <v>2346</v>
      </c>
      <c r="B258" s="2" t="s">
        <v>27</v>
      </c>
      <c r="C258" s="2" t="s">
        <v>28</v>
      </c>
      <c r="D258" s="3">
        <v>145728</v>
      </c>
      <c r="E258" s="3">
        <v>145728</v>
      </c>
      <c r="F258" s="2" t="s">
        <v>16</v>
      </c>
      <c r="G258">
        <v>4.4999999999999998E-2</v>
      </c>
      <c r="H258" s="9">
        <f t="shared" si="3"/>
        <v>0</v>
      </c>
      <c r="I258" t="s">
        <v>27</v>
      </c>
      <c r="J258" t="s">
        <v>28</v>
      </c>
    </row>
    <row r="259" spans="1:10" x14ac:dyDescent="0.3">
      <c r="A259" s="2" t="s">
        <v>2355</v>
      </c>
      <c r="B259" s="2" t="s">
        <v>65</v>
      </c>
      <c r="C259" s="2" t="s">
        <v>66</v>
      </c>
      <c r="D259" s="5">
        <v>-324</v>
      </c>
      <c r="E259" s="5">
        <v>-324</v>
      </c>
      <c r="F259" s="2" t="s">
        <v>23</v>
      </c>
      <c r="G259">
        <v>9.6999999999999986E-3</v>
      </c>
      <c r="H259" s="9">
        <f t="shared" ref="H259:H322" si="4">IFERROR(IF(LEFT(B259,1)="F",E259/G259,0),0)</f>
        <v>-33402.061855670108</v>
      </c>
      <c r="I259" t="s">
        <v>59</v>
      </c>
      <c r="J259" t="s">
        <v>60</v>
      </c>
    </row>
    <row r="260" spans="1:10" x14ac:dyDescent="0.3">
      <c r="A260" s="2" t="s">
        <v>2355</v>
      </c>
      <c r="B260" s="2" t="s">
        <v>59</v>
      </c>
      <c r="C260" s="2" t="s">
        <v>60</v>
      </c>
      <c r="D260" s="3">
        <v>134935</v>
      </c>
      <c r="E260" s="3">
        <v>134935</v>
      </c>
      <c r="F260" s="2" t="s">
        <v>16</v>
      </c>
      <c r="G260">
        <v>9.6999999999999986E-3</v>
      </c>
      <c r="H260" s="9">
        <f t="shared" si="4"/>
        <v>0</v>
      </c>
      <c r="I260" t="s">
        <v>59</v>
      </c>
      <c r="J260" t="s">
        <v>60</v>
      </c>
    </row>
    <row r="261" spans="1:10" x14ac:dyDescent="0.3">
      <c r="A261" s="2" t="s">
        <v>2368</v>
      </c>
      <c r="B261" s="2" t="s">
        <v>289</v>
      </c>
      <c r="C261" s="2" t="s">
        <v>290</v>
      </c>
      <c r="D261" s="3">
        <v>18000</v>
      </c>
      <c r="E261" s="3">
        <v>18000</v>
      </c>
      <c r="F261" s="2" t="s">
        <v>16</v>
      </c>
      <c r="G261">
        <v>1.55E-2</v>
      </c>
      <c r="H261" s="9">
        <f t="shared" si="4"/>
        <v>0</v>
      </c>
      <c r="I261" t="s">
        <v>289</v>
      </c>
      <c r="J261" t="s">
        <v>290</v>
      </c>
    </row>
    <row r="262" spans="1:10" x14ac:dyDescent="0.3">
      <c r="A262" s="2" t="s">
        <v>2373</v>
      </c>
      <c r="B262" s="2" t="s">
        <v>65</v>
      </c>
      <c r="C262" s="2" t="s">
        <v>66</v>
      </c>
      <c r="D262" s="5">
        <v>-102</v>
      </c>
      <c r="E262" s="5">
        <v>-102</v>
      </c>
      <c r="F262" s="2" t="s">
        <v>23</v>
      </c>
      <c r="G262">
        <v>1.55E-2</v>
      </c>
      <c r="H262" s="9">
        <f t="shared" si="4"/>
        <v>-6580.6451612903229</v>
      </c>
      <c r="I262" t="s">
        <v>289</v>
      </c>
      <c r="J262" t="s">
        <v>290</v>
      </c>
    </row>
    <row r="263" spans="1:10" x14ac:dyDescent="0.3">
      <c r="A263" s="2" t="s">
        <v>2373</v>
      </c>
      <c r="B263" s="2" t="s">
        <v>2378</v>
      </c>
      <c r="C263" s="2" t="s">
        <v>2379</v>
      </c>
      <c r="D263" s="3">
        <v>51552</v>
      </c>
      <c r="E263" s="3">
        <v>51552</v>
      </c>
      <c r="F263" s="2" t="s">
        <v>16</v>
      </c>
      <c r="G263">
        <v>1.55E-2</v>
      </c>
      <c r="H263" s="9">
        <f t="shared" si="4"/>
        <v>0</v>
      </c>
      <c r="I263" t="s">
        <v>289</v>
      </c>
      <c r="J263" t="s">
        <v>290</v>
      </c>
    </row>
    <row r="264" spans="1:10" x14ac:dyDescent="0.3">
      <c r="A264" s="2" t="s">
        <v>2383</v>
      </c>
      <c r="B264" s="2" t="s">
        <v>1093</v>
      </c>
      <c r="C264" s="2" t="s">
        <v>1094</v>
      </c>
      <c r="D264" s="3">
        <v>208800</v>
      </c>
      <c r="E264" s="3">
        <v>208800</v>
      </c>
      <c r="F264" s="2" t="s">
        <v>16</v>
      </c>
      <c r="G264">
        <v>1.2500000000000001E-2</v>
      </c>
      <c r="H264" s="9">
        <f t="shared" si="4"/>
        <v>0</v>
      </c>
      <c r="I264" t="s">
        <v>1093</v>
      </c>
      <c r="J264" t="s">
        <v>1094</v>
      </c>
    </row>
    <row r="265" spans="1:10" x14ac:dyDescent="0.3">
      <c r="A265" s="2" t="s">
        <v>2392</v>
      </c>
      <c r="B265" s="2" t="s">
        <v>97</v>
      </c>
      <c r="C265" s="2" t="s">
        <v>98</v>
      </c>
      <c r="D265" s="3">
        <v>201600</v>
      </c>
      <c r="E265" s="3">
        <v>201600</v>
      </c>
      <c r="F265" s="2" t="s">
        <v>16</v>
      </c>
      <c r="G265">
        <v>5.1999999999999998E-2</v>
      </c>
      <c r="H265" s="9">
        <f t="shared" si="4"/>
        <v>0</v>
      </c>
      <c r="I265" t="s">
        <v>97</v>
      </c>
      <c r="J265" t="s">
        <v>98</v>
      </c>
    </row>
    <row r="266" spans="1:10" x14ac:dyDescent="0.3">
      <c r="A266" s="2" t="s">
        <v>2397</v>
      </c>
      <c r="B266" s="2" t="s">
        <v>86</v>
      </c>
      <c r="C266" s="2" t="s">
        <v>87</v>
      </c>
      <c r="D266" s="5">
        <v>-233</v>
      </c>
      <c r="E266" s="5">
        <v>-233</v>
      </c>
      <c r="F266" s="2" t="s">
        <v>23</v>
      </c>
      <c r="G266">
        <v>7.7999999999999996E-3</v>
      </c>
      <c r="H266" s="9">
        <f t="shared" si="4"/>
        <v>-29871.794871794875</v>
      </c>
      <c r="I266" t="s">
        <v>1445</v>
      </c>
      <c r="J266" t="s">
        <v>1446</v>
      </c>
    </row>
    <row r="267" spans="1:10" x14ac:dyDescent="0.3">
      <c r="A267" s="2" t="s">
        <v>2397</v>
      </c>
      <c r="B267" s="2" t="s">
        <v>1445</v>
      </c>
      <c r="C267" s="2" t="s">
        <v>1446</v>
      </c>
      <c r="D267" s="3">
        <v>298800</v>
      </c>
      <c r="E267" s="3">
        <v>298800</v>
      </c>
      <c r="F267" s="2" t="s">
        <v>16</v>
      </c>
      <c r="G267">
        <v>7.7999999999999996E-3</v>
      </c>
      <c r="H267" s="9">
        <f t="shared" si="4"/>
        <v>0</v>
      </c>
      <c r="I267" t="s">
        <v>1445</v>
      </c>
      <c r="J267" t="s">
        <v>1446</v>
      </c>
    </row>
    <row r="268" spans="1:10" x14ac:dyDescent="0.3">
      <c r="A268" s="2" t="s">
        <v>2410</v>
      </c>
      <c r="B268" s="2" t="s">
        <v>740</v>
      </c>
      <c r="C268" s="2" t="s">
        <v>741</v>
      </c>
      <c r="D268" s="3">
        <v>435420</v>
      </c>
      <c r="E268" s="3">
        <v>435420</v>
      </c>
      <c r="F268" s="2" t="s">
        <v>16</v>
      </c>
      <c r="G268">
        <v>3.0499999999999999E-2</v>
      </c>
      <c r="H268" s="9">
        <f t="shared" si="4"/>
        <v>0</v>
      </c>
      <c r="I268" t="s">
        <v>740</v>
      </c>
      <c r="J268" t="s">
        <v>741</v>
      </c>
    </row>
    <row r="269" spans="1:10" x14ac:dyDescent="0.3">
      <c r="A269" s="2" t="s">
        <v>2419</v>
      </c>
      <c r="B269" s="2" t="s">
        <v>97</v>
      </c>
      <c r="C269" s="2" t="s">
        <v>98</v>
      </c>
      <c r="D269" s="3">
        <v>297600</v>
      </c>
      <c r="E269" s="3">
        <v>297600</v>
      </c>
      <c r="F269" s="2" t="s">
        <v>16</v>
      </c>
      <c r="G269">
        <v>5.1999999999999998E-2</v>
      </c>
      <c r="H269" s="9">
        <f t="shared" si="4"/>
        <v>0</v>
      </c>
      <c r="I269" t="s">
        <v>97</v>
      </c>
      <c r="J269" t="s">
        <v>98</v>
      </c>
    </row>
    <row r="270" spans="1:10" x14ac:dyDescent="0.3">
      <c r="A270" s="2" t="s">
        <v>2428</v>
      </c>
      <c r="B270" s="2" t="s">
        <v>27</v>
      </c>
      <c r="C270" s="2" t="s">
        <v>28</v>
      </c>
      <c r="D270" s="3">
        <v>417312</v>
      </c>
      <c r="E270" s="3">
        <v>417312</v>
      </c>
      <c r="F270" s="2" t="s">
        <v>16</v>
      </c>
      <c r="G270">
        <v>4.4999999999999998E-2</v>
      </c>
      <c r="H270" s="9">
        <f t="shared" si="4"/>
        <v>0</v>
      </c>
      <c r="I270" t="s">
        <v>27</v>
      </c>
      <c r="J270" t="s">
        <v>28</v>
      </c>
    </row>
    <row r="271" spans="1:10" x14ac:dyDescent="0.3">
      <c r="A271" s="2" t="s">
        <v>2437</v>
      </c>
      <c r="B271" s="2" t="s">
        <v>1027</v>
      </c>
      <c r="C271" s="2" t="s">
        <v>1028</v>
      </c>
      <c r="D271" s="3">
        <v>63720</v>
      </c>
      <c r="E271" s="3">
        <v>63720</v>
      </c>
      <c r="F271" s="2" t="s">
        <v>16</v>
      </c>
      <c r="G271">
        <v>3.0499999999999999E-2</v>
      </c>
      <c r="H271" s="9">
        <f t="shared" si="4"/>
        <v>0</v>
      </c>
      <c r="I271" t="s">
        <v>1027</v>
      </c>
      <c r="J271" t="s">
        <v>1028</v>
      </c>
    </row>
    <row r="272" spans="1:10" x14ac:dyDescent="0.3">
      <c r="A272" s="2" t="s">
        <v>2446</v>
      </c>
      <c r="B272" s="2" t="s">
        <v>2238</v>
      </c>
      <c r="C272" s="2" t="s">
        <v>2239</v>
      </c>
      <c r="D272" s="3">
        <v>38400</v>
      </c>
      <c r="E272" s="3">
        <v>38400</v>
      </c>
      <c r="F272" s="2" t="s">
        <v>16</v>
      </c>
      <c r="G272">
        <v>1.35E-2</v>
      </c>
      <c r="H272" s="9">
        <f t="shared" si="4"/>
        <v>0</v>
      </c>
      <c r="I272" t="s">
        <v>5507</v>
      </c>
      <c r="J272" t="s">
        <v>5508</v>
      </c>
    </row>
    <row r="273" spans="1:10" x14ac:dyDescent="0.3">
      <c r="A273" s="2" t="s">
        <v>2455</v>
      </c>
      <c r="B273" s="2" t="s">
        <v>740</v>
      </c>
      <c r="C273" s="2" t="s">
        <v>741</v>
      </c>
      <c r="D273" s="3">
        <v>1072620</v>
      </c>
      <c r="E273" s="3">
        <v>1072620</v>
      </c>
      <c r="F273" s="2" t="s">
        <v>16</v>
      </c>
      <c r="G273">
        <v>3.0499999999999999E-2</v>
      </c>
      <c r="H273" s="9">
        <f t="shared" si="4"/>
        <v>0</v>
      </c>
      <c r="I273" t="s">
        <v>740</v>
      </c>
      <c r="J273" t="s">
        <v>741</v>
      </c>
    </row>
    <row r="274" spans="1:10" x14ac:dyDescent="0.3">
      <c r="A274" s="2" t="s">
        <v>2460</v>
      </c>
      <c r="B274" s="2" t="s">
        <v>1093</v>
      </c>
      <c r="C274" s="2" t="s">
        <v>1094</v>
      </c>
      <c r="D274" s="3">
        <v>30064</v>
      </c>
      <c r="E274" s="3">
        <v>30064</v>
      </c>
      <c r="F274" s="2" t="s">
        <v>16</v>
      </c>
      <c r="G274">
        <v>0</v>
      </c>
      <c r="H274" s="9">
        <f t="shared" si="4"/>
        <v>0</v>
      </c>
      <c r="I274" t="s">
        <v>65</v>
      </c>
      <c r="J274" t="s">
        <v>66</v>
      </c>
    </row>
    <row r="275" spans="1:10" x14ac:dyDescent="0.3">
      <c r="A275" s="2" t="s">
        <v>2460</v>
      </c>
      <c r="B275" s="2" t="s">
        <v>1924</v>
      </c>
      <c r="C275" s="2" t="s">
        <v>1925</v>
      </c>
      <c r="D275" s="3">
        <v>6624</v>
      </c>
      <c r="E275" s="3">
        <v>6624</v>
      </c>
      <c r="F275" s="2" t="s">
        <v>16</v>
      </c>
      <c r="G275">
        <v>0</v>
      </c>
      <c r="H275" s="9">
        <f t="shared" si="4"/>
        <v>0</v>
      </c>
      <c r="I275" t="s">
        <v>65</v>
      </c>
      <c r="J275" t="s">
        <v>66</v>
      </c>
    </row>
    <row r="276" spans="1:10" x14ac:dyDescent="0.3">
      <c r="A276" s="2" t="s">
        <v>2467</v>
      </c>
      <c r="B276" s="2" t="s">
        <v>2468</v>
      </c>
      <c r="C276" s="2" t="s">
        <v>2469</v>
      </c>
      <c r="D276" s="3">
        <v>6624</v>
      </c>
      <c r="E276" s="3">
        <v>6624</v>
      </c>
      <c r="F276" s="2" t="s">
        <v>16</v>
      </c>
      <c r="G276">
        <v>0</v>
      </c>
      <c r="H276" s="9">
        <f t="shared" si="4"/>
        <v>0</v>
      </c>
      <c r="I276" t="s">
        <v>21</v>
      </c>
      <c r="J276" t="s">
        <v>22</v>
      </c>
    </row>
    <row r="277" spans="1:10" x14ac:dyDescent="0.3">
      <c r="A277" s="2" t="s">
        <v>2467</v>
      </c>
      <c r="B277" s="2" t="s">
        <v>1027</v>
      </c>
      <c r="C277" s="2" t="s">
        <v>1028</v>
      </c>
      <c r="D277" s="3">
        <v>10620</v>
      </c>
      <c r="E277" s="3">
        <v>10620</v>
      </c>
      <c r="F277" s="2" t="s">
        <v>16</v>
      </c>
      <c r="G277">
        <v>0</v>
      </c>
      <c r="H277" s="9">
        <f t="shared" si="4"/>
        <v>0</v>
      </c>
      <c r="I277" t="s">
        <v>21</v>
      </c>
      <c r="J277" t="s">
        <v>22</v>
      </c>
    </row>
    <row r="278" spans="1:10" x14ac:dyDescent="0.3">
      <c r="A278" s="2" t="s">
        <v>2467</v>
      </c>
      <c r="B278" s="2" t="s">
        <v>2475</v>
      </c>
      <c r="C278" s="2" t="s">
        <v>2476</v>
      </c>
      <c r="D278" s="3">
        <v>6624</v>
      </c>
      <c r="E278" s="3">
        <v>6624</v>
      </c>
      <c r="F278" s="2" t="s">
        <v>16</v>
      </c>
      <c r="G278">
        <v>0</v>
      </c>
      <c r="H278" s="9">
        <f t="shared" si="4"/>
        <v>0</v>
      </c>
      <c r="I278" t="s">
        <v>21</v>
      </c>
      <c r="J278" t="s">
        <v>22</v>
      </c>
    </row>
    <row r="279" spans="1:10" x14ac:dyDescent="0.3">
      <c r="A279" s="2" t="s">
        <v>2479</v>
      </c>
      <c r="B279" s="2" t="s">
        <v>426</v>
      </c>
      <c r="C279" s="2" t="s">
        <v>427</v>
      </c>
      <c r="D279" s="3">
        <v>748512</v>
      </c>
      <c r="E279" s="3">
        <v>748512</v>
      </c>
      <c r="F279" s="2" t="s">
        <v>16</v>
      </c>
      <c r="G279">
        <v>4.4999999999999998E-2</v>
      </c>
      <c r="H279" s="9">
        <f t="shared" si="4"/>
        <v>0</v>
      </c>
      <c r="I279" t="s">
        <v>699</v>
      </c>
      <c r="J279" t="s">
        <v>700</v>
      </c>
    </row>
    <row r="280" spans="1:10" x14ac:dyDescent="0.3">
      <c r="A280" s="2" t="s">
        <v>2492</v>
      </c>
      <c r="B280" s="2" t="s">
        <v>27</v>
      </c>
      <c r="C280" s="2" t="s">
        <v>28</v>
      </c>
      <c r="D280" s="3">
        <v>662400</v>
      </c>
      <c r="E280" s="3">
        <v>662400</v>
      </c>
      <c r="F280" s="2" t="s">
        <v>16</v>
      </c>
      <c r="G280">
        <v>4.4999999999999998E-2</v>
      </c>
      <c r="H280" s="9">
        <f t="shared" si="4"/>
        <v>0</v>
      </c>
      <c r="I280" t="s">
        <v>121</v>
      </c>
      <c r="J280" t="s">
        <v>122</v>
      </c>
    </row>
    <row r="281" spans="1:10" x14ac:dyDescent="0.3">
      <c r="A281" s="2" t="s">
        <v>2505</v>
      </c>
      <c r="B281" s="2" t="s">
        <v>27</v>
      </c>
      <c r="C281" s="2" t="s">
        <v>28</v>
      </c>
      <c r="D281" s="3">
        <v>99360</v>
      </c>
      <c r="E281" s="3">
        <v>99360</v>
      </c>
      <c r="F281" s="2" t="s">
        <v>16</v>
      </c>
      <c r="G281">
        <v>4.4999999999999998E-2</v>
      </c>
      <c r="H281" s="9">
        <f t="shared" si="4"/>
        <v>0</v>
      </c>
      <c r="I281" t="s">
        <v>27</v>
      </c>
      <c r="J281" t="s">
        <v>28</v>
      </c>
    </row>
    <row r="282" spans="1:10" x14ac:dyDescent="0.3">
      <c r="A282" s="2" t="s">
        <v>2510</v>
      </c>
      <c r="B282" s="2" t="s">
        <v>1027</v>
      </c>
      <c r="C282" s="2" t="s">
        <v>1028</v>
      </c>
      <c r="D282" s="3">
        <v>1030140</v>
      </c>
      <c r="E282" s="3">
        <v>1030140</v>
      </c>
      <c r="F282" s="2" t="s">
        <v>16</v>
      </c>
      <c r="G282">
        <v>3.0499999999999999E-2</v>
      </c>
      <c r="H282" s="9">
        <f t="shared" si="4"/>
        <v>0</v>
      </c>
      <c r="I282" t="s">
        <v>1027</v>
      </c>
      <c r="J282" t="s">
        <v>1028</v>
      </c>
    </row>
    <row r="283" spans="1:10" x14ac:dyDescent="0.3">
      <c r="A283" s="2" t="s">
        <v>2515</v>
      </c>
      <c r="B283" s="2" t="s">
        <v>426</v>
      </c>
      <c r="C283" s="2" t="s">
        <v>427</v>
      </c>
      <c r="D283" s="3">
        <v>251712</v>
      </c>
      <c r="E283" s="3">
        <v>251712</v>
      </c>
      <c r="F283" s="2" t="s">
        <v>16</v>
      </c>
      <c r="G283">
        <v>4.4999999999999998E-2</v>
      </c>
      <c r="H283" s="9">
        <f t="shared" si="4"/>
        <v>0</v>
      </c>
      <c r="I283" t="s">
        <v>426</v>
      </c>
      <c r="J283" t="s">
        <v>427</v>
      </c>
    </row>
    <row r="284" spans="1:10" x14ac:dyDescent="0.3">
      <c r="A284" s="2" t="s">
        <v>2520</v>
      </c>
      <c r="B284" s="2" t="s">
        <v>97</v>
      </c>
      <c r="C284" s="2" t="s">
        <v>98</v>
      </c>
      <c r="D284" s="3">
        <v>403200</v>
      </c>
      <c r="E284" s="3">
        <v>403200</v>
      </c>
      <c r="F284" s="2" t="s">
        <v>16</v>
      </c>
      <c r="G284">
        <v>5.1999999999999998E-2</v>
      </c>
      <c r="H284" s="9">
        <f t="shared" si="4"/>
        <v>0</v>
      </c>
      <c r="I284" t="s">
        <v>97</v>
      </c>
      <c r="J284" t="s">
        <v>98</v>
      </c>
    </row>
    <row r="285" spans="1:10" x14ac:dyDescent="0.3">
      <c r="A285" s="2" t="s">
        <v>2525</v>
      </c>
      <c r="B285" s="2" t="s">
        <v>65</v>
      </c>
      <c r="C285" s="2" t="s">
        <v>66</v>
      </c>
      <c r="D285" s="5">
        <v>-249</v>
      </c>
      <c r="E285" s="5">
        <v>-249</v>
      </c>
      <c r="F285" s="2" t="s">
        <v>23</v>
      </c>
      <c r="G285">
        <v>5.1999999999999998E-2</v>
      </c>
      <c r="H285" s="9">
        <f t="shared" si="4"/>
        <v>-4788.461538461539</v>
      </c>
      <c r="I285" t="s">
        <v>1170</v>
      </c>
      <c r="J285" t="s">
        <v>1171</v>
      </c>
    </row>
    <row r="286" spans="1:10" x14ac:dyDescent="0.3">
      <c r="A286" s="2" t="s">
        <v>2525</v>
      </c>
      <c r="B286" s="2" t="s">
        <v>97</v>
      </c>
      <c r="C286" s="2" t="s">
        <v>98</v>
      </c>
      <c r="D286" s="3">
        <v>100800</v>
      </c>
      <c r="E286" s="3">
        <v>100800</v>
      </c>
      <c r="F286" s="2" t="s">
        <v>16</v>
      </c>
      <c r="G286">
        <v>5.1999999999999998E-2</v>
      </c>
      <c r="H286" s="9">
        <f t="shared" si="4"/>
        <v>0</v>
      </c>
      <c r="I286" t="s">
        <v>1170</v>
      </c>
      <c r="J286" t="s">
        <v>1171</v>
      </c>
    </row>
    <row r="287" spans="1:10" x14ac:dyDescent="0.3">
      <c r="A287" s="2" t="s">
        <v>2538</v>
      </c>
      <c r="B287" s="2" t="s">
        <v>2539</v>
      </c>
      <c r="C287" s="2" t="s">
        <v>2540</v>
      </c>
      <c r="D287" s="3">
        <v>62640</v>
      </c>
      <c r="E287" s="3">
        <v>62640</v>
      </c>
      <c r="F287" s="2" t="s">
        <v>16</v>
      </c>
      <c r="G287">
        <v>1.2500000000000001E-2</v>
      </c>
      <c r="H287" s="9">
        <f t="shared" si="4"/>
        <v>0</v>
      </c>
      <c r="I287" t="s">
        <v>1327</v>
      </c>
      <c r="J287" t="s">
        <v>1328</v>
      </c>
    </row>
    <row r="288" spans="1:10" x14ac:dyDescent="0.3">
      <c r="A288" s="2" t="s">
        <v>2544</v>
      </c>
      <c r="B288" s="2" t="s">
        <v>86</v>
      </c>
      <c r="C288" s="2" t="s">
        <v>87</v>
      </c>
      <c r="D288" s="5">
        <v>-198</v>
      </c>
      <c r="E288" s="5">
        <v>-198</v>
      </c>
      <c r="F288" s="2" t="s">
        <v>23</v>
      </c>
      <c r="G288">
        <v>1.2500000000000001E-2</v>
      </c>
      <c r="H288" s="9">
        <f t="shared" si="4"/>
        <v>-15840</v>
      </c>
      <c r="I288" t="s">
        <v>1327</v>
      </c>
      <c r="J288" t="s">
        <v>1328</v>
      </c>
    </row>
    <row r="289" spans="1:10" x14ac:dyDescent="0.3">
      <c r="A289" s="2" t="s">
        <v>2544</v>
      </c>
      <c r="B289" s="2" t="s">
        <v>1327</v>
      </c>
      <c r="C289" s="2" t="s">
        <v>1328</v>
      </c>
      <c r="D289" s="3">
        <v>57640</v>
      </c>
      <c r="E289" s="3">
        <v>57640</v>
      </c>
      <c r="F289" s="2" t="s">
        <v>16</v>
      </c>
      <c r="G289">
        <v>1.2500000000000001E-2</v>
      </c>
      <c r="H289" s="9">
        <f t="shared" si="4"/>
        <v>0</v>
      </c>
      <c r="I289" t="s">
        <v>1327</v>
      </c>
      <c r="J289" t="s">
        <v>1328</v>
      </c>
    </row>
    <row r="290" spans="1:10" x14ac:dyDescent="0.3">
      <c r="A290" s="2" t="s">
        <v>2553</v>
      </c>
      <c r="B290" s="2" t="s">
        <v>426</v>
      </c>
      <c r="C290" s="2" t="s">
        <v>427</v>
      </c>
      <c r="D290" s="3">
        <v>66240</v>
      </c>
      <c r="E290" s="3">
        <v>66240</v>
      </c>
      <c r="F290" s="2" t="s">
        <v>16</v>
      </c>
      <c r="G290">
        <v>4.4999999999999998E-2</v>
      </c>
      <c r="H290" s="9">
        <f t="shared" si="4"/>
        <v>0</v>
      </c>
      <c r="I290" t="s">
        <v>426</v>
      </c>
      <c r="J290" t="s">
        <v>427</v>
      </c>
    </row>
    <row r="291" spans="1:10" x14ac:dyDescent="0.3">
      <c r="A291" s="2" t="s">
        <v>2562</v>
      </c>
      <c r="B291" s="2" t="s">
        <v>1027</v>
      </c>
      <c r="C291" s="2" t="s">
        <v>1028</v>
      </c>
      <c r="D291" s="3">
        <v>838980</v>
      </c>
      <c r="E291" s="3">
        <v>838980</v>
      </c>
      <c r="F291" s="2" t="s">
        <v>16</v>
      </c>
      <c r="G291">
        <v>3.0499999999999999E-2</v>
      </c>
      <c r="H291" s="9">
        <f t="shared" si="4"/>
        <v>0</v>
      </c>
      <c r="I291" t="s">
        <v>1027</v>
      </c>
      <c r="J291" t="s">
        <v>1028</v>
      </c>
    </row>
    <row r="292" spans="1:10" x14ac:dyDescent="0.3">
      <c r="A292" s="2" t="s">
        <v>2571</v>
      </c>
      <c r="B292" s="2" t="s">
        <v>97</v>
      </c>
      <c r="C292" s="2" t="s">
        <v>98</v>
      </c>
      <c r="D292" s="3">
        <v>465600</v>
      </c>
      <c r="E292" s="3">
        <v>465600</v>
      </c>
      <c r="F292" s="2" t="s">
        <v>16</v>
      </c>
      <c r="G292">
        <v>5.1999999999999998E-2</v>
      </c>
      <c r="H292" s="9">
        <f t="shared" si="4"/>
        <v>0</v>
      </c>
      <c r="I292" t="s">
        <v>97</v>
      </c>
      <c r="J292" t="s">
        <v>98</v>
      </c>
    </row>
    <row r="293" spans="1:10" x14ac:dyDescent="0.3">
      <c r="A293" s="2" t="s">
        <v>2580</v>
      </c>
      <c r="B293" s="2" t="s">
        <v>27</v>
      </c>
      <c r="C293" s="2" t="s">
        <v>28</v>
      </c>
      <c r="D293" s="3">
        <v>132480</v>
      </c>
      <c r="E293" s="3">
        <v>132480</v>
      </c>
      <c r="F293" s="2" t="s">
        <v>16</v>
      </c>
      <c r="G293">
        <v>4.4999999999999998E-2</v>
      </c>
      <c r="H293" s="9">
        <f t="shared" si="4"/>
        <v>0</v>
      </c>
      <c r="I293" t="s">
        <v>27</v>
      </c>
      <c r="J293" t="s">
        <v>28</v>
      </c>
    </row>
    <row r="294" spans="1:10" x14ac:dyDescent="0.3">
      <c r="A294" s="2" t="s">
        <v>2589</v>
      </c>
      <c r="B294" s="2" t="s">
        <v>65</v>
      </c>
      <c r="C294" s="2" t="s">
        <v>66</v>
      </c>
      <c r="D294" s="5">
        <v>-249</v>
      </c>
      <c r="E294" s="5">
        <v>-249</v>
      </c>
      <c r="F294" s="2" t="s">
        <v>23</v>
      </c>
      <c r="G294">
        <v>5.1999999999999998E-2</v>
      </c>
      <c r="H294" s="9">
        <f t="shared" si="4"/>
        <v>-4788.461538461539</v>
      </c>
      <c r="I294" t="s">
        <v>1170</v>
      </c>
      <c r="J294" t="s">
        <v>1171</v>
      </c>
    </row>
    <row r="295" spans="1:10" x14ac:dyDescent="0.3">
      <c r="A295" s="2" t="s">
        <v>2589</v>
      </c>
      <c r="B295" s="2" t="s">
        <v>97</v>
      </c>
      <c r="C295" s="2" t="s">
        <v>98</v>
      </c>
      <c r="D295" s="3">
        <v>38400</v>
      </c>
      <c r="E295" s="3">
        <v>38400</v>
      </c>
      <c r="F295" s="2" t="s">
        <v>16</v>
      </c>
      <c r="G295">
        <v>5.1999999999999998E-2</v>
      </c>
      <c r="H295" s="9">
        <f t="shared" si="4"/>
        <v>0</v>
      </c>
      <c r="I295" t="s">
        <v>1170</v>
      </c>
      <c r="J295" t="s">
        <v>1171</v>
      </c>
    </row>
    <row r="296" spans="1:10" x14ac:dyDescent="0.3">
      <c r="A296" s="2" t="s">
        <v>2602</v>
      </c>
      <c r="B296" s="2" t="s">
        <v>65</v>
      </c>
      <c r="C296" s="2" t="s">
        <v>66</v>
      </c>
      <c r="D296" s="5">
        <v>-542</v>
      </c>
      <c r="E296" s="5">
        <v>-542</v>
      </c>
      <c r="F296" s="2" t="s">
        <v>23</v>
      </c>
      <c r="G296">
        <v>1.2699999999999999E-2</v>
      </c>
      <c r="H296" s="9">
        <f t="shared" si="4"/>
        <v>-42677.165354330711</v>
      </c>
      <c r="I296" t="s">
        <v>2611</v>
      </c>
      <c r="J296" t="s">
        <v>2612</v>
      </c>
    </row>
    <row r="297" spans="1:10" x14ac:dyDescent="0.3">
      <c r="A297" s="2" t="s">
        <v>2602</v>
      </c>
      <c r="B297" s="2" t="s">
        <v>2611</v>
      </c>
      <c r="C297" s="2" t="s">
        <v>2612</v>
      </c>
      <c r="D297" s="3">
        <v>362304</v>
      </c>
      <c r="E297" s="3">
        <v>362304</v>
      </c>
      <c r="F297" s="2" t="s">
        <v>16</v>
      </c>
      <c r="G297">
        <v>1.2699999999999999E-2</v>
      </c>
      <c r="H297" s="9">
        <f t="shared" si="4"/>
        <v>0</v>
      </c>
      <c r="I297" t="s">
        <v>2611</v>
      </c>
      <c r="J297" t="s">
        <v>2612</v>
      </c>
    </row>
    <row r="298" spans="1:10" x14ac:dyDescent="0.3">
      <c r="A298" s="2" t="s">
        <v>2616</v>
      </c>
      <c r="B298" s="2" t="s">
        <v>2218</v>
      </c>
      <c r="C298" s="2" t="s">
        <v>2219</v>
      </c>
      <c r="D298" s="3">
        <v>6048</v>
      </c>
      <c r="E298" s="3">
        <v>0</v>
      </c>
      <c r="F298" s="2" t="s">
        <v>23</v>
      </c>
      <c r="H298" s="9">
        <f t="shared" si="4"/>
        <v>0</v>
      </c>
      <c r="I298" t="e">
        <v>#N/A</v>
      </c>
      <c r="J298" t="e">
        <v>#N/A</v>
      </c>
    </row>
    <row r="299" spans="1:10" x14ac:dyDescent="0.3">
      <c r="A299" s="2" t="s">
        <v>2642</v>
      </c>
      <c r="B299" s="2" t="s">
        <v>2663</v>
      </c>
      <c r="C299" s="2" t="s">
        <v>2664</v>
      </c>
      <c r="D299" s="3">
        <v>2016</v>
      </c>
      <c r="E299" s="3">
        <v>0</v>
      </c>
      <c r="F299" s="2" t="s">
        <v>16</v>
      </c>
      <c r="H299" s="9">
        <f t="shared" si="4"/>
        <v>0</v>
      </c>
      <c r="I299" t="e">
        <v>#N/A</v>
      </c>
      <c r="J299" t="e">
        <v>#N/A</v>
      </c>
    </row>
    <row r="300" spans="1:10" x14ac:dyDescent="0.3">
      <c r="A300" s="2" t="s">
        <v>2668</v>
      </c>
      <c r="B300" s="2" t="s">
        <v>2673</v>
      </c>
      <c r="C300" s="2" t="s">
        <v>2674</v>
      </c>
      <c r="D300" s="3">
        <v>2016</v>
      </c>
      <c r="E300" s="3">
        <v>0</v>
      </c>
      <c r="F300" s="2" t="s">
        <v>16</v>
      </c>
      <c r="H300" s="9">
        <f t="shared" si="4"/>
        <v>0</v>
      </c>
      <c r="I300" t="e">
        <v>#N/A</v>
      </c>
      <c r="J300" t="e">
        <v>#N/A</v>
      </c>
    </row>
    <row r="301" spans="1:10" x14ac:dyDescent="0.3">
      <c r="A301" s="2" t="s">
        <v>2678</v>
      </c>
      <c r="B301" s="2" t="s">
        <v>2683</v>
      </c>
      <c r="C301" s="2" t="s">
        <v>2684</v>
      </c>
      <c r="D301" s="3">
        <v>2016</v>
      </c>
      <c r="E301" s="3">
        <v>0</v>
      </c>
      <c r="F301" s="2" t="s">
        <v>16</v>
      </c>
      <c r="H301" s="9">
        <f t="shared" si="4"/>
        <v>0</v>
      </c>
      <c r="I301" t="e">
        <v>#N/A</v>
      </c>
      <c r="J301" t="e">
        <v>#N/A</v>
      </c>
    </row>
    <row r="302" spans="1:10" x14ac:dyDescent="0.3">
      <c r="A302" s="2" t="s">
        <v>2688</v>
      </c>
      <c r="B302" s="2" t="s">
        <v>2689</v>
      </c>
      <c r="C302" s="2" t="s">
        <v>2690</v>
      </c>
      <c r="D302" s="3">
        <v>1344</v>
      </c>
      <c r="E302" s="3">
        <v>0</v>
      </c>
      <c r="F302" s="2" t="s">
        <v>16</v>
      </c>
      <c r="H302" s="9">
        <f t="shared" si="4"/>
        <v>0</v>
      </c>
      <c r="I302" t="e">
        <v>#N/A</v>
      </c>
      <c r="J302" t="e">
        <v>#N/A</v>
      </c>
    </row>
    <row r="303" spans="1:10" x14ac:dyDescent="0.3">
      <c r="A303" s="2" t="s">
        <v>2694</v>
      </c>
      <c r="B303" s="2" t="s">
        <v>1119</v>
      </c>
      <c r="C303" s="2" t="s">
        <v>1120</v>
      </c>
      <c r="D303" s="3">
        <v>1218240</v>
      </c>
      <c r="E303" s="3">
        <v>1218240</v>
      </c>
      <c r="F303" s="2" t="s">
        <v>16</v>
      </c>
      <c r="G303">
        <v>9.4000000000000004E-3</v>
      </c>
      <c r="H303" s="9">
        <f t="shared" si="4"/>
        <v>0</v>
      </c>
      <c r="I303" t="s">
        <v>1119</v>
      </c>
      <c r="J303" t="s">
        <v>1120</v>
      </c>
    </row>
    <row r="304" spans="1:10" x14ac:dyDescent="0.3">
      <c r="A304" s="2" t="s">
        <v>2703</v>
      </c>
      <c r="B304" s="2" t="s">
        <v>1445</v>
      </c>
      <c r="C304" s="2" t="s">
        <v>1446</v>
      </c>
      <c r="D304" s="3">
        <v>2330640</v>
      </c>
      <c r="E304" s="3">
        <v>2330640</v>
      </c>
      <c r="F304" s="2" t="s">
        <v>16</v>
      </c>
      <c r="G304">
        <v>7.7999999999999996E-3</v>
      </c>
      <c r="H304" s="9">
        <f t="shared" si="4"/>
        <v>0</v>
      </c>
      <c r="I304" t="s">
        <v>18367</v>
      </c>
      <c r="J304" t="s">
        <v>18456</v>
      </c>
    </row>
    <row r="305" spans="1:10" x14ac:dyDescent="0.3">
      <c r="A305" s="2" t="s">
        <v>2718</v>
      </c>
      <c r="B305" s="2" t="s">
        <v>2727</v>
      </c>
      <c r="C305" s="2" t="s">
        <v>2728</v>
      </c>
      <c r="D305" s="3">
        <v>3680100</v>
      </c>
      <c r="E305" s="3">
        <v>0</v>
      </c>
      <c r="F305" s="2" t="s">
        <v>16</v>
      </c>
      <c r="G305">
        <v>9.4000000000000004E-3</v>
      </c>
      <c r="H305" s="9">
        <f t="shared" si="4"/>
        <v>0</v>
      </c>
      <c r="I305" t="s">
        <v>4424</v>
      </c>
      <c r="J305" t="s">
        <v>4425</v>
      </c>
    </row>
    <row r="306" spans="1:10" x14ac:dyDescent="0.3">
      <c r="A306" s="2" t="s">
        <v>2732</v>
      </c>
      <c r="B306" s="2" t="s">
        <v>1445</v>
      </c>
      <c r="C306" s="2" t="s">
        <v>1446</v>
      </c>
      <c r="D306" s="3">
        <v>119520</v>
      </c>
      <c r="E306" s="3">
        <v>119520</v>
      </c>
      <c r="F306" s="2" t="s">
        <v>16</v>
      </c>
      <c r="G306">
        <v>7.7999999999999996E-3</v>
      </c>
      <c r="H306" s="9">
        <f t="shared" si="4"/>
        <v>0</v>
      </c>
      <c r="I306" t="s">
        <v>18367</v>
      </c>
      <c r="J306" t="s">
        <v>18456</v>
      </c>
    </row>
    <row r="307" spans="1:10" x14ac:dyDescent="0.3">
      <c r="A307" s="2" t="s">
        <v>2741</v>
      </c>
      <c r="B307" s="2" t="s">
        <v>1590</v>
      </c>
      <c r="C307" s="2" t="s">
        <v>1591</v>
      </c>
      <c r="D307" s="3">
        <v>657360</v>
      </c>
      <c r="E307" s="3">
        <v>0</v>
      </c>
      <c r="F307" s="2" t="s">
        <v>16</v>
      </c>
      <c r="G307">
        <v>7.7999999999999996E-3</v>
      </c>
      <c r="H307" s="9">
        <f t="shared" si="4"/>
        <v>0</v>
      </c>
      <c r="I307" t="s">
        <v>18367</v>
      </c>
      <c r="J307" t="s">
        <v>18456</v>
      </c>
    </row>
    <row r="308" spans="1:10" x14ac:dyDescent="0.3">
      <c r="A308" s="2" t="s">
        <v>2754</v>
      </c>
      <c r="B308" s="2" t="s">
        <v>65</v>
      </c>
      <c r="C308" s="2" t="s">
        <v>66</v>
      </c>
      <c r="D308" s="5">
        <v>-540</v>
      </c>
      <c r="E308" s="5">
        <v>-540</v>
      </c>
      <c r="F308" s="2" t="s">
        <v>23</v>
      </c>
      <c r="G308">
        <v>4.4999999999999998E-2</v>
      </c>
      <c r="H308" s="9">
        <f t="shared" si="4"/>
        <v>-12000</v>
      </c>
      <c r="I308" t="s">
        <v>426</v>
      </c>
      <c r="J308" t="s">
        <v>427</v>
      </c>
    </row>
    <row r="309" spans="1:10" x14ac:dyDescent="0.3">
      <c r="A309" s="2" t="s">
        <v>2754</v>
      </c>
      <c r="B309" s="2" t="s">
        <v>426</v>
      </c>
      <c r="C309" s="2" t="s">
        <v>427</v>
      </c>
      <c r="D309" s="3">
        <v>52992</v>
      </c>
      <c r="E309" s="3">
        <v>52992</v>
      </c>
      <c r="F309" s="2" t="s">
        <v>16</v>
      </c>
      <c r="G309">
        <v>4.4999999999999998E-2</v>
      </c>
      <c r="H309" s="9">
        <f t="shared" si="4"/>
        <v>0</v>
      </c>
      <c r="I309" t="s">
        <v>426</v>
      </c>
      <c r="J309" t="s">
        <v>427</v>
      </c>
    </row>
    <row r="310" spans="1:10" x14ac:dyDescent="0.3">
      <c r="A310" s="2" t="s">
        <v>2767</v>
      </c>
      <c r="B310" s="2" t="s">
        <v>1027</v>
      </c>
      <c r="C310" s="2" t="s">
        <v>1028</v>
      </c>
      <c r="D310" s="3">
        <v>1030140</v>
      </c>
      <c r="E310" s="3">
        <v>1030140</v>
      </c>
      <c r="F310" s="2" t="s">
        <v>16</v>
      </c>
      <c r="G310">
        <v>3.0499999999999999E-2</v>
      </c>
      <c r="H310" s="9">
        <f t="shared" si="4"/>
        <v>0</v>
      </c>
      <c r="I310" t="s">
        <v>1027</v>
      </c>
      <c r="J310" t="s">
        <v>1028</v>
      </c>
    </row>
    <row r="311" spans="1:10" x14ac:dyDescent="0.3">
      <c r="A311" s="2" t="s">
        <v>2776</v>
      </c>
      <c r="B311" s="2" t="s">
        <v>27</v>
      </c>
      <c r="C311" s="2" t="s">
        <v>28</v>
      </c>
      <c r="D311" s="3">
        <v>271584</v>
      </c>
      <c r="E311" s="3">
        <v>271584</v>
      </c>
      <c r="F311" s="2" t="s">
        <v>16</v>
      </c>
      <c r="G311">
        <v>4.4999999999999998E-2</v>
      </c>
      <c r="H311" s="9">
        <f t="shared" si="4"/>
        <v>0</v>
      </c>
      <c r="I311" t="s">
        <v>27</v>
      </c>
      <c r="J311" t="s">
        <v>28</v>
      </c>
    </row>
    <row r="312" spans="1:10" x14ac:dyDescent="0.3">
      <c r="A312" s="2" t="s">
        <v>2785</v>
      </c>
      <c r="B312" s="2" t="s">
        <v>86</v>
      </c>
      <c r="C312" s="2" t="s">
        <v>87</v>
      </c>
      <c r="D312" s="5">
        <v>-1770</v>
      </c>
      <c r="E312" s="5">
        <v>-1770</v>
      </c>
      <c r="F312" s="2" t="s">
        <v>23</v>
      </c>
      <c r="G312">
        <v>2.93E-2</v>
      </c>
      <c r="H312" s="9">
        <f t="shared" si="4"/>
        <v>-60409.556313993176</v>
      </c>
      <c r="I312" t="s">
        <v>341</v>
      </c>
      <c r="J312" t="s">
        <v>342</v>
      </c>
    </row>
    <row r="313" spans="1:10" x14ac:dyDescent="0.3">
      <c r="A313" s="2" t="s">
        <v>2785</v>
      </c>
      <c r="B313" s="2" t="s">
        <v>341</v>
      </c>
      <c r="C313" s="2" t="s">
        <v>342</v>
      </c>
      <c r="D313" s="3">
        <v>443520</v>
      </c>
      <c r="E313" s="3">
        <v>443520</v>
      </c>
      <c r="F313" s="2" t="s">
        <v>16</v>
      </c>
      <c r="G313">
        <v>2.93E-2</v>
      </c>
      <c r="H313" s="9">
        <f t="shared" si="4"/>
        <v>0</v>
      </c>
      <c r="I313" t="s">
        <v>341</v>
      </c>
      <c r="J313" t="s">
        <v>342</v>
      </c>
    </row>
    <row r="314" spans="1:10" x14ac:dyDescent="0.3">
      <c r="A314" s="2" t="s">
        <v>2794</v>
      </c>
      <c r="B314" s="2" t="s">
        <v>86</v>
      </c>
      <c r="C314" s="2" t="s">
        <v>87</v>
      </c>
      <c r="D314" s="5">
        <v>-140</v>
      </c>
      <c r="E314" s="3">
        <v>0</v>
      </c>
      <c r="F314" s="2" t="s">
        <v>23</v>
      </c>
      <c r="G314">
        <v>2.6600000000000002E-2</v>
      </c>
      <c r="H314" s="9">
        <f t="shared" si="4"/>
        <v>0</v>
      </c>
      <c r="I314" t="s">
        <v>2803</v>
      </c>
      <c r="J314" t="s">
        <v>2804</v>
      </c>
    </row>
    <row r="315" spans="1:10" x14ac:dyDescent="0.3">
      <c r="A315" s="2" t="s">
        <v>2794</v>
      </c>
      <c r="B315" s="2" t="s">
        <v>2803</v>
      </c>
      <c r="C315" s="2" t="s">
        <v>2804</v>
      </c>
      <c r="D315" s="3">
        <v>30240</v>
      </c>
      <c r="E315" s="3">
        <v>30240</v>
      </c>
      <c r="F315" s="2" t="s">
        <v>16</v>
      </c>
      <c r="G315">
        <v>2.6600000000000002E-2</v>
      </c>
      <c r="H315" s="9">
        <f t="shared" si="4"/>
        <v>0</v>
      </c>
      <c r="I315" t="s">
        <v>2803</v>
      </c>
      <c r="J315" t="s">
        <v>2804</v>
      </c>
    </row>
    <row r="316" spans="1:10" x14ac:dyDescent="0.3">
      <c r="A316" s="2" t="s">
        <v>2808</v>
      </c>
      <c r="B316" s="2" t="s">
        <v>86</v>
      </c>
      <c r="C316" s="2" t="s">
        <v>87</v>
      </c>
      <c r="D316" s="5">
        <v>-1180</v>
      </c>
      <c r="E316" s="5">
        <v>-1180</v>
      </c>
      <c r="F316" s="2" t="s">
        <v>23</v>
      </c>
      <c r="G316">
        <v>2.93E-2</v>
      </c>
      <c r="H316" s="9">
        <f t="shared" si="4"/>
        <v>-40273.037542662118</v>
      </c>
      <c r="I316" t="s">
        <v>341</v>
      </c>
      <c r="J316" t="s">
        <v>342</v>
      </c>
    </row>
    <row r="317" spans="1:10" x14ac:dyDescent="0.3">
      <c r="A317" s="2" t="s">
        <v>2808</v>
      </c>
      <c r="B317" s="2" t="s">
        <v>341</v>
      </c>
      <c r="C317" s="2" t="s">
        <v>342</v>
      </c>
      <c r="D317" s="3">
        <v>352800</v>
      </c>
      <c r="E317" s="3">
        <v>352800</v>
      </c>
      <c r="F317" s="2" t="s">
        <v>16</v>
      </c>
      <c r="G317">
        <v>2.93E-2</v>
      </c>
      <c r="H317" s="9">
        <f t="shared" si="4"/>
        <v>0</v>
      </c>
      <c r="I317" t="s">
        <v>341</v>
      </c>
      <c r="J317" t="s">
        <v>342</v>
      </c>
    </row>
    <row r="318" spans="1:10" x14ac:dyDescent="0.3">
      <c r="A318" s="2" t="s">
        <v>2821</v>
      </c>
      <c r="B318" s="2" t="s">
        <v>21</v>
      </c>
      <c r="C318" s="2" t="s">
        <v>22</v>
      </c>
      <c r="D318" s="5">
        <v>-454</v>
      </c>
      <c r="E318" s="5">
        <v>-454</v>
      </c>
      <c r="F318" s="2" t="s">
        <v>23</v>
      </c>
      <c r="G318">
        <v>4.4999999999999998E-2</v>
      </c>
      <c r="H318" s="9">
        <f t="shared" si="4"/>
        <v>-10088.888888888889</v>
      </c>
      <c r="I318" t="s">
        <v>27</v>
      </c>
      <c r="J318" t="s">
        <v>28</v>
      </c>
    </row>
    <row r="319" spans="1:10" x14ac:dyDescent="0.3">
      <c r="A319" s="2" t="s">
        <v>2821</v>
      </c>
      <c r="B319" s="2" t="s">
        <v>27</v>
      </c>
      <c r="C319" s="2" t="s">
        <v>28</v>
      </c>
      <c r="D319" s="3">
        <v>96192</v>
      </c>
      <c r="E319" s="3">
        <v>96192</v>
      </c>
      <c r="F319" s="2" t="s">
        <v>16</v>
      </c>
      <c r="G319">
        <v>4.4999999999999998E-2</v>
      </c>
      <c r="H319" s="9">
        <f t="shared" si="4"/>
        <v>0</v>
      </c>
      <c r="I319" t="s">
        <v>27</v>
      </c>
      <c r="J319" t="s">
        <v>28</v>
      </c>
    </row>
    <row r="320" spans="1:10" x14ac:dyDescent="0.3">
      <c r="A320" s="2" t="s">
        <v>2834</v>
      </c>
      <c r="B320" s="2" t="s">
        <v>121</v>
      </c>
      <c r="C320" s="2" t="s">
        <v>122</v>
      </c>
      <c r="D320" s="3">
        <v>13248</v>
      </c>
      <c r="E320" s="3">
        <v>13248</v>
      </c>
      <c r="F320" s="2" t="s">
        <v>16</v>
      </c>
      <c r="G320">
        <v>4.4999999999999998E-2</v>
      </c>
      <c r="H320" s="9">
        <f t="shared" si="4"/>
        <v>0</v>
      </c>
      <c r="I320" t="s">
        <v>27</v>
      </c>
      <c r="J320" t="s">
        <v>28</v>
      </c>
    </row>
    <row r="321" spans="1:10" x14ac:dyDescent="0.3">
      <c r="A321" s="2" t="s">
        <v>2839</v>
      </c>
      <c r="B321" s="2" t="s">
        <v>2840</v>
      </c>
      <c r="C321" s="2" t="s">
        <v>2841</v>
      </c>
      <c r="D321" s="3">
        <v>20160</v>
      </c>
      <c r="E321" s="3">
        <v>20160</v>
      </c>
      <c r="F321" s="2" t="s">
        <v>16</v>
      </c>
      <c r="G321">
        <v>2.6600000000000002E-2</v>
      </c>
      <c r="H321" s="9">
        <f t="shared" si="4"/>
        <v>0</v>
      </c>
      <c r="I321" t="s">
        <v>2840</v>
      </c>
      <c r="J321" t="s">
        <v>2841</v>
      </c>
    </row>
    <row r="322" spans="1:10" x14ac:dyDescent="0.3">
      <c r="A322" s="2" t="s">
        <v>2845</v>
      </c>
      <c r="B322" s="2" t="s">
        <v>21</v>
      </c>
      <c r="C322" s="2" t="s">
        <v>22</v>
      </c>
      <c r="D322" s="5">
        <v>-323</v>
      </c>
      <c r="E322" s="5">
        <v>-323</v>
      </c>
      <c r="F322" s="2" t="s">
        <v>23</v>
      </c>
      <c r="G322">
        <v>3.0499999999999999E-2</v>
      </c>
      <c r="H322" s="9">
        <f t="shared" si="4"/>
        <v>-10590.163934426229</v>
      </c>
      <c r="I322" t="s">
        <v>1027</v>
      </c>
      <c r="J322" t="s">
        <v>1028</v>
      </c>
    </row>
    <row r="323" spans="1:10" x14ac:dyDescent="0.3">
      <c r="A323" s="2" t="s">
        <v>2845</v>
      </c>
      <c r="B323" s="2" t="s">
        <v>1027</v>
      </c>
      <c r="C323" s="2" t="s">
        <v>1028</v>
      </c>
      <c r="D323" s="3">
        <v>223020</v>
      </c>
      <c r="E323" s="3">
        <v>223020</v>
      </c>
      <c r="F323" s="2" t="s">
        <v>16</v>
      </c>
      <c r="G323">
        <v>3.0499999999999999E-2</v>
      </c>
      <c r="H323" s="9">
        <f t="shared" ref="H323:H386" si="5">IFERROR(IF(LEFT(B323,1)="F",E323/G323,0),0)</f>
        <v>0</v>
      </c>
      <c r="I323" t="s">
        <v>1027</v>
      </c>
      <c r="J323" t="s">
        <v>1028</v>
      </c>
    </row>
    <row r="324" spans="1:10" x14ac:dyDescent="0.3">
      <c r="A324" s="2" t="s">
        <v>2858</v>
      </c>
      <c r="B324" s="2" t="s">
        <v>1512</v>
      </c>
      <c r="C324" s="2" t="s">
        <v>1513</v>
      </c>
      <c r="D324" s="3">
        <v>31860</v>
      </c>
      <c r="E324" s="3">
        <v>31860</v>
      </c>
      <c r="F324" s="2" t="s">
        <v>16</v>
      </c>
      <c r="G324">
        <v>3.0499999999999999E-2</v>
      </c>
      <c r="H324" s="9">
        <f t="shared" si="5"/>
        <v>0</v>
      </c>
      <c r="I324" t="s">
        <v>1027</v>
      </c>
      <c r="J324" t="s">
        <v>1028</v>
      </c>
    </row>
    <row r="325" spans="1:10" x14ac:dyDescent="0.3">
      <c r="A325" s="2" t="s">
        <v>2867</v>
      </c>
      <c r="B325" s="2" t="s">
        <v>2168</v>
      </c>
      <c r="C325" s="2" t="s">
        <v>2169</v>
      </c>
      <c r="D325" s="3">
        <v>10620</v>
      </c>
      <c r="E325" s="3">
        <v>10620</v>
      </c>
      <c r="F325" s="2" t="s">
        <v>16</v>
      </c>
      <c r="G325">
        <v>3.0499999999999999E-2</v>
      </c>
      <c r="H325" s="9">
        <f t="shared" si="5"/>
        <v>0</v>
      </c>
      <c r="I325" t="s">
        <v>1027</v>
      </c>
      <c r="J325" t="s">
        <v>1028</v>
      </c>
    </row>
    <row r="326" spans="1:10" x14ac:dyDescent="0.3">
      <c r="A326" s="2" t="s">
        <v>2872</v>
      </c>
      <c r="B326" s="2" t="s">
        <v>65</v>
      </c>
      <c r="C326" s="2" t="s">
        <v>66</v>
      </c>
      <c r="D326" s="5">
        <v>-249</v>
      </c>
      <c r="E326" s="5">
        <v>-249</v>
      </c>
      <c r="F326" s="2" t="s">
        <v>23</v>
      </c>
      <c r="G326">
        <v>5.1999999999999998E-2</v>
      </c>
      <c r="H326" s="9">
        <f t="shared" si="5"/>
        <v>-4788.461538461539</v>
      </c>
      <c r="I326" t="s">
        <v>1170</v>
      </c>
      <c r="J326" t="s">
        <v>1171</v>
      </c>
    </row>
    <row r="327" spans="1:10" x14ac:dyDescent="0.3">
      <c r="A327" s="2" t="s">
        <v>2872</v>
      </c>
      <c r="B327" s="2" t="s">
        <v>97</v>
      </c>
      <c r="C327" s="2" t="s">
        <v>98</v>
      </c>
      <c r="D327" s="3">
        <v>38400</v>
      </c>
      <c r="E327" s="3">
        <v>38400</v>
      </c>
      <c r="F327" s="2" t="s">
        <v>16</v>
      </c>
      <c r="G327">
        <v>5.1999999999999998E-2</v>
      </c>
      <c r="H327" s="9">
        <f t="shared" si="5"/>
        <v>0</v>
      </c>
      <c r="I327" t="s">
        <v>1170</v>
      </c>
      <c r="J327" t="s">
        <v>1171</v>
      </c>
    </row>
    <row r="328" spans="1:10" x14ac:dyDescent="0.3">
      <c r="A328" s="2" t="s">
        <v>2885</v>
      </c>
      <c r="B328" s="2" t="s">
        <v>2727</v>
      </c>
      <c r="C328" s="2" t="s">
        <v>2728</v>
      </c>
      <c r="D328" s="3">
        <v>1218240</v>
      </c>
      <c r="E328" s="3">
        <v>1218240</v>
      </c>
      <c r="F328" s="2" t="s">
        <v>16</v>
      </c>
      <c r="G328">
        <v>9.4000000000000004E-3</v>
      </c>
      <c r="H328" s="9">
        <f t="shared" si="5"/>
        <v>0</v>
      </c>
      <c r="I328" t="s">
        <v>4424</v>
      </c>
      <c r="J328" t="s">
        <v>4425</v>
      </c>
    </row>
    <row r="329" spans="1:10" x14ac:dyDescent="0.3">
      <c r="A329" s="2" t="s">
        <v>2894</v>
      </c>
      <c r="B329" s="2" t="s">
        <v>2727</v>
      </c>
      <c r="C329" s="2" t="s">
        <v>2728</v>
      </c>
      <c r="D329" s="3">
        <v>1218240</v>
      </c>
      <c r="E329" s="3">
        <v>1218240</v>
      </c>
      <c r="F329" s="2" t="s">
        <v>16</v>
      </c>
      <c r="G329">
        <v>9.4000000000000004E-3</v>
      </c>
      <c r="H329" s="9">
        <f t="shared" si="5"/>
        <v>0</v>
      </c>
      <c r="I329" t="s">
        <v>4424</v>
      </c>
      <c r="J329" t="s">
        <v>4425</v>
      </c>
    </row>
    <row r="330" spans="1:10" x14ac:dyDescent="0.3">
      <c r="A330" s="2" t="s">
        <v>2907</v>
      </c>
      <c r="B330" s="2" t="s">
        <v>740</v>
      </c>
      <c r="C330" s="2" t="s">
        <v>741</v>
      </c>
      <c r="D330" s="3">
        <v>838980</v>
      </c>
      <c r="E330" s="3">
        <v>838980</v>
      </c>
      <c r="F330" s="2" t="s">
        <v>16</v>
      </c>
      <c r="G330">
        <v>3.0499999999999999E-2</v>
      </c>
      <c r="H330" s="9">
        <f t="shared" si="5"/>
        <v>0</v>
      </c>
      <c r="I330" t="s">
        <v>740</v>
      </c>
      <c r="J330" t="s">
        <v>741</v>
      </c>
    </row>
    <row r="331" spans="1:10" x14ac:dyDescent="0.3">
      <c r="A331" s="2" t="s">
        <v>2916</v>
      </c>
      <c r="B331" s="2" t="s">
        <v>426</v>
      </c>
      <c r="C331" s="2" t="s">
        <v>427</v>
      </c>
      <c r="D331" s="3">
        <v>92736</v>
      </c>
      <c r="E331" s="3">
        <v>92736</v>
      </c>
      <c r="F331" s="2" t="s">
        <v>16</v>
      </c>
      <c r="G331">
        <v>4.4999999999999998E-2</v>
      </c>
      <c r="H331" s="9">
        <f t="shared" si="5"/>
        <v>0</v>
      </c>
      <c r="I331" t="s">
        <v>426</v>
      </c>
      <c r="J331" t="s">
        <v>427</v>
      </c>
    </row>
    <row r="332" spans="1:10" x14ac:dyDescent="0.3">
      <c r="A332" s="2" t="s">
        <v>2925</v>
      </c>
      <c r="B332" s="2" t="s">
        <v>65</v>
      </c>
      <c r="C332" s="2" t="s">
        <v>66</v>
      </c>
      <c r="D332" s="5">
        <v>-296</v>
      </c>
      <c r="E332" s="5">
        <v>-296</v>
      </c>
      <c r="F332" s="2" t="s">
        <v>23</v>
      </c>
      <c r="G332">
        <v>1.7999999999999999E-2</v>
      </c>
      <c r="H332" s="9">
        <f t="shared" si="5"/>
        <v>-16444.444444444445</v>
      </c>
      <c r="I332" t="s">
        <v>2934</v>
      </c>
      <c r="J332" t="s">
        <v>2935</v>
      </c>
    </row>
    <row r="333" spans="1:10" x14ac:dyDescent="0.3">
      <c r="A333" s="2" t="s">
        <v>2925</v>
      </c>
      <c r="B333" s="2" t="s">
        <v>2934</v>
      </c>
      <c r="C333" s="2" t="s">
        <v>2935</v>
      </c>
      <c r="D333" s="3">
        <v>98496</v>
      </c>
      <c r="E333" s="3">
        <v>98496</v>
      </c>
      <c r="F333" s="2" t="s">
        <v>16</v>
      </c>
      <c r="G333">
        <v>1.7999999999999999E-2</v>
      </c>
      <c r="H333" s="9">
        <f t="shared" si="5"/>
        <v>0</v>
      </c>
      <c r="I333" t="s">
        <v>2934</v>
      </c>
      <c r="J333" t="s">
        <v>2935</v>
      </c>
    </row>
    <row r="334" spans="1:10" x14ac:dyDescent="0.3">
      <c r="A334" s="2" t="s">
        <v>2939</v>
      </c>
      <c r="B334" s="2" t="s">
        <v>86</v>
      </c>
      <c r="C334" s="2" t="s">
        <v>87</v>
      </c>
      <c r="D334" s="5">
        <v>-295</v>
      </c>
      <c r="E334" s="5">
        <v>-295</v>
      </c>
      <c r="F334" s="2" t="s">
        <v>23</v>
      </c>
      <c r="G334">
        <v>2.93E-2</v>
      </c>
      <c r="H334" s="9">
        <f t="shared" si="5"/>
        <v>-10068.259385665529</v>
      </c>
      <c r="I334" t="s">
        <v>341</v>
      </c>
      <c r="J334" t="s">
        <v>342</v>
      </c>
    </row>
    <row r="335" spans="1:10" x14ac:dyDescent="0.3">
      <c r="A335" s="2" t="s">
        <v>2939</v>
      </c>
      <c r="B335" s="2" t="s">
        <v>341</v>
      </c>
      <c r="C335" s="2" t="s">
        <v>342</v>
      </c>
      <c r="D335" s="3">
        <v>100800</v>
      </c>
      <c r="E335" s="3">
        <v>100800</v>
      </c>
      <c r="F335" s="2" t="s">
        <v>16</v>
      </c>
      <c r="G335">
        <v>2.93E-2</v>
      </c>
      <c r="H335" s="9">
        <f t="shared" si="5"/>
        <v>0</v>
      </c>
      <c r="I335" t="s">
        <v>341</v>
      </c>
      <c r="J335" t="s">
        <v>342</v>
      </c>
    </row>
    <row r="336" spans="1:10" x14ac:dyDescent="0.3">
      <c r="A336" s="2" t="s">
        <v>2952</v>
      </c>
      <c r="B336" s="2" t="s">
        <v>86</v>
      </c>
      <c r="C336" s="2" t="s">
        <v>87</v>
      </c>
      <c r="D336" s="5">
        <v>-259</v>
      </c>
      <c r="E336" s="5">
        <v>-259</v>
      </c>
      <c r="F336" s="2" t="s">
        <v>23</v>
      </c>
      <c r="G336">
        <v>1.35E-2</v>
      </c>
      <c r="H336" s="9">
        <f t="shared" si="5"/>
        <v>-19185.185185185186</v>
      </c>
      <c r="I336" t="s">
        <v>2238</v>
      </c>
      <c r="J336" t="s">
        <v>2239</v>
      </c>
    </row>
    <row r="337" spans="1:10" x14ac:dyDescent="0.3">
      <c r="A337" s="2" t="s">
        <v>2952</v>
      </c>
      <c r="B337" s="2" t="s">
        <v>2238</v>
      </c>
      <c r="C337" s="2" t="s">
        <v>2239</v>
      </c>
      <c r="D337" s="3">
        <v>345600</v>
      </c>
      <c r="E337" s="3">
        <v>345600</v>
      </c>
      <c r="F337" s="2" t="s">
        <v>16</v>
      </c>
      <c r="G337">
        <v>1.35E-2</v>
      </c>
      <c r="H337" s="9">
        <f t="shared" si="5"/>
        <v>0</v>
      </c>
      <c r="I337" t="s">
        <v>2238</v>
      </c>
      <c r="J337" t="s">
        <v>2239</v>
      </c>
    </row>
    <row r="338" spans="1:10" x14ac:dyDescent="0.3">
      <c r="A338" s="2" t="s">
        <v>2965</v>
      </c>
      <c r="B338" s="2" t="s">
        <v>86</v>
      </c>
      <c r="C338" s="2" t="s">
        <v>87</v>
      </c>
      <c r="D338" s="5">
        <v>-476</v>
      </c>
      <c r="E338" s="5">
        <v>-476</v>
      </c>
      <c r="F338" s="2" t="s">
        <v>23</v>
      </c>
      <c r="G338">
        <v>9.4000000000000004E-3</v>
      </c>
      <c r="H338" s="9">
        <f t="shared" si="5"/>
        <v>-50638.297872340423</v>
      </c>
      <c r="I338" t="s">
        <v>3028</v>
      </c>
      <c r="J338" t="s">
        <v>3029</v>
      </c>
    </row>
    <row r="339" spans="1:10" x14ac:dyDescent="0.3">
      <c r="A339" s="2" t="s">
        <v>2965</v>
      </c>
      <c r="B339" s="2" t="s">
        <v>76</v>
      </c>
      <c r="C339" s="2" t="s">
        <v>77</v>
      </c>
      <c r="D339" s="3">
        <v>304560</v>
      </c>
      <c r="E339" s="3">
        <v>304560</v>
      </c>
      <c r="F339" s="2" t="s">
        <v>16</v>
      </c>
      <c r="G339">
        <v>9.4000000000000004E-3</v>
      </c>
      <c r="H339" s="9">
        <f t="shared" si="5"/>
        <v>0</v>
      </c>
      <c r="I339" t="s">
        <v>3028</v>
      </c>
      <c r="J339" t="s">
        <v>3029</v>
      </c>
    </row>
    <row r="340" spans="1:10" x14ac:dyDescent="0.3">
      <c r="A340" s="2" t="s">
        <v>2978</v>
      </c>
      <c r="B340" s="2" t="s">
        <v>1119</v>
      </c>
      <c r="C340" s="2" t="s">
        <v>1120</v>
      </c>
      <c r="D340" s="3">
        <v>126900</v>
      </c>
      <c r="E340" s="3">
        <v>126900</v>
      </c>
      <c r="F340" s="2" t="s">
        <v>16</v>
      </c>
      <c r="G340">
        <v>9.4000000000000004E-3</v>
      </c>
      <c r="H340" s="9">
        <f t="shared" si="5"/>
        <v>0</v>
      </c>
      <c r="I340" t="s">
        <v>1119</v>
      </c>
      <c r="J340" t="s">
        <v>1120</v>
      </c>
    </row>
    <row r="341" spans="1:10" x14ac:dyDescent="0.3">
      <c r="A341" s="2" t="s">
        <v>2987</v>
      </c>
      <c r="B341" s="2" t="s">
        <v>740</v>
      </c>
      <c r="C341" s="2" t="s">
        <v>741</v>
      </c>
      <c r="D341" s="3">
        <v>1200060</v>
      </c>
      <c r="E341" s="3">
        <v>1200060</v>
      </c>
      <c r="F341" s="2" t="s">
        <v>16</v>
      </c>
      <c r="G341">
        <v>3.0499999999999999E-2</v>
      </c>
      <c r="H341" s="9">
        <f t="shared" si="5"/>
        <v>0</v>
      </c>
      <c r="I341" t="s">
        <v>740</v>
      </c>
      <c r="J341" t="s">
        <v>741</v>
      </c>
    </row>
    <row r="342" spans="1:10" x14ac:dyDescent="0.3">
      <c r="A342" s="2" t="s">
        <v>2992</v>
      </c>
      <c r="B342" s="2" t="s">
        <v>426</v>
      </c>
      <c r="C342" s="2" t="s">
        <v>427</v>
      </c>
      <c r="D342" s="3">
        <v>430560</v>
      </c>
      <c r="E342" s="3">
        <v>430560</v>
      </c>
      <c r="F342" s="2" t="s">
        <v>16</v>
      </c>
      <c r="G342">
        <v>4.4999999999999998E-2</v>
      </c>
      <c r="H342" s="9">
        <f t="shared" si="5"/>
        <v>0</v>
      </c>
      <c r="I342" t="s">
        <v>426</v>
      </c>
      <c r="J342" t="s">
        <v>427</v>
      </c>
    </row>
    <row r="343" spans="1:10" x14ac:dyDescent="0.3">
      <c r="A343" s="2" t="s">
        <v>3001</v>
      </c>
      <c r="B343" s="2" t="s">
        <v>86</v>
      </c>
      <c r="C343" s="2" t="s">
        <v>87</v>
      </c>
      <c r="D343" s="5">
        <v>-777</v>
      </c>
      <c r="E343" s="5">
        <v>-777</v>
      </c>
      <c r="F343" s="2" t="s">
        <v>23</v>
      </c>
      <c r="G343">
        <v>1.35E-2</v>
      </c>
      <c r="H343" s="9">
        <f t="shared" si="5"/>
        <v>-57555.555555555555</v>
      </c>
      <c r="I343" t="s">
        <v>2238</v>
      </c>
      <c r="J343" t="s">
        <v>2239</v>
      </c>
    </row>
    <row r="344" spans="1:10" x14ac:dyDescent="0.3">
      <c r="A344" s="2" t="s">
        <v>3001</v>
      </c>
      <c r="B344" s="2" t="s">
        <v>2238</v>
      </c>
      <c r="C344" s="2" t="s">
        <v>2239</v>
      </c>
      <c r="D344" s="3">
        <v>288000</v>
      </c>
      <c r="E344" s="3">
        <v>288000</v>
      </c>
      <c r="F344" s="2" t="s">
        <v>16</v>
      </c>
      <c r="G344">
        <v>1.35E-2</v>
      </c>
      <c r="H344" s="9">
        <f t="shared" si="5"/>
        <v>0</v>
      </c>
      <c r="I344" t="s">
        <v>2238</v>
      </c>
      <c r="J344" t="s">
        <v>2239</v>
      </c>
    </row>
    <row r="345" spans="1:10" x14ac:dyDescent="0.3">
      <c r="A345" s="2" t="s">
        <v>3010</v>
      </c>
      <c r="B345" s="2" t="s">
        <v>86</v>
      </c>
      <c r="C345" s="2" t="s">
        <v>87</v>
      </c>
      <c r="D345" s="5">
        <v>-476</v>
      </c>
      <c r="E345" s="5">
        <v>-476</v>
      </c>
      <c r="F345" s="2" t="s">
        <v>23</v>
      </c>
      <c r="G345">
        <v>9.4000000000000004E-3</v>
      </c>
      <c r="H345" s="9">
        <f t="shared" si="5"/>
        <v>-50638.297872340423</v>
      </c>
      <c r="I345" t="s">
        <v>3028</v>
      </c>
      <c r="J345" t="s">
        <v>3029</v>
      </c>
    </row>
    <row r="346" spans="1:10" x14ac:dyDescent="0.3">
      <c r="A346" s="2" t="s">
        <v>3010</v>
      </c>
      <c r="B346" s="2" t="s">
        <v>76</v>
      </c>
      <c r="C346" s="2" t="s">
        <v>77</v>
      </c>
      <c r="D346" s="3">
        <v>507600</v>
      </c>
      <c r="E346" s="3">
        <v>507600</v>
      </c>
      <c r="F346" s="2" t="s">
        <v>16</v>
      </c>
      <c r="G346">
        <v>9.4000000000000004E-3</v>
      </c>
      <c r="H346" s="9">
        <f t="shared" si="5"/>
        <v>0</v>
      </c>
      <c r="I346" t="s">
        <v>3028</v>
      </c>
      <c r="J346" t="s">
        <v>3029</v>
      </c>
    </row>
    <row r="347" spans="1:10" x14ac:dyDescent="0.3">
      <c r="A347" s="2" t="s">
        <v>3027</v>
      </c>
      <c r="B347" s="2" t="s">
        <v>3028</v>
      </c>
      <c r="C347" s="2" t="s">
        <v>3029</v>
      </c>
      <c r="D347" s="3">
        <v>25380</v>
      </c>
      <c r="E347" s="3">
        <v>25380</v>
      </c>
      <c r="F347" s="2" t="s">
        <v>16</v>
      </c>
      <c r="G347">
        <v>9.4000000000000004E-3</v>
      </c>
      <c r="H347" s="9">
        <f t="shared" si="5"/>
        <v>0</v>
      </c>
      <c r="I347" t="s">
        <v>3028</v>
      </c>
      <c r="J347" t="s">
        <v>3029</v>
      </c>
    </row>
    <row r="348" spans="1:10" x14ac:dyDescent="0.3">
      <c r="A348" s="2" t="s">
        <v>3033</v>
      </c>
      <c r="B348" s="2" t="s">
        <v>1119</v>
      </c>
      <c r="C348" s="2" t="s">
        <v>1120</v>
      </c>
      <c r="D348" s="3">
        <v>253800</v>
      </c>
      <c r="E348" s="3">
        <v>253800</v>
      </c>
      <c r="F348" s="2" t="s">
        <v>16</v>
      </c>
      <c r="G348">
        <v>9.4000000000000004E-3</v>
      </c>
      <c r="H348" s="9">
        <f t="shared" si="5"/>
        <v>0</v>
      </c>
      <c r="I348" t="s">
        <v>1119</v>
      </c>
      <c r="J348" t="s">
        <v>1120</v>
      </c>
    </row>
    <row r="349" spans="1:10" x14ac:dyDescent="0.3">
      <c r="A349" s="2" t="s">
        <v>3042</v>
      </c>
      <c r="B349" s="2" t="s">
        <v>426</v>
      </c>
      <c r="C349" s="2" t="s">
        <v>427</v>
      </c>
      <c r="D349" s="3">
        <v>6624</v>
      </c>
      <c r="E349" s="3">
        <v>6624</v>
      </c>
      <c r="F349" s="2" t="s">
        <v>16</v>
      </c>
      <c r="G349">
        <v>4.4999999999999998E-2</v>
      </c>
      <c r="H349" s="9">
        <f t="shared" si="5"/>
        <v>0</v>
      </c>
      <c r="I349" t="s">
        <v>426</v>
      </c>
      <c r="J349" t="s">
        <v>427</v>
      </c>
    </row>
    <row r="350" spans="1:10" x14ac:dyDescent="0.3">
      <c r="A350" s="2" t="s">
        <v>3051</v>
      </c>
      <c r="B350" s="2" t="s">
        <v>2727</v>
      </c>
      <c r="C350" s="2" t="s">
        <v>2728</v>
      </c>
      <c r="D350" s="3">
        <v>1218240</v>
      </c>
      <c r="E350" s="3">
        <v>1218240</v>
      </c>
      <c r="F350" s="2" t="s">
        <v>16</v>
      </c>
      <c r="G350">
        <v>9.4000000000000004E-3</v>
      </c>
      <c r="H350" s="9">
        <f t="shared" si="5"/>
        <v>0</v>
      </c>
      <c r="I350" t="s">
        <v>4424</v>
      </c>
      <c r="J350" t="s">
        <v>4425</v>
      </c>
    </row>
    <row r="351" spans="1:10" x14ac:dyDescent="0.3">
      <c r="A351" s="2" t="s">
        <v>3060</v>
      </c>
      <c r="B351" s="2" t="s">
        <v>86</v>
      </c>
      <c r="C351" s="2" t="s">
        <v>87</v>
      </c>
      <c r="D351" s="5">
        <v>-1640</v>
      </c>
      <c r="E351" s="5">
        <v>-1640</v>
      </c>
      <c r="F351" s="2" t="s">
        <v>23</v>
      </c>
      <c r="G351">
        <v>2.93E-2</v>
      </c>
      <c r="H351" s="9">
        <f t="shared" si="5"/>
        <v>-55972.696245733787</v>
      </c>
      <c r="I351" t="s">
        <v>341</v>
      </c>
      <c r="J351" t="s">
        <v>342</v>
      </c>
    </row>
    <row r="352" spans="1:10" x14ac:dyDescent="0.3">
      <c r="A352" s="2" t="s">
        <v>3060</v>
      </c>
      <c r="B352" s="2" t="s">
        <v>341</v>
      </c>
      <c r="C352" s="2" t="s">
        <v>342</v>
      </c>
      <c r="D352" s="3">
        <v>191520</v>
      </c>
      <c r="E352" s="3">
        <v>191520</v>
      </c>
      <c r="F352" s="2" t="s">
        <v>16</v>
      </c>
      <c r="G352">
        <v>2.93E-2</v>
      </c>
      <c r="H352" s="9">
        <f t="shared" si="5"/>
        <v>0</v>
      </c>
      <c r="I352" t="s">
        <v>341</v>
      </c>
      <c r="J352" t="s">
        <v>342</v>
      </c>
    </row>
    <row r="353" spans="1:10" x14ac:dyDescent="0.3">
      <c r="A353" s="2" t="s">
        <v>3069</v>
      </c>
      <c r="B353" s="2" t="s">
        <v>426</v>
      </c>
      <c r="C353" s="2" t="s">
        <v>427</v>
      </c>
      <c r="D353" s="3">
        <v>119232</v>
      </c>
      <c r="E353" s="3">
        <v>119232</v>
      </c>
      <c r="F353" s="2" t="s">
        <v>16</v>
      </c>
      <c r="G353">
        <v>4.4999999999999998E-2</v>
      </c>
      <c r="H353" s="9">
        <f t="shared" si="5"/>
        <v>0</v>
      </c>
      <c r="I353" t="s">
        <v>426</v>
      </c>
      <c r="J353" t="s">
        <v>427</v>
      </c>
    </row>
    <row r="354" spans="1:10" x14ac:dyDescent="0.3">
      <c r="A354" s="2" t="s">
        <v>3078</v>
      </c>
      <c r="B354" s="2" t="s">
        <v>1119</v>
      </c>
      <c r="C354" s="2" t="s">
        <v>1120</v>
      </c>
      <c r="D354" s="3">
        <v>685260</v>
      </c>
      <c r="E354" s="3">
        <v>685260</v>
      </c>
      <c r="F354" s="2" t="s">
        <v>16</v>
      </c>
      <c r="G354">
        <v>9.4000000000000004E-3</v>
      </c>
      <c r="H354" s="9">
        <f t="shared" si="5"/>
        <v>0</v>
      </c>
      <c r="I354" t="s">
        <v>1119</v>
      </c>
      <c r="J354" t="s">
        <v>1120</v>
      </c>
    </row>
    <row r="355" spans="1:10" x14ac:dyDescent="0.3">
      <c r="A355" s="2" t="s">
        <v>3087</v>
      </c>
      <c r="B355" s="2" t="s">
        <v>65</v>
      </c>
      <c r="C355" s="2" t="s">
        <v>66</v>
      </c>
      <c r="D355" s="5">
        <v>-337</v>
      </c>
      <c r="E355" s="5">
        <v>-337</v>
      </c>
      <c r="F355" s="2" t="s">
        <v>23</v>
      </c>
      <c r="G355">
        <v>3.4000000000000002E-2</v>
      </c>
      <c r="H355" s="9">
        <f t="shared" si="5"/>
        <v>-9911.7647058823513</v>
      </c>
      <c r="I355" t="s">
        <v>2127</v>
      </c>
      <c r="J355" t="s">
        <v>2128</v>
      </c>
    </row>
    <row r="356" spans="1:10" x14ac:dyDescent="0.3">
      <c r="A356" s="2" t="s">
        <v>3087</v>
      </c>
      <c r="B356" s="2" t="s">
        <v>2127</v>
      </c>
      <c r="C356" s="2" t="s">
        <v>2128</v>
      </c>
      <c r="D356" s="3">
        <v>29808</v>
      </c>
      <c r="E356" s="3">
        <v>29808</v>
      </c>
      <c r="F356" s="2" t="s">
        <v>16</v>
      </c>
      <c r="G356">
        <v>3.4000000000000002E-2</v>
      </c>
      <c r="H356" s="9">
        <f t="shared" si="5"/>
        <v>0</v>
      </c>
      <c r="I356" t="s">
        <v>2127</v>
      </c>
      <c r="J356" t="s">
        <v>2128</v>
      </c>
    </row>
    <row r="357" spans="1:10" x14ac:dyDescent="0.3">
      <c r="A357" s="2" t="s">
        <v>3100</v>
      </c>
      <c r="B357" s="2" t="s">
        <v>65</v>
      </c>
      <c r="C357" s="2" t="s">
        <v>66</v>
      </c>
      <c r="D357" s="5">
        <v>-160</v>
      </c>
      <c r="E357" s="5">
        <v>-160</v>
      </c>
      <c r="F357" s="2" t="s">
        <v>23</v>
      </c>
      <c r="G357">
        <v>1.15E-2</v>
      </c>
      <c r="H357" s="9">
        <f t="shared" si="5"/>
        <v>-13913.04347826087</v>
      </c>
      <c r="I357" t="s">
        <v>3113</v>
      </c>
      <c r="J357" t="s">
        <v>3114</v>
      </c>
    </row>
    <row r="358" spans="1:10" x14ac:dyDescent="0.3">
      <c r="A358" s="2" t="s">
        <v>3100</v>
      </c>
      <c r="B358" s="2" t="s">
        <v>1535</v>
      </c>
      <c r="C358" s="2" t="s">
        <v>1536</v>
      </c>
      <c r="D358" s="3">
        <v>13880</v>
      </c>
      <c r="E358" s="3">
        <v>13880</v>
      </c>
      <c r="F358" s="2" t="s">
        <v>16</v>
      </c>
      <c r="G358">
        <v>1.15E-2</v>
      </c>
      <c r="H358" s="9">
        <f t="shared" si="5"/>
        <v>0</v>
      </c>
      <c r="I358" t="s">
        <v>3113</v>
      </c>
      <c r="J358" t="s">
        <v>3114</v>
      </c>
    </row>
    <row r="359" spans="1:10" x14ac:dyDescent="0.3">
      <c r="A359" s="2" t="s">
        <v>3100</v>
      </c>
      <c r="B359" s="2" t="s">
        <v>3113</v>
      </c>
      <c r="C359" s="2" t="s">
        <v>3114</v>
      </c>
      <c r="D359" s="3">
        <v>146160</v>
      </c>
      <c r="E359" s="3">
        <v>146160</v>
      </c>
      <c r="F359" s="2" t="s">
        <v>16</v>
      </c>
      <c r="G359">
        <v>1.15E-2</v>
      </c>
      <c r="H359" s="9">
        <f t="shared" si="5"/>
        <v>0</v>
      </c>
      <c r="I359" t="s">
        <v>3113</v>
      </c>
      <c r="J359" t="s">
        <v>3114</v>
      </c>
    </row>
    <row r="360" spans="1:10" x14ac:dyDescent="0.3">
      <c r="A360" s="2" t="s">
        <v>3118</v>
      </c>
      <c r="B360" s="2" t="s">
        <v>1119</v>
      </c>
      <c r="C360" s="2" t="s">
        <v>1120</v>
      </c>
      <c r="D360" s="3">
        <v>126900</v>
      </c>
      <c r="E360" s="3">
        <v>126900</v>
      </c>
      <c r="F360" s="2" t="s">
        <v>16</v>
      </c>
      <c r="G360">
        <v>9.4000000000000004E-3</v>
      </c>
      <c r="H360" s="9">
        <f t="shared" si="5"/>
        <v>0</v>
      </c>
      <c r="I360" t="s">
        <v>3028</v>
      </c>
      <c r="J360" t="s">
        <v>3029</v>
      </c>
    </row>
    <row r="361" spans="1:10" x14ac:dyDescent="0.3">
      <c r="A361" s="2" t="s">
        <v>3123</v>
      </c>
      <c r="B361" s="2" t="s">
        <v>1590</v>
      </c>
      <c r="C361" s="2" t="s">
        <v>1591</v>
      </c>
      <c r="D361" s="3">
        <v>358560</v>
      </c>
      <c r="E361" s="3">
        <v>358560</v>
      </c>
      <c r="F361" s="2" t="s">
        <v>16</v>
      </c>
      <c r="G361">
        <v>7.7999999999999996E-3</v>
      </c>
      <c r="H361" s="9">
        <f t="shared" si="5"/>
        <v>0</v>
      </c>
      <c r="I361" t="s">
        <v>18367</v>
      </c>
      <c r="J361" t="s">
        <v>18456</v>
      </c>
    </row>
    <row r="362" spans="1:10" x14ac:dyDescent="0.3">
      <c r="A362" s="2" t="s">
        <v>3132</v>
      </c>
      <c r="B362" s="2" t="s">
        <v>1445</v>
      </c>
      <c r="C362" s="2" t="s">
        <v>1446</v>
      </c>
      <c r="D362" s="3">
        <v>59760</v>
      </c>
      <c r="E362" s="3">
        <v>59760</v>
      </c>
      <c r="F362" s="2" t="s">
        <v>16</v>
      </c>
      <c r="G362">
        <v>7.7999999999999996E-3</v>
      </c>
      <c r="H362" s="9">
        <f t="shared" si="5"/>
        <v>0</v>
      </c>
      <c r="I362" t="s">
        <v>18367</v>
      </c>
      <c r="J362" t="s">
        <v>18456</v>
      </c>
    </row>
    <row r="363" spans="1:10" x14ac:dyDescent="0.3">
      <c r="A363" s="2" t="s">
        <v>3141</v>
      </c>
      <c r="B363" s="2" t="s">
        <v>3142</v>
      </c>
      <c r="C363" s="2" t="s">
        <v>3143</v>
      </c>
      <c r="D363" s="3">
        <v>100</v>
      </c>
      <c r="E363" s="3">
        <v>0</v>
      </c>
      <c r="F363" s="2" t="s">
        <v>16</v>
      </c>
      <c r="G363">
        <v>5.0099999999999999E-2</v>
      </c>
      <c r="H363" s="9">
        <f t="shared" si="5"/>
        <v>0</v>
      </c>
      <c r="I363" t="s">
        <v>3142</v>
      </c>
      <c r="J363" t="s">
        <v>3143</v>
      </c>
    </row>
    <row r="364" spans="1:10" x14ac:dyDescent="0.3">
      <c r="A364" s="2" t="s">
        <v>3147</v>
      </c>
      <c r="B364" s="2" t="s">
        <v>3156</v>
      </c>
      <c r="C364" s="2" t="s">
        <v>3157</v>
      </c>
      <c r="D364" s="3">
        <v>252000</v>
      </c>
      <c r="E364" s="3">
        <v>252000</v>
      </c>
      <c r="F364" s="2" t="s">
        <v>16</v>
      </c>
      <c r="G364">
        <v>2.6600000000000002E-2</v>
      </c>
      <c r="H364" s="9">
        <f t="shared" si="5"/>
        <v>0</v>
      </c>
      <c r="I364" t="s">
        <v>517</v>
      </c>
      <c r="J364" t="s">
        <v>518</v>
      </c>
    </row>
    <row r="365" spans="1:10" x14ac:dyDescent="0.3">
      <c r="A365" s="2" t="s">
        <v>3161</v>
      </c>
      <c r="B365" s="2" t="s">
        <v>1027</v>
      </c>
      <c r="C365" s="2" t="s">
        <v>1028</v>
      </c>
      <c r="D365" s="3">
        <v>892080</v>
      </c>
      <c r="E365" s="3">
        <v>892080</v>
      </c>
      <c r="F365" s="2" t="s">
        <v>16</v>
      </c>
      <c r="G365">
        <v>3.0499999999999999E-2</v>
      </c>
      <c r="H365" s="9">
        <f t="shared" si="5"/>
        <v>0</v>
      </c>
      <c r="I365" t="s">
        <v>1027</v>
      </c>
      <c r="J365" t="s">
        <v>1028</v>
      </c>
    </row>
    <row r="366" spans="1:10" x14ac:dyDescent="0.3">
      <c r="A366" s="2" t="s">
        <v>3170</v>
      </c>
      <c r="B366" s="2" t="s">
        <v>27</v>
      </c>
      <c r="C366" s="2" t="s">
        <v>28</v>
      </c>
      <c r="D366" s="3">
        <v>145728</v>
      </c>
      <c r="E366" s="3">
        <v>145728</v>
      </c>
      <c r="F366" s="2" t="s">
        <v>16</v>
      </c>
      <c r="G366">
        <v>4.4999999999999998E-2</v>
      </c>
      <c r="H366" s="9">
        <f t="shared" si="5"/>
        <v>0</v>
      </c>
      <c r="I366" t="s">
        <v>27</v>
      </c>
      <c r="J366" t="s">
        <v>28</v>
      </c>
    </row>
    <row r="367" spans="1:10" x14ac:dyDescent="0.3">
      <c r="A367" s="2" t="s">
        <v>3183</v>
      </c>
      <c r="B367" s="2" t="s">
        <v>1119</v>
      </c>
      <c r="C367" s="2" t="s">
        <v>1120</v>
      </c>
      <c r="D367" s="3">
        <v>456840</v>
      </c>
      <c r="E367" s="3">
        <v>456840</v>
      </c>
      <c r="F367" s="2" t="s">
        <v>16</v>
      </c>
      <c r="G367">
        <v>9.4000000000000004E-3</v>
      </c>
      <c r="H367" s="9">
        <f t="shared" si="5"/>
        <v>0</v>
      </c>
      <c r="I367" t="s">
        <v>1119</v>
      </c>
      <c r="J367" t="s">
        <v>1120</v>
      </c>
    </row>
    <row r="368" spans="1:10" x14ac:dyDescent="0.3">
      <c r="A368" s="2" t="s">
        <v>3192</v>
      </c>
      <c r="B368" s="2" t="s">
        <v>86</v>
      </c>
      <c r="C368" s="2" t="s">
        <v>87</v>
      </c>
      <c r="D368" s="5">
        <v>-714</v>
      </c>
      <c r="E368" s="5">
        <v>-714</v>
      </c>
      <c r="F368" s="2" t="s">
        <v>23</v>
      </c>
      <c r="G368">
        <v>9.4000000000000004E-3</v>
      </c>
      <c r="H368" s="9">
        <f t="shared" si="5"/>
        <v>-75957.446808510635</v>
      </c>
      <c r="I368" t="s">
        <v>3028</v>
      </c>
      <c r="J368" t="s">
        <v>3029</v>
      </c>
    </row>
    <row r="369" spans="1:10" x14ac:dyDescent="0.3">
      <c r="A369" s="2" t="s">
        <v>3192</v>
      </c>
      <c r="B369" s="2" t="s">
        <v>1119</v>
      </c>
      <c r="C369" s="2" t="s">
        <v>1120</v>
      </c>
      <c r="D369" s="3">
        <v>355320</v>
      </c>
      <c r="E369" s="3">
        <v>355320</v>
      </c>
      <c r="F369" s="2" t="s">
        <v>16</v>
      </c>
      <c r="G369">
        <v>9.4000000000000004E-3</v>
      </c>
      <c r="H369" s="9">
        <f t="shared" si="5"/>
        <v>0</v>
      </c>
      <c r="I369" t="s">
        <v>3028</v>
      </c>
      <c r="J369" t="s">
        <v>3029</v>
      </c>
    </row>
    <row r="370" spans="1:10" x14ac:dyDescent="0.3">
      <c r="A370" s="2" t="s">
        <v>3205</v>
      </c>
      <c r="B370" s="2" t="s">
        <v>426</v>
      </c>
      <c r="C370" s="2" t="s">
        <v>427</v>
      </c>
      <c r="D370" s="3">
        <v>72864</v>
      </c>
      <c r="E370" s="3">
        <v>72864</v>
      </c>
      <c r="F370" s="2" t="s">
        <v>16</v>
      </c>
      <c r="G370">
        <v>4.4999999999999998E-2</v>
      </c>
      <c r="H370" s="9">
        <f t="shared" si="5"/>
        <v>0</v>
      </c>
      <c r="I370" t="s">
        <v>426</v>
      </c>
      <c r="J370" t="s">
        <v>427</v>
      </c>
    </row>
    <row r="371" spans="1:10" x14ac:dyDescent="0.3">
      <c r="A371" s="2" t="s">
        <v>3218</v>
      </c>
      <c r="B371" s="2" t="s">
        <v>699</v>
      </c>
      <c r="C371" s="2" t="s">
        <v>700</v>
      </c>
      <c r="D371" s="3">
        <v>6624</v>
      </c>
      <c r="E371" s="3">
        <v>6624</v>
      </c>
      <c r="F371" s="2" t="s">
        <v>16</v>
      </c>
      <c r="G371">
        <v>4.4999999999999998E-2</v>
      </c>
      <c r="H371" s="9">
        <f t="shared" si="5"/>
        <v>0</v>
      </c>
      <c r="I371" t="s">
        <v>426</v>
      </c>
      <c r="J371" t="s">
        <v>427</v>
      </c>
    </row>
    <row r="372" spans="1:10" x14ac:dyDescent="0.3">
      <c r="A372" s="2" t="s">
        <v>3231</v>
      </c>
      <c r="B372" s="2" t="s">
        <v>65</v>
      </c>
      <c r="C372" s="2" t="s">
        <v>66</v>
      </c>
      <c r="D372" s="5">
        <v>-323</v>
      </c>
      <c r="E372" s="5">
        <v>-323</v>
      </c>
      <c r="F372" s="2" t="s">
        <v>23</v>
      </c>
      <c r="G372">
        <v>3.0499999999999999E-2</v>
      </c>
      <c r="H372" s="9">
        <f t="shared" si="5"/>
        <v>-10590.163934426229</v>
      </c>
      <c r="I372" t="s">
        <v>103</v>
      </c>
      <c r="J372" t="s">
        <v>104</v>
      </c>
    </row>
    <row r="373" spans="1:10" x14ac:dyDescent="0.3">
      <c r="A373" s="2" t="s">
        <v>3231</v>
      </c>
      <c r="B373" s="2" t="s">
        <v>740</v>
      </c>
      <c r="C373" s="2" t="s">
        <v>741</v>
      </c>
      <c r="D373" s="3">
        <v>63720</v>
      </c>
      <c r="E373" s="3">
        <v>63720</v>
      </c>
      <c r="F373" s="2" t="s">
        <v>16</v>
      </c>
      <c r="G373">
        <v>3.0499999999999999E-2</v>
      </c>
      <c r="H373" s="9">
        <f t="shared" si="5"/>
        <v>0</v>
      </c>
      <c r="I373" t="s">
        <v>103</v>
      </c>
      <c r="J373" t="s">
        <v>104</v>
      </c>
    </row>
    <row r="374" spans="1:10" x14ac:dyDescent="0.3">
      <c r="A374" s="2" t="s">
        <v>3248</v>
      </c>
      <c r="B374" s="2" t="s">
        <v>2121</v>
      </c>
      <c r="C374" s="2" t="s">
        <v>2122</v>
      </c>
      <c r="D374" s="3">
        <v>9936</v>
      </c>
      <c r="E374" s="3">
        <v>9936</v>
      </c>
      <c r="F374" s="2" t="s">
        <v>16</v>
      </c>
      <c r="G374">
        <v>3.4000000000000002E-2</v>
      </c>
      <c r="H374" s="9">
        <f t="shared" si="5"/>
        <v>0</v>
      </c>
      <c r="I374" t="s">
        <v>2121</v>
      </c>
      <c r="J374" t="s">
        <v>2122</v>
      </c>
    </row>
    <row r="375" spans="1:10" x14ac:dyDescent="0.3">
      <c r="A375" s="2" t="s">
        <v>3262</v>
      </c>
      <c r="B375" s="2" t="s">
        <v>2727</v>
      </c>
      <c r="C375" s="2" t="s">
        <v>2728</v>
      </c>
      <c r="D375" s="3">
        <v>1218240</v>
      </c>
      <c r="E375" s="3">
        <v>0</v>
      </c>
      <c r="F375" s="2" t="s">
        <v>16</v>
      </c>
      <c r="G375">
        <v>9.4000000000000004E-3</v>
      </c>
      <c r="H375" s="9">
        <f t="shared" si="5"/>
        <v>0</v>
      </c>
      <c r="I375" t="s">
        <v>4424</v>
      </c>
      <c r="J375" t="s">
        <v>4425</v>
      </c>
    </row>
    <row r="376" spans="1:10" x14ac:dyDescent="0.3">
      <c r="A376" s="2" t="s">
        <v>3271</v>
      </c>
      <c r="B376" s="2" t="s">
        <v>3142</v>
      </c>
      <c r="C376" s="2" t="s">
        <v>3143</v>
      </c>
      <c r="D376" s="3">
        <v>72864</v>
      </c>
      <c r="E376" s="3">
        <v>72864</v>
      </c>
      <c r="F376" s="2" t="s">
        <v>16</v>
      </c>
      <c r="G376">
        <v>5.0099999999999999E-2</v>
      </c>
      <c r="H376" s="9">
        <f t="shared" si="5"/>
        <v>0</v>
      </c>
      <c r="I376" t="s">
        <v>3142</v>
      </c>
      <c r="J376" t="s">
        <v>3143</v>
      </c>
    </row>
    <row r="377" spans="1:10" x14ac:dyDescent="0.3">
      <c r="A377" s="2" t="s">
        <v>3271</v>
      </c>
      <c r="B377" s="2" t="s">
        <v>65</v>
      </c>
      <c r="C377" s="2" t="s">
        <v>66</v>
      </c>
      <c r="D377" s="5">
        <v>-331</v>
      </c>
      <c r="E377" s="5">
        <v>-331</v>
      </c>
      <c r="F377" s="2" t="s">
        <v>23</v>
      </c>
      <c r="G377">
        <v>5.0099999999999999E-2</v>
      </c>
      <c r="H377" s="9">
        <f t="shared" si="5"/>
        <v>-6606.7864271457083</v>
      </c>
      <c r="I377" t="s">
        <v>3142</v>
      </c>
      <c r="J377" t="s">
        <v>3143</v>
      </c>
    </row>
    <row r="378" spans="1:10" x14ac:dyDescent="0.3">
      <c r="A378" s="2" t="s">
        <v>3296</v>
      </c>
      <c r="B378" s="2" t="s">
        <v>3142</v>
      </c>
      <c r="C378" s="2" t="s">
        <v>3143</v>
      </c>
      <c r="D378" s="3">
        <v>52992</v>
      </c>
      <c r="E378" s="3">
        <v>52992</v>
      </c>
      <c r="F378" s="2" t="s">
        <v>16</v>
      </c>
      <c r="G378">
        <v>5.0099999999999999E-2</v>
      </c>
      <c r="H378" s="9">
        <f t="shared" si="5"/>
        <v>0</v>
      </c>
      <c r="I378" t="s">
        <v>3142</v>
      </c>
      <c r="J378" t="s">
        <v>3143</v>
      </c>
    </row>
    <row r="379" spans="1:10" x14ac:dyDescent="0.3">
      <c r="A379" s="2" t="s">
        <v>3309</v>
      </c>
      <c r="B379" s="2" t="s">
        <v>1027</v>
      </c>
      <c r="C379" s="2" t="s">
        <v>1028</v>
      </c>
      <c r="D379" s="3">
        <v>658440</v>
      </c>
      <c r="E379" s="3">
        <v>658440</v>
      </c>
      <c r="F379" s="2" t="s">
        <v>16</v>
      </c>
      <c r="G379">
        <v>3.0499999999999999E-2</v>
      </c>
      <c r="H379" s="9">
        <f t="shared" si="5"/>
        <v>0</v>
      </c>
      <c r="I379" t="s">
        <v>1027</v>
      </c>
      <c r="J379" t="s">
        <v>1028</v>
      </c>
    </row>
    <row r="380" spans="1:10" x14ac:dyDescent="0.3">
      <c r="A380" s="2" t="s">
        <v>3318</v>
      </c>
      <c r="B380" s="2" t="s">
        <v>27</v>
      </c>
      <c r="C380" s="2" t="s">
        <v>28</v>
      </c>
      <c r="D380" s="3">
        <v>337824</v>
      </c>
      <c r="E380" s="3">
        <v>337824</v>
      </c>
      <c r="F380" s="2" t="s">
        <v>16</v>
      </c>
      <c r="G380">
        <v>4.4999999999999998E-2</v>
      </c>
      <c r="H380" s="9">
        <f t="shared" si="5"/>
        <v>0</v>
      </c>
      <c r="I380" t="s">
        <v>27</v>
      </c>
      <c r="J380" t="s">
        <v>28</v>
      </c>
    </row>
    <row r="381" spans="1:10" x14ac:dyDescent="0.3">
      <c r="A381" s="2" t="s">
        <v>3331</v>
      </c>
      <c r="B381" s="2" t="s">
        <v>517</v>
      </c>
      <c r="C381" s="2" t="s">
        <v>518</v>
      </c>
      <c r="D381" s="3">
        <v>332640</v>
      </c>
      <c r="E381" s="3">
        <v>332640</v>
      </c>
      <c r="F381" s="2" t="s">
        <v>16</v>
      </c>
      <c r="G381">
        <v>2.6600000000000002E-2</v>
      </c>
      <c r="H381" s="9">
        <f t="shared" si="5"/>
        <v>0</v>
      </c>
      <c r="I381" t="s">
        <v>517</v>
      </c>
      <c r="J381" t="s">
        <v>518</v>
      </c>
    </row>
    <row r="382" spans="1:10" x14ac:dyDescent="0.3">
      <c r="A382" s="2" t="s">
        <v>3340</v>
      </c>
      <c r="B382" s="2" t="s">
        <v>65</v>
      </c>
      <c r="C382" s="2" t="s">
        <v>66</v>
      </c>
      <c r="D382" s="5">
        <v>-263</v>
      </c>
      <c r="E382" s="5">
        <v>-263</v>
      </c>
      <c r="F382" s="2" t="s">
        <v>23</v>
      </c>
      <c r="G382">
        <v>1.04E-2</v>
      </c>
      <c r="H382" s="9">
        <f t="shared" si="5"/>
        <v>-25288.461538461539</v>
      </c>
      <c r="I382" t="s">
        <v>3349</v>
      </c>
      <c r="J382" t="s">
        <v>2306</v>
      </c>
    </row>
    <row r="383" spans="1:10" x14ac:dyDescent="0.3">
      <c r="A383" s="2" t="s">
        <v>3340</v>
      </c>
      <c r="B383" s="2" t="s">
        <v>3349</v>
      </c>
      <c r="C383" s="2" t="s">
        <v>2306</v>
      </c>
      <c r="D383" s="3">
        <v>329940</v>
      </c>
      <c r="E383" s="3">
        <v>329940</v>
      </c>
      <c r="F383" s="2" t="s">
        <v>16</v>
      </c>
      <c r="G383">
        <v>1.04E-2</v>
      </c>
      <c r="H383" s="9">
        <f t="shared" si="5"/>
        <v>0</v>
      </c>
      <c r="I383" t="s">
        <v>3349</v>
      </c>
      <c r="J383" t="s">
        <v>2306</v>
      </c>
    </row>
    <row r="384" spans="1:10" x14ac:dyDescent="0.3">
      <c r="A384" s="2" t="s">
        <v>3354</v>
      </c>
      <c r="B384" s="2" t="s">
        <v>65</v>
      </c>
      <c r="C384" s="2" t="s">
        <v>66</v>
      </c>
      <c r="D384" s="5">
        <v>-804</v>
      </c>
      <c r="E384" s="5">
        <v>-804</v>
      </c>
      <c r="F384" s="2" t="s">
        <v>23</v>
      </c>
      <c r="G384">
        <v>2.6600000000000002E-2</v>
      </c>
      <c r="H384" s="9">
        <f t="shared" si="5"/>
        <v>-30225.563909774435</v>
      </c>
      <c r="I384" t="s">
        <v>517</v>
      </c>
      <c r="J384" t="s">
        <v>518</v>
      </c>
    </row>
    <row r="385" spans="1:10" x14ac:dyDescent="0.3">
      <c r="A385" s="2" t="s">
        <v>3354</v>
      </c>
      <c r="B385" s="2" t="s">
        <v>3156</v>
      </c>
      <c r="C385" s="2" t="s">
        <v>3157</v>
      </c>
      <c r="D385" s="3">
        <v>302400</v>
      </c>
      <c r="E385" s="3">
        <v>302400</v>
      </c>
      <c r="F385" s="2" t="s">
        <v>16</v>
      </c>
      <c r="G385">
        <v>2.6600000000000002E-2</v>
      </c>
      <c r="H385" s="9">
        <f t="shared" si="5"/>
        <v>0</v>
      </c>
      <c r="I385" t="s">
        <v>517</v>
      </c>
      <c r="J385" t="s">
        <v>518</v>
      </c>
    </row>
    <row r="386" spans="1:10" x14ac:dyDescent="0.3">
      <c r="A386" s="2" t="s">
        <v>3367</v>
      </c>
      <c r="B386" s="2" t="s">
        <v>86</v>
      </c>
      <c r="C386" s="2" t="s">
        <v>87</v>
      </c>
      <c r="D386" s="5">
        <v>-15.68</v>
      </c>
      <c r="E386" s="5">
        <v>-15.68</v>
      </c>
      <c r="F386" s="2" t="s">
        <v>23</v>
      </c>
      <c r="G386">
        <v>8.3000000000000001E-3</v>
      </c>
      <c r="H386" s="9">
        <f t="shared" si="5"/>
        <v>-1889.1566265060239</v>
      </c>
      <c r="I386" t="s">
        <v>91</v>
      </c>
      <c r="J386" t="s">
        <v>92</v>
      </c>
    </row>
    <row r="387" spans="1:10" x14ac:dyDescent="0.3">
      <c r="A387" s="2" t="s">
        <v>3367</v>
      </c>
      <c r="B387" s="2" t="s">
        <v>91</v>
      </c>
      <c r="C387" s="2" t="s">
        <v>92</v>
      </c>
      <c r="D387" s="3">
        <v>432000</v>
      </c>
      <c r="E387" s="3">
        <v>432000</v>
      </c>
      <c r="F387" s="2" t="s">
        <v>16</v>
      </c>
      <c r="G387">
        <v>8.3000000000000001E-3</v>
      </c>
      <c r="H387" s="9">
        <f t="shared" ref="H387:H450" si="6">IFERROR(IF(LEFT(B387,1)="F",E387/G387,0),0)</f>
        <v>0</v>
      </c>
      <c r="I387" t="s">
        <v>91</v>
      </c>
      <c r="J387" t="s">
        <v>92</v>
      </c>
    </row>
    <row r="388" spans="1:10" x14ac:dyDescent="0.3">
      <c r="A388" s="2" t="s">
        <v>3380</v>
      </c>
      <c r="B388" s="2" t="s">
        <v>740</v>
      </c>
      <c r="C388" s="2" t="s">
        <v>741</v>
      </c>
      <c r="D388" s="3">
        <v>297360</v>
      </c>
      <c r="E388" s="3">
        <v>297360</v>
      </c>
      <c r="F388" s="2" t="s">
        <v>16</v>
      </c>
      <c r="G388">
        <v>3.0499999999999999E-2</v>
      </c>
      <c r="H388" s="9">
        <f t="shared" si="6"/>
        <v>0</v>
      </c>
      <c r="I388" t="s">
        <v>740</v>
      </c>
      <c r="J388" t="s">
        <v>741</v>
      </c>
    </row>
    <row r="389" spans="1:10" x14ac:dyDescent="0.3">
      <c r="A389" s="2" t="s">
        <v>3389</v>
      </c>
      <c r="B389" s="2" t="s">
        <v>86</v>
      </c>
      <c r="C389" s="2" t="s">
        <v>87</v>
      </c>
      <c r="D389" s="5">
        <v>-440</v>
      </c>
      <c r="E389" s="5">
        <v>-440</v>
      </c>
      <c r="F389" s="2" t="s">
        <v>23</v>
      </c>
      <c r="G389">
        <v>7.7999999999999996E-3</v>
      </c>
      <c r="H389" s="9">
        <f t="shared" si="6"/>
        <v>-56410.256410256414</v>
      </c>
      <c r="I389" t="s">
        <v>1445</v>
      </c>
      <c r="J389" t="s">
        <v>1446</v>
      </c>
    </row>
    <row r="390" spans="1:10" x14ac:dyDescent="0.3">
      <c r="A390" s="2" t="s">
        <v>3389</v>
      </c>
      <c r="B390" s="2" t="s">
        <v>1590</v>
      </c>
      <c r="C390" s="2" t="s">
        <v>1591</v>
      </c>
      <c r="D390" s="3">
        <v>119520</v>
      </c>
      <c r="E390" s="3">
        <v>119520</v>
      </c>
      <c r="F390" s="2" t="s">
        <v>16</v>
      </c>
      <c r="G390">
        <v>7.7999999999999996E-3</v>
      </c>
      <c r="H390" s="9">
        <f t="shared" si="6"/>
        <v>0</v>
      </c>
      <c r="I390" t="s">
        <v>1445</v>
      </c>
      <c r="J390" t="s">
        <v>1446</v>
      </c>
    </row>
    <row r="391" spans="1:10" x14ac:dyDescent="0.3">
      <c r="A391" s="2" t="s">
        <v>3402</v>
      </c>
      <c r="B391" s="2" t="s">
        <v>3142</v>
      </c>
      <c r="C391" s="2" t="s">
        <v>3143</v>
      </c>
      <c r="D391" s="3">
        <v>79488</v>
      </c>
      <c r="E391" s="3">
        <v>79488</v>
      </c>
      <c r="F391" s="2" t="s">
        <v>16</v>
      </c>
      <c r="G391">
        <v>5.0099999999999999E-2</v>
      </c>
      <c r="H391" s="9">
        <f t="shared" si="6"/>
        <v>0</v>
      </c>
      <c r="I391" t="s">
        <v>3142</v>
      </c>
      <c r="J391" t="s">
        <v>3143</v>
      </c>
    </row>
    <row r="392" spans="1:10" x14ac:dyDescent="0.3">
      <c r="A392" s="2" t="s">
        <v>3415</v>
      </c>
      <c r="B392" s="2" t="s">
        <v>740</v>
      </c>
      <c r="C392" s="2" t="s">
        <v>741</v>
      </c>
      <c r="D392" s="3">
        <v>1019520</v>
      </c>
      <c r="E392" s="3">
        <v>1019520</v>
      </c>
      <c r="F392" s="2" t="s">
        <v>16</v>
      </c>
      <c r="G392">
        <v>3.0499999999999999E-2</v>
      </c>
      <c r="H392" s="9">
        <f t="shared" si="6"/>
        <v>0</v>
      </c>
      <c r="I392" t="s">
        <v>740</v>
      </c>
      <c r="J392" t="s">
        <v>741</v>
      </c>
    </row>
    <row r="393" spans="1:10" x14ac:dyDescent="0.3">
      <c r="A393" s="2" t="s">
        <v>3424</v>
      </c>
      <c r="B393" s="2" t="s">
        <v>27</v>
      </c>
      <c r="C393" s="2" t="s">
        <v>28</v>
      </c>
      <c r="D393" s="3">
        <v>483552</v>
      </c>
      <c r="E393" s="3">
        <v>483552</v>
      </c>
      <c r="F393" s="2" t="s">
        <v>16</v>
      </c>
      <c r="G393">
        <v>4.4999999999999998E-2</v>
      </c>
      <c r="H393" s="9">
        <f t="shared" si="6"/>
        <v>0</v>
      </c>
      <c r="I393" t="s">
        <v>27</v>
      </c>
      <c r="J393" t="s">
        <v>28</v>
      </c>
    </row>
    <row r="394" spans="1:10" x14ac:dyDescent="0.3">
      <c r="A394" s="2" t="s">
        <v>3437</v>
      </c>
      <c r="B394" s="2" t="s">
        <v>517</v>
      </c>
      <c r="C394" s="2" t="s">
        <v>518</v>
      </c>
      <c r="D394" s="3">
        <v>514080</v>
      </c>
      <c r="E394" s="3">
        <v>514080</v>
      </c>
      <c r="F394" s="2" t="s">
        <v>16</v>
      </c>
      <c r="G394">
        <v>2.6600000000000002E-2</v>
      </c>
      <c r="H394" s="9">
        <f t="shared" si="6"/>
        <v>0</v>
      </c>
      <c r="I394" t="s">
        <v>517</v>
      </c>
      <c r="J394" t="s">
        <v>518</v>
      </c>
    </row>
    <row r="395" spans="1:10" x14ac:dyDescent="0.3">
      <c r="A395" s="2" t="s">
        <v>3450</v>
      </c>
      <c r="B395" s="2" t="s">
        <v>65</v>
      </c>
      <c r="C395" s="2" t="s">
        <v>66</v>
      </c>
      <c r="D395" s="5">
        <v>-440</v>
      </c>
      <c r="E395" s="5">
        <v>-440</v>
      </c>
      <c r="F395" s="2" t="s">
        <v>23</v>
      </c>
      <c r="G395">
        <v>8.3000000000000001E-3</v>
      </c>
      <c r="H395" s="9">
        <f t="shared" si="6"/>
        <v>-53012.048192771086</v>
      </c>
      <c r="I395" t="s">
        <v>396</v>
      </c>
      <c r="J395" t="s">
        <v>397</v>
      </c>
    </row>
    <row r="396" spans="1:10" x14ac:dyDescent="0.3">
      <c r="A396" s="2" t="s">
        <v>3450</v>
      </c>
      <c r="B396" s="2" t="s">
        <v>396</v>
      </c>
      <c r="C396" s="2" t="s">
        <v>397</v>
      </c>
      <c r="D396" s="3">
        <v>215500</v>
      </c>
      <c r="E396" s="3">
        <v>215500</v>
      </c>
      <c r="F396" s="2" t="s">
        <v>16</v>
      </c>
      <c r="G396">
        <v>8.3000000000000001E-3</v>
      </c>
      <c r="H396" s="9">
        <f t="shared" si="6"/>
        <v>0</v>
      </c>
      <c r="I396" t="s">
        <v>396</v>
      </c>
      <c r="J396" t="s">
        <v>397</v>
      </c>
    </row>
    <row r="397" spans="1:10" x14ac:dyDescent="0.3">
      <c r="A397" s="2" t="s">
        <v>3463</v>
      </c>
      <c r="B397" s="2" t="s">
        <v>1989</v>
      </c>
      <c r="C397" s="2" t="s">
        <v>1990</v>
      </c>
      <c r="D397" s="3">
        <v>124992</v>
      </c>
      <c r="E397" s="3">
        <v>124992</v>
      </c>
      <c r="F397" s="2" t="s">
        <v>16</v>
      </c>
      <c r="G397">
        <v>1.35E-2</v>
      </c>
      <c r="H397" s="9">
        <f t="shared" si="6"/>
        <v>0</v>
      </c>
      <c r="I397" t="s">
        <v>1989</v>
      </c>
      <c r="J397" t="s">
        <v>1990</v>
      </c>
    </row>
    <row r="398" spans="1:10" x14ac:dyDescent="0.3">
      <c r="A398" s="2" t="s">
        <v>3472</v>
      </c>
      <c r="B398" s="2" t="s">
        <v>1093</v>
      </c>
      <c r="C398" s="2" t="s">
        <v>1094</v>
      </c>
      <c r="D398" s="3">
        <v>354960</v>
      </c>
      <c r="E398" s="3">
        <v>0</v>
      </c>
      <c r="F398" s="2" t="s">
        <v>16</v>
      </c>
      <c r="G398">
        <v>1.2500000000000001E-2</v>
      </c>
      <c r="H398" s="9">
        <f t="shared" si="6"/>
        <v>0</v>
      </c>
      <c r="I398" t="s">
        <v>1093</v>
      </c>
      <c r="J398" t="s">
        <v>1094</v>
      </c>
    </row>
    <row r="399" spans="1:10" x14ac:dyDescent="0.3">
      <c r="A399" s="2" t="s">
        <v>3472</v>
      </c>
      <c r="B399" s="2" t="s">
        <v>3481</v>
      </c>
      <c r="C399" s="2" t="s">
        <v>3482</v>
      </c>
      <c r="D399" s="3">
        <v>354960</v>
      </c>
      <c r="E399" s="3">
        <v>354960</v>
      </c>
      <c r="F399" s="2" t="s">
        <v>16</v>
      </c>
      <c r="G399">
        <v>1.2500000000000001E-2</v>
      </c>
      <c r="H399" s="9">
        <f t="shared" si="6"/>
        <v>0</v>
      </c>
      <c r="I399" t="s">
        <v>1093</v>
      </c>
      <c r="J399" t="s">
        <v>1094</v>
      </c>
    </row>
    <row r="400" spans="1:10" x14ac:dyDescent="0.3">
      <c r="A400" s="2" t="s">
        <v>3485</v>
      </c>
      <c r="B400" s="2" t="s">
        <v>65</v>
      </c>
      <c r="C400" s="2" t="s">
        <v>66</v>
      </c>
      <c r="D400" s="5">
        <v>-346</v>
      </c>
      <c r="E400" s="5">
        <v>-346</v>
      </c>
      <c r="F400" s="2" t="s">
        <v>23</v>
      </c>
      <c r="G400">
        <v>8.3000000000000001E-3</v>
      </c>
      <c r="H400" s="9">
        <f t="shared" si="6"/>
        <v>-41686.74698795181</v>
      </c>
      <c r="I400" t="s">
        <v>396</v>
      </c>
      <c r="J400" t="s">
        <v>397</v>
      </c>
    </row>
    <row r="401" spans="1:10" x14ac:dyDescent="0.3">
      <c r="A401" s="2" t="s">
        <v>3485</v>
      </c>
      <c r="B401" s="2" t="s">
        <v>396</v>
      </c>
      <c r="C401" s="2" t="s">
        <v>397</v>
      </c>
      <c r="D401" s="3">
        <v>68800</v>
      </c>
      <c r="E401" s="3">
        <v>68800</v>
      </c>
      <c r="F401" s="2" t="s">
        <v>16</v>
      </c>
      <c r="G401">
        <v>8.3000000000000001E-3</v>
      </c>
      <c r="H401" s="9">
        <f t="shared" si="6"/>
        <v>0</v>
      </c>
      <c r="I401" t="s">
        <v>396</v>
      </c>
      <c r="J401" t="s">
        <v>397</v>
      </c>
    </row>
    <row r="402" spans="1:10" x14ac:dyDescent="0.3">
      <c r="A402" s="2" t="s">
        <v>3498</v>
      </c>
      <c r="B402" s="2" t="s">
        <v>65</v>
      </c>
      <c r="C402" s="2" t="s">
        <v>66</v>
      </c>
      <c r="D402" s="5">
        <v>-482</v>
      </c>
      <c r="E402" s="5">
        <v>-482</v>
      </c>
      <c r="F402" s="2" t="s">
        <v>23</v>
      </c>
      <c r="G402">
        <v>1.35E-2</v>
      </c>
      <c r="H402" s="9">
        <f t="shared" si="6"/>
        <v>-35703.703703703701</v>
      </c>
      <c r="I402" t="s">
        <v>1989</v>
      </c>
      <c r="J402" t="s">
        <v>1990</v>
      </c>
    </row>
    <row r="403" spans="1:10" x14ac:dyDescent="0.3">
      <c r="A403" s="2" t="s">
        <v>3498</v>
      </c>
      <c r="B403" s="2" t="s">
        <v>1989</v>
      </c>
      <c r="C403" s="2" t="s">
        <v>1990</v>
      </c>
      <c r="D403" s="3">
        <v>339264</v>
      </c>
      <c r="E403" s="3">
        <v>339264</v>
      </c>
      <c r="F403" s="2" t="s">
        <v>16</v>
      </c>
      <c r="G403">
        <v>1.35E-2</v>
      </c>
      <c r="H403" s="9">
        <f t="shared" si="6"/>
        <v>0</v>
      </c>
      <c r="I403" t="s">
        <v>1989</v>
      </c>
      <c r="J403" t="s">
        <v>1990</v>
      </c>
    </row>
    <row r="404" spans="1:10" x14ac:dyDescent="0.3">
      <c r="A404" s="2" t="s">
        <v>3511</v>
      </c>
      <c r="B404" s="2" t="s">
        <v>27</v>
      </c>
      <c r="C404" s="2" t="s">
        <v>28</v>
      </c>
      <c r="D404" s="3">
        <v>39744</v>
      </c>
      <c r="E404" s="3">
        <v>39744</v>
      </c>
      <c r="F404" s="2" t="s">
        <v>16</v>
      </c>
      <c r="G404">
        <v>4.4999999999999998E-2</v>
      </c>
      <c r="H404" s="9">
        <f t="shared" si="6"/>
        <v>0</v>
      </c>
      <c r="I404" t="s">
        <v>27</v>
      </c>
      <c r="J404" t="s">
        <v>28</v>
      </c>
    </row>
    <row r="405" spans="1:10" x14ac:dyDescent="0.3">
      <c r="A405" s="2" t="s">
        <v>3524</v>
      </c>
      <c r="B405" s="2" t="s">
        <v>3142</v>
      </c>
      <c r="C405" s="2" t="s">
        <v>3143</v>
      </c>
      <c r="D405" s="3">
        <v>26496</v>
      </c>
      <c r="E405" s="3">
        <v>26496</v>
      </c>
      <c r="F405" s="2" t="s">
        <v>16</v>
      </c>
      <c r="G405">
        <v>5.0099999999999999E-2</v>
      </c>
      <c r="H405" s="9">
        <f t="shared" si="6"/>
        <v>0</v>
      </c>
      <c r="I405" t="s">
        <v>3142</v>
      </c>
      <c r="J405" t="s">
        <v>3143</v>
      </c>
    </row>
    <row r="406" spans="1:10" x14ac:dyDescent="0.3">
      <c r="A406" s="2" t="s">
        <v>3537</v>
      </c>
      <c r="B406" s="2" t="s">
        <v>86</v>
      </c>
      <c r="C406" s="2" t="s">
        <v>87</v>
      </c>
      <c r="D406" s="5">
        <v>-268</v>
      </c>
      <c r="E406" s="5">
        <v>-268</v>
      </c>
      <c r="F406" s="2" t="s">
        <v>23</v>
      </c>
      <c r="G406">
        <v>2.6600000000000002E-2</v>
      </c>
      <c r="H406" s="9">
        <f t="shared" si="6"/>
        <v>-10075.187969924811</v>
      </c>
      <c r="I406" t="s">
        <v>2840</v>
      </c>
      <c r="J406" t="s">
        <v>2841</v>
      </c>
    </row>
    <row r="407" spans="1:10" x14ac:dyDescent="0.3">
      <c r="A407" s="2" t="s">
        <v>3537</v>
      </c>
      <c r="B407" s="2" t="s">
        <v>2840</v>
      </c>
      <c r="C407" s="2" t="s">
        <v>2841</v>
      </c>
      <c r="D407" s="3">
        <v>70560</v>
      </c>
      <c r="E407" s="3">
        <v>70560</v>
      </c>
      <c r="F407" s="2" t="s">
        <v>16</v>
      </c>
      <c r="G407">
        <v>2.6600000000000002E-2</v>
      </c>
      <c r="H407" s="9">
        <f t="shared" si="6"/>
        <v>0</v>
      </c>
      <c r="I407" t="s">
        <v>2840</v>
      </c>
      <c r="J407" t="s">
        <v>2841</v>
      </c>
    </row>
    <row r="408" spans="1:10" x14ac:dyDescent="0.3">
      <c r="A408" s="2" t="s">
        <v>3550</v>
      </c>
      <c r="B408" s="2" t="s">
        <v>21</v>
      </c>
      <c r="C408" s="2" t="s">
        <v>22</v>
      </c>
      <c r="D408" s="3">
        <v>10</v>
      </c>
      <c r="E408" s="3">
        <v>0</v>
      </c>
      <c r="F408" s="2" t="s">
        <v>23</v>
      </c>
      <c r="G408">
        <v>3.0499999999999999E-2</v>
      </c>
      <c r="H408" s="9">
        <f t="shared" si="6"/>
        <v>0</v>
      </c>
      <c r="I408" t="s">
        <v>1027</v>
      </c>
      <c r="J408" t="s">
        <v>1028</v>
      </c>
    </row>
    <row r="409" spans="1:10" x14ac:dyDescent="0.3">
      <c r="A409" s="2" t="s">
        <v>3550</v>
      </c>
      <c r="B409" s="2" t="s">
        <v>1512</v>
      </c>
      <c r="C409" s="2" t="s">
        <v>1513</v>
      </c>
      <c r="D409" s="3">
        <v>10620</v>
      </c>
      <c r="E409" s="3">
        <v>10620</v>
      </c>
      <c r="F409" s="2" t="s">
        <v>16</v>
      </c>
      <c r="G409">
        <v>3.0499999999999999E-2</v>
      </c>
      <c r="H409" s="9">
        <f t="shared" si="6"/>
        <v>0</v>
      </c>
      <c r="I409" t="s">
        <v>1027</v>
      </c>
      <c r="J409" t="s">
        <v>1028</v>
      </c>
    </row>
    <row r="410" spans="1:10" x14ac:dyDescent="0.3">
      <c r="A410" s="2" t="s">
        <v>3550</v>
      </c>
      <c r="B410" s="2" t="s">
        <v>1027</v>
      </c>
      <c r="C410" s="2" t="s">
        <v>1028</v>
      </c>
      <c r="D410" s="3">
        <v>0</v>
      </c>
      <c r="E410" s="3">
        <v>0</v>
      </c>
      <c r="F410" s="2" t="s">
        <v>16</v>
      </c>
      <c r="G410">
        <v>3.0499999999999999E-2</v>
      </c>
      <c r="H410" s="9">
        <f t="shared" si="6"/>
        <v>0</v>
      </c>
      <c r="I410" t="s">
        <v>1027</v>
      </c>
      <c r="J410" t="s">
        <v>1028</v>
      </c>
    </row>
    <row r="411" spans="1:10" x14ac:dyDescent="0.3">
      <c r="A411" s="2" t="s">
        <v>3567</v>
      </c>
      <c r="B411" s="2" t="s">
        <v>1512</v>
      </c>
      <c r="C411" s="2" t="s">
        <v>1513</v>
      </c>
      <c r="D411" s="3">
        <v>10620</v>
      </c>
      <c r="E411" s="3">
        <v>10620</v>
      </c>
      <c r="F411" s="2" t="s">
        <v>16</v>
      </c>
      <c r="G411">
        <v>3.0499999999999999E-2</v>
      </c>
      <c r="H411" s="9">
        <f t="shared" si="6"/>
        <v>0</v>
      </c>
      <c r="I411" t="s">
        <v>740</v>
      </c>
      <c r="J411" t="s">
        <v>741</v>
      </c>
    </row>
    <row r="412" spans="1:10" x14ac:dyDescent="0.3">
      <c r="A412" s="2" t="s">
        <v>3572</v>
      </c>
      <c r="B412" s="2" t="s">
        <v>740</v>
      </c>
      <c r="C412" s="2" t="s">
        <v>741</v>
      </c>
      <c r="D412" s="3">
        <v>223020</v>
      </c>
      <c r="E412" s="3">
        <v>223020</v>
      </c>
      <c r="F412" s="2" t="s">
        <v>16</v>
      </c>
      <c r="G412">
        <v>3.0499999999999999E-2</v>
      </c>
      <c r="H412" s="9">
        <f t="shared" si="6"/>
        <v>0</v>
      </c>
      <c r="I412" t="s">
        <v>740</v>
      </c>
      <c r="J412" t="s">
        <v>741</v>
      </c>
    </row>
    <row r="413" spans="1:10" x14ac:dyDescent="0.3">
      <c r="A413" s="2" t="s">
        <v>3581</v>
      </c>
      <c r="B413" s="2" t="s">
        <v>65</v>
      </c>
      <c r="C413" s="2" t="s">
        <v>66</v>
      </c>
      <c r="D413" s="5">
        <v>-310</v>
      </c>
      <c r="E413" s="5">
        <v>-310</v>
      </c>
      <c r="F413" s="2" t="s">
        <v>23</v>
      </c>
      <c r="G413">
        <v>3.0499999999999999E-2</v>
      </c>
      <c r="H413" s="9">
        <f t="shared" si="6"/>
        <v>-10163.934426229509</v>
      </c>
      <c r="I413" t="s">
        <v>103</v>
      </c>
      <c r="J413" t="s">
        <v>104</v>
      </c>
    </row>
    <row r="414" spans="1:10" x14ac:dyDescent="0.3">
      <c r="A414" s="2" t="s">
        <v>3581</v>
      </c>
      <c r="B414" s="2" t="s">
        <v>740</v>
      </c>
      <c r="C414" s="2" t="s">
        <v>741</v>
      </c>
      <c r="D414" s="3">
        <v>31860</v>
      </c>
      <c r="E414" s="3">
        <v>31860</v>
      </c>
      <c r="F414" s="2" t="s">
        <v>16</v>
      </c>
      <c r="G414">
        <v>3.0499999999999999E-2</v>
      </c>
      <c r="H414" s="9">
        <f t="shared" si="6"/>
        <v>0</v>
      </c>
      <c r="I414" t="s">
        <v>103</v>
      </c>
      <c r="J414" t="s">
        <v>104</v>
      </c>
    </row>
    <row r="415" spans="1:10" x14ac:dyDescent="0.3">
      <c r="A415" s="2" t="s">
        <v>3598</v>
      </c>
      <c r="B415" s="2" t="s">
        <v>21</v>
      </c>
      <c r="C415" s="2" t="s">
        <v>22</v>
      </c>
      <c r="D415" s="5">
        <v>-20</v>
      </c>
      <c r="E415" s="5">
        <v>-20</v>
      </c>
      <c r="F415" s="2" t="s">
        <v>23</v>
      </c>
      <c r="G415">
        <v>3.0499999999999999E-2</v>
      </c>
      <c r="H415" s="9">
        <f t="shared" si="6"/>
        <v>-655.73770491803282</v>
      </c>
      <c r="I415" t="s">
        <v>1027</v>
      </c>
      <c r="J415" t="s">
        <v>1028</v>
      </c>
    </row>
    <row r="416" spans="1:10" x14ac:dyDescent="0.3">
      <c r="A416" s="2" t="s">
        <v>3598</v>
      </c>
      <c r="B416" s="2" t="s">
        <v>1027</v>
      </c>
      <c r="C416" s="2" t="s">
        <v>1028</v>
      </c>
      <c r="D416" s="3">
        <v>11540</v>
      </c>
      <c r="E416" s="3">
        <v>11540</v>
      </c>
      <c r="F416" s="2" t="s">
        <v>16</v>
      </c>
      <c r="G416">
        <v>3.0499999999999999E-2</v>
      </c>
      <c r="H416" s="9">
        <f t="shared" si="6"/>
        <v>0</v>
      </c>
      <c r="I416" t="s">
        <v>1027</v>
      </c>
      <c r="J416" t="s">
        <v>1028</v>
      </c>
    </row>
    <row r="417" spans="1:10" x14ac:dyDescent="0.3">
      <c r="A417" s="2" t="s">
        <v>3607</v>
      </c>
      <c r="B417" s="2" t="s">
        <v>3608</v>
      </c>
      <c r="C417" s="2" t="s">
        <v>3609</v>
      </c>
      <c r="D417" s="3">
        <v>105984</v>
      </c>
      <c r="E417" s="3">
        <v>105984</v>
      </c>
      <c r="F417" s="2" t="s">
        <v>16</v>
      </c>
      <c r="G417">
        <v>5.0099999999999999E-2</v>
      </c>
      <c r="H417" s="9">
        <f t="shared" si="6"/>
        <v>0</v>
      </c>
      <c r="I417" t="s">
        <v>3608</v>
      </c>
      <c r="J417" t="s">
        <v>3609</v>
      </c>
    </row>
    <row r="418" spans="1:10" x14ac:dyDescent="0.3">
      <c r="A418" s="2" t="s">
        <v>3607</v>
      </c>
      <c r="B418" s="2" t="s">
        <v>21</v>
      </c>
      <c r="C418" s="2" t="s">
        <v>22</v>
      </c>
      <c r="D418" s="5">
        <v>-331</v>
      </c>
      <c r="E418" s="5">
        <v>-331</v>
      </c>
      <c r="F418" s="2" t="s">
        <v>23</v>
      </c>
      <c r="G418">
        <v>5.0099999999999999E-2</v>
      </c>
      <c r="H418" s="9">
        <f t="shared" si="6"/>
        <v>-6606.7864271457083</v>
      </c>
      <c r="I418" t="s">
        <v>3608</v>
      </c>
      <c r="J418" t="s">
        <v>3609</v>
      </c>
    </row>
    <row r="419" spans="1:10" x14ac:dyDescent="0.3">
      <c r="A419" s="2" t="s">
        <v>3629</v>
      </c>
      <c r="B419" s="2" t="s">
        <v>797</v>
      </c>
      <c r="C419" s="2" t="s">
        <v>798</v>
      </c>
      <c r="D419" s="3">
        <v>86640</v>
      </c>
      <c r="E419" s="3">
        <v>86640</v>
      </c>
      <c r="F419" s="2" t="s">
        <v>16</v>
      </c>
      <c r="G419">
        <v>7.45E-3</v>
      </c>
      <c r="H419" s="9">
        <f t="shared" si="6"/>
        <v>0</v>
      </c>
      <c r="I419" t="s">
        <v>797</v>
      </c>
      <c r="J419" t="s">
        <v>798</v>
      </c>
    </row>
    <row r="420" spans="1:10" x14ac:dyDescent="0.3">
      <c r="A420" s="2" t="s">
        <v>3629</v>
      </c>
      <c r="B420" s="2" t="s">
        <v>86</v>
      </c>
      <c r="C420" s="2" t="s">
        <v>87</v>
      </c>
      <c r="D420" s="5">
        <v>-200</v>
      </c>
      <c r="E420" s="5">
        <v>-200</v>
      </c>
      <c r="F420" s="2" t="s">
        <v>23</v>
      </c>
      <c r="G420">
        <v>7.45E-3</v>
      </c>
      <c r="H420" s="9">
        <f t="shared" si="6"/>
        <v>-26845.637583892618</v>
      </c>
      <c r="I420" t="s">
        <v>797</v>
      </c>
      <c r="J420" t="s">
        <v>798</v>
      </c>
    </row>
    <row r="421" spans="1:10" x14ac:dyDescent="0.3">
      <c r="A421" s="2" t="s">
        <v>3654</v>
      </c>
      <c r="B421" s="2" t="s">
        <v>1924</v>
      </c>
      <c r="C421" s="2" t="s">
        <v>1925</v>
      </c>
      <c r="D421" s="3">
        <v>46368</v>
      </c>
      <c r="E421" s="3">
        <v>46368</v>
      </c>
      <c r="F421" s="2" t="s">
        <v>16</v>
      </c>
      <c r="G421">
        <v>5.0099999999999999E-2</v>
      </c>
      <c r="H421" s="9">
        <f t="shared" si="6"/>
        <v>0</v>
      </c>
      <c r="I421" t="e">
        <v>#N/A</v>
      </c>
      <c r="J421" t="e">
        <v>#N/A</v>
      </c>
    </row>
    <row r="422" spans="1:10" x14ac:dyDescent="0.3">
      <c r="A422" s="2" t="s">
        <v>3654</v>
      </c>
      <c r="B422" s="2" t="s">
        <v>65</v>
      </c>
      <c r="C422" s="2" t="s">
        <v>66</v>
      </c>
      <c r="D422" s="5">
        <v>-662</v>
      </c>
      <c r="E422" s="5">
        <v>-662</v>
      </c>
      <c r="F422" s="2" t="s">
        <v>23</v>
      </c>
      <c r="G422">
        <f>50.1/100</f>
        <v>0.501</v>
      </c>
      <c r="H422" s="9">
        <f t="shared" si="6"/>
        <v>-1321.3572854291417</v>
      </c>
      <c r="I422" t="e">
        <v>#N/A</v>
      </c>
      <c r="J422" t="e">
        <v>#N/A</v>
      </c>
    </row>
    <row r="423" spans="1:10" x14ac:dyDescent="0.3">
      <c r="A423" s="2" t="s">
        <v>3679</v>
      </c>
      <c r="B423" s="2" t="s">
        <v>3142</v>
      </c>
      <c r="C423" s="2" t="s">
        <v>3143</v>
      </c>
      <c r="D423" s="3">
        <v>39744</v>
      </c>
      <c r="E423" s="3">
        <v>39744</v>
      </c>
      <c r="F423" s="2" t="s">
        <v>16</v>
      </c>
      <c r="G423">
        <v>5.0099999999999999E-2</v>
      </c>
      <c r="H423" s="9">
        <f t="shared" si="6"/>
        <v>0</v>
      </c>
      <c r="I423" t="s">
        <v>3142</v>
      </c>
      <c r="J423" t="s">
        <v>3143</v>
      </c>
    </row>
    <row r="424" spans="1:10" x14ac:dyDescent="0.3">
      <c r="A424" s="2" t="s">
        <v>3679</v>
      </c>
      <c r="B424" s="2" t="s">
        <v>65</v>
      </c>
      <c r="C424" s="2" t="s">
        <v>66</v>
      </c>
      <c r="D424" s="5">
        <v>-331</v>
      </c>
      <c r="E424" s="5">
        <v>-331</v>
      </c>
      <c r="F424" s="2" t="s">
        <v>23</v>
      </c>
      <c r="G424">
        <v>5.0099999999999999E-2</v>
      </c>
      <c r="H424" s="9">
        <f t="shared" si="6"/>
        <v>-6606.7864271457083</v>
      </c>
      <c r="I424" t="s">
        <v>3142</v>
      </c>
      <c r="J424" t="s">
        <v>3143</v>
      </c>
    </row>
    <row r="425" spans="1:10" x14ac:dyDescent="0.3">
      <c r="A425" s="2" t="s">
        <v>3704</v>
      </c>
      <c r="B425" s="2" t="s">
        <v>2115</v>
      </c>
      <c r="C425" s="2" t="s">
        <v>2116</v>
      </c>
      <c r="D425" s="3">
        <v>28800</v>
      </c>
      <c r="E425" s="3">
        <v>28800</v>
      </c>
      <c r="F425" s="2" t="s">
        <v>16</v>
      </c>
      <c r="G425">
        <v>5.0999999999999997E-2</v>
      </c>
      <c r="H425" s="9">
        <f t="shared" si="6"/>
        <v>0</v>
      </c>
      <c r="I425" t="s">
        <v>2115</v>
      </c>
      <c r="J425" t="s">
        <v>2116</v>
      </c>
    </row>
    <row r="426" spans="1:10" x14ac:dyDescent="0.3">
      <c r="A426" s="2" t="s">
        <v>3704</v>
      </c>
      <c r="B426" s="2" t="s">
        <v>65</v>
      </c>
      <c r="C426" s="2" t="s">
        <v>66</v>
      </c>
      <c r="D426" s="5">
        <v>-368</v>
      </c>
      <c r="E426" s="5">
        <v>-368</v>
      </c>
      <c r="F426" s="2" t="s">
        <v>23</v>
      </c>
      <c r="G426">
        <v>5.0999999999999997E-2</v>
      </c>
      <c r="H426" s="9">
        <f t="shared" si="6"/>
        <v>-7215.6862745098042</v>
      </c>
      <c r="I426" t="s">
        <v>2115</v>
      </c>
      <c r="J426" t="s">
        <v>2116</v>
      </c>
    </row>
    <row r="427" spans="1:10" x14ac:dyDescent="0.3">
      <c r="A427" s="2" t="s">
        <v>3729</v>
      </c>
      <c r="B427" s="2" t="s">
        <v>103</v>
      </c>
      <c r="C427" s="2" t="s">
        <v>104</v>
      </c>
      <c r="D427" s="3">
        <v>21240</v>
      </c>
      <c r="E427" s="3">
        <v>21240</v>
      </c>
      <c r="F427" s="2" t="s">
        <v>16</v>
      </c>
      <c r="G427">
        <v>3.0499999999999999E-2</v>
      </c>
      <c r="H427" s="9">
        <f t="shared" si="6"/>
        <v>0</v>
      </c>
      <c r="I427" t="s">
        <v>103</v>
      </c>
      <c r="J427" t="s">
        <v>104</v>
      </c>
    </row>
    <row r="428" spans="1:10" x14ac:dyDescent="0.3">
      <c r="A428" s="2" t="s">
        <v>3734</v>
      </c>
      <c r="B428" s="2" t="s">
        <v>121</v>
      </c>
      <c r="C428" s="2" t="s">
        <v>122</v>
      </c>
      <c r="D428" s="3">
        <v>112608</v>
      </c>
      <c r="E428" s="3">
        <v>112608</v>
      </c>
      <c r="F428" s="2" t="s">
        <v>16</v>
      </c>
      <c r="G428">
        <v>4.4999999999999998E-2</v>
      </c>
      <c r="H428" s="9">
        <f t="shared" si="6"/>
        <v>0</v>
      </c>
      <c r="I428" t="s">
        <v>121</v>
      </c>
      <c r="J428" t="s">
        <v>122</v>
      </c>
    </row>
    <row r="429" spans="1:10" x14ac:dyDescent="0.3">
      <c r="A429" s="2" t="s">
        <v>3734</v>
      </c>
      <c r="B429" s="2" t="s">
        <v>21</v>
      </c>
      <c r="C429" s="2" t="s">
        <v>22</v>
      </c>
      <c r="D429" s="5">
        <v>-236</v>
      </c>
      <c r="E429" s="5">
        <v>-236</v>
      </c>
      <c r="F429" s="2" t="s">
        <v>23</v>
      </c>
      <c r="G429">
        <v>4.4999999999999998E-2</v>
      </c>
      <c r="H429" s="9">
        <f t="shared" si="6"/>
        <v>-5244.4444444444443</v>
      </c>
      <c r="I429" t="s">
        <v>121</v>
      </c>
      <c r="J429" t="s">
        <v>122</v>
      </c>
    </row>
    <row r="430" spans="1:10" x14ac:dyDescent="0.3">
      <c r="A430" s="2" t="s">
        <v>3743</v>
      </c>
      <c r="B430" s="2" t="s">
        <v>3744</v>
      </c>
      <c r="C430" s="2" t="s">
        <v>3745</v>
      </c>
      <c r="D430" s="3">
        <v>146160</v>
      </c>
      <c r="E430" s="3">
        <v>146160</v>
      </c>
      <c r="F430" s="2" t="s">
        <v>16</v>
      </c>
      <c r="G430">
        <v>1.2500000000000001E-2</v>
      </c>
      <c r="H430" s="9">
        <f t="shared" si="6"/>
        <v>0</v>
      </c>
      <c r="I430" t="s">
        <v>3749</v>
      </c>
      <c r="J430" t="s">
        <v>3750</v>
      </c>
    </row>
    <row r="431" spans="1:10" x14ac:dyDescent="0.3">
      <c r="A431" s="2" t="s">
        <v>3743</v>
      </c>
      <c r="B431" s="2" t="s">
        <v>3749</v>
      </c>
      <c r="C431" s="2" t="s">
        <v>3750</v>
      </c>
      <c r="D431" s="3">
        <v>20880</v>
      </c>
      <c r="E431" s="3">
        <v>20880</v>
      </c>
      <c r="F431" s="2" t="s">
        <v>16</v>
      </c>
      <c r="G431">
        <v>1.2500000000000001E-2</v>
      </c>
      <c r="H431" s="9">
        <f t="shared" si="6"/>
        <v>0</v>
      </c>
      <c r="I431" t="s">
        <v>3749</v>
      </c>
      <c r="J431" t="s">
        <v>3750</v>
      </c>
    </row>
    <row r="432" spans="1:10" x14ac:dyDescent="0.3">
      <c r="A432" s="2" t="s">
        <v>3753</v>
      </c>
      <c r="B432" s="2" t="s">
        <v>91</v>
      </c>
      <c r="C432" s="2" t="s">
        <v>92</v>
      </c>
      <c r="D432" s="3">
        <v>54000</v>
      </c>
      <c r="E432" s="3">
        <v>54000</v>
      </c>
      <c r="F432" s="2" t="s">
        <v>16</v>
      </c>
      <c r="G432">
        <v>8.3000000000000001E-3</v>
      </c>
      <c r="H432" s="9">
        <f t="shared" si="6"/>
        <v>0</v>
      </c>
      <c r="I432" t="s">
        <v>91</v>
      </c>
      <c r="J432" t="s">
        <v>92</v>
      </c>
    </row>
    <row r="433" spans="1:10" x14ac:dyDescent="0.3">
      <c r="A433" s="2" t="s">
        <v>3758</v>
      </c>
      <c r="B433" s="2" t="s">
        <v>3759</v>
      </c>
      <c r="C433" s="2" t="s">
        <v>3760</v>
      </c>
      <c r="D433" s="3">
        <v>29880</v>
      </c>
      <c r="E433" s="3">
        <v>29880</v>
      </c>
      <c r="F433" s="2" t="s">
        <v>16</v>
      </c>
      <c r="G433">
        <v>7.45E-3</v>
      </c>
      <c r="H433" s="9">
        <f t="shared" si="6"/>
        <v>0</v>
      </c>
      <c r="I433" t="s">
        <v>797</v>
      </c>
      <c r="J433" t="s">
        <v>798</v>
      </c>
    </row>
    <row r="434" spans="1:10" x14ac:dyDescent="0.3">
      <c r="A434" s="2" t="s">
        <v>3764</v>
      </c>
      <c r="B434" s="2" t="s">
        <v>97</v>
      </c>
      <c r="C434" s="2" t="s">
        <v>98</v>
      </c>
      <c r="D434" s="3">
        <v>96000</v>
      </c>
      <c r="E434" s="3">
        <v>96000</v>
      </c>
      <c r="F434" s="2" t="s">
        <v>16</v>
      </c>
      <c r="G434">
        <v>5.1999999999999998E-2</v>
      </c>
      <c r="H434" s="9">
        <f t="shared" si="6"/>
        <v>0</v>
      </c>
      <c r="I434" t="s">
        <v>97</v>
      </c>
      <c r="J434" t="s">
        <v>98</v>
      </c>
    </row>
    <row r="435" spans="1:10" x14ac:dyDescent="0.3">
      <c r="A435" s="2" t="s">
        <v>3773</v>
      </c>
      <c r="B435" s="2" t="s">
        <v>97</v>
      </c>
      <c r="C435" s="2" t="s">
        <v>98</v>
      </c>
      <c r="D435" s="3">
        <v>48000</v>
      </c>
      <c r="E435" s="3">
        <v>48000</v>
      </c>
      <c r="F435" s="2" t="s">
        <v>16</v>
      </c>
      <c r="G435">
        <v>5.1999999999999998E-2</v>
      </c>
      <c r="H435" s="9">
        <f t="shared" si="6"/>
        <v>0</v>
      </c>
      <c r="I435" t="s">
        <v>1170</v>
      </c>
      <c r="J435" t="s">
        <v>1171</v>
      </c>
    </row>
    <row r="436" spans="1:10" x14ac:dyDescent="0.3">
      <c r="A436" s="2" t="s">
        <v>3782</v>
      </c>
      <c r="B436" s="2" t="s">
        <v>97</v>
      </c>
      <c r="C436" s="2" t="s">
        <v>98</v>
      </c>
      <c r="D436" s="3">
        <v>259200</v>
      </c>
      <c r="E436" s="3">
        <v>259200</v>
      </c>
      <c r="F436" s="2" t="s">
        <v>16</v>
      </c>
      <c r="G436">
        <v>5.1999999999999998E-2</v>
      </c>
      <c r="H436" s="9">
        <f t="shared" si="6"/>
        <v>0</v>
      </c>
      <c r="I436" t="s">
        <v>97</v>
      </c>
      <c r="J436" t="s">
        <v>98</v>
      </c>
    </row>
    <row r="437" spans="1:10" x14ac:dyDescent="0.3">
      <c r="A437" s="2" t="s">
        <v>3795</v>
      </c>
      <c r="B437" s="2" t="s">
        <v>97</v>
      </c>
      <c r="C437" s="2" t="s">
        <v>98</v>
      </c>
      <c r="D437" s="3">
        <v>38400</v>
      </c>
      <c r="E437" s="3">
        <v>38400</v>
      </c>
      <c r="F437" s="2" t="s">
        <v>16</v>
      </c>
      <c r="G437">
        <v>5.1999999999999998E-2</v>
      </c>
      <c r="H437" s="9">
        <f t="shared" si="6"/>
        <v>0</v>
      </c>
      <c r="I437" t="s">
        <v>1170</v>
      </c>
      <c r="J437" t="s">
        <v>1171</v>
      </c>
    </row>
    <row r="438" spans="1:10" x14ac:dyDescent="0.3">
      <c r="A438" s="2" t="s">
        <v>3804</v>
      </c>
      <c r="B438" s="2" t="s">
        <v>91</v>
      </c>
      <c r="C438" s="2" t="s">
        <v>92</v>
      </c>
      <c r="D438" s="3">
        <v>243000</v>
      </c>
      <c r="E438" s="3">
        <v>243000</v>
      </c>
      <c r="F438" s="2" t="s">
        <v>16</v>
      </c>
      <c r="G438">
        <v>8.3000000000000001E-3</v>
      </c>
      <c r="H438" s="9">
        <f t="shared" si="6"/>
        <v>0</v>
      </c>
      <c r="I438" t="s">
        <v>91</v>
      </c>
      <c r="J438" t="s">
        <v>92</v>
      </c>
    </row>
    <row r="439" spans="1:10" x14ac:dyDescent="0.3">
      <c r="A439" s="2" t="s">
        <v>3813</v>
      </c>
      <c r="B439" s="2" t="s">
        <v>86</v>
      </c>
      <c r="C439" s="2" t="s">
        <v>87</v>
      </c>
      <c r="D439" s="5">
        <v>-518</v>
      </c>
      <c r="E439" s="5">
        <v>-518</v>
      </c>
      <c r="F439" s="2" t="s">
        <v>23</v>
      </c>
      <c r="G439">
        <v>1.35E-2</v>
      </c>
      <c r="H439" s="9">
        <f t="shared" si="6"/>
        <v>-38370.370370370372</v>
      </c>
      <c r="I439" t="s">
        <v>2238</v>
      </c>
      <c r="J439" t="s">
        <v>2239</v>
      </c>
    </row>
    <row r="440" spans="1:10" x14ac:dyDescent="0.3">
      <c r="A440" s="2" t="s">
        <v>3813</v>
      </c>
      <c r="B440" s="2" t="s">
        <v>2238</v>
      </c>
      <c r="C440" s="2" t="s">
        <v>2239</v>
      </c>
      <c r="D440" s="3">
        <v>96000</v>
      </c>
      <c r="E440" s="3">
        <v>96000</v>
      </c>
      <c r="F440" s="2" t="s">
        <v>16</v>
      </c>
      <c r="G440">
        <v>1.35E-2</v>
      </c>
      <c r="H440" s="9">
        <f t="shared" si="6"/>
        <v>0</v>
      </c>
      <c r="I440" t="s">
        <v>2238</v>
      </c>
      <c r="J440" t="s">
        <v>2239</v>
      </c>
    </row>
    <row r="441" spans="1:10" x14ac:dyDescent="0.3">
      <c r="A441" s="2" t="s">
        <v>3826</v>
      </c>
      <c r="B441" s="2" t="s">
        <v>699</v>
      </c>
      <c r="C441" s="2" t="s">
        <v>700</v>
      </c>
      <c r="D441" s="3">
        <v>46368</v>
      </c>
      <c r="E441" s="3">
        <v>46368</v>
      </c>
      <c r="F441" s="2" t="s">
        <v>16</v>
      </c>
      <c r="G441">
        <v>4.4999999999999998E-2</v>
      </c>
      <c r="H441" s="9">
        <f t="shared" si="6"/>
        <v>0</v>
      </c>
      <c r="I441" t="s">
        <v>699</v>
      </c>
      <c r="J441" t="s">
        <v>700</v>
      </c>
    </row>
    <row r="442" spans="1:10" x14ac:dyDescent="0.3">
      <c r="A442" s="2" t="s">
        <v>3835</v>
      </c>
      <c r="B442" s="2" t="s">
        <v>3142</v>
      </c>
      <c r="C442" s="2" t="s">
        <v>3143</v>
      </c>
      <c r="D442" s="3">
        <v>132480</v>
      </c>
      <c r="E442" s="3">
        <v>132480</v>
      </c>
      <c r="F442" s="2" t="s">
        <v>16</v>
      </c>
      <c r="G442">
        <v>5.0099999999999999E-2</v>
      </c>
      <c r="H442" s="9">
        <f t="shared" si="6"/>
        <v>0</v>
      </c>
      <c r="I442" t="s">
        <v>3142</v>
      </c>
      <c r="J442" t="s">
        <v>3143</v>
      </c>
    </row>
    <row r="443" spans="1:10" x14ac:dyDescent="0.3">
      <c r="A443" s="2" t="s">
        <v>3848</v>
      </c>
      <c r="B443" s="2" t="s">
        <v>97</v>
      </c>
      <c r="C443" s="2" t="s">
        <v>98</v>
      </c>
      <c r="D443" s="3">
        <v>302400</v>
      </c>
      <c r="E443" s="3">
        <v>302400</v>
      </c>
      <c r="F443" s="2" t="s">
        <v>16</v>
      </c>
      <c r="G443">
        <v>5.1999999999999998E-2</v>
      </c>
      <c r="H443" s="9">
        <f t="shared" si="6"/>
        <v>0</v>
      </c>
      <c r="I443" t="s">
        <v>97</v>
      </c>
      <c r="J443" t="s">
        <v>98</v>
      </c>
    </row>
    <row r="444" spans="1:10" x14ac:dyDescent="0.3">
      <c r="A444" s="2" t="s">
        <v>3861</v>
      </c>
      <c r="B444" s="2" t="s">
        <v>517</v>
      </c>
      <c r="C444" s="2" t="s">
        <v>518</v>
      </c>
      <c r="D444" s="3">
        <v>332640</v>
      </c>
      <c r="E444" s="3">
        <v>332640</v>
      </c>
      <c r="F444" s="2" t="s">
        <v>16</v>
      </c>
      <c r="G444">
        <v>2.6600000000000002E-2</v>
      </c>
      <c r="H444" s="9">
        <f t="shared" si="6"/>
        <v>0</v>
      </c>
      <c r="I444" t="s">
        <v>517</v>
      </c>
      <c r="J444" t="s">
        <v>518</v>
      </c>
    </row>
    <row r="445" spans="1:10" x14ac:dyDescent="0.3">
      <c r="A445" s="2" t="s">
        <v>3874</v>
      </c>
      <c r="B445" s="2" t="s">
        <v>121</v>
      </c>
      <c r="C445" s="2" t="s">
        <v>122</v>
      </c>
      <c r="D445" s="3">
        <v>11880</v>
      </c>
      <c r="E445" s="3">
        <v>11880</v>
      </c>
      <c r="F445" s="2" t="s">
        <v>16</v>
      </c>
      <c r="G445">
        <v>4.4999999999999998E-2</v>
      </c>
      <c r="H445" s="9">
        <f t="shared" si="6"/>
        <v>0</v>
      </c>
      <c r="I445" t="s">
        <v>121</v>
      </c>
      <c r="J445" t="s">
        <v>122</v>
      </c>
    </row>
    <row r="446" spans="1:10" x14ac:dyDescent="0.3">
      <c r="A446" s="2" t="s">
        <v>3883</v>
      </c>
      <c r="B446" s="2" t="s">
        <v>97</v>
      </c>
      <c r="C446" s="2" t="s">
        <v>98</v>
      </c>
      <c r="D446" s="3">
        <v>144000</v>
      </c>
      <c r="E446" s="3">
        <v>144000</v>
      </c>
      <c r="F446" s="2" t="s">
        <v>16</v>
      </c>
      <c r="G446">
        <v>5.1999999999999998E-2</v>
      </c>
      <c r="H446" s="9">
        <f t="shared" si="6"/>
        <v>0</v>
      </c>
      <c r="I446" t="s">
        <v>97</v>
      </c>
      <c r="J446" t="s">
        <v>98</v>
      </c>
    </row>
    <row r="447" spans="1:10" x14ac:dyDescent="0.3">
      <c r="A447" s="2" t="s">
        <v>3888</v>
      </c>
      <c r="B447" s="2" t="s">
        <v>517</v>
      </c>
      <c r="C447" s="2" t="s">
        <v>518</v>
      </c>
      <c r="D447" s="3">
        <v>493920</v>
      </c>
      <c r="E447" s="3">
        <v>493920</v>
      </c>
      <c r="F447" s="2" t="s">
        <v>16</v>
      </c>
      <c r="G447">
        <v>2.6600000000000002E-2</v>
      </c>
      <c r="H447" s="9">
        <f t="shared" si="6"/>
        <v>0</v>
      </c>
      <c r="I447" t="s">
        <v>517</v>
      </c>
      <c r="J447" t="s">
        <v>518</v>
      </c>
    </row>
    <row r="448" spans="1:10" x14ac:dyDescent="0.3">
      <c r="A448" s="2" t="s">
        <v>3897</v>
      </c>
      <c r="B448" s="2" t="s">
        <v>2611</v>
      </c>
      <c r="C448" s="2" t="s">
        <v>2612</v>
      </c>
      <c r="D448" s="3">
        <v>10656</v>
      </c>
      <c r="E448" s="3">
        <v>10656</v>
      </c>
      <c r="F448" s="2" t="s">
        <v>16</v>
      </c>
      <c r="G448">
        <v>1.2699999999999999E-2</v>
      </c>
      <c r="H448" s="9">
        <f t="shared" si="6"/>
        <v>0</v>
      </c>
      <c r="I448" t="s">
        <v>2611</v>
      </c>
      <c r="J448" t="s">
        <v>2612</v>
      </c>
    </row>
    <row r="449" spans="1:10" x14ac:dyDescent="0.3">
      <c r="A449" s="2" t="s">
        <v>3902</v>
      </c>
      <c r="B449" s="2" t="s">
        <v>2611</v>
      </c>
      <c r="C449" s="2" t="s">
        <v>2612</v>
      </c>
      <c r="D449" s="3">
        <v>10656</v>
      </c>
      <c r="E449" s="3">
        <v>10656</v>
      </c>
      <c r="F449" s="2" t="s">
        <v>16</v>
      </c>
      <c r="G449">
        <v>1.2699999999999999E-2</v>
      </c>
      <c r="H449" s="9">
        <f t="shared" si="6"/>
        <v>0</v>
      </c>
      <c r="I449" t="s">
        <v>2611</v>
      </c>
      <c r="J449" t="s">
        <v>2612</v>
      </c>
    </row>
    <row r="450" spans="1:10" x14ac:dyDescent="0.3">
      <c r="A450" s="2" t="s">
        <v>3907</v>
      </c>
      <c r="B450" s="2" t="s">
        <v>65</v>
      </c>
      <c r="C450" s="2" t="s">
        <v>66</v>
      </c>
      <c r="D450" s="5">
        <v>-288</v>
      </c>
      <c r="E450" s="5">
        <v>-288</v>
      </c>
      <c r="F450" s="2" t="s">
        <v>23</v>
      </c>
      <c r="G450">
        <v>1.4E-2</v>
      </c>
      <c r="H450" s="9">
        <f t="shared" si="6"/>
        <v>-20571.428571428572</v>
      </c>
      <c r="I450" t="s">
        <v>947</v>
      </c>
      <c r="J450" t="s">
        <v>948</v>
      </c>
    </row>
    <row r="451" spans="1:10" x14ac:dyDescent="0.3">
      <c r="A451" s="2" t="s">
        <v>3907</v>
      </c>
      <c r="B451" s="2" t="s">
        <v>947</v>
      </c>
      <c r="C451" s="2" t="s">
        <v>948</v>
      </c>
      <c r="D451" s="3">
        <v>103200</v>
      </c>
      <c r="E451" s="3">
        <v>103200</v>
      </c>
      <c r="F451" s="2" t="s">
        <v>16</v>
      </c>
      <c r="G451">
        <v>1.4E-2</v>
      </c>
      <c r="H451" s="9">
        <f t="shared" ref="H451:H514" si="7">IFERROR(IF(LEFT(B451,1)="F",E451/G451,0),0)</f>
        <v>0</v>
      </c>
      <c r="I451" t="s">
        <v>947</v>
      </c>
      <c r="J451" t="s">
        <v>948</v>
      </c>
    </row>
    <row r="452" spans="1:10" x14ac:dyDescent="0.3">
      <c r="A452" s="2" t="s">
        <v>3920</v>
      </c>
      <c r="B452" s="2" t="s">
        <v>3028</v>
      </c>
      <c r="C452" s="2" t="s">
        <v>3029</v>
      </c>
      <c r="D452" s="3">
        <v>25380</v>
      </c>
      <c r="E452" s="3">
        <v>25380</v>
      </c>
      <c r="F452" s="2" t="s">
        <v>16</v>
      </c>
      <c r="G452">
        <v>9.4000000000000004E-3</v>
      </c>
      <c r="H452" s="9">
        <f t="shared" si="7"/>
        <v>0</v>
      </c>
      <c r="I452" t="s">
        <v>3028</v>
      </c>
      <c r="J452" t="s">
        <v>3029</v>
      </c>
    </row>
    <row r="453" spans="1:10" x14ac:dyDescent="0.3">
      <c r="A453" s="2" t="s">
        <v>3929</v>
      </c>
      <c r="B453" s="2" t="s">
        <v>76</v>
      </c>
      <c r="C453" s="2" t="s">
        <v>77</v>
      </c>
      <c r="D453" s="3">
        <v>355320</v>
      </c>
      <c r="E453" s="3">
        <v>355320</v>
      </c>
      <c r="F453" s="2" t="s">
        <v>16</v>
      </c>
      <c r="G453">
        <v>9.4000000000000004E-3</v>
      </c>
      <c r="H453" s="9">
        <f t="shared" si="7"/>
        <v>0</v>
      </c>
      <c r="I453" t="s">
        <v>3028</v>
      </c>
      <c r="J453" t="s">
        <v>3029</v>
      </c>
    </row>
    <row r="454" spans="1:10" x14ac:dyDescent="0.3">
      <c r="A454" s="2" t="s">
        <v>3938</v>
      </c>
      <c r="B454" s="2" t="s">
        <v>445</v>
      </c>
      <c r="C454" s="2" t="s">
        <v>446</v>
      </c>
      <c r="D454" s="3">
        <v>25380</v>
      </c>
      <c r="E454" s="3">
        <v>25380</v>
      </c>
      <c r="F454" s="2" t="s">
        <v>16</v>
      </c>
      <c r="G454">
        <v>9.4000000000000004E-3</v>
      </c>
      <c r="H454" s="9">
        <f t="shared" si="7"/>
        <v>0</v>
      </c>
      <c r="I454" t="s">
        <v>445</v>
      </c>
      <c r="J454" t="s">
        <v>446</v>
      </c>
    </row>
    <row r="455" spans="1:10" x14ac:dyDescent="0.3">
      <c r="A455" s="2" t="s">
        <v>4034</v>
      </c>
      <c r="B455" s="2" t="s">
        <v>445</v>
      </c>
      <c r="C455" s="2" t="s">
        <v>446</v>
      </c>
      <c r="D455" s="3">
        <v>304560</v>
      </c>
      <c r="E455" s="3">
        <v>304560</v>
      </c>
      <c r="F455" s="2" t="s">
        <v>16</v>
      </c>
      <c r="G455">
        <v>9.4000000000000004E-3</v>
      </c>
      <c r="H455" s="9">
        <f t="shared" si="7"/>
        <v>0</v>
      </c>
      <c r="I455" t="s">
        <v>445</v>
      </c>
      <c r="J455" t="s">
        <v>446</v>
      </c>
    </row>
    <row r="456" spans="1:10" x14ac:dyDescent="0.3">
      <c r="A456" s="2" t="s">
        <v>4034</v>
      </c>
      <c r="B456" s="2" t="s">
        <v>65</v>
      </c>
      <c r="C456" s="2" t="s">
        <v>66</v>
      </c>
      <c r="D456" s="5">
        <v>-714</v>
      </c>
      <c r="E456" s="5">
        <v>-714</v>
      </c>
      <c r="F456" s="2" t="s">
        <v>23</v>
      </c>
      <c r="G456">
        <v>9.4000000000000004E-3</v>
      </c>
      <c r="H456" s="9">
        <f t="shared" si="7"/>
        <v>-75957.446808510635</v>
      </c>
      <c r="I456" t="s">
        <v>445</v>
      </c>
      <c r="J456" t="s">
        <v>446</v>
      </c>
    </row>
    <row r="457" spans="1:10" x14ac:dyDescent="0.3">
      <c r="A457" s="2" t="s">
        <v>4058</v>
      </c>
      <c r="B457" s="2" t="s">
        <v>3608</v>
      </c>
      <c r="C457" s="2" t="s">
        <v>3609</v>
      </c>
      <c r="D457" s="3">
        <v>26496</v>
      </c>
      <c r="E457" s="3">
        <v>26496</v>
      </c>
      <c r="F457" s="2" t="s">
        <v>16</v>
      </c>
      <c r="G457">
        <v>5.0099999999999999E-2</v>
      </c>
      <c r="H457" s="9">
        <f t="shared" si="7"/>
        <v>0</v>
      </c>
      <c r="I457" t="s">
        <v>3608</v>
      </c>
      <c r="J457" t="s">
        <v>3609</v>
      </c>
    </row>
    <row r="458" spans="1:10" x14ac:dyDescent="0.3">
      <c r="A458" s="2" t="s">
        <v>4058</v>
      </c>
      <c r="B458" s="2" t="s">
        <v>21</v>
      </c>
      <c r="C458" s="2" t="s">
        <v>22</v>
      </c>
      <c r="D458" s="5">
        <v>-331</v>
      </c>
      <c r="E458" s="5">
        <v>-331</v>
      </c>
      <c r="F458" s="2" t="s">
        <v>23</v>
      </c>
      <c r="G458">
        <v>5.0099999999999999E-2</v>
      </c>
      <c r="H458" s="9">
        <f t="shared" si="7"/>
        <v>-6606.7864271457083</v>
      </c>
      <c r="I458" t="s">
        <v>3608</v>
      </c>
      <c r="J458" t="s">
        <v>3609</v>
      </c>
    </row>
    <row r="459" spans="1:10" x14ac:dyDescent="0.3">
      <c r="A459" s="2" t="s">
        <v>4083</v>
      </c>
      <c r="B459" s="2" t="s">
        <v>740</v>
      </c>
      <c r="C459" s="2" t="s">
        <v>741</v>
      </c>
      <c r="D459" s="3">
        <v>499140</v>
      </c>
      <c r="E459" s="3">
        <v>499140</v>
      </c>
      <c r="F459" s="2" t="s">
        <v>16</v>
      </c>
      <c r="G459">
        <v>3.0499999999999999E-2</v>
      </c>
      <c r="H459" s="9">
        <f t="shared" si="7"/>
        <v>0</v>
      </c>
      <c r="I459" t="s">
        <v>740</v>
      </c>
      <c r="J459" t="s">
        <v>741</v>
      </c>
    </row>
    <row r="460" spans="1:10" x14ac:dyDescent="0.3">
      <c r="A460" s="2" t="s">
        <v>4088</v>
      </c>
      <c r="B460" s="2" t="s">
        <v>517</v>
      </c>
      <c r="C460" s="2" t="s">
        <v>518</v>
      </c>
      <c r="D460" s="3">
        <v>534240</v>
      </c>
      <c r="E460" s="3">
        <v>534240</v>
      </c>
      <c r="F460" s="2" t="s">
        <v>16</v>
      </c>
      <c r="G460">
        <v>2.6600000000000002E-2</v>
      </c>
      <c r="H460" s="9">
        <f t="shared" si="7"/>
        <v>0</v>
      </c>
      <c r="I460" t="s">
        <v>517</v>
      </c>
      <c r="J460" t="s">
        <v>518</v>
      </c>
    </row>
    <row r="461" spans="1:10" x14ac:dyDescent="0.3">
      <c r="A461" s="2" t="s">
        <v>4093</v>
      </c>
      <c r="B461" s="2" t="s">
        <v>2008</v>
      </c>
      <c r="C461" s="2" t="s">
        <v>2009</v>
      </c>
      <c r="D461" s="3">
        <v>70560</v>
      </c>
      <c r="E461" s="3">
        <v>70560</v>
      </c>
      <c r="F461" s="2" t="s">
        <v>16</v>
      </c>
      <c r="G461">
        <v>2.6600000000000002E-2</v>
      </c>
      <c r="H461" s="9">
        <f t="shared" si="7"/>
        <v>0</v>
      </c>
      <c r="I461" t="s">
        <v>517</v>
      </c>
      <c r="J461" t="s">
        <v>518</v>
      </c>
    </row>
    <row r="462" spans="1:10" x14ac:dyDescent="0.3">
      <c r="A462" s="2" t="s">
        <v>4093</v>
      </c>
      <c r="B462" s="2" t="s">
        <v>65</v>
      </c>
      <c r="C462" s="2" t="s">
        <v>66</v>
      </c>
      <c r="D462" s="5">
        <v>-268</v>
      </c>
      <c r="E462" s="5">
        <v>-268</v>
      </c>
      <c r="F462" s="2" t="s">
        <v>23</v>
      </c>
      <c r="G462">
        <v>2.6600000000000002E-2</v>
      </c>
      <c r="H462" s="9">
        <f t="shared" si="7"/>
        <v>-10075.187969924811</v>
      </c>
      <c r="I462" t="s">
        <v>517</v>
      </c>
      <c r="J462" t="s">
        <v>518</v>
      </c>
    </row>
    <row r="463" spans="1:10" x14ac:dyDescent="0.3">
      <c r="A463" s="2" t="s">
        <v>4118</v>
      </c>
      <c r="B463" s="2" t="s">
        <v>485</v>
      </c>
      <c r="C463" s="2" t="s">
        <v>486</v>
      </c>
      <c r="D463" s="3">
        <v>211200</v>
      </c>
      <c r="E463" s="3">
        <v>211200</v>
      </c>
      <c r="F463" s="2" t="s">
        <v>16</v>
      </c>
      <c r="G463">
        <v>1.4E-2</v>
      </c>
      <c r="H463" s="9">
        <f t="shared" si="7"/>
        <v>0</v>
      </c>
      <c r="I463" t="s">
        <v>485</v>
      </c>
      <c r="J463" t="s">
        <v>486</v>
      </c>
    </row>
    <row r="464" spans="1:10" x14ac:dyDescent="0.3">
      <c r="A464" s="2" t="s">
        <v>4118</v>
      </c>
      <c r="B464" s="2" t="s">
        <v>86</v>
      </c>
      <c r="C464" s="2" t="s">
        <v>87</v>
      </c>
      <c r="D464" s="5">
        <v>-537</v>
      </c>
      <c r="E464" s="5">
        <v>-537</v>
      </c>
      <c r="F464" s="2" t="s">
        <v>23</v>
      </c>
      <c r="G464">
        <v>1.4E-2</v>
      </c>
      <c r="H464" s="9">
        <f t="shared" si="7"/>
        <v>-38357.142857142855</v>
      </c>
      <c r="I464" t="s">
        <v>485</v>
      </c>
      <c r="J464" t="s">
        <v>486</v>
      </c>
    </row>
    <row r="465" spans="1:10" x14ac:dyDescent="0.3">
      <c r="A465" s="2" t="s">
        <v>4143</v>
      </c>
      <c r="B465" s="2" t="s">
        <v>1027</v>
      </c>
      <c r="C465" s="2" t="s">
        <v>1028</v>
      </c>
      <c r="D465" s="3">
        <v>307980</v>
      </c>
      <c r="E465" s="3">
        <v>307980</v>
      </c>
      <c r="F465" s="2" t="s">
        <v>16</v>
      </c>
      <c r="G465">
        <v>3.0499999999999999E-2</v>
      </c>
      <c r="H465" s="9">
        <f t="shared" si="7"/>
        <v>0</v>
      </c>
      <c r="I465" t="s">
        <v>1027</v>
      </c>
      <c r="J465" t="s">
        <v>1028</v>
      </c>
    </row>
    <row r="466" spans="1:10" x14ac:dyDescent="0.3">
      <c r="A466" s="2" t="s">
        <v>4148</v>
      </c>
      <c r="B466" s="2" t="s">
        <v>517</v>
      </c>
      <c r="C466" s="2" t="s">
        <v>518</v>
      </c>
      <c r="D466" s="3">
        <v>362880</v>
      </c>
      <c r="E466" s="3">
        <v>362880</v>
      </c>
      <c r="F466" s="2" t="s">
        <v>16</v>
      </c>
      <c r="G466">
        <v>2.6600000000000002E-2</v>
      </c>
      <c r="H466" s="9">
        <f t="shared" si="7"/>
        <v>0</v>
      </c>
      <c r="I466" t="s">
        <v>517</v>
      </c>
      <c r="J466" t="s">
        <v>518</v>
      </c>
    </row>
    <row r="467" spans="1:10" x14ac:dyDescent="0.3">
      <c r="A467" s="2" t="s">
        <v>4157</v>
      </c>
      <c r="B467" s="2" t="s">
        <v>1027</v>
      </c>
      <c r="C467" s="2" t="s">
        <v>1028</v>
      </c>
      <c r="D467" s="3">
        <v>424800</v>
      </c>
      <c r="E467" s="3">
        <v>424800</v>
      </c>
      <c r="F467" s="2" t="s">
        <v>16</v>
      </c>
      <c r="G467">
        <v>3.0499999999999999E-2</v>
      </c>
      <c r="H467" s="9">
        <f t="shared" si="7"/>
        <v>0</v>
      </c>
      <c r="I467" t="s">
        <v>1027</v>
      </c>
      <c r="J467" t="s">
        <v>1028</v>
      </c>
    </row>
    <row r="468" spans="1:10" x14ac:dyDescent="0.3">
      <c r="A468" s="2" t="s">
        <v>4166</v>
      </c>
      <c r="B468" s="2" t="s">
        <v>97</v>
      </c>
      <c r="C468" s="2" t="s">
        <v>98</v>
      </c>
      <c r="D468" s="3">
        <v>292800</v>
      </c>
      <c r="E468" s="3">
        <v>292800</v>
      </c>
      <c r="F468" s="2" t="s">
        <v>16</v>
      </c>
      <c r="G468">
        <v>5.1999999999999998E-2</v>
      </c>
      <c r="H468" s="9">
        <f t="shared" si="7"/>
        <v>0</v>
      </c>
      <c r="I468" t="s">
        <v>97</v>
      </c>
      <c r="J468" t="s">
        <v>98</v>
      </c>
    </row>
    <row r="469" spans="1:10" x14ac:dyDescent="0.3">
      <c r="A469" s="2" t="s">
        <v>4179</v>
      </c>
      <c r="B469" s="2" t="s">
        <v>86</v>
      </c>
      <c r="C469" s="2" t="s">
        <v>87</v>
      </c>
      <c r="D469" s="5">
        <v>-224</v>
      </c>
      <c r="E469" s="5">
        <v>-224</v>
      </c>
      <c r="F469" s="2" t="s">
        <v>23</v>
      </c>
      <c r="G469">
        <v>8.3000000000000001E-3</v>
      </c>
      <c r="H469" s="9">
        <f t="shared" si="7"/>
        <v>-26987.951807228914</v>
      </c>
      <c r="I469" t="s">
        <v>91</v>
      </c>
      <c r="J469" t="s">
        <v>92</v>
      </c>
    </row>
    <row r="470" spans="1:10" x14ac:dyDescent="0.3">
      <c r="A470" s="2" t="s">
        <v>4179</v>
      </c>
      <c r="B470" s="2" t="s">
        <v>91</v>
      </c>
      <c r="C470" s="2" t="s">
        <v>92</v>
      </c>
      <c r="D470" s="3">
        <v>216000</v>
      </c>
      <c r="E470" s="3">
        <v>216000</v>
      </c>
      <c r="F470" s="2" t="s">
        <v>16</v>
      </c>
      <c r="G470">
        <v>8.3000000000000001E-3</v>
      </c>
      <c r="H470" s="9">
        <f t="shared" si="7"/>
        <v>0</v>
      </c>
      <c r="I470" t="s">
        <v>91</v>
      </c>
      <c r="J470" t="s">
        <v>92</v>
      </c>
    </row>
    <row r="471" spans="1:10" x14ac:dyDescent="0.3">
      <c r="A471" s="2" t="s">
        <v>4192</v>
      </c>
      <c r="B471" s="2" t="s">
        <v>21</v>
      </c>
      <c r="C471" s="2" t="s">
        <v>22</v>
      </c>
      <c r="D471" s="5">
        <v>-295</v>
      </c>
      <c r="E471" s="5">
        <v>-295</v>
      </c>
      <c r="F471" s="2" t="s">
        <v>23</v>
      </c>
      <c r="G471">
        <v>3.0499999999999999E-2</v>
      </c>
      <c r="H471" s="9">
        <f t="shared" si="7"/>
        <v>-9672.1311475409839</v>
      </c>
      <c r="I471" t="s">
        <v>2168</v>
      </c>
      <c r="J471" t="s">
        <v>2169</v>
      </c>
    </row>
    <row r="472" spans="1:10" x14ac:dyDescent="0.3">
      <c r="A472" s="2" t="s">
        <v>4192</v>
      </c>
      <c r="B472" s="2" t="s">
        <v>1027</v>
      </c>
      <c r="C472" s="2" t="s">
        <v>1028</v>
      </c>
      <c r="D472" s="3">
        <v>73420</v>
      </c>
      <c r="E472" s="3">
        <v>73420</v>
      </c>
      <c r="F472" s="2" t="s">
        <v>16</v>
      </c>
      <c r="G472">
        <v>3.0499999999999999E-2</v>
      </c>
      <c r="H472" s="9">
        <f t="shared" si="7"/>
        <v>0</v>
      </c>
      <c r="I472" t="s">
        <v>2168</v>
      </c>
      <c r="J472" t="s">
        <v>2169</v>
      </c>
    </row>
    <row r="473" spans="1:10" x14ac:dyDescent="0.3">
      <c r="A473" s="2" t="s">
        <v>4205</v>
      </c>
      <c r="B473" s="2" t="s">
        <v>2168</v>
      </c>
      <c r="C473" s="2" t="s">
        <v>2169</v>
      </c>
      <c r="D473" s="3">
        <v>10620</v>
      </c>
      <c r="E473" s="3">
        <v>10620</v>
      </c>
      <c r="F473" s="2" t="s">
        <v>16</v>
      </c>
      <c r="G473">
        <v>3.0499999999999999E-2</v>
      </c>
      <c r="H473" s="9">
        <f t="shared" si="7"/>
        <v>0</v>
      </c>
      <c r="I473" t="s">
        <v>2168</v>
      </c>
      <c r="J473" t="s">
        <v>2169</v>
      </c>
    </row>
    <row r="474" spans="1:10" x14ac:dyDescent="0.3">
      <c r="A474" s="2" t="s">
        <v>4214</v>
      </c>
      <c r="B474" s="2" t="s">
        <v>2168</v>
      </c>
      <c r="C474" s="2" t="s">
        <v>2169</v>
      </c>
      <c r="D474" s="3">
        <v>10620</v>
      </c>
      <c r="E474" s="3">
        <v>10620</v>
      </c>
      <c r="F474" s="2" t="s">
        <v>16</v>
      </c>
      <c r="G474">
        <v>3.0499999999999999E-2</v>
      </c>
      <c r="H474" s="9">
        <f t="shared" si="7"/>
        <v>0</v>
      </c>
      <c r="I474" t="s">
        <v>2168</v>
      </c>
      <c r="J474" t="s">
        <v>2169</v>
      </c>
    </row>
    <row r="475" spans="1:10" x14ac:dyDescent="0.3">
      <c r="A475" s="2" t="s">
        <v>4223</v>
      </c>
      <c r="B475" s="2" t="s">
        <v>1512</v>
      </c>
      <c r="C475" s="2" t="s">
        <v>1513</v>
      </c>
      <c r="D475" s="3">
        <v>63720</v>
      </c>
      <c r="E475" s="3">
        <v>63720</v>
      </c>
      <c r="F475" s="2" t="s">
        <v>16</v>
      </c>
      <c r="G475">
        <v>3.0499999999999999E-2</v>
      </c>
      <c r="H475" s="9">
        <f t="shared" si="7"/>
        <v>0</v>
      </c>
      <c r="I475" t="s">
        <v>1027</v>
      </c>
      <c r="J475" t="s">
        <v>1028</v>
      </c>
    </row>
    <row r="476" spans="1:10" x14ac:dyDescent="0.3">
      <c r="A476" s="2" t="s">
        <v>4232</v>
      </c>
      <c r="B476" s="2" t="s">
        <v>4237</v>
      </c>
      <c r="C476" s="2" t="s">
        <v>4238</v>
      </c>
      <c r="D476" s="3">
        <v>12672</v>
      </c>
      <c r="E476" s="3">
        <v>12672</v>
      </c>
      <c r="F476" s="2" t="s">
        <v>16</v>
      </c>
      <c r="G476">
        <v>3.5999999999999997E-2</v>
      </c>
      <c r="H476" s="9">
        <f t="shared" si="7"/>
        <v>0</v>
      </c>
      <c r="I476" t="s">
        <v>70</v>
      </c>
      <c r="J476" t="s">
        <v>71</v>
      </c>
    </row>
    <row r="477" spans="1:10" x14ac:dyDescent="0.3">
      <c r="A477" s="2" t="s">
        <v>4242</v>
      </c>
      <c r="B477" s="2" t="s">
        <v>65</v>
      </c>
      <c r="C477" s="2" t="s">
        <v>66</v>
      </c>
      <c r="D477" s="5">
        <v>-331</v>
      </c>
      <c r="E477" s="5">
        <v>-331</v>
      </c>
      <c r="F477" s="2" t="s">
        <v>23</v>
      </c>
      <c r="G477">
        <v>5.0099999999999999E-2</v>
      </c>
      <c r="H477" s="9">
        <f t="shared" si="7"/>
        <v>-6606.7864271457083</v>
      </c>
      <c r="I477" t="s">
        <v>3142</v>
      </c>
      <c r="J477" t="s">
        <v>3143</v>
      </c>
    </row>
    <row r="478" spans="1:10" x14ac:dyDescent="0.3">
      <c r="A478" s="2" t="s">
        <v>4242</v>
      </c>
      <c r="B478" s="2" t="s">
        <v>3142</v>
      </c>
      <c r="C478" s="2" t="s">
        <v>3143</v>
      </c>
      <c r="D478" s="3">
        <v>13248</v>
      </c>
      <c r="E478" s="3">
        <v>13248</v>
      </c>
      <c r="F478" s="2" t="s">
        <v>16</v>
      </c>
      <c r="G478">
        <v>5.0099999999999999E-2</v>
      </c>
      <c r="H478" s="9">
        <f t="shared" si="7"/>
        <v>0</v>
      </c>
      <c r="I478" t="s">
        <v>3142</v>
      </c>
      <c r="J478" t="s">
        <v>3143</v>
      </c>
    </row>
    <row r="479" spans="1:10" x14ac:dyDescent="0.3">
      <c r="A479" s="2" t="s">
        <v>4255</v>
      </c>
      <c r="B479" s="2" t="s">
        <v>740</v>
      </c>
      <c r="C479" s="2" t="s">
        <v>741</v>
      </c>
      <c r="D479" s="3">
        <v>509760</v>
      </c>
      <c r="E479" s="3">
        <v>509760</v>
      </c>
      <c r="F479" s="2" t="s">
        <v>16</v>
      </c>
      <c r="G479">
        <v>3.0499999999999999E-2</v>
      </c>
      <c r="H479" s="9">
        <f t="shared" si="7"/>
        <v>0</v>
      </c>
      <c r="I479" t="s">
        <v>2100</v>
      </c>
      <c r="J479" t="s">
        <v>2101</v>
      </c>
    </row>
    <row r="480" spans="1:10" x14ac:dyDescent="0.3">
      <c r="A480" s="2" t="s">
        <v>4271</v>
      </c>
      <c r="B480" s="2" t="s">
        <v>97</v>
      </c>
      <c r="C480" s="2" t="s">
        <v>98</v>
      </c>
      <c r="D480" s="3">
        <v>436800</v>
      </c>
      <c r="E480" s="3">
        <v>436800</v>
      </c>
      <c r="F480" s="2" t="s">
        <v>16</v>
      </c>
      <c r="G480">
        <v>5.1999999999999998E-2</v>
      </c>
      <c r="H480" s="9">
        <f t="shared" si="7"/>
        <v>0</v>
      </c>
      <c r="I480" t="s">
        <v>97</v>
      </c>
      <c r="J480" t="s">
        <v>98</v>
      </c>
    </row>
    <row r="481" spans="1:10" x14ac:dyDescent="0.3">
      <c r="A481" s="2" t="s">
        <v>4284</v>
      </c>
      <c r="B481" s="2" t="s">
        <v>97</v>
      </c>
      <c r="C481" s="2" t="s">
        <v>98</v>
      </c>
      <c r="D481" s="3">
        <v>9600</v>
      </c>
      <c r="E481" s="3">
        <v>9600</v>
      </c>
      <c r="F481" s="2" t="s">
        <v>16</v>
      </c>
      <c r="G481">
        <v>5.1999999999999998E-2</v>
      </c>
      <c r="H481" s="9">
        <f t="shared" si="7"/>
        <v>0</v>
      </c>
      <c r="I481" t="s">
        <v>1170</v>
      </c>
      <c r="J481" t="s">
        <v>1171</v>
      </c>
    </row>
    <row r="482" spans="1:10" x14ac:dyDescent="0.3">
      <c r="A482" s="2" t="s">
        <v>4293</v>
      </c>
      <c r="B482" s="2" t="s">
        <v>1027</v>
      </c>
      <c r="C482" s="2" t="s">
        <v>1028</v>
      </c>
      <c r="D482" s="3">
        <v>31860</v>
      </c>
      <c r="E482" s="3">
        <v>31860</v>
      </c>
      <c r="F482" s="2" t="s">
        <v>16</v>
      </c>
      <c r="G482">
        <v>3.0499999999999999E-2</v>
      </c>
      <c r="H482" s="9">
        <f t="shared" si="7"/>
        <v>0</v>
      </c>
      <c r="I482" t="s">
        <v>1027</v>
      </c>
      <c r="J482" t="s">
        <v>1028</v>
      </c>
    </row>
    <row r="483" spans="1:10" x14ac:dyDescent="0.3">
      <c r="A483" s="2" t="s">
        <v>4302</v>
      </c>
      <c r="B483" s="2" t="s">
        <v>65</v>
      </c>
      <c r="C483" s="2" t="s">
        <v>66</v>
      </c>
      <c r="D483" s="5">
        <v>-323</v>
      </c>
      <c r="E483" s="5">
        <v>-323</v>
      </c>
      <c r="F483" s="2" t="s">
        <v>23</v>
      </c>
      <c r="G483">
        <v>3.0499999999999999E-2</v>
      </c>
      <c r="H483" s="9">
        <f t="shared" si="7"/>
        <v>-10590.163934426229</v>
      </c>
      <c r="I483" t="s">
        <v>103</v>
      </c>
      <c r="J483" t="s">
        <v>104</v>
      </c>
    </row>
    <row r="484" spans="1:10" x14ac:dyDescent="0.3">
      <c r="A484" s="2" t="s">
        <v>4302</v>
      </c>
      <c r="B484" s="2" t="s">
        <v>740</v>
      </c>
      <c r="C484" s="2" t="s">
        <v>741</v>
      </c>
      <c r="D484" s="3">
        <v>31860</v>
      </c>
      <c r="E484" s="3">
        <v>31860</v>
      </c>
      <c r="F484" s="2" t="s">
        <v>16</v>
      </c>
      <c r="G484">
        <v>3.0499999999999999E-2</v>
      </c>
      <c r="H484" s="9">
        <f t="shared" si="7"/>
        <v>0</v>
      </c>
      <c r="I484" t="s">
        <v>103</v>
      </c>
      <c r="J484" t="s">
        <v>104</v>
      </c>
    </row>
    <row r="485" spans="1:10" x14ac:dyDescent="0.3">
      <c r="A485" s="2" t="s">
        <v>4311</v>
      </c>
      <c r="B485" s="2" t="s">
        <v>2100</v>
      </c>
      <c r="C485" s="2" t="s">
        <v>2101</v>
      </c>
      <c r="D485" s="3">
        <v>10620</v>
      </c>
      <c r="E485" s="3">
        <v>10620</v>
      </c>
      <c r="F485" s="2" t="s">
        <v>16</v>
      </c>
      <c r="G485">
        <v>3.0499999999999999E-2</v>
      </c>
      <c r="H485" s="9">
        <f t="shared" si="7"/>
        <v>0</v>
      </c>
      <c r="I485" t="s">
        <v>103</v>
      </c>
      <c r="J485" t="s">
        <v>104</v>
      </c>
    </row>
    <row r="486" spans="1:10" x14ac:dyDescent="0.3">
      <c r="A486" s="2" t="s">
        <v>4320</v>
      </c>
      <c r="B486" s="2" t="s">
        <v>769</v>
      </c>
      <c r="C486" s="2" t="s">
        <v>770</v>
      </c>
      <c r="D486" s="3">
        <v>29880</v>
      </c>
      <c r="E486" s="3">
        <v>29880</v>
      </c>
      <c r="F486" s="2" t="s">
        <v>16</v>
      </c>
      <c r="G486">
        <v>7.7999999999999996E-3</v>
      </c>
      <c r="H486" s="9">
        <f t="shared" si="7"/>
        <v>0</v>
      </c>
      <c r="I486" t="s">
        <v>1590</v>
      </c>
      <c r="J486" t="s">
        <v>1591</v>
      </c>
    </row>
    <row r="487" spans="1:10" x14ac:dyDescent="0.3">
      <c r="A487" s="2" t="s">
        <v>4325</v>
      </c>
      <c r="B487" s="2" t="s">
        <v>4338</v>
      </c>
      <c r="C487" s="2" t="s">
        <v>4339</v>
      </c>
      <c r="D487" s="3">
        <v>8736</v>
      </c>
      <c r="E487" s="3">
        <v>8736</v>
      </c>
      <c r="F487" s="2" t="s">
        <v>16</v>
      </c>
      <c r="G487">
        <v>1.3</v>
      </c>
      <c r="H487" s="9">
        <f t="shared" si="7"/>
        <v>0</v>
      </c>
      <c r="I487" t="s">
        <v>4338</v>
      </c>
      <c r="J487" t="s">
        <v>4339</v>
      </c>
    </row>
    <row r="488" spans="1:10" x14ac:dyDescent="0.3">
      <c r="A488" s="2" t="s">
        <v>4343</v>
      </c>
      <c r="B488" s="2" t="s">
        <v>2673</v>
      </c>
      <c r="C488" s="2" t="s">
        <v>2674</v>
      </c>
      <c r="D488" s="3">
        <v>8736</v>
      </c>
      <c r="E488" s="3">
        <v>8736</v>
      </c>
      <c r="F488" s="2" t="s">
        <v>16</v>
      </c>
      <c r="G488">
        <v>1.4</v>
      </c>
      <c r="H488" s="9">
        <f t="shared" si="7"/>
        <v>0</v>
      </c>
      <c r="I488" t="s">
        <v>2673</v>
      </c>
      <c r="J488" t="s">
        <v>2674</v>
      </c>
    </row>
    <row r="489" spans="1:10" x14ac:dyDescent="0.3">
      <c r="A489" s="2" t="s">
        <v>4360</v>
      </c>
      <c r="B489" s="2" t="s">
        <v>4365</v>
      </c>
      <c r="C489" s="2" t="s">
        <v>4366</v>
      </c>
      <c r="D489" s="3">
        <v>3780</v>
      </c>
      <c r="E489" s="3">
        <v>3780</v>
      </c>
      <c r="F489" s="2" t="s">
        <v>16</v>
      </c>
      <c r="G489">
        <v>0.85</v>
      </c>
      <c r="H489" s="9">
        <f t="shared" si="7"/>
        <v>0</v>
      </c>
      <c r="I489" t="s">
        <v>4365</v>
      </c>
      <c r="J489" t="s">
        <v>4366</v>
      </c>
    </row>
    <row r="490" spans="1:10" x14ac:dyDescent="0.3">
      <c r="A490" s="2" t="s">
        <v>4370</v>
      </c>
      <c r="B490" s="2" t="s">
        <v>27</v>
      </c>
      <c r="C490" s="2" t="s">
        <v>28</v>
      </c>
      <c r="D490" s="3">
        <v>324576</v>
      </c>
      <c r="E490" s="3">
        <v>324576</v>
      </c>
      <c r="F490" s="2" t="s">
        <v>16</v>
      </c>
      <c r="G490">
        <v>4.4999999999999998E-2</v>
      </c>
      <c r="H490" s="9">
        <f t="shared" si="7"/>
        <v>0</v>
      </c>
      <c r="I490" t="s">
        <v>27</v>
      </c>
      <c r="J490" t="s">
        <v>28</v>
      </c>
    </row>
    <row r="491" spans="1:10" x14ac:dyDescent="0.3">
      <c r="A491" s="2" t="s">
        <v>4370</v>
      </c>
      <c r="B491" s="2" t="s">
        <v>21</v>
      </c>
      <c r="C491" s="2" t="s">
        <v>22</v>
      </c>
      <c r="D491" s="5">
        <v>-298</v>
      </c>
      <c r="E491" s="5">
        <v>-298</v>
      </c>
      <c r="F491" s="2" t="s">
        <v>23</v>
      </c>
      <c r="G491">
        <v>4.4999999999999998E-2</v>
      </c>
      <c r="H491" s="9">
        <f t="shared" si="7"/>
        <v>-6622.2222222222226</v>
      </c>
      <c r="I491" t="s">
        <v>27</v>
      </c>
      <c r="J491" t="s">
        <v>28</v>
      </c>
    </row>
    <row r="492" spans="1:10" x14ac:dyDescent="0.3">
      <c r="A492" s="2" t="s">
        <v>4394</v>
      </c>
      <c r="B492" s="2" t="s">
        <v>699</v>
      </c>
      <c r="C492" s="2" t="s">
        <v>700</v>
      </c>
      <c r="D492" s="3">
        <v>112608</v>
      </c>
      <c r="E492" s="3">
        <v>112608</v>
      </c>
      <c r="F492" s="2" t="s">
        <v>16</v>
      </c>
      <c r="G492">
        <v>4.4999999999999998E-2</v>
      </c>
      <c r="H492" s="9">
        <f t="shared" si="7"/>
        <v>0</v>
      </c>
      <c r="I492" t="s">
        <v>699</v>
      </c>
      <c r="J492" t="s">
        <v>700</v>
      </c>
    </row>
    <row r="493" spans="1:10" x14ac:dyDescent="0.3">
      <c r="A493" s="2" t="s">
        <v>4415</v>
      </c>
      <c r="B493" s="2" t="s">
        <v>65</v>
      </c>
      <c r="C493" s="2" t="s">
        <v>66</v>
      </c>
      <c r="D493" s="5">
        <v>-98</v>
      </c>
      <c r="E493" s="5">
        <v>-98</v>
      </c>
      <c r="F493" s="2" t="s">
        <v>23</v>
      </c>
      <c r="G493">
        <v>9.4000000000000004E-3</v>
      </c>
      <c r="H493" s="9">
        <f t="shared" si="7"/>
        <v>-10425.531914893616</v>
      </c>
      <c r="I493" t="s">
        <v>4424</v>
      </c>
      <c r="J493" t="s">
        <v>4425</v>
      </c>
    </row>
    <row r="494" spans="1:10" x14ac:dyDescent="0.3">
      <c r="A494" s="2" t="s">
        <v>4415</v>
      </c>
      <c r="B494" s="2" t="s">
        <v>4424</v>
      </c>
      <c r="C494" s="2" t="s">
        <v>4425</v>
      </c>
      <c r="D494" s="3">
        <v>86523</v>
      </c>
      <c r="E494" s="3">
        <v>86523</v>
      </c>
      <c r="F494" s="2" t="s">
        <v>16</v>
      </c>
      <c r="G494">
        <v>9.4000000000000004E-3</v>
      </c>
      <c r="H494" s="9">
        <f t="shared" si="7"/>
        <v>0</v>
      </c>
      <c r="I494" t="s">
        <v>4424</v>
      </c>
      <c r="J494" t="s">
        <v>4425</v>
      </c>
    </row>
    <row r="495" spans="1:10" x14ac:dyDescent="0.3">
      <c r="A495" s="2" t="s">
        <v>4429</v>
      </c>
      <c r="B495" s="2" t="s">
        <v>65</v>
      </c>
      <c r="C495" s="2" t="s">
        <v>66</v>
      </c>
      <c r="D495" s="5">
        <v>-228</v>
      </c>
      <c r="E495" s="5">
        <v>-228</v>
      </c>
      <c r="F495" s="2" t="s">
        <v>23</v>
      </c>
      <c r="G495">
        <v>3.5999999999999997E-2</v>
      </c>
      <c r="H495" s="9">
        <f t="shared" si="7"/>
        <v>-6333.3333333333339</v>
      </c>
      <c r="I495" t="s">
        <v>70</v>
      </c>
      <c r="J495" t="s">
        <v>71</v>
      </c>
    </row>
    <row r="496" spans="1:10" x14ac:dyDescent="0.3">
      <c r="A496" s="2" t="s">
        <v>4429</v>
      </c>
      <c r="B496" s="2" t="s">
        <v>70</v>
      </c>
      <c r="C496" s="2" t="s">
        <v>71</v>
      </c>
      <c r="D496" s="3">
        <v>63360</v>
      </c>
      <c r="E496" s="3">
        <v>63360</v>
      </c>
      <c r="F496" s="2" t="s">
        <v>16</v>
      </c>
      <c r="G496">
        <v>3.5999999999999997E-2</v>
      </c>
      <c r="H496" s="9">
        <f t="shared" si="7"/>
        <v>0</v>
      </c>
      <c r="I496" t="s">
        <v>70</v>
      </c>
      <c r="J496" t="s">
        <v>71</v>
      </c>
    </row>
    <row r="497" spans="1:10" x14ac:dyDescent="0.3">
      <c r="A497" s="2" t="s">
        <v>4438</v>
      </c>
      <c r="B497" s="2" t="s">
        <v>86</v>
      </c>
      <c r="C497" s="2" t="s">
        <v>87</v>
      </c>
      <c r="D497" s="5">
        <v>-238</v>
      </c>
      <c r="E497" s="5">
        <v>-238</v>
      </c>
      <c r="F497" s="2" t="s">
        <v>23</v>
      </c>
      <c r="G497">
        <v>9.4000000000000004E-3</v>
      </c>
      <c r="H497" s="9">
        <f t="shared" si="7"/>
        <v>-25319.148936170212</v>
      </c>
      <c r="I497" t="s">
        <v>3028</v>
      </c>
      <c r="J497" t="s">
        <v>3029</v>
      </c>
    </row>
    <row r="498" spans="1:10" x14ac:dyDescent="0.3">
      <c r="A498" s="2" t="s">
        <v>4438</v>
      </c>
      <c r="B498" s="2" t="s">
        <v>76</v>
      </c>
      <c r="C498" s="2" t="s">
        <v>77</v>
      </c>
      <c r="D498" s="3">
        <v>101520</v>
      </c>
      <c r="E498" s="3">
        <v>101520</v>
      </c>
      <c r="F498" s="2" t="s">
        <v>16</v>
      </c>
      <c r="G498">
        <v>9.4000000000000004E-3</v>
      </c>
      <c r="H498" s="9">
        <f t="shared" si="7"/>
        <v>0</v>
      </c>
      <c r="I498" t="s">
        <v>3028</v>
      </c>
      <c r="J498" t="s">
        <v>3029</v>
      </c>
    </row>
    <row r="499" spans="1:10" x14ac:dyDescent="0.3">
      <c r="A499" s="2" t="s">
        <v>4455</v>
      </c>
      <c r="B499" s="2" t="s">
        <v>1119</v>
      </c>
      <c r="C499" s="2" t="s">
        <v>1120</v>
      </c>
      <c r="D499" s="3">
        <v>50760</v>
      </c>
      <c r="E499" s="3">
        <v>50760</v>
      </c>
      <c r="F499" s="2" t="s">
        <v>16</v>
      </c>
      <c r="G499">
        <v>9.4000000000000004E-3</v>
      </c>
      <c r="H499" s="9">
        <f t="shared" si="7"/>
        <v>0</v>
      </c>
      <c r="I499" t="s">
        <v>3028</v>
      </c>
      <c r="J499" t="s">
        <v>3029</v>
      </c>
    </row>
    <row r="500" spans="1:10" x14ac:dyDescent="0.3">
      <c r="A500" s="2" t="s">
        <v>4464</v>
      </c>
      <c r="B500" s="2" t="s">
        <v>1093</v>
      </c>
      <c r="C500" s="2" t="s">
        <v>1094</v>
      </c>
      <c r="D500" s="3">
        <v>375840</v>
      </c>
      <c r="E500" s="3">
        <v>375840</v>
      </c>
      <c r="F500" s="2" t="s">
        <v>16</v>
      </c>
      <c r="G500">
        <v>1.2500000000000001E-2</v>
      </c>
      <c r="H500" s="9">
        <f t="shared" si="7"/>
        <v>0</v>
      </c>
      <c r="I500" t="s">
        <v>1093</v>
      </c>
      <c r="J500" t="s">
        <v>1094</v>
      </c>
    </row>
    <row r="501" spans="1:10" x14ac:dyDescent="0.3">
      <c r="A501" s="2" t="s">
        <v>4473</v>
      </c>
      <c r="B501" s="2" t="s">
        <v>65</v>
      </c>
      <c r="C501" s="2" t="s">
        <v>66</v>
      </c>
      <c r="D501" s="5">
        <v>-1155</v>
      </c>
      <c r="E501" s="5">
        <v>-1155</v>
      </c>
      <c r="F501" s="2" t="s">
        <v>23</v>
      </c>
      <c r="G501">
        <v>1.4E-2</v>
      </c>
      <c r="H501" s="9">
        <f t="shared" si="7"/>
        <v>-82500</v>
      </c>
      <c r="I501" t="s">
        <v>947</v>
      </c>
      <c r="J501" t="s">
        <v>948</v>
      </c>
    </row>
    <row r="502" spans="1:10" x14ac:dyDescent="0.3">
      <c r="A502" s="2" t="s">
        <v>4473</v>
      </c>
      <c r="B502" s="2" t="s">
        <v>947</v>
      </c>
      <c r="C502" s="2" t="s">
        <v>948</v>
      </c>
      <c r="D502" s="3">
        <v>103200</v>
      </c>
      <c r="E502" s="3">
        <v>103200</v>
      </c>
      <c r="F502" s="2" t="s">
        <v>16</v>
      </c>
      <c r="G502">
        <v>1.4E-2</v>
      </c>
      <c r="H502" s="9">
        <f t="shared" si="7"/>
        <v>0</v>
      </c>
      <c r="I502" t="s">
        <v>947</v>
      </c>
      <c r="J502" t="s">
        <v>948</v>
      </c>
    </row>
    <row r="503" spans="1:10" x14ac:dyDescent="0.3">
      <c r="A503" s="2" t="s">
        <v>4505</v>
      </c>
      <c r="B503" s="2" t="s">
        <v>1093</v>
      </c>
      <c r="C503" s="2" t="s">
        <v>1094</v>
      </c>
      <c r="D503" s="3">
        <v>542880</v>
      </c>
      <c r="E503" s="3">
        <v>542880</v>
      </c>
      <c r="F503" s="2" t="s">
        <v>16</v>
      </c>
      <c r="G503">
        <v>1.2500000000000001E-2</v>
      </c>
      <c r="H503" s="9">
        <f t="shared" si="7"/>
        <v>0</v>
      </c>
      <c r="I503" t="s">
        <v>1093</v>
      </c>
      <c r="J503" t="s">
        <v>1094</v>
      </c>
    </row>
    <row r="504" spans="1:10" x14ac:dyDescent="0.3">
      <c r="A504" s="2" t="s">
        <v>4510</v>
      </c>
      <c r="B504" s="2" t="s">
        <v>4511</v>
      </c>
      <c r="C504" s="2" t="s">
        <v>4512</v>
      </c>
      <c r="D504" s="3">
        <v>29880</v>
      </c>
      <c r="E504" s="3">
        <v>29880</v>
      </c>
      <c r="F504" s="2" t="s">
        <v>16</v>
      </c>
      <c r="G504">
        <v>7.45E-3</v>
      </c>
      <c r="H504" s="9">
        <f t="shared" si="7"/>
        <v>0</v>
      </c>
      <c r="I504" t="s">
        <v>4511</v>
      </c>
      <c r="J504" t="s">
        <v>4512</v>
      </c>
    </row>
    <row r="505" spans="1:10" x14ac:dyDescent="0.3">
      <c r="A505" s="2" t="s">
        <v>4516</v>
      </c>
      <c r="B505" s="2" t="s">
        <v>4525</v>
      </c>
      <c r="C505" s="2" t="s">
        <v>4526</v>
      </c>
      <c r="D505" s="3">
        <v>247680</v>
      </c>
      <c r="E505" s="3">
        <v>247680</v>
      </c>
      <c r="F505" s="2" t="s">
        <v>16</v>
      </c>
      <c r="G505">
        <v>1.7999999999999999E-2</v>
      </c>
      <c r="H505" s="9">
        <f t="shared" si="7"/>
        <v>0</v>
      </c>
      <c r="I505" t="s">
        <v>16326</v>
      </c>
      <c r="J505" t="s">
        <v>16327</v>
      </c>
    </row>
    <row r="506" spans="1:10" x14ac:dyDescent="0.3">
      <c r="A506" s="2" t="s">
        <v>4530</v>
      </c>
      <c r="B506" s="2" t="s">
        <v>86</v>
      </c>
      <c r="C506" s="2" t="s">
        <v>87</v>
      </c>
      <c r="D506" s="5">
        <v>-222</v>
      </c>
      <c r="E506" s="5">
        <v>-222</v>
      </c>
      <c r="F506" s="2" t="s">
        <v>23</v>
      </c>
      <c r="G506">
        <v>7.45E-3</v>
      </c>
      <c r="H506" s="9">
        <f t="shared" si="7"/>
        <v>-29798.657718120805</v>
      </c>
      <c r="I506" t="s">
        <v>4511</v>
      </c>
      <c r="J506" t="s">
        <v>4512</v>
      </c>
    </row>
    <row r="507" spans="1:10" x14ac:dyDescent="0.3">
      <c r="A507" s="2" t="s">
        <v>4530</v>
      </c>
      <c r="B507" s="2" t="s">
        <v>4511</v>
      </c>
      <c r="C507" s="2" t="s">
        <v>4512</v>
      </c>
      <c r="D507" s="3">
        <v>239040</v>
      </c>
      <c r="E507" s="3">
        <v>239040</v>
      </c>
      <c r="F507" s="2" t="s">
        <v>16</v>
      </c>
      <c r="G507">
        <v>7.45E-3</v>
      </c>
      <c r="H507" s="9">
        <f t="shared" si="7"/>
        <v>0</v>
      </c>
      <c r="I507" t="s">
        <v>4511</v>
      </c>
      <c r="J507" t="s">
        <v>4512</v>
      </c>
    </row>
    <row r="508" spans="1:10" x14ac:dyDescent="0.3">
      <c r="A508" s="2" t="s">
        <v>4543</v>
      </c>
      <c r="B508" s="2" t="s">
        <v>1093</v>
      </c>
      <c r="C508" s="2" t="s">
        <v>1094</v>
      </c>
      <c r="D508" s="3">
        <v>1002240</v>
      </c>
      <c r="E508" s="3">
        <v>1002240</v>
      </c>
      <c r="F508" s="2" t="s">
        <v>16</v>
      </c>
      <c r="G508">
        <v>1.2500000000000001E-2</v>
      </c>
      <c r="H508" s="9">
        <f t="shared" si="7"/>
        <v>0</v>
      </c>
      <c r="I508" t="s">
        <v>1093</v>
      </c>
      <c r="J508" t="s">
        <v>1094</v>
      </c>
    </row>
    <row r="509" spans="1:10" x14ac:dyDescent="0.3">
      <c r="A509" s="2" t="s">
        <v>4556</v>
      </c>
      <c r="B509" s="2" t="s">
        <v>21</v>
      </c>
      <c r="C509" s="2" t="s">
        <v>22</v>
      </c>
      <c r="D509" s="5">
        <v>-298</v>
      </c>
      <c r="E509" s="5">
        <v>-298</v>
      </c>
      <c r="F509" s="2" t="s">
        <v>23</v>
      </c>
      <c r="G509">
        <v>4.4999999999999998E-2</v>
      </c>
      <c r="H509" s="9">
        <f t="shared" si="7"/>
        <v>-6622.2222222222226</v>
      </c>
      <c r="I509" t="s">
        <v>27</v>
      </c>
      <c r="J509" t="s">
        <v>28</v>
      </c>
    </row>
    <row r="510" spans="1:10" x14ac:dyDescent="0.3">
      <c r="A510" s="2" t="s">
        <v>4556</v>
      </c>
      <c r="B510" s="2" t="s">
        <v>27</v>
      </c>
      <c r="C510" s="2" t="s">
        <v>28</v>
      </c>
      <c r="D510" s="3">
        <v>324576</v>
      </c>
      <c r="E510" s="3">
        <v>324576</v>
      </c>
      <c r="F510" s="2" t="s">
        <v>16</v>
      </c>
      <c r="G510">
        <v>4.4999999999999998E-2</v>
      </c>
      <c r="H510" s="9">
        <f t="shared" si="7"/>
        <v>0</v>
      </c>
      <c r="I510" t="s">
        <v>27</v>
      </c>
      <c r="J510" t="s">
        <v>28</v>
      </c>
    </row>
    <row r="511" spans="1:10" x14ac:dyDescent="0.3">
      <c r="A511" s="2" t="s">
        <v>4573</v>
      </c>
      <c r="B511" s="2" t="s">
        <v>65</v>
      </c>
      <c r="C511" s="2" t="s">
        <v>66</v>
      </c>
      <c r="D511" s="5">
        <v>-249</v>
      </c>
      <c r="E511" s="5">
        <v>-249</v>
      </c>
      <c r="F511" s="2" t="s">
        <v>23</v>
      </c>
      <c r="G511">
        <v>5.1999999999999998E-2</v>
      </c>
      <c r="H511" s="9">
        <f t="shared" si="7"/>
        <v>-4788.461538461539</v>
      </c>
      <c r="I511" t="s">
        <v>1170</v>
      </c>
      <c r="J511" t="s">
        <v>1171</v>
      </c>
    </row>
    <row r="512" spans="1:10" x14ac:dyDescent="0.3">
      <c r="A512" s="2" t="s">
        <v>4573</v>
      </c>
      <c r="B512" s="2" t="s">
        <v>97</v>
      </c>
      <c r="C512" s="2" t="s">
        <v>98</v>
      </c>
      <c r="D512" s="3">
        <v>33600</v>
      </c>
      <c r="E512" s="3">
        <v>33600</v>
      </c>
      <c r="F512" s="2" t="s">
        <v>16</v>
      </c>
      <c r="G512">
        <v>5.1999999999999998E-2</v>
      </c>
      <c r="H512" s="9">
        <f t="shared" si="7"/>
        <v>0</v>
      </c>
      <c r="I512" t="s">
        <v>1170</v>
      </c>
      <c r="J512" t="s">
        <v>1171</v>
      </c>
    </row>
    <row r="513" spans="1:10" x14ac:dyDescent="0.3">
      <c r="A513" s="2" t="s">
        <v>4586</v>
      </c>
      <c r="B513" s="2" t="s">
        <v>4511</v>
      </c>
      <c r="C513" s="2" t="s">
        <v>4512</v>
      </c>
      <c r="D513" s="3">
        <v>239040</v>
      </c>
      <c r="E513" s="3">
        <v>239040</v>
      </c>
      <c r="F513" s="2" t="s">
        <v>16</v>
      </c>
      <c r="G513">
        <v>7.45E-3</v>
      </c>
      <c r="H513" s="9">
        <f t="shared" si="7"/>
        <v>0</v>
      </c>
      <c r="I513" t="s">
        <v>3759</v>
      </c>
      <c r="J513" t="s">
        <v>3760</v>
      </c>
    </row>
    <row r="514" spans="1:10" x14ac:dyDescent="0.3">
      <c r="A514" s="2" t="s">
        <v>4595</v>
      </c>
      <c r="B514" s="2" t="s">
        <v>27</v>
      </c>
      <c r="C514" s="2" t="s">
        <v>28</v>
      </c>
      <c r="D514" s="3">
        <v>6624</v>
      </c>
      <c r="E514" s="3">
        <v>6624</v>
      </c>
      <c r="F514" s="2" t="s">
        <v>16</v>
      </c>
      <c r="G514">
        <v>4.4999999999999998E-2</v>
      </c>
      <c r="H514" s="9">
        <f t="shared" si="7"/>
        <v>0</v>
      </c>
      <c r="I514" t="s">
        <v>121</v>
      </c>
      <c r="J514" t="s">
        <v>122</v>
      </c>
    </row>
    <row r="515" spans="1:10" x14ac:dyDescent="0.3">
      <c r="A515" s="2" t="s">
        <v>4604</v>
      </c>
      <c r="B515" s="2" t="s">
        <v>3744</v>
      </c>
      <c r="C515" s="2" t="s">
        <v>3745</v>
      </c>
      <c r="D515" s="3">
        <v>83520</v>
      </c>
      <c r="E515" s="3">
        <v>83520</v>
      </c>
      <c r="F515" s="2" t="s">
        <v>16</v>
      </c>
      <c r="G515">
        <v>1.2500000000000001E-2</v>
      </c>
      <c r="H515" s="9">
        <f t="shared" ref="H515:H578" si="8">IFERROR(IF(LEFT(B515,1)="F",E515/G515,0),0)</f>
        <v>0</v>
      </c>
      <c r="I515" t="s">
        <v>3744</v>
      </c>
      <c r="J515" t="s">
        <v>3745</v>
      </c>
    </row>
    <row r="516" spans="1:10" x14ac:dyDescent="0.3">
      <c r="A516" s="2" t="s">
        <v>4613</v>
      </c>
      <c r="B516" s="2" t="s">
        <v>76</v>
      </c>
      <c r="C516" s="2" t="s">
        <v>77</v>
      </c>
      <c r="D516" s="3">
        <v>76140</v>
      </c>
      <c r="E516" s="3">
        <v>76140</v>
      </c>
      <c r="F516" s="2" t="s">
        <v>16</v>
      </c>
      <c r="G516">
        <v>9.4000000000000004E-3</v>
      </c>
      <c r="H516" s="9">
        <f t="shared" si="8"/>
        <v>0</v>
      </c>
      <c r="I516" t="s">
        <v>3028</v>
      </c>
      <c r="J516" t="s">
        <v>3029</v>
      </c>
    </row>
    <row r="517" spans="1:10" x14ac:dyDescent="0.3">
      <c r="A517" s="2" t="s">
        <v>4622</v>
      </c>
      <c r="B517" s="2" t="s">
        <v>699</v>
      </c>
      <c r="C517" s="2" t="s">
        <v>700</v>
      </c>
      <c r="D517" s="3">
        <v>6624</v>
      </c>
      <c r="E517" s="3">
        <v>0</v>
      </c>
      <c r="F517" s="2" t="s">
        <v>16</v>
      </c>
      <c r="G517">
        <v>4.4999999999999998E-2</v>
      </c>
      <c r="H517" s="9">
        <f t="shared" si="8"/>
        <v>0</v>
      </c>
      <c r="I517" t="s">
        <v>699</v>
      </c>
      <c r="J517" t="s">
        <v>700</v>
      </c>
    </row>
    <row r="518" spans="1:10" x14ac:dyDescent="0.3">
      <c r="A518" s="2" t="s">
        <v>4622</v>
      </c>
      <c r="B518" s="2" t="s">
        <v>121</v>
      </c>
      <c r="C518" s="2" t="s">
        <v>122</v>
      </c>
      <c r="D518" s="3">
        <v>7992</v>
      </c>
      <c r="E518" s="3">
        <v>7992</v>
      </c>
      <c r="F518" s="2" t="s">
        <v>16</v>
      </c>
      <c r="G518">
        <v>4.4999999999999998E-2</v>
      </c>
      <c r="H518" s="9">
        <f t="shared" si="8"/>
        <v>0</v>
      </c>
      <c r="I518" t="s">
        <v>699</v>
      </c>
      <c r="J518" t="s">
        <v>700</v>
      </c>
    </row>
    <row r="519" spans="1:10" x14ac:dyDescent="0.3">
      <c r="A519" s="2" t="s">
        <v>4622</v>
      </c>
      <c r="B519" s="2" t="s">
        <v>21</v>
      </c>
      <c r="C519" s="2" t="s">
        <v>22</v>
      </c>
      <c r="D519" s="5">
        <v>-61.56</v>
      </c>
      <c r="E519" s="5">
        <v>-61.56</v>
      </c>
      <c r="F519" s="2" t="s">
        <v>23</v>
      </c>
      <c r="G519">
        <v>4.4999999999999998E-2</v>
      </c>
      <c r="H519" s="9">
        <f t="shared" si="8"/>
        <v>-1368</v>
      </c>
      <c r="I519" t="s">
        <v>699</v>
      </c>
      <c r="J519" t="s">
        <v>700</v>
      </c>
    </row>
    <row r="520" spans="1:10" x14ac:dyDescent="0.3">
      <c r="A520" s="2" t="s">
        <v>4637</v>
      </c>
      <c r="B520" s="2" t="s">
        <v>121</v>
      </c>
      <c r="C520" s="2" t="s">
        <v>122</v>
      </c>
      <c r="D520" s="3">
        <v>86112</v>
      </c>
      <c r="E520" s="3">
        <v>86112</v>
      </c>
      <c r="F520" s="2" t="s">
        <v>16</v>
      </c>
      <c r="G520">
        <v>4.4999999999999998E-2</v>
      </c>
      <c r="H520" s="9">
        <f t="shared" si="8"/>
        <v>0</v>
      </c>
      <c r="I520" t="s">
        <v>121</v>
      </c>
      <c r="J520" t="s">
        <v>122</v>
      </c>
    </row>
    <row r="521" spans="1:10" x14ac:dyDescent="0.3">
      <c r="A521" s="2" t="s">
        <v>4646</v>
      </c>
      <c r="B521" s="2" t="s">
        <v>3113</v>
      </c>
      <c r="C521" s="2" t="s">
        <v>3114</v>
      </c>
      <c r="D521" s="3">
        <v>20880</v>
      </c>
      <c r="E521" s="3">
        <v>20880</v>
      </c>
      <c r="F521" s="2" t="s">
        <v>16</v>
      </c>
      <c r="G521">
        <v>1.15E-2</v>
      </c>
      <c r="H521" s="9">
        <f t="shared" si="8"/>
        <v>0</v>
      </c>
      <c r="I521" t="s">
        <v>3113</v>
      </c>
      <c r="J521" t="s">
        <v>3114</v>
      </c>
    </row>
    <row r="522" spans="1:10" x14ac:dyDescent="0.3">
      <c r="A522" s="2" t="s">
        <v>4655</v>
      </c>
      <c r="B522" s="2" t="s">
        <v>65</v>
      </c>
      <c r="C522" s="2" t="s">
        <v>66</v>
      </c>
      <c r="D522" s="5">
        <v>-261</v>
      </c>
      <c r="E522" s="5">
        <v>-261</v>
      </c>
      <c r="F522" s="2" t="s">
        <v>23</v>
      </c>
      <c r="G522">
        <v>1.2500000000000001E-2</v>
      </c>
      <c r="H522" s="9">
        <f t="shared" si="8"/>
        <v>-20880</v>
      </c>
      <c r="I522" t="s">
        <v>1093</v>
      </c>
      <c r="J522" t="s">
        <v>1094</v>
      </c>
    </row>
    <row r="523" spans="1:10" x14ac:dyDescent="0.3">
      <c r="A523" s="2" t="s">
        <v>4655</v>
      </c>
      <c r="B523" s="2" t="s">
        <v>1093</v>
      </c>
      <c r="C523" s="2" t="s">
        <v>1094</v>
      </c>
      <c r="D523" s="3">
        <v>522000</v>
      </c>
      <c r="E523" s="3">
        <v>522000</v>
      </c>
      <c r="F523" s="2" t="s">
        <v>16</v>
      </c>
      <c r="G523">
        <v>1.2500000000000001E-2</v>
      </c>
      <c r="H523" s="9">
        <f t="shared" si="8"/>
        <v>0</v>
      </c>
      <c r="I523" t="s">
        <v>1093</v>
      </c>
      <c r="J523" t="s">
        <v>1094</v>
      </c>
    </row>
    <row r="524" spans="1:10" x14ac:dyDescent="0.3">
      <c r="A524" s="2" t="s">
        <v>4668</v>
      </c>
      <c r="B524" s="2" t="s">
        <v>1093</v>
      </c>
      <c r="C524" s="2" t="s">
        <v>1094</v>
      </c>
      <c r="D524" s="3">
        <v>501120</v>
      </c>
      <c r="E524" s="3">
        <v>501120</v>
      </c>
      <c r="F524" s="2" t="s">
        <v>16</v>
      </c>
      <c r="G524">
        <v>1.2500000000000001E-2</v>
      </c>
      <c r="H524" s="9">
        <f t="shared" si="8"/>
        <v>0</v>
      </c>
      <c r="I524" t="s">
        <v>1093</v>
      </c>
      <c r="J524" t="s">
        <v>1094</v>
      </c>
    </row>
    <row r="525" spans="1:10" x14ac:dyDescent="0.3">
      <c r="A525" s="2" t="s">
        <v>4677</v>
      </c>
      <c r="B525" s="2" t="s">
        <v>27</v>
      </c>
      <c r="C525" s="2" t="s">
        <v>28</v>
      </c>
      <c r="D525" s="3">
        <v>364320</v>
      </c>
      <c r="E525" s="3">
        <v>364320</v>
      </c>
      <c r="F525" s="2" t="s">
        <v>16</v>
      </c>
      <c r="G525">
        <v>4.4999999999999998E-2</v>
      </c>
      <c r="H525" s="9">
        <f t="shared" si="8"/>
        <v>0</v>
      </c>
      <c r="I525" t="s">
        <v>27</v>
      </c>
      <c r="J525" t="s">
        <v>28</v>
      </c>
    </row>
    <row r="526" spans="1:10" x14ac:dyDescent="0.3">
      <c r="A526" s="2" t="s">
        <v>4686</v>
      </c>
      <c r="B526" s="2" t="s">
        <v>1093</v>
      </c>
      <c r="C526" s="2" t="s">
        <v>1094</v>
      </c>
      <c r="D526" s="3">
        <v>41760</v>
      </c>
      <c r="E526" s="3">
        <v>41760</v>
      </c>
      <c r="F526" s="2" t="s">
        <v>16</v>
      </c>
      <c r="G526">
        <v>1.2500000000000001E-2</v>
      </c>
      <c r="H526" s="9">
        <f t="shared" si="8"/>
        <v>0</v>
      </c>
      <c r="I526" t="s">
        <v>1093</v>
      </c>
      <c r="J526" t="s">
        <v>1094</v>
      </c>
    </row>
    <row r="527" spans="1:10" x14ac:dyDescent="0.3">
      <c r="A527" s="2" t="s">
        <v>4695</v>
      </c>
      <c r="B527" s="2" t="s">
        <v>27</v>
      </c>
      <c r="C527" s="2" t="s">
        <v>28</v>
      </c>
      <c r="D527" s="3">
        <v>6624</v>
      </c>
      <c r="E527" s="3">
        <v>6624</v>
      </c>
      <c r="F527" s="2" t="s">
        <v>16</v>
      </c>
      <c r="G527">
        <v>4.4999999999999998E-2</v>
      </c>
      <c r="H527" s="9">
        <f t="shared" si="8"/>
        <v>0</v>
      </c>
      <c r="I527" t="s">
        <v>27</v>
      </c>
      <c r="J527" t="s">
        <v>28</v>
      </c>
    </row>
    <row r="528" spans="1:10" x14ac:dyDescent="0.3">
      <c r="A528" s="2" t="s">
        <v>4700</v>
      </c>
      <c r="B528" s="2" t="s">
        <v>517</v>
      </c>
      <c r="C528" s="2" t="s">
        <v>518</v>
      </c>
      <c r="D528" s="3">
        <v>90720</v>
      </c>
      <c r="E528" s="3">
        <v>90720</v>
      </c>
      <c r="F528" s="2" t="s">
        <v>16</v>
      </c>
      <c r="G528">
        <v>2.6600000000000002E-2</v>
      </c>
      <c r="H528" s="9">
        <f t="shared" si="8"/>
        <v>0</v>
      </c>
      <c r="I528" t="s">
        <v>517</v>
      </c>
      <c r="J528" t="s">
        <v>518</v>
      </c>
    </row>
    <row r="529" spans="1:10" x14ac:dyDescent="0.3">
      <c r="A529" s="2" t="s">
        <v>4705</v>
      </c>
      <c r="B529" s="2" t="s">
        <v>1093</v>
      </c>
      <c r="C529" s="2" t="s">
        <v>1094</v>
      </c>
      <c r="D529" s="3">
        <v>1002240</v>
      </c>
      <c r="E529" s="3">
        <v>1002240</v>
      </c>
      <c r="F529" s="2" t="s">
        <v>16</v>
      </c>
      <c r="G529">
        <v>1.2500000000000001E-2</v>
      </c>
      <c r="H529" s="9">
        <f t="shared" si="8"/>
        <v>0</v>
      </c>
      <c r="I529" t="s">
        <v>1093</v>
      </c>
      <c r="J529" t="s">
        <v>1094</v>
      </c>
    </row>
    <row r="530" spans="1:10" x14ac:dyDescent="0.3">
      <c r="A530" s="2" t="s">
        <v>4710</v>
      </c>
      <c r="B530" s="2" t="s">
        <v>1093</v>
      </c>
      <c r="C530" s="2" t="s">
        <v>1094</v>
      </c>
      <c r="D530" s="3">
        <v>1983600</v>
      </c>
      <c r="E530" s="3">
        <v>1983600</v>
      </c>
      <c r="F530" s="2" t="s">
        <v>16</v>
      </c>
      <c r="G530">
        <v>1.2500000000000001E-2</v>
      </c>
      <c r="H530" s="9">
        <f t="shared" si="8"/>
        <v>0</v>
      </c>
      <c r="I530" t="s">
        <v>1093</v>
      </c>
      <c r="J530" t="s">
        <v>1094</v>
      </c>
    </row>
    <row r="531" spans="1:10" x14ac:dyDescent="0.3">
      <c r="A531" s="2" t="s">
        <v>4710</v>
      </c>
      <c r="B531" s="2" t="s">
        <v>65</v>
      </c>
      <c r="C531" s="2" t="s">
        <v>66</v>
      </c>
      <c r="D531" s="5">
        <v>-261</v>
      </c>
      <c r="E531" s="5">
        <v>-261</v>
      </c>
      <c r="F531" s="2" t="s">
        <v>23</v>
      </c>
      <c r="G531">
        <v>1.2500000000000001E-2</v>
      </c>
      <c r="H531" s="9">
        <f t="shared" si="8"/>
        <v>-20880</v>
      </c>
      <c r="I531" t="s">
        <v>1093</v>
      </c>
      <c r="J531" t="s">
        <v>1094</v>
      </c>
    </row>
    <row r="532" spans="1:10" x14ac:dyDescent="0.3">
      <c r="A532" s="2" t="s">
        <v>4719</v>
      </c>
      <c r="B532" s="2" t="s">
        <v>1027</v>
      </c>
      <c r="C532" s="2" t="s">
        <v>1028</v>
      </c>
      <c r="D532" s="3">
        <v>1008900</v>
      </c>
      <c r="E532" s="3">
        <v>1008900</v>
      </c>
      <c r="F532" s="2" t="s">
        <v>16</v>
      </c>
      <c r="G532">
        <v>3.0499999999999999E-2</v>
      </c>
      <c r="H532" s="9">
        <f t="shared" si="8"/>
        <v>0</v>
      </c>
      <c r="I532" t="s">
        <v>1027</v>
      </c>
      <c r="J532" t="s">
        <v>1028</v>
      </c>
    </row>
    <row r="533" spans="1:10" x14ac:dyDescent="0.3">
      <c r="A533" s="2" t="s">
        <v>4724</v>
      </c>
      <c r="B533" s="2" t="s">
        <v>97</v>
      </c>
      <c r="C533" s="2" t="s">
        <v>98</v>
      </c>
      <c r="D533" s="3">
        <v>499200</v>
      </c>
      <c r="E533" s="3">
        <v>499200</v>
      </c>
      <c r="F533" s="2" t="s">
        <v>16</v>
      </c>
      <c r="G533">
        <v>5.1999999999999998E-2</v>
      </c>
      <c r="H533" s="9">
        <f t="shared" si="8"/>
        <v>0</v>
      </c>
      <c r="I533" t="s">
        <v>97</v>
      </c>
      <c r="J533" t="s">
        <v>98</v>
      </c>
    </row>
    <row r="534" spans="1:10" x14ac:dyDescent="0.3">
      <c r="A534" s="2" t="s">
        <v>4729</v>
      </c>
      <c r="B534" s="2" t="s">
        <v>27</v>
      </c>
      <c r="C534" s="2" t="s">
        <v>28</v>
      </c>
      <c r="D534" s="3">
        <v>324576</v>
      </c>
      <c r="E534" s="3">
        <v>324576</v>
      </c>
      <c r="F534" s="2" t="s">
        <v>16</v>
      </c>
      <c r="G534">
        <v>4.4999999999999998E-2</v>
      </c>
      <c r="H534" s="9">
        <f t="shared" si="8"/>
        <v>0</v>
      </c>
      <c r="I534" t="s">
        <v>27</v>
      </c>
      <c r="J534" t="s">
        <v>28</v>
      </c>
    </row>
    <row r="535" spans="1:10" x14ac:dyDescent="0.3">
      <c r="A535" s="2" t="s">
        <v>4734</v>
      </c>
      <c r="B535" s="2" t="s">
        <v>517</v>
      </c>
      <c r="C535" s="2" t="s">
        <v>518</v>
      </c>
      <c r="D535" s="3">
        <v>413280</v>
      </c>
      <c r="E535" s="3">
        <v>413280</v>
      </c>
      <c r="F535" s="2" t="s">
        <v>16</v>
      </c>
      <c r="G535">
        <v>2.6600000000000002E-2</v>
      </c>
      <c r="H535" s="9">
        <f t="shared" si="8"/>
        <v>0</v>
      </c>
      <c r="I535" t="s">
        <v>517</v>
      </c>
      <c r="J535" t="s">
        <v>518</v>
      </c>
    </row>
    <row r="536" spans="1:10" x14ac:dyDescent="0.3">
      <c r="A536" s="2" t="s">
        <v>4739</v>
      </c>
      <c r="B536" s="2" t="s">
        <v>308</v>
      </c>
      <c r="C536" s="2" t="s">
        <v>309</v>
      </c>
      <c r="D536" s="3">
        <v>135000</v>
      </c>
      <c r="E536" s="3">
        <v>135000</v>
      </c>
      <c r="F536" s="2" t="s">
        <v>16</v>
      </c>
      <c r="G536">
        <v>8.3000000000000001E-3</v>
      </c>
      <c r="H536" s="9">
        <f t="shared" si="8"/>
        <v>0</v>
      </c>
      <c r="I536" t="s">
        <v>308</v>
      </c>
      <c r="J536" t="s">
        <v>309</v>
      </c>
    </row>
    <row r="537" spans="1:10" x14ac:dyDescent="0.3">
      <c r="A537" s="2" t="s">
        <v>4739</v>
      </c>
      <c r="B537" s="2" t="s">
        <v>86</v>
      </c>
      <c r="C537" s="2" t="s">
        <v>87</v>
      </c>
      <c r="D537" s="5">
        <v>-224</v>
      </c>
      <c r="E537" s="5">
        <v>-224</v>
      </c>
      <c r="F537" s="2" t="s">
        <v>23</v>
      </c>
      <c r="G537">
        <v>8.3000000000000001E-3</v>
      </c>
      <c r="H537" s="9">
        <f t="shared" si="8"/>
        <v>-26987.951807228914</v>
      </c>
      <c r="I537" t="s">
        <v>308</v>
      </c>
      <c r="J537" t="s">
        <v>309</v>
      </c>
    </row>
    <row r="538" spans="1:10" x14ac:dyDescent="0.3">
      <c r="A538" s="2" t="s">
        <v>4748</v>
      </c>
      <c r="B538" s="2" t="s">
        <v>70</v>
      </c>
      <c r="C538" s="2" t="s">
        <v>71</v>
      </c>
      <c r="D538" s="3">
        <v>38016</v>
      </c>
      <c r="E538" s="3">
        <v>38016</v>
      </c>
      <c r="F538" s="2" t="s">
        <v>16</v>
      </c>
      <c r="G538">
        <v>3.5999999999999997E-2</v>
      </c>
      <c r="H538" s="9">
        <f t="shared" si="8"/>
        <v>0</v>
      </c>
      <c r="I538" t="s">
        <v>70</v>
      </c>
      <c r="J538" t="s">
        <v>71</v>
      </c>
    </row>
    <row r="539" spans="1:10" x14ac:dyDescent="0.3">
      <c r="A539" s="2" t="s">
        <v>4748</v>
      </c>
      <c r="B539" s="2" t="s">
        <v>65</v>
      </c>
      <c r="C539" s="2" t="s">
        <v>66</v>
      </c>
      <c r="D539" s="5">
        <v>-228</v>
      </c>
      <c r="E539" s="5">
        <v>-228</v>
      </c>
      <c r="F539" s="2" t="s">
        <v>23</v>
      </c>
      <c r="G539">
        <v>3.5999999999999997E-2</v>
      </c>
      <c r="H539" s="9">
        <f t="shared" si="8"/>
        <v>-6333.3333333333339</v>
      </c>
      <c r="I539" t="s">
        <v>70</v>
      </c>
      <c r="J539" t="s">
        <v>71</v>
      </c>
    </row>
    <row r="540" spans="1:10" x14ac:dyDescent="0.3">
      <c r="A540" s="2" t="s">
        <v>4757</v>
      </c>
      <c r="B540" s="2" t="s">
        <v>485</v>
      </c>
      <c r="C540" s="2" t="s">
        <v>486</v>
      </c>
      <c r="D540" s="3">
        <v>211200</v>
      </c>
      <c r="E540" s="3">
        <v>211200</v>
      </c>
      <c r="F540" s="2" t="s">
        <v>16</v>
      </c>
      <c r="G540">
        <v>1.4E-2</v>
      </c>
      <c r="H540" s="9">
        <f t="shared" si="8"/>
        <v>0</v>
      </c>
      <c r="I540" t="s">
        <v>485</v>
      </c>
      <c r="J540" t="s">
        <v>486</v>
      </c>
    </row>
    <row r="541" spans="1:10" x14ac:dyDescent="0.3">
      <c r="A541" s="2" t="s">
        <v>4757</v>
      </c>
      <c r="B541" s="2" t="s">
        <v>86</v>
      </c>
      <c r="C541" s="2" t="s">
        <v>87</v>
      </c>
      <c r="D541" s="5">
        <v>-537</v>
      </c>
      <c r="E541" s="5">
        <v>-537</v>
      </c>
      <c r="F541" s="2" t="s">
        <v>23</v>
      </c>
      <c r="G541">
        <v>1.4E-2</v>
      </c>
      <c r="H541" s="9">
        <f t="shared" si="8"/>
        <v>-38357.142857142855</v>
      </c>
      <c r="I541" t="s">
        <v>485</v>
      </c>
      <c r="J541" t="s">
        <v>486</v>
      </c>
    </row>
    <row r="542" spans="1:10" x14ac:dyDescent="0.3">
      <c r="A542" s="2" t="s">
        <v>4766</v>
      </c>
      <c r="B542" s="2" t="s">
        <v>27</v>
      </c>
      <c r="C542" s="2" t="s">
        <v>28</v>
      </c>
      <c r="D542" s="3">
        <v>46368</v>
      </c>
      <c r="E542" s="3">
        <v>0</v>
      </c>
      <c r="F542" s="2" t="s">
        <v>16</v>
      </c>
      <c r="G542">
        <v>4.4999999999999998E-2</v>
      </c>
      <c r="H542" s="9">
        <f t="shared" si="8"/>
        <v>0</v>
      </c>
      <c r="I542" t="s">
        <v>4791</v>
      </c>
      <c r="J542" t="s">
        <v>4792</v>
      </c>
    </row>
    <row r="543" spans="1:10" x14ac:dyDescent="0.3">
      <c r="A543" s="2" t="s">
        <v>4766</v>
      </c>
      <c r="B543" s="2" t="s">
        <v>65</v>
      </c>
      <c r="C543" s="2" t="s">
        <v>66</v>
      </c>
      <c r="D543" s="5">
        <v>-596</v>
      </c>
      <c r="E543" s="5">
        <v>-596</v>
      </c>
      <c r="F543" s="2" t="s">
        <v>23</v>
      </c>
      <c r="G543">
        <v>4.4999999999999998E-2</v>
      </c>
      <c r="H543" s="9">
        <f t="shared" si="8"/>
        <v>-13244.444444444445</v>
      </c>
      <c r="I543" t="s">
        <v>4791</v>
      </c>
      <c r="J543" t="s">
        <v>4792</v>
      </c>
    </row>
    <row r="544" spans="1:10" x14ac:dyDescent="0.3">
      <c r="A544" s="2" t="s">
        <v>4766</v>
      </c>
      <c r="B544" s="2" t="s">
        <v>4791</v>
      </c>
      <c r="C544" s="2" t="s">
        <v>4792</v>
      </c>
      <c r="D544" s="3">
        <v>46368</v>
      </c>
      <c r="E544" s="3">
        <v>46368</v>
      </c>
      <c r="F544" s="2" t="s">
        <v>16</v>
      </c>
      <c r="G544">
        <v>4.4999999999999998E-2</v>
      </c>
      <c r="H544" s="9">
        <f t="shared" si="8"/>
        <v>0</v>
      </c>
      <c r="I544" t="s">
        <v>4791</v>
      </c>
      <c r="J544" t="s">
        <v>4792</v>
      </c>
    </row>
    <row r="545" spans="1:10" x14ac:dyDescent="0.3">
      <c r="A545" s="2" t="s">
        <v>4795</v>
      </c>
      <c r="B545" s="2" t="s">
        <v>4796</v>
      </c>
      <c r="C545" s="2" t="s">
        <v>4797</v>
      </c>
      <c r="D545" s="3">
        <v>77824</v>
      </c>
      <c r="E545" s="3">
        <v>77824</v>
      </c>
      <c r="F545" s="2" t="s">
        <v>16</v>
      </c>
      <c r="G545">
        <v>4.8000000000000001E-2</v>
      </c>
      <c r="H545" s="9">
        <f t="shared" si="8"/>
        <v>0</v>
      </c>
      <c r="I545" t="s">
        <v>4796</v>
      </c>
      <c r="J545" t="s">
        <v>4797</v>
      </c>
    </row>
    <row r="546" spans="1:10" x14ac:dyDescent="0.3">
      <c r="A546" s="2" t="s">
        <v>4795</v>
      </c>
      <c r="B546" s="2" t="s">
        <v>65</v>
      </c>
      <c r="C546" s="2" t="s">
        <v>66</v>
      </c>
      <c r="D546" s="5">
        <v>-1400</v>
      </c>
      <c r="E546" s="5">
        <v>-1400</v>
      </c>
      <c r="F546" s="2" t="s">
        <v>23</v>
      </c>
      <c r="G546">
        <v>4.8000000000000001E-2</v>
      </c>
      <c r="H546" s="9">
        <f t="shared" si="8"/>
        <v>-29166.666666666664</v>
      </c>
      <c r="I546" t="s">
        <v>4796</v>
      </c>
      <c r="J546" t="s">
        <v>4797</v>
      </c>
    </row>
    <row r="547" spans="1:10" x14ac:dyDescent="0.3">
      <c r="A547" s="2" t="s">
        <v>4821</v>
      </c>
      <c r="B547" s="2" t="s">
        <v>1027</v>
      </c>
      <c r="C547" s="2" t="s">
        <v>1028</v>
      </c>
      <c r="D547" s="3">
        <v>21240</v>
      </c>
      <c r="E547" s="3">
        <v>21240</v>
      </c>
      <c r="F547" s="2" t="s">
        <v>16</v>
      </c>
      <c r="G547">
        <v>3.0499999999999999E-2</v>
      </c>
      <c r="H547" s="9">
        <f t="shared" si="8"/>
        <v>0</v>
      </c>
      <c r="I547" t="s">
        <v>1027</v>
      </c>
      <c r="J547" t="s">
        <v>1028</v>
      </c>
    </row>
    <row r="548" spans="1:10" x14ac:dyDescent="0.3">
      <c r="A548" s="2" t="s">
        <v>4826</v>
      </c>
      <c r="B548" s="2" t="s">
        <v>1093</v>
      </c>
      <c r="C548" s="2" t="s">
        <v>1094</v>
      </c>
      <c r="D548" s="3">
        <v>41760</v>
      </c>
      <c r="E548" s="3">
        <v>41760</v>
      </c>
      <c r="F548" s="2" t="s">
        <v>16</v>
      </c>
      <c r="G548">
        <v>1.2500000000000001E-2</v>
      </c>
      <c r="H548" s="9">
        <f t="shared" si="8"/>
        <v>0</v>
      </c>
      <c r="I548" t="s">
        <v>1093</v>
      </c>
      <c r="J548" t="s">
        <v>1094</v>
      </c>
    </row>
    <row r="549" spans="1:10" x14ac:dyDescent="0.3">
      <c r="A549" s="2" t="s">
        <v>4831</v>
      </c>
      <c r="B549" s="2" t="s">
        <v>517</v>
      </c>
      <c r="C549" s="2" t="s">
        <v>518</v>
      </c>
      <c r="D549" s="3">
        <v>241920</v>
      </c>
      <c r="E549" s="3">
        <v>241920</v>
      </c>
      <c r="F549" s="2" t="s">
        <v>16</v>
      </c>
      <c r="G549">
        <v>2.6600000000000002E-2</v>
      </c>
      <c r="H549" s="9">
        <f t="shared" si="8"/>
        <v>0</v>
      </c>
      <c r="I549" t="s">
        <v>517</v>
      </c>
      <c r="J549" t="s">
        <v>518</v>
      </c>
    </row>
    <row r="550" spans="1:10" x14ac:dyDescent="0.3">
      <c r="A550" s="2" t="s">
        <v>4836</v>
      </c>
      <c r="B550" s="2" t="s">
        <v>97</v>
      </c>
      <c r="C550" s="2" t="s">
        <v>98</v>
      </c>
      <c r="D550" s="3">
        <v>211200</v>
      </c>
      <c r="E550" s="3">
        <v>211200</v>
      </c>
      <c r="F550" s="2" t="s">
        <v>16</v>
      </c>
      <c r="G550">
        <v>5.1999999999999998E-2</v>
      </c>
      <c r="H550" s="9">
        <f t="shared" si="8"/>
        <v>0</v>
      </c>
      <c r="I550" t="s">
        <v>97</v>
      </c>
      <c r="J550" t="s">
        <v>98</v>
      </c>
    </row>
    <row r="551" spans="1:10" x14ac:dyDescent="0.3">
      <c r="A551" s="2" t="s">
        <v>4841</v>
      </c>
      <c r="B551" s="2" t="s">
        <v>27</v>
      </c>
      <c r="C551" s="2" t="s">
        <v>28</v>
      </c>
      <c r="D551" s="3">
        <v>258336</v>
      </c>
      <c r="E551" s="3">
        <v>258336</v>
      </c>
      <c r="F551" s="2" t="s">
        <v>16</v>
      </c>
      <c r="G551">
        <v>4.4999999999999998E-2</v>
      </c>
      <c r="H551" s="9">
        <f t="shared" si="8"/>
        <v>0</v>
      </c>
      <c r="I551" t="s">
        <v>27</v>
      </c>
      <c r="J551" t="s">
        <v>28</v>
      </c>
    </row>
    <row r="552" spans="1:10" x14ac:dyDescent="0.3">
      <c r="A552" s="2" t="s">
        <v>4846</v>
      </c>
      <c r="B552" s="2" t="s">
        <v>4791</v>
      </c>
      <c r="C552" s="2" t="s">
        <v>4792</v>
      </c>
      <c r="D552" s="3">
        <v>616032</v>
      </c>
      <c r="E552" s="3">
        <v>616032</v>
      </c>
      <c r="F552" s="2" t="s">
        <v>16</v>
      </c>
      <c r="G552">
        <v>4.4999999999999998E-2</v>
      </c>
      <c r="H552" s="9">
        <f t="shared" si="8"/>
        <v>0</v>
      </c>
      <c r="I552" t="s">
        <v>4791</v>
      </c>
      <c r="J552" t="s">
        <v>4792</v>
      </c>
    </row>
    <row r="553" spans="1:10" x14ac:dyDescent="0.3">
      <c r="A553" s="2" t="s">
        <v>4846</v>
      </c>
      <c r="B553" s="2" t="s">
        <v>65</v>
      </c>
      <c r="C553" s="2" t="s">
        <v>66</v>
      </c>
      <c r="D553" s="5">
        <v>-596</v>
      </c>
      <c r="E553" s="5">
        <v>-596</v>
      </c>
      <c r="F553" s="2" t="s">
        <v>23</v>
      </c>
      <c r="G553">
        <v>4.4999999999999998E-2</v>
      </c>
      <c r="H553" s="9">
        <f t="shared" si="8"/>
        <v>-13244.444444444445</v>
      </c>
      <c r="I553" t="s">
        <v>4791</v>
      </c>
      <c r="J553" t="s">
        <v>4792</v>
      </c>
    </row>
    <row r="554" spans="1:10" x14ac:dyDescent="0.3">
      <c r="A554" s="2" t="s">
        <v>4855</v>
      </c>
      <c r="B554" s="2" t="s">
        <v>1027</v>
      </c>
      <c r="C554" s="2" t="s">
        <v>1028</v>
      </c>
      <c r="D554" s="3">
        <v>63720</v>
      </c>
      <c r="E554" s="3">
        <v>63720</v>
      </c>
      <c r="F554" s="2" t="s">
        <v>16</v>
      </c>
      <c r="G554">
        <v>3.0499999999999999E-2</v>
      </c>
      <c r="H554" s="9">
        <f t="shared" si="8"/>
        <v>0</v>
      </c>
      <c r="I554" t="s">
        <v>1512</v>
      </c>
      <c r="J554" t="s">
        <v>1513</v>
      </c>
    </row>
    <row r="555" spans="1:10" x14ac:dyDescent="0.3">
      <c r="A555" s="2" t="s">
        <v>4855</v>
      </c>
      <c r="B555" s="2" t="s">
        <v>21</v>
      </c>
      <c r="C555" s="2" t="s">
        <v>22</v>
      </c>
      <c r="D555" s="5">
        <v>-323</v>
      </c>
      <c r="E555" s="5">
        <v>-323</v>
      </c>
      <c r="F555" s="2" t="s">
        <v>23</v>
      </c>
      <c r="G555">
        <v>3.0499999999999999E-2</v>
      </c>
      <c r="H555" s="9">
        <f t="shared" si="8"/>
        <v>-10590.163934426229</v>
      </c>
      <c r="I555" t="s">
        <v>1512</v>
      </c>
      <c r="J555" t="s">
        <v>1513</v>
      </c>
    </row>
    <row r="556" spans="1:10" x14ac:dyDescent="0.3">
      <c r="A556" s="2" t="s">
        <v>4864</v>
      </c>
      <c r="B556" s="2" t="s">
        <v>121</v>
      </c>
      <c r="C556" s="2" t="s">
        <v>122</v>
      </c>
      <c r="D556" s="3">
        <v>39744</v>
      </c>
      <c r="E556" s="3">
        <v>39744</v>
      </c>
      <c r="F556" s="2" t="s">
        <v>16</v>
      </c>
      <c r="G556">
        <v>4.4999999999999998E-2</v>
      </c>
      <c r="H556" s="9">
        <f t="shared" si="8"/>
        <v>0</v>
      </c>
      <c r="I556" t="s">
        <v>121</v>
      </c>
      <c r="J556" t="s">
        <v>122</v>
      </c>
    </row>
    <row r="557" spans="1:10" x14ac:dyDescent="0.3">
      <c r="A557" s="2" t="s">
        <v>4864</v>
      </c>
      <c r="B557" s="2" t="s">
        <v>21</v>
      </c>
      <c r="C557" s="2" t="s">
        <v>22</v>
      </c>
      <c r="D557" s="5">
        <v>-298</v>
      </c>
      <c r="E557" s="5">
        <v>-298</v>
      </c>
      <c r="F557" s="2" t="s">
        <v>23</v>
      </c>
      <c r="G557">
        <v>4.4999999999999998E-2</v>
      </c>
      <c r="H557" s="9">
        <f t="shared" si="8"/>
        <v>-6622.2222222222226</v>
      </c>
      <c r="I557" t="s">
        <v>121</v>
      </c>
      <c r="J557" t="s">
        <v>122</v>
      </c>
    </row>
    <row r="558" spans="1:10" x14ac:dyDescent="0.3">
      <c r="A558" s="2" t="s">
        <v>4878</v>
      </c>
      <c r="B558" s="2" t="s">
        <v>1512</v>
      </c>
      <c r="C558" s="2" t="s">
        <v>1513</v>
      </c>
      <c r="D558" s="3">
        <v>506880</v>
      </c>
      <c r="E558" s="3">
        <v>0</v>
      </c>
      <c r="F558" s="2" t="s">
        <v>16</v>
      </c>
      <c r="G558">
        <v>3.0499999999999999E-2</v>
      </c>
      <c r="H558" s="9">
        <f t="shared" si="8"/>
        <v>0</v>
      </c>
      <c r="I558" t="s">
        <v>1027</v>
      </c>
      <c r="J558" t="s">
        <v>1028</v>
      </c>
    </row>
    <row r="559" spans="1:10" x14ac:dyDescent="0.3">
      <c r="A559" s="2" t="s">
        <v>4891</v>
      </c>
      <c r="B559" s="2" t="s">
        <v>3028</v>
      </c>
      <c r="C559" s="2" t="s">
        <v>3029</v>
      </c>
      <c r="D559" s="3">
        <v>50760</v>
      </c>
      <c r="E559" s="3">
        <v>0</v>
      </c>
      <c r="F559" s="2" t="s">
        <v>16</v>
      </c>
      <c r="G559">
        <v>9.4000000000000004E-3</v>
      </c>
      <c r="H559" s="9">
        <f t="shared" si="8"/>
        <v>0</v>
      </c>
      <c r="I559" t="s">
        <v>1119</v>
      </c>
      <c r="J559" t="s">
        <v>1120</v>
      </c>
    </row>
    <row r="560" spans="1:10" x14ac:dyDescent="0.3">
      <c r="A560" s="2" t="s">
        <v>4896</v>
      </c>
      <c r="B560" s="2" t="s">
        <v>947</v>
      </c>
      <c r="C560" s="2" t="s">
        <v>948</v>
      </c>
      <c r="D560" s="3">
        <v>123840</v>
      </c>
      <c r="E560" s="3">
        <v>123840</v>
      </c>
      <c r="F560" s="2" t="s">
        <v>16</v>
      </c>
      <c r="G560">
        <v>1.4E-2</v>
      </c>
      <c r="H560" s="9">
        <f t="shared" si="8"/>
        <v>0</v>
      </c>
      <c r="I560" t="s">
        <v>947</v>
      </c>
      <c r="J560" t="s">
        <v>948</v>
      </c>
    </row>
    <row r="561" spans="1:10" x14ac:dyDescent="0.3">
      <c r="A561" s="2" t="s">
        <v>4896</v>
      </c>
      <c r="B561" s="2" t="s">
        <v>65</v>
      </c>
      <c r="C561" s="2" t="s">
        <v>66</v>
      </c>
      <c r="D561" s="5">
        <v>-866</v>
      </c>
      <c r="E561" s="5">
        <v>-866</v>
      </c>
      <c r="F561" s="2" t="s">
        <v>23</v>
      </c>
      <c r="G561">
        <v>1.4E-2</v>
      </c>
      <c r="H561" s="9">
        <f t="shared" si="8"/>
        <v>-61857.142857142855</v>
      </c>
      <c r="I561" t="s">
        <v>947</v>
      </c>
      <c r="J561" t="s">
        <v>948</v>
      </c>
    </row>
    <row r="562" spans="1:10" x14ac:dyDescent="0.3">
      <c r="A562" s="2" t="s">
        <v>4905</v>
      </c>
      <c r="B562" s="2" t="s">
        <v>76</v>
      </c>
      <c r="C562" s="2" t="s">
        <v>77</v>
      </c>
      <c r="D562" s="3">
        <v>279180</v>
      </c>
      <c r="E562" s="3">
        <v>279180</v>
      </c>
      <c r="F562" s="2" t="s">
        <v>16</v>
      </c>
      <c r="G562">
        <v>9.4000000000000004E-3</v>
      </c>
      <c r="H562" s="9">
        <f t="shared" si="8"/>
        <v>0</v>
      </c>
      <c r="I562" t="s">
        <v>3028</v>
      </c>
      <c r="J562" t="s">
        <v>3029</v>
      </c>
    </row>
    <row r="563" spans="1:10" x14ac:dyDescent="0.3">
      <c r="A563" s="2" t="s">
        <v>4905</v>
      </c>
      <c r="B563" s="2" t="s">
        <v>86</v>
      </c>
      <c r="C563" s="2" t="s">
        <v>87</v>
      </c>
      <c r="D563" s="5">
        <v>-725</v>
      </c>
      <c r="E563" s="5">
        <v>-725</v>
      </c>
      <c r="F563" s="2" t="s">
        <v>23</v>
      </c>
      <c r="G563">
        <v>9.4000000000000004E-3</v>
      </c>
      <c r="H563" s="9">
        <f t="shared" si="8"/>
        <v>-77127.659574468082</v>
      </c>
      <c r="I563" t="s">
        <v>3028</v>
      </c>
      <c r="J563" t="s">
        <v>3029</v>
      </c>
    </row>
    <row r="564" spans="1:10" x14ac:dyDescent="0.3">
      <c r="A564" s="2" t="s">
        <v>4914</v>
      </c>
      <c r="B564" s="2" t="s">
        <v>97</v>
      </c>
      <c r="C564" s="2" t="s">
        <v>98</v>
      </c>
      <c r="D564" s="3">
        <v>230400</v>
      </c>
      <c r="E564" s="3">
        <v>230400</v>
      </c>
      <c r="F564" s="2" t="s">
        <v>16</v>
      </c>
      <c r="G564">
        <v>5.1999999999999998E-2</v>
      </c>
      <c r="H564" s="9">
        <f t="shared" si="8"/>
        <v>0</v>
      </c>
      <c r="I564" t="s">
        <v>97</v>
      </c>
      <c r="J564" t="s">
        <v>98</v>
      </c>
    </row>
    <row r="565" spans="1:10" x14ac:dyDescent="0.3">
      <c r="A565" s="2" t="s">
        <v>4919</v>
      </c>
      <c r="B565" s="2" t="s">
        <v>517</v>
      </c>
      <c r="C565" s="2" t="s">
        <v>518</v>
      </c>
      <c r="D565" s="3">
        <v>221760</v>
      </c>
      <c r="E565" s="3">
        <v>221760</v>
      </c>
      <c r="F565" s="2" t="s">
        <v>16</v>
      </c>
      <c r="G565">
        <v>2.6600000000000002E-2</v>
      </c>
      <c r="H565" s="9">
        <f t="shared" si="8"/>
        <v>0</v>
      </c>
      <c r="I565" t="s">
        <v>517</v>
      </c>
      <c r="J565" t="s">
        <v>518</v>
      </c>
    </row>
    <row r="566" spans="1:10" x14ac:dyDescent="0.3">
      <c r="A566" s="2" t="s">
        <v>4924</v>
      </c>
      <c r="B566" s="2" t="s">
        <v>1512</v>
      </c>
      <c r="C566" s="2" t="s">
        <v>1513</v>
      </c>
      <c r="D566" s="3">
        <v>509760</v>
      </c>
      <c r="E566" s="3">
        <v>509760</v>
      </c>
      <c r="F566" s="2" t="s">
        <v>16</v>
      </c>
      <c r="G566">
        <v>3.0499999999999999E-2</v>
      </c>
      <c r="H566" s="9">
        <f t="shared" si="8"/>
        <v>0</v>
      </c>
      <c r="I566" t="s">
        <v>10227</v>
      </c>
      <c r="J566" t="s">
        <v>10228</v>
      </c>
    </row>
    <row r="567" spans="1:10" x14ac:dyDescent="0.3">
      <c r="A567" s="2" t="s">
        <v>4933</v>
      </c>
      <c r="B567" s="2" t="s">
        <v>2663</v>
      </c>
      <c r="C567" s="2" t="s">
        <v>2664</v>
      </c>
      <c r="D567" s="3">
        <v>672</v>
      </c>
      <c r="E567" s="3">
        <v>672</v>
      </c>
      <c r="F567" s="2" t="s">
        <v>16</v>
      </c>
      <c r="G567">
        <v>600.40899999999999</v>
      </c>
      <c r="H567" s="9">
        <f t="shared" si="8"/>
        <v>0</v>
      </c>
      <c r="I567" t="s">
        <v>18453</v>
      </c>
      <c r="J567" t="s">
        <v>18457</v>
      </c>
    </row>
    <row r="568" spans="1:10" x14ac:dyDescent="0.3">
      <c r="A568" s="2" t="s">
        <v>4933</v>
      </c>
      <c r="B568" s="2" t="s">
        <v>2218</v>
      </c>
      <c r="C568" s="2" t="s">
        <v>2219</v>
      </c>
      <c r="D568" s="3">
        <v>1344</v>
      </c>
      <c r="E568" s="3">
        <v>1344</v>
      </c>
      <c r="F568" s="2" t="s">
        <v>16</v>
      </c>
      <c r="G568">
        <v>600.40899999999999</v>
      </c>
      <c r="H568" s="9">
        <f t="shared" si="8"/>
        <v>0</v>
      </c>
      <c r="I568" t="s">
        <v>18453</v>
      </c>
      <c r="J568" t="s">
        <v>18457</v>
      </c>
    </row>
    <row r="569" spans="1:10" x14ac:dyDescent="0.3">
      <c r="A569" s="2" t="s">
        <v>4946</v>
      </c>
      <c r="B569" s="2" t="s">
        <v>1119</v>
      </c>
      <c r="C569" s="2" t="s">
        <v>1120</v>
      </c>
      <c r="D569" s="3">
        <v>50760</v>
      </c>
      <c r="E569" s="3">
        <v>50760</v>
      </c>
      <c r="F569" s="2" t="s">
        <v>16</v>
      </c>
      <c r="G569">
        <v>9.4000000000000004E-3</v>
      </c>
      <c r="H569" s="9">
        <f t="shared" si="8"/>
        <v>0</v>
      </c>
      <c r="I569" t="s">
        <v>3028</v>
      </c>
      <c r="J569" t="s">
        <v>3029</v>
      </c>
    </row>
    <row r="570" spans="1:10" x14ac:dyDescent="0.3">
      <c r="A570" s="2" t="s">
        <v>4946</v>
      </c>
      <c r="B570" s="2" t="s">
        <v>86</v>
      </c>
      <c r="C570" s="2" t="s">
        <v>87</v>
      </c>
      <c r="D570" s="5">
        <v>-139.06800000000001</v>
      </c>
      <c r="E570" s="5">
        <v>-139.06800000000001</v>
      </c>
      <c r="F570" s="2" t="s">
        <v>23</v>
      </c>
      <c r="G570">
        <v>9.4000000000000004E-3</v>
      </c>
      <c r="H570" s="9">
        <f t="shared" si="8"/>
        <v>-14794.468085106384</v>
      </c>
      <c r="I570" t="s">
        <v>3028</v>
      </c>
      <c r="J570" t="s">
        <v>3029</v>
      </c>
    </row>
    <row r="571" spans="1:10" x14ac:dyDescent="0.3">
      <c r="A571" s="2" t="s">
        <v>4954</v>
      </c>
      <c r="B571" s="2" t="s">
        <v>4955</v>
      </c>
      <c r="C571" s="2" t="s">
        <v>4956</v>
      </c>
      <c r="D571" s="3">
        <v>74592</v>
      </c>
      <c r="E571" s="3">
        <v>74592</v>
      </c>
      <c r="F571" s="2" t="s">
        <v>16</v>
      </c>
      <c r="G571">
        <v>1.35E-2</v>
      </c>
      <c r="H571" s="9">
        <f t="shared" si="8"/>
        <v>0</v>
      </c>
      <c r="I571" t="s">
        <v>4955</v>
      </c>
      <c r="J571" t="s">
        <v>4956</v>
      </c>
    </row>
    <row r="572" spans="1:10" x14ac:dyDescent="0.3">
      <c r="A572" s="2" t="s">
        <v>4954</v>
      </c>
      <c r="B572" s="2" t="s">
        <v>65</v>
      </c>
      <c r="C572" s="2" t="s">
        <v>66</v>
      </c>
      <c r="D572" s="5">
        <v>-144</v>
      </c>
      <c r="E572" s="5">
        <v>-144</v>
      </c>
      <c r="F572" s="2" t="s">
        <v>23</v>
      </c>
      <c r="G572">
        <v>1.35E-2</v>
      </c>
      <c r="H572" s="9">
        <f t="shared" si="8"/>
        <v>-10666.666666666666</v>
      </c>
      <c r="I572" t="s">
        <v>4955</v>
      </c>
      <c r="J572" t="s">
        <v>4956</v>
      </c>
    </row>
    <row r="573" spans="1:10" x14ac:dyDescent="0.3">
      <c r="A573" s="2" t="s">
        <v>4964</v>
      </c>
      <c r="B573" s="2" t="s">
        <v>2115</v>
      </c>
      <c r="C573" s="2" t="s">
        <v>2116</v>
      </c>
      <c r="D573" s="3">
        <v>39600</v>
      </c>
      <c r="E573" s="3">
        <v>39600</v>
      </c>
      <c r="F573" s="2" t="s">
        <v>16</v>
      </c>
      <c r="G573">
        <v>5.0999999999999997E-2</v>
      </c>
      <c r="H573" s="9">
        <f t="shared" si="8"/>
        <v>0</v>
      </c>
      <c r="I573" t="s">
        <v>2115</v>
      </c>
      <c r="J573" t="s">
        <v>2116</v>
      </c>
    </row>
    <row r="574" spans="1:10" x14ac:dyDescent="0.3">
      <c r="A574" s="2" t="s">
        <v>4964</v>
      </c>
      <c r="B574" s="2" t="s">
        <v>65</v>
      </c>
      <c r="C574" s="2" t="s">
        <v>66</v>
      </c>
      <c r="D574" s="5">
        <v>-183</v>
      </c>
      <c r="E574" s="5">
        <v>-183</v>
      </c>
      <c r="F574" s="2" t="s">
        <v>23</v>
      </c>
      <c r="G574">
        <v>5.0999999999999997E-2</v>
      </c>
      <c r="H574" s="9">
        <f t="shared" si="8"/>
        <v>-3588.2352941176473</v>
      </c>
      <c r="I574" t="s">
        <v>2115</v>
      </c>
      <c r="J574" t="s">
        <v>2116</v>
      </c>
    </row>
    <row r="575" spans="1:10" x14ac:dyDescent="0.3">
      <c r="A575" s="2" t="s">
        <v>4973</v>
      </c>
      <c r="B575" s="2" t="s">
        <v>97</v>
      </c>
      <c r="C575" s="2" t="s">
        <v>98</v>
      </c>
      <c r="D575" s="3">
        <v>19200</v>
      </c>
      <c r="E575" s="3">
        <v>19200</v>
      </c>
      <c r="F575" s="2" t="s">
        <v>16</v>
      </c>
      <c r="G575">
        <v>5.1999999999999998E-2</v>
      </c>
      <c r="H575" s="9">
        <f t="shared" si="8"/>
        <v>0</v>
      </c>
      <c r="I575" t="s">
        <v>1170</v>
      </c>
      <c r="J575" t="s">
        <v>1171</v>
      </c>
    </row>
    <row r="576" spans="1:10" x14ac:dyDescent="0.3">
      <c r="A576" s="2" t="s">
        <v>4973</v>
      </c>
      <c r="B576" s="2" t="s">
        <v>65</v>
      </c>
      <c r="C576" s="2" t="s">
        <v>66</v>
      </c>
      <c r="D576" s="5">
        <v>-249</v>
      </c>
      <c r="E576" s="5">
        <v>-249</v>
      </c>
      <c r="F576" s="2" t="s">
        <v>23</v>
      </c>
      <c r="G576">
        <v>5.1999999999999998E-2</v>
      </c>
      <c r="H576" s="9">
        <f t="shared" si="8"/>
        <v>-4788.461538461539</v>
      </c>
      <c r="I576" t="s">
        <v>1170</v>
      </c>
      <c r="J576" t="s">
        <v>1171</v>
      </c>
    </row>
    <row r="577" spans="1:10" x14ac:dyDescent="0.3">
      <c r="A577" s="2" t="s">
        <v>4982</v>
      </c>
      <c r="B577" s="2" t="s">
        <v>1027</v>
      </c>
      <c r="C577" s="2" t="s">
        <v>1028</v>
      </c>
      <c r="D577" s="3">
        <v>467280</v>
      </c>
      <c r="E577" s="3">
        <v>467280</v>
      </c>
      <c r="F577" s="2" t="s">
        <v>16</v>
      </c>
      <c r="G577">
        <v>3.0499999999999999E-2</v>
      </c>
      <c r="H577" s="9">
        <f t="shared" si="8"/>
        <v>0</v>
      </c>
      <c r="I577" t="s">
        <v>1027</v>
      </c>
      <c r="J577" t="s">
        <v>1028</v>
      </c>
    </row>
    <row r="578" spans="1:10" x14ac:dyDescent="0.3">
      <c r="A578" s="2" t="s">
        <v>4987</v>
      </c>
      <c r="B578" s="2" t="s">
        <v>4988</v>
      </c>
      <c r="C578" s="2" t="s">
        <v>4989</v>
      </c>
      <c r="D578" s="3">
        <v>50400</v>
      </c>
      <c r="E578" s="3">
        <v>50400</v>
      </c>
      <c r="F578" s="2" t="s">
        <v>16</v>
      </c>
      <c r="G578">
        <v>2.6600000000000002E-2</v>
      </c>
      <c r="H578" s="9">
        <f t="shared" si="8"/>
        <v>0</v>
      </c>
      <c r="I578" t="s">
        <v>4988</v>
      </c>
      <c r="J578" t="s">
        <v>4989</v>
      </c>
    </row>
    <row r="579" spans="1:10" x14ac:dyDescent="0.3">
      <c r="A579" s="2" t="s">
        <v>4987</v>
      </c>
      <c r="B579" s="2" t="s">
        <v>86</v>
      </c>
      <c r="C579" s="2" t="s">
        <v>87</v>
      </c>
      <c r="D579" s="5">
        <v>-268</v>
      </c>
      <c r="E579" s="5">
        <v>-268</v>
      </c>
      <c r="F579" s="2" t="s">
        <v>23</v>
      </c>
      <c r="G579">
        <v>2.6600000000000002E-2</v>
      </c>
      <c r="H579" s="9">
        <f t="shared" ref="H579:H642" si="9">IFERROR(IF(LEFT(B579,1)="F",E579/G579,0),0)</f>
        <v>-10075.187969924811</v>
      </c>
      <c r="I579" t="s">
        <v>4988</v>
      </c>
      <c r="J579" t="s">
        <v>4989</v>
      </c>
    </row>
    <row r="580" spans="1:10" x14ac:dyDescent="0.3">
      <c r="A580" s="2" t="s">
        <v>5009</v>
      </c>
      <c r="B580" s="2" t="s">
        <v>2168</v>
      </c>
      <c r="C580" s="2" t="s">
        <v>2169</v>
      </c>
      <c r="D580" s="3">
        <v>21240</v>
      </c>
      <c r="E580" s="3">
        <v>21240</v>
      </c>
      <c r="F580" s="2" t="s">
        <v>16</v>
      </c>
      <c r="G580">
        <v>3.0499999999999999E-2</v>
      </c>
      <c r="H580" s="9">
        <f t="shared" si="9"/>
        <v>0</v>
      </c>
      <c r="I580" t="s">
        <v>1027</v>
      </c>
      <c r="J580" t="s">
        <v>1028</v>
      </c>
    </row>
    <row r="581" spans="1:10" x14ac:dyDescent="0.3">
      <c r="A581" s="2" t="s">
        <v>5014</v>
      </c>
      <c r="B581" s="2" t="s">
        <v>2238</v>
      </c>
      <c r="C581" s="2" t="s">
        <v>2239</v>
      </c>
      <c r="D581" s="3">
        <v>211200</v>
      </c>
      <c r="E581" s="3">
        <v>211200</v>
      </c>
      <c r="F581" s="2" t="s">
        <v>16</v>
      </c>
      <c r="G581">
        <v>1.35E-2</v>
      </c>
      <c r="H581" s="9">
        <f t="shared" si="9"/>
        <v>0</v>
      </c>
      <c r="I581" t="s">
        <v>2238</v>
      </c>
      <c r="J581" t="s">
        <v>2239</v>
      </c>
    </row>
    <row r="582" spans="1:10" x14ac:dyDescent="0.3">
      <c r="A582" s="2" t="s">
        <v>5014</v>
      </c>
      <c r="B582" s="2" t="s">
        <v>86</v>
      </c>
      <c r="C582" s="2" t="s">
        <v>87</v>
      </c>
      <c r="D582" s="5">
        <v>-259</v>
      </c>
      <c r="E582" s="5">
        <v>-259</v>
      </c>
      <c r="F582" s="2" t="s">
        <v>23</v>
      </c>
      <c r="G582">
        <v>1.35E-2</v>
      </c>
      <c r="H582" s="9">
        <f t="shared" si="9"/>
        <v>-19185.185185185186</v>
      </c>
      <c r="I582" t="s">
        <v>2238</v>
      </c>
      <c r="J582" t="s">
        <v>2239</v>
      </c>
    </row>
    <row r="583" spans="1:10" x14ac:dyDescent="0.3">
      <c r="A583" s="2" t="s">
        <v>5039</v>
      </c>
      <c r="B583" s="2" t="s">
        <v>4791</v>
      </c>
      <c r="C583" s="2" t="s">
        <v>4792</v>
      </c>
      <c r="D583" s="3">
        <v>13248</v>
      </c>
      <c r="E583" s="3">
        <v>13248</v>
      </c>
      <c r="F583" s="2" t="s">
        <v>16</v>
      </c>
      <c r="G583">
        <v>4.4999999999999998E-2</v>
      </c>
      <c r="H583" s="9">
        <f t="shared" si="9"/>
        <v>0</v>
      </c>
      <c r="I583" t="s">
        <v>5347</v>
      </c>
      <c r="J583" t="s">
        <v>5348</v>
      </c>
    </row>
    <row r="584" spans="1:10" x14ac:dyDescent="0.3">
      <c r="A584" s="2" t="s">
        <v>5044</v>
      </c>
      <c r="B584" s="2" t="s">
        <v>65</v>
      </c>
      <c r="C584" s="2" t="s">
        <v>66</v>
      </c>
      <c r="D584" s="3">
        <v>0</v>
      </c>
      <c r="E584" s="3">
        <v>0</v>
      </c>
      <c r="F584" s="2" t="s">
        <v>23</v>
      </c>
      <c r="G584">
        <v>2.6600000000000002E-2</v>
      </c>
      <c r="H584" s="9">
        <f t="shared" si="9"/>
        <v>0</v>
      </c>
      <c r="I584" t="s">
        <v>517</v>
      </c>
      <c r="J584" t="s">
        <v>518</v>
      </c>
    </row>
    <row r="585" spans="1:10" x14ac:dyDescent="0.3">
      <c r="A585" s="2" t="s">
        <v>5044</v>
      </c>
      <c r="B585" s="2" t="s">
        <v>517</v>
      </c>
      <c r="C585" s="2" t="s">
        <v>518</v>
      </c>
      <c r="D585" s="3">
        <v>1</v>
      </c>
      <c r="E585" s="3">
        <v>0</v>
      </c>
      <c r="F585" s="2" t="s">
        <v>16</v>
      </c>
      <c r="G585">
        <v>2.6600000000000002E-2</v>
      </c>
      <c r="H585" s="9">
        <f t="shared" si="9"/>
        <v>0</v>
      </c>
      <c r="I585" t="s">
        <v>517</v>
      </c>
      <c r="J585" t="s">
        <v>518</v>
      </c>
    </row>
    <row r="586" spans="1:10" x14ac:dyDescent="0.3">
      <c r="A586" s="2" t="s">
        <v>5184</v>
      </c>
      <c r="B586" s="2" t="s">
        <v>517</v>
      </c>
      <c r="C586" s="2" t="s">
        <v>518</v>
      </c>
      <c r="D586" s="3">
        <v>483840</v>
      </c>
      <c r="E586" s="3">
        <v>483840</v>
      </c>
      <c r="F586" s="2" t="s">
        <v>16</v>
      </c>
      <c r="G586">
        <v>2.6600000000000002E-2</v>
      </c>
      <c r="H586" s="9">
        <f t="shared" si="9"/>
        <v>0</v>
      </c>
      <c r="I586" t="s">
        <v>517</v>
      </c>
      <c r="J586" t="s">
        <v>518</v>
      </c>
    </row>
    <row r="587" spans="1:10" x14ac:dyDescent="0.3">
      <c r="A587" s="2" t="s">
        <v>5189</v>
      </c>
      <c r="B587" s="2" t="s">
        <v>947</v>
      </c>
      <c r="C587" s="2" t="s">
        <v>948</v>
      </c>
      <c r="D587" s="3">
        <v>20640</v>
      </c>
      <c r="E587" s="3">
        <v>20640</v>
      </c>
      <c r="F587" s="2" t="s">
        <v>16</v>
      </c>
      <c r="G587">
        <v>1.4E-2</v>
      </c>
      <c r="H587" s="9">
        <f t="shared" si="9"/>
        <v>0</v>
      </c>
      <c r="I587" t="s">
        <v>947</v>
      </c>
      <c r="J587" t="s">
        <v>948</v>
      </c>
    </row>
    <row r="588" spans="1:10" x14ac:dyDescent="0.3">
      <c r="A588" s="2" t="s">
        <v>5194</v>
      </c>
      <c r="B588" s="2" t="s">
        <v>3749</v>
      </c>
      <c r="C588" s="2" t="s">
        <v>3750</v>
      </c>
      <c r="D588" s="3">
        <v>20880</v>
      </c>
      <c r="E588" s="3">
        <v>20880</v>
      </c>
      <c r="F588" s="2" t="s">
        <v>16</v>
      </c>
      <c r="G588">
        <v>1.2500000000000001E-2</v>
      </c>
      <c r="H588" s="9">
        <f t="shared" si="9"/>
        <v>0</v>
      </c>
      <c r="I588" t="s">
        <v>3749</v>
      </c>
      <c r="J588" t="s">
        <v>3750</v>
      </c>
    </row>
    <row r="589" spans="1:10" x14ac:dyDescent="0.3">
      <c r="A589" s="2" t="s">
        <v>5199</v>
      </c>
      <c r="B589" s="2" t="s">
        <v>2539</v>
      </c>
      <c r="C589" s="2" t="s">
        <v>2540</v>
      </c>
      <c r="D589" s="3">
        <v>20880</v>
      </c>
      <c r="E589" s="3">
        <v>20880</v>
      </c>
      <c r="F589" s="2" t="s">
        <v>16</v>
      </c>
      <c r="G589">
        <v>1.2500000000000001E-2</v>
      </c>
      <c r="H589" s="9">
        <f t="shared" si="9"/>
        <v>0</v>
      </c>
      <c r="I589" t="s">
        <v>2539</v>
      </c>
      <c r="J589" t="s">
        <v>2540</v>
      </c>
    </row>
    <row r="590" spans="1:10" x14ac:dyDescent="0.3">
      <c r="A590" s="2" t="s">
        <v>5204</v>
      </c>
      <c r="B590" s="2" t="s">
        <v>1027</v>
      </c>
      <c r="C590" s="2" t="s">
        <v>1028</v>
      </c>
      <c r="D590" s="3">
        <v>509760</v>
      </c>
      <c r="E590" s="3">
        <v>509760</v>
      </c>
      <c r="F590" s="2" t="s">
        <v>16</v>
      </c>
      <c r="G590">
        <v>3.0499999999999999E-2</v>
      </c>
      <c r="H590" s="9">
        <f t="shared" si="9"/>
        <v>0</v>
      </c>
      <c r="I590" t="s">
        <v>1027</v>
      </c>
      <c r="J590" t="s">
        <v>1028</v>
      </c>
    </row>
    <row r="591" spans="1:10" x14ac:dyDescent="0.3">
      <c r="A591" s="2" t="s">
        <v>5209</v>
      </c>
      <c r="B591" s="2" t="s">
        <v>4511</v>
      </c>
      <c r="C591" s="2" t="s">
        <v>4512</v>
      </c>
      <c r="D591" s="3">
        <v>63940</v>
      </c>
      <c r="E591" s="3">
        <v>63940</v>
      </c>
      <c r="F591" s="2" t="s">
        <v>16</v>
      </c>
      <c r="G591">
        <v>7.45E-3</v>
      </c>
      <c r="H591" s="9">
        <f t="shared" si="9"/>
        <v>0</v>
      </c>
      <c r="I591" t="s">
        <v>4511</v>
      </c>
      <c r="J591" t="s">
        <v>4512</v>
      </c>
    </row>
    <row r="592" spans="1:10" x14ac:dyDescent="0.3">
      <c r="A592" s="2" t="s">
        <v>5209</v>
      </c>
      <c r="B592" s="2" t="s">
        <v>86</v>
      </c>
      <c r="C592" s="2" t="s">
        <v>87</v>
      </c>
      <c r="D592" s="5">
        <v>-31</v>
      </c>
      <c r="E592" s="5">
        <v>-31</v>
      </c>
      <c r="F592" s="2" t="s">
        <v>23</v>
      </c>
      <c r="G592">
        <v>7.45E-3</v>
      </c>
      <c r="H592" s="9">
        <f t="shared" si="9"/>
        <v>-4161.0738255033557</v>
      </c>
      <c r="I592" t="s">
        <v>4511</v>
      </c>
      <c r="J592" t="s">
        <v>4512</v>
      </c>
    </row>
    <row r="593" spans="1:10" x14ac:dyDescent="0.3">
      <c r="A593" s="2" t="s">
        <v>5218</v>
      </c>
      <c r="B593" s="2" t="s">
        <v>1989</v>
      </c>
      <c r="C593" s="2" t="s">
        <v>1990</v>
      </c>
      <c r="D593" s="3">
        <v>53568</v>
      </c>
      <c r="E593" s="3">
        <v>53568</v>
      </c>
      <c r="F593" s="2" t="s">
        <v>16</v>
      </c>
      <c r="G593">
        <v>1.35E-2</v>
      </c>
      <c r="H593" s="9">
        <f t="shared" si="9"/>
        <v>0</v>
      </c>
      <c r="I593" t="s">
        <v>1989</v>
      </c>
      <c r="J593" t="s">
        <v>1990</v>
      </c>
    </row>
    <row r="594" spans="1:10" x14ac:dyDescent="0.3">
      <c r="A594" s="2" t="s">
        <v>5223</v>
      </c>
      <c r="B594" s="2" t="s">
        <v>59</v>
      </c>
      <c r="C594" s="2" t="s">
        <v>60</v>
      </c>
      <c r="D594" s="3">
        <v>1269000</v>
      </c>
      <c r="E594" s="3">
        <v>1269000</v>
      </c>
      <c r="F594" s="2" t="s">
        <v>16</v>
      </c>
      <c r="G594">
        <v>9.6999999999999986E-3</v>
      </c>
      <c r="H594" s="9">
        <f t="shared" si="9"/>
        <v>0</v>
      </c>
      <c r="I594" t="s">
        <v>59</v>
      </c>
      <c r="J594" t="s">
        <v>60</v>
      </c>
    </row>
    <row r="595" spans="1:10" x14ac:dyDescent="0.3">
      <c r="A595" s="2" t="s">
        <v>5228</v>
      </c>
      <c r="B595" s="2" t="s">
        <v>5229</v>
      </c>
      <c r="C595" s="2" t="s">
        <v>5230</v>
      </c>
      <c r="D595" s="3">
        <v>40000</v>
      </c>
      <c r="E595" s="3">
        <v>40000</v>
      </c>
      <c r="F595" s="2" t="s">
        <v>16</v>
      </c>
      <c r="H595" s="9">
        <f t="shared" si="9"/>
        <v>0</v>
      </c>
      <c r="I595" t="e">
        <v>#N/A</v>
      </c>
      <c r="J595" t="e">
        <v>#N/A</v>
      </c>
    </row>
    <row r="596" spans="1:10" x14ac:dyDescent="0.3">
      <c r="A596" s="2" t="s">
        <v>5235</v>
      </c>
      <c r="B596" s="2" t="s">
        <v>517</v>
      </c>
      <c r="C596" s="2" t="s">
        <v>518</v>
      </c>
      <c r="D596" s="3">
        <v>493920</v>
      </c>
      <c r="E596" s="3">
        <v>493920</v>
      </c>
      <c r="F596" s="2" t="s">
        <v>16</v>
      </c>
      <c r="G596">
        <v>2.6600000000000002E-2</v>
      </c>
      <c r="H596" s="9">
        <f t="shared" si="9"/>
        <v>0</v>
      </c>
      <c r="I596" t="s">
        <v>517</v>
      </c>
      <c r="J596" t="s">
        <v>518</v>
      </c>
    </row>
    <row r="597" spans="1:10" x14ac:dyDescent="0.3">
      <c r="A597" s="2" t="s">
        <v>5240</v>
      </c>
      <c r="B597" s="2" t="s">
        <v>5241</v>
      </c>
      <c r="C597" s="2" t="s">
        <v>5242</v>
      </c>
      <c r="D597" s="3">
        <v>19200</v>
      </c>
      <c r="E597" s="3">
        <v>19200</v>
      </c>
      <c r="F597" s="2" t="s">
        <v>16</v>
      </c>
      <c r="G597">
        <v>1.35E-2</v>
      </c>
      <c r="H597" s="9">
        <f t="shared" si="9"/>
        <v>0</v>
      </c>
      <c r="I597" t="s">
        <v>2238</v>
      </c>
      <c r="J597" t="s">
        <v>2239</v>
      </c>
    </row>
    <row r="598" spans="1:10" x14ac:dyDescent="0.3">
      <c r="A598" s="2" t="s">
        <v>5262</v>
      </c>
      <c r="B598" s="2" t="s">
        <v>1093</v>
      </c>
      <c r="C598" s="2" t="s">
        <v>1094</v>
      </c>
      <c r="D598" s="3">
        <v>1983600</v>
      </c>
      <c r="E598" s="3">
        <v>1983600</v>
      </c>
      <c r="F598" s="2" t="s">
        <v>16</v>
      </c>
      <c r="G598">
        <v>1.2500000000000001E-2</v>
      </c>
      <c r="H598" s="9">
        <f t="shared" si="9"/>
        <v>0</v>
      </c>
      <c r="I598" t="s">
        <v>1093</v>
      </c>
      <c r="J598" t="s">
        <v>1094</v>
      </c>
    </row>
    <row r="599" spans="1:10" x14ac:dyDescent="0.3">
      <c r="A599" s="2" t="s">
        <v>5262</v>
      </c>
      <c r="B599" s="2" t="s">
        <v>65</v>
      </c>
      <c r="C599" s="2" t="s">
        <v>66</v>
      </c>
      <c r="D599" s="5">
        <v>-261</v>
      </c>
      <c r="E599" s="5">
        <v>-261</v>
      </c>
      <c r="F599" s="2" t="s">
        <v>23</v>
      </c>
      <c r="G599">
        <v>1.2500000000000001E-2</v>
      </c>
      <c r="H599" s="9">
        <f t="shared" si="9"/>
        <v>-20880</v>
      </c>
      <c r="I599" t="s">
        <v>1093</v>
      </c>
      <c r="J599" t="s">
        <v>1094</v>
      </c>
    </row>
    <row r="600" spans="1:10" x14ac:dyDescent="0.3">
      <c r="A600" s="2" t="s">
        <v>5271</v>
      </c>
      <c r="B600" s="2" t="s">
        <v>115</v>
      </c>
      <c r="C600" s="2" t="s">
        <v>116</v>
      </c>
      <c r="D600" s="3">
        <v>81900</v>
      </c>
      <c r="E600" s="3">
        <v>81900</v>
      </c>
      <c r="F600" s="2" t="s">
        <v>16</v>
      </c>
      <c r="G600">
        <v>2.1000000000000001E-2</v>
      </c>
      <c r="H600" s="9">
        <f t="shared" si="9"/>
        <v>0</v>
      </c>
      <c r="I600" t="s">
        <v>115</v>
      </c>
      <c r="J600" t="s">
        <v>116</v>
      </c>
    </row>
    <row r="601" spans="1:10" x14ac:dyDescent="0.3">
      <c r="A601" s="2" t="s">
        <v>5276</v>
      </c>
      <c r="B601" s="2" t="s">
        <v>797</v>
      </c>
      <c r="C601" s="2" t="s">
        <v>798</v>
      </c>
      <c r="D601" s="3">
        <v>149400</v>
      </c>
      <c r="E601" s="3">
        <v>149400</v>
      </c>
      <c r="F601" s="2" t="s">
        <v>16</v>
      </c>
      <c r="G601">
        <v>7.45E-3</v>
      </c>
      <c r="H601" s="9">
        <f t="shared" si="9"/>
        <v>0</v>
      </c>
      <c r="I601" t="s">
        <v>797</v>
      </c>
      <c r="J601" t="s">
        <v>798</v>
      </c>
    </row>
    <row r="602" spans="1:10" x14ac:dyDescent="0.3">
      <c r="A602" s="2" t="s">
        <v>5281</v>
      </c>
      <c r="B602" s="2" t="s">
        <v>59</v>
      </c>
      <c r="C602" s="2" t="s">
        <v>60</v>
      </c>
      <c r="D602" s="3">
        <v>2233440</v>
      </c>
      <c r="E602" s="3">
        <v>2233440</v>
      </c>
      <c r="F602" s="2" t="s">
        <v>16</v>
      </c>
      <c r="G602">
        <v>9.6999999999999986E-3</v>
      </c>
      <c r="H602" s="9">
        <f t="shared" si="9"/>
        <v>0</v>
      </c>
      <c r="I602" t="s">
        <v>59</v>
      </c>
      <c r="J602" t="s">
        <v>60</v>
      </c>
    </row>
    <row r="603" spans="1:10" x14ac:dyDescent="0.3">
      <c r="A603" s="2" t="s">
        <v>5281</v>
      </c>
      <c r="B603" s="2" t="s">
        <v>86</v>
      </c>
      <c r="C603" s="2" t="s">
        <v>87</v>
      </c>
      <c r="D603" s="5">
        <v>-246</v>
      </c>
      <c r="E603" s="5">
        <v>-246</v>
      </c>
      <c r="F603" s="2" t="s">
        <v>23</v>
      </c>
      <c r="G603">
        <v>9.6999999999999986E-3</v>
      </c>
      <c r="H603" s="9">
        <f t="shared" si="9"/>
        <v>-25360.824742268043</v>
      </c>
      <c r="I603" t="s">
        <v>59</v>
      </c>
      <c r="J603" t="s">
        <v>60</v>
      </c>
    </row>
    <row r="604" spans="1:10" x14ac:dyDescent="0.3">
      <c r="A604" s="2" t="s">
        <v>5290</v>
      </c>
      <c r="B604" s="2" t="s">
        <v>1989</v>
      </c>
      <c r="C604" s="2" t="s">
        <v>1990</v>
      </c>
      <c r="D604" s="3">
        <v>35712</v>
      </c>
      <c r="E604" s="3">
        <v>35712</v>
      </c>
      <c r="F604" s="2" t="s">
        <v>16</v>
      </c>
      <c r="G604">
        <v>1.35E-2</v>
      </c>
      <c r="H604" s="9">
        <f t="shared" si="9"/>
        <v>0</v>
      </c>
      <c r="I604" t="s">
        <v>1989</v>
      </c>
      <c r="J604" t="s">
        <v>1990</v>
      </c>
    </row>
    <row r="605" spans="1:10" x14ac:dyDescent="0.3">
      <c r="A605" s="2" t="s">
        <v>5295</v>
      </c>
      <c r="B605" s="2" t="s">
        <v>59</v>
      </c>
      <c r="C605" s="2" t="s">
        <v>60</v>
      </c>
      <c r="D605" s="3">
        <v>2106540</v>
      </c>
      <c r="E605" s="3">
        <v>2106540</v>
      </c>
      <c r="F605" s="2" t="s">
        <v>16</v>
      </c>
      <c r="G605">
        <v>9.6999999999999986E-3</v>
      </c>
      <c r="H605" s="9">
        <f t="shared" si="9"/>
        <v>0</v>
      </c>
      <c r="I605" t="s">
        <v>59</v>
      </c>
      <c r="J605" t="s">
        <v>60</v>
      </c>
    </row>
    <row r="606" spans="1:10" x14ac:dyDescent="0.3">
      <c r="A606" s="2" t="s">
        <v>5300</v>
      </c>
      <c r="B606" s="2" t="s">
        <v>1093</v>
      </c>
      <c r="C606" s="2" t="s">
        <v>1094</v>
      </c>
      <c r="D606" s="3">
        <v>2004480</v>
      </c>
      <c r="E606" s="3">
        <v>2004480</v>
      </c>
      <c r="F606" s="2" t="s">
        <v>16</v>
      </c>
      <c r="G606">
        <v>1.2500000000000001E-2</v>
      </c>
      <c r="H606" s="9">
        <f t="shared" si="9"/>
        <v>0</v>
      </c>
      <c r="I606" t="s">
        <v>1093</v>
      </c>
      <c r="J606" t="s">
        <v>1094</v>
      </c>
    </row>
    <row r="607" spans="1:10" x14ac:dyDescent="0.3">
      <c r="A607" s="2" t="s">
        <v>5305</v>
      </c>
      <c r="B607" s="2" t="s">
        <v>396</v>
      </c>
      <c r="C607" s="2" t="s">
        <v>397</v>
      </c>
      <c r="D607" s="3">
        <v>47500</v>
      </c>
      <c r="E607" s="3">
        <v>47500</v>
      </c>
      <c r="F607" s="2" t="s">
        <v>16</v>
      </c>
      <c r="G607">
        <v>8.3000000000000001E-3</v>
      </c>
      <c r="H607" s="9">
        <f t="shared" si="9"/>
        <v>0</v>
      </c>
      <c r="I607" t="s">
        <v>396</v>
      </c>
      <c r="J607" t="s">
        <v>397</v>
      </c>
    </row>
    <row r="608" spans="1:10" x14ac:dyDescent="0.3">
      <c r="A608" s="2" t="s">
        <v>5305</v>
      </c>
      <c r="B608" s="2" t="s">
        <v>65</v>
      </c>
      <c r="C608" s="2" t="s">
        <v>66</v>
      </c>
      <c r="D608" s="5">
        <v>-170</v>
      </c>
      <c r="E608" s="5">
        <v>-170</v>
      </c>
      <c r="F608" s="2" t="s">
        <v>23</v>
      </c>
      <c r="G608">
        <v>8.3000000000000001E-3</v>
      </c>
      <c r="H608" s="9">
        <f t="shared" si="9"/>
        <v>-20481.927710843374</v>
      </c>
      <c r="I608" t="s">
        <v>396</v>
      </c>
      <c r="J608" t="s">
        <v>397</v>
      </c>
    </row>
    <row r="609" spans="1:10" x14ac:dyDescent="0.3">
      <c r="A609" s="2" t="s">
        <v>5314</v>
      </c>
      <c r="B609" s="2" t="s">
        <v>4511</v>
      </c>
      <c r="C609" s="2" t="s">
        <v>4512</v>
      </c>
      <c r="D609" s="3">
        <v>93040</v>
      </c>
      <c r="E609" s="3">
        <v>93040</v>
      </c>
      <c r="F609" s="2" t="s">
        <v>16</v>
      </c>
      <c r="G609">
        <v>7.45E-3</v>
      </c>
      <c r="H609" s="9">
        <f t="shared" si="9"/>
        <v>0</v>
      </c>
      <c r="I609" t="s">
        <v>4511</v>
      </c>
      <c r="J609" t="s">
        <v>4512</v>
      </c>
    </row>
    <row r="610" spans="1:10" x14ac:dyDescent="0.3">
      <c r="A610" s="2" t="s">
        <v>5314</v>
      </c>
      <c r="B610" s="2" t="s">
        <v>86</v>
      </c>
      <c r="C610" s="2" t="s">
        <v>87</v>
      </c>
      <c r="D610" s="5">
        <v>-26</v>
      </c>
      <c r="E610" s="5">
        <v>-26</v>
      </c>
      <c r="F610" s="2" t="s">
        <v>23</v>
      </c>
      <c r="G610">
        <v>7.45E-3</v>
      </c>
      <c r="H610" s="9">
        <f t="shared" si="9"/>
        <v>-3489.9328859060402</v>
      </c>
      <c r="I610" t="s">
        <v>4511</v>
      </c>
      <c r="J610" t="s">
        <v>4512</v>
      </c>
    </row>
    <row r="611" spans="1:10" x14ac:dyDescent="0.3">
      <c r="A611" s="2" t="s">
        <v>5323</v>
      </c>
      <c r="B611" s="2" t="s">
        <v>2238</v>
      </c>
      <c r="C611" s="2" t="s">
        <v>2239</v>
      </c>
      <c r="D611" s="3">
        <v>96000</v>
      </c>
      <c r="E611" s="3">
        <v>96000</v>
      </c>
      <c r="F611" s="2" t="s">
        <v>16</v>
      </c>
      <c r="G611">
        <v>1.35E-2</v>
      </c>
      <c r="H611" s="9">
        <f t="shared" si="9"/>
        <v>0</v>
      </c>
      <c r="I611" t="s">
        <v>2238</v>
      </c>
      <c r="J611" t="s">
        <v>2239</v>
      </c>
    </row>
    <row r="612" spans="1:10" x14ac:dyDescent="0.3">
      <c r="A612" s="2" t="s">
        <v>5328</v>
      </c>
      <c r="B612" s="2" t="s">
        <v>3759</v>
      </c>
      <c r="C612" s="2" t="s">
        <v>3760</v>
      </c>
      <c r="D612" s="3">
        <v>29880</v>
      </c>
      <c r="E612" s="3">
        <v>29880</v>
      </c>
      <c r="F612" s="2" t="s">
        <v>16</v>
      </c>
      <c r="G612">
        <v>7.45E-3</v>
      </c>
      <c r="H612" s="9">
        <f t="shared" si="9"/>
        <v>0</v>
      </c>
      <c r="I612" t="s">
        <v>797</v>
      </c>
      <c r="J612" t="s">
        <v>798</v>
      </c>
    </row>
    <row r="613" spans="1:10" x14ac:dyDescent="0.3">
      <c r="A613" s="2" t="s">
        <v>5333</v>
      </c>
      <c r="B613" s="2" t="s">
        <v>797</v>
      </c>
      <c r="C613" s="2" t="s">
        <v>798</v>
      </c>
      <c r="D613" s="3">
        <v>29880</v>
      </c>
      <c r="E613" s="3">
        <v>29880</v>
      </c>
      <c r="F613" s="2" t="s">
        <v>16</v>
      </c>
      <c r="G613">
        <v>7.45E-3</v>
      </c>
      <c r="H613" s="9">
        <f t="shared" si="9"/>
        <v>0</v>
      </c>
      <c r="I613" t="s">
        <v>797</v>
      </c>
      <c r="J613" t="s">
        <v>798</v>
      </c>
    </row>
    <row r="614" spans="1:10" x14ac:dyDescent="0.3">
      <c r="A614" s="2" t="s">
        <v>5338</v>
      </c>
      <c r="B614" s="2" t="s">
        <v>5347</v>
      </c>
      <c r="C614" s="2" t="s">
        <v>5348</v>
      </c>
      <c r="D614" s="3">
        <v>317952</v>
      </c>
      <c r="E614" s="3">
        <v>317952</v>
      </c>
      <c r="F614" s="2" t="s">
        <v>16</v>
      </c>
      <c r="G614">
        <v>4.4999999999999998E-2</v>
      </c>
      <c r="H614" s="9">
        <f t="shared" si="9"/>
        <v>0</v>
      </c>
      <c r="I614" t="s">
        <v>4791</v>
      </c>
      <c r="J614" t="s">
        <v>4792</v>
      </c>
    </row>
    <row r="615" spans="1:10" x14ac:dyDescent="0.3">
      <c r="A615" s="2" t="s">
        <v>5352</v>
      </c>
      <c r="B615" s="2" t="s">
        <v>5347</v>
      </c>
      <c r="C615" s="2" t="s">
        <v>5348</v>
      </c>
      <c r="D615" s="3">
        <v>443808</v>
      </c>
      <c r="E615" s="3">
        <v>0</v>
      </c>
      <c r="F615" s="2" t="s">
        <v>16</v>
      </c>
      <c r="G615">
        <v>4.4999999999999998E-2</v>
      </c>
      <c r="H615" s="9">
        <f t="shared" si="9"/>
        <v>0</v>
      </c>
      <c r="I615" t="s">
        <v>5357</v>
      </c>
      <c r="J615" t="s">
        <v>5358</v>
      </c>
    </row>
    <row r="616" spans="1:10" x14ac:dyDescent="0.3">
      <c r="A616" s="2" t="s">
        <v>5352</v>
      </c>
      <c r="B616" s="2" t="s">
        <v>5357</v>
      </c>
      <c r="C616" s="2" t="s">
        <v>5358</v>
      </c>
      <c r="D616" s="3">
        <v>443808</v>
      </c>
      <c r="E616" s="3">
        <v>443808</v>
      </c>
      <c r="F616" s="2" t="s">
        <v>16</v>
      </c>
      <c r="G616">
        <v>4.4999999999999998E-2</v>
      </c>
      <c r="H616" s="9">
        <f t="shared" si="9"/>
        <v>0</v>
      </c>
      <c r="I616" t="s">
        <v>5357</v>
      </c>
      <c r="J616" t="s">
        <v>5358</v>
      </c>
    </row>
    <row r="617" spans="1:10" x14ac:dyDescent="0.3">
      <c r="A617" s="2" t="s">
        <v>5361</v>
      </c>
      <c r="B617" s="2" t="s">
        <v>97</v>
      </c>
      <c r="C617" s="2" t="s">
        <v>98</v>
      </c>
      <c r="D617" s="3">
        <v>134400</v>
      </c>
      <c r="E617" s="3">
        <v>134400</v>
      </c>
      <c r="F617" s="2" t="s">
        <v>16</v>
      </c>
      <c r="G617">
        <v>5.1999999999999998E-2</v>
      </c>
      <c r="H617" s="9">
        <f t="shared" si="9"/>
        <v>0</v>
      </c>
      <c r="I617" t="s">
        <v>97</v>
      </c>
      <c r="J617" t="s">
        <v>98</v>
      </c>
    </row>
    <row r="618" spans="1:10" x14ac:dyDescent="0.3">
      <c r="A618" s="2" t="s">
        <v>5366</v>
      </c>
      <c r="B618" s="2" t="s">
        <v>4988</v>
      </c>
      <c r="C618" s="2" t="s">
        <v>4989</v>
      </c>
      <c r="D618" s="3">
        <v>20160</v>
      </c>
      <c r="E618" s="3">
        <v>20160</v>
      </c>
      <c r="F618" s="2" t="s">
        <v>16</v>
      </c>
      <c r="G618">
        <v>2.6600000000000002E-2</v>
      </c>
      <c r="H618" s="9">
        <f t="shared" si="9"/>
        <v>0</v>
      </c>
      <c r="I618" t="s">
        <v>4988</v>
      </c>
      <c r="J618" t="s">
        <v>4989</v>
      </c>
    </row>
    <row r="619" spans="1:10" x14ac:dyDescent="0.3">
      <c r="A619" s="2" t="s">
        <v>5371</v>
      </c>
      <c r="B619" s="2" t="s">
        <v>2840</v>
      </c>
      <c r="C619" s="2" t="s">
        <v>2841</v>
      </c>
      <c r="D619" s="3">
        <v>10080</v>
      </c>
      <c r="E619" s="3">
        <v>10080</v>
      </c>
      <c r="F619" s="2" t="s">
        <v>16</v>
      </c>
      <c r="G619">
        <v>2.6600000000000002E-2</v>
      </c>
      <c r="H619" s="9">
        <f t="shared" si="9"/>
        <v>0</v>
      </c>
      <c r="I619" t="s">
        <v>4988</v>
      </c>
      <c r="J619" t="s">
        <v>4989</v>
      </c>
    </row>
    <row r="620" spans="1:10" x14ac:dyDescent="0.3">
      <c r="A620" s="2" t="s">
        <v>5376</v>
      </c>
      <c r="B620" s="2" t="s">
        <v>5347</v>
      </c>
      <c r="C620" s="2" t="s">
        <v>5348</v>
      </c>
      <c r="D620" s="3">
        <v>46368</v>
      </c>
      <c r="E620" s="3">
        <v>46368</v>
      </c>
      <c r="F620" s="2" t="s">
        <v>16</v>
      </c>
      <c r="G620">
        <v>4.4999999999999998E-2</v>
      </c>
      <c r="H620" s="9">
        <f t="shared" si="9"/>
        <v>0</v>
      </c>
      <c r="I620" t="s">
        <v>5347</v>
      </c>
      <c r="J620" t="s">
        <v>5348</v>
      </c>
    </row>
    <row r="621" spans="1:10" x14ac:dyDescent="0.3">
      <c r="A621" s="2" t="s">
        <v>5376</v>
      </c>
      <c r="B621" s="2" t="s">
        <v>65</v>
      </c>
      <c r="C621" s="2" t="s">
        <v>66</v>
      </c>
      <c r="D621" s="5">
        <v>-298</v>
      </c>
      <c r="E621" s="5">
        <v>-298</v>
      </c>
      <c r="F621" s="2" t="s">
        <v>23</v>
      </c>
      <c r="G621">
        <v>4.4999999999999998E-2</v>
      </c>
      <c r="H621" s="9">
        <f t="shared" si="9"/>
        <v>-6622.2222222222226</v>
      </c>
      <c r="I621" t="s">
        <v>5347</v>
      </c>
      <c r="J621" t="s">
        <v>5348</v>
      </c>
    </row>
    <row r="622" spans="1:10" x14ac:dyDescent="0.3">
      <c r="A622" s="2" t="s">
        <v>5385</v>
      </c>
      <c r="B622" s="2" t="s">
        <v>91</v>
      </c>
      <c r="C622" s="2" t="s">
        <v>92</v>
      </c>
      <c r="D622" s="3">
        <v>54000</v>
      </c>
      <c r="E622" s="3">
        <v>54000</v>
      </c>
      <c r="F622" s="2" t="s">
        <v>16</v>
      </c>
      <c r="G622">
        <v>8.3000000000000001E-3</v>
      </c>
      <c r="H622" s="9">
        <f t="shared" si="9"/>
        <v>0</v>
      </c>
      <c r="I622" t="s">
        <v>91</v>
      </c>
      <c r="J622" t="s">
        <v>92</v>
      </c>
    </row>
    <row r="623" spans="1:10" x14ac:dyDescent="0.3">
      <c r="A623" s="2" t="s">
        <v>5390</v>
      </c>
      <c r="B623" s="2" t="s">
        <v>1093</v>
      </c>
      <c r="C623" s="2" t="s">
        <v>1094</v>
      </c>
      <c r="D623" s="3">
        <v>1983600</v>
      </c>
      <c r="E623" s="3">
        <v>1983600</v>
      </c>
      <c r="F623" s="2" t="s">
        <v>16</v>
      </c>
      <c r="G623">
        <v>1.2500000000000001E-2</v>
      </c>
      <c r="H623" s="9">
        <f t="shared" si="9"/>
        <v>0</v>
      </c>
      <c r="I623" t="s">
        <v>1093</v>
      </c>
      <c r="J623" t="s">
        <v>1094</v>
      </c>
    </row>
    <row r="624" spans="1:10" x14ac:dyDescent="0.3">
      <c r="A624" s="2" t="s">
        <v>5395</v>
      </c>
      <c r="B624" s="2" t="s">
        <v>59</v>
      </c>
      <c r="C624" s="2" t="s">
        <v>60</v>
      </c>
      <c r="D624" s="3">
        <v>2106540</v>
      </c>
      <c r="E624" s="3">
        <v>2106540</v>
      </c>
      <c r="F624" s="2" t="s">
        <v>16</v>
      </c>
      <c r="G624">
        <v>9.6999999999999986E-3</v>
      </c>
      <c r="H624" s="9">
        <f t="shared" si="9"/>
        <v>0</v>
      </c>
      <c r="I624" t="s">
        <v>59</v>
      </c>
      <c r="J624" t="s">
        <v>60</v>
      </c>
    </row>
    <row r="625" spans="1:10" x14ac:dyDescent="0.3">
      <c r="A625" s="2" t="s">
        <v>5400</v>
      </c>
      <c r="B625" s="2" t="s">
        <v>797</v>
      </c>
      <c r="C625" s="2" t="s">
        <v>798</v>
      </c>
      <c r="D625" s="3">
        <v>59760</v>
      </c>
      <c r="E625" s="3">
        <v>59760</v>
      </c>
      <c r="F625" s="2" t="s">
        <v>16</v>
      </c>
      <c r="G625">
        <v>7.45E-3</v>
      </c>
      <c r="H625" s="9">
        <f t="shared" si="9"/>
        <v>0</v>
      </c>
      <c r="I625" t="s">
        <v>797</v>
      </c>
      <c r="J625" t="s">
        <v>798</v>
      </c>
    </row>
    <row r="626" spans="1:10" x14ac:dyDescent="0.3">
      <c r="A626" s="2" t="s">
        <v>5405</v>
      </c>
      <c r="B626" s="2" t="s">
        <v>5357</v>
      </c>
      <c r="C626" s="2" t="s">
        <v>5358</v>
      </c>
      <c r="D626" s="3">
        <v>192096</v>
      </c>
      <c r="E626" s="3">
        <v>192096</v>
      </c>
      <c r="F626" s="2" t="s">
        <v>16</v>
      </c>
      <c r="G626">
        <v>4.4999999999999998E-2</v>
      </c>
      <c r="H626" s="9">
        <f t="shared" si="9"/>
        <v>0</v>
      </c>
      <c r="I626" t="s">
        <v>5357</v>
      </c>
      <c r="J626" t="s">
        <v>5358</v>
      </c>
    </row>
    <row r="627" spans="1:10" x14ac:dyDescent="0.3">
      <c r="A627" s="2" t="s">
        <v>5410</v>
      </c>
      <c r="B627" s="2" t="s">
        <v>1093</v>
      </c>
      <c r="C627" s="2" t="s">
        <v>1094</v>
      </c>
      <c r="D627" s="3">
        <v>1106640</v>
      </c>
      <c r="E627" s="3">
        <v>1106640</v>
      </c>
      <c r="F627" s="2" t="s">
        <v>16</v>
      </c>
      <c r="G627">
        <v>1.2500000000000001E-2</v>
      </c>
      <c r="H627" s="9">
        <f t="shared" si="9"/>
        <v>0</v>
      </c>
      <c r="I627" t="s">
        <v>1093</v>
      </c>
      <c r="J627" t="s">
        <v>1094</v>
      </c>
    </row>
    <row r="628" spans="1:10" x14ac:dyDescent="0.3">
      <c r="A628" s="2" t="s">
        <v>5415</v>
      </c>
      <c r="B628" s="2" t="s">
        <v>70</v>
      </c>
      <c r="C628" s="2" t="s">
        <v>71</v>
      </c>
      <c r="D628" s="3">
        <v>25344</v>
      </c>
      <c r="E628" s="3">
        <v>25344</v>
      </c>
      <c r="F628" s="2" t="s">
        <v>16</v>
      </c>
      <c r="G628">
        <v>3.5999999999999997E-2</v>
      </c>
      <c r="H628" s="9">
        <f t="shared" si="9"/>
        <v>0</v>
      </c>
      <c r="I628" t="s">
        <v>70</v>
      </c>
      <c r="J628" t="s">
        <v>71</v>
      </c>
    </row>
    <row r="629" spans="1:10" x14ac:dyDescent="0.3">
      <c r="A629" s="2" t="s">
        <v>5415</v>
      </c>
      <c r="B629" s="2" t="s">
        <v>65</v>
      </c>
      <c r="C629" s="2" t="s">
        <v>66</v>
      </c>
      <c r="D629" s="5">
        <v>-228</v>
      </c>
      <c r="E629" s="5">
        <v>-228</v>
      </c>
      <c r="F629" s="2" t="s">
        <v>23</v>
      </c>
      <c r="G629">
        <v>3.5999999999999997E-2</v>
      </c>
      <c r="H629" s="9">
        <f t="shared" si="9"/>
        <v>-6333.3333333333339</v>
      </c>
      <c r="I629" t="s">
        <v>70</v>
      </c>
      <c r="J629" t="s">
        <v>71</v>
      </c>
    </row>
    <row r="630" spans="1:10" x14ac:dyDescent="0.3">
      <c r="A630" s="2" t="s">
        <v>5424</v>
      </c>
      <c r="B630" s="2" t="s">
        <v>115</v>
      </c>
      <c r="C630" s="2" t="s">
        <v>116</v>
      </c>
      <c r="D630" s="3">
        <v>16380</v>
      </c>
      <c r="E630" s="3">
        <v>16380</v>
      </c>
      <c r="F630" s="2" t="s">
        <v>16</v>
      </c>
      <c r="G630">
        <v>2.1000000000000001E-2</v>
      </c>
      <c r="H630" s="9">
        <f t="shared" si="9"/>
        <v>0</v>
      </c>
      <c r="I630" t="s">
        <v>115</v>
      </c>
      <c r="J630" t="s">
        <v>116</v>
      </c>
    </row>
    <row r="631" spans="1:10" x14ac:dyDescent="0.3">
      <c r="A631" s="2" t="s">
        <v>5429</v>
      </c>
      <c r="B631" s="2" t="s">
        <v>947</v>
      </c>
      <c r="C631" s="2" t="s">
        <v>948</v>
      </c>
      <c r="D631" s="3">
        <v>71528</v>
      </c>
      <c r="E631" s="3">
        <v>71528</v>
      </c>
      <c r="F631" s="2" t="s">
        <v>16</v>
      </c>
      <c r="G631">
        <v>1.4E-2</v>
      </c>
      <c r="H631" s="9">
        <f t="shared" si="9"/>
        <v>0</v>
      </c>
      <c r="I631" t="s">
        <v>947</v>
      </c>
      <c r="J631" t="s">
        <v>948</v>
      </c>
    </row>
    <row r="632" spans="1:10" x14ac:dyDescent="0.3">
      <c r="A632" s="2" t="s">
        <v>5429</v>
      </c>
      <c r="B632" s="2" t="s">
        <v>65</v>
      </c>
      <c r="C632" s="2" t="s">
        <v>66</v>
      </c>
      <c r="D632" s="5">
        <v>-135</v>
      </c>
      <c r="E632" s="5">
        <v>-135</v>
      </c>
      <c r="F632" s="2" t="s">
        <v>23</v>
      </c>
      <c r="G632">
        <v>1.4E-2</v>
      </c>
      <c r="H632" s="9">
        <f t="shared" si="9"/>
        <v>-9642.8571428571431</v>
      </c>
      <c r="I632" t="s">
        <v>947</v>
      </c>
      <c r="J632" t="s">
        <v>948</v>
      </c>
    </row>
    <row r="633" spans="1:10" x14ac:dyDescent="0.3">
      <c r="A633" s="2" t="s">
        <v>5438</v>
      </c>
      <c r="B633" s="2" t="s">
        <v>97</v>
      </c>
      <c r="C633" s="2" t="s">
        <v>98</v>
      </c>
      <c r="D633" s="3">
        <v>345600</v>
      </c>
      <c r="E633" s="3">
        <v>345600</v>
      </c>
      <c r="F633" s="2" t="s">
        <v>16</v>
      </c>
      <c r="G633">
        <v>5.1999999999999998E-2</v>
      </c>
      <c r="H633" s="9">
        <f t="shared" si="9"/>
        <v>0</v>
      </c>
      <c r="I633" t="s">
        <v>97</v>
      </c>
      <c r="J633" t="s">
        <v>98</v>
      </c>
    </row>
    <row r="634" spans="1:10" x14ac:dyDescent="0.3">
      <c r="A634" s="2" t="s">
        <v>5443</v>
      </c>
      <c r="B634" s="2" t="s">
        <v>5357</v>
      </c>
      <c r="C634" s="2" t="s">
        <v>5358</v>
      </c>
      <c r="D634" s="3">
        <v>258336</v>
      </c>
      <c r="E634" s="3">
        <v>258336</v>
      </c>
      <c r="F634" s="2" t="s">
        <v>16</v>
      </c>
      <c r="G634">
        <v>4.4999999999999998E-2</v>
      </c>
      <c r="H634" s="9">
        <f t="shared" si="9"/>
        <v>0</v>
      </c>
      <c r="I634" t="s">
        <v>5357</v>
      </c>
      <c r="J634" t="s">
        <v>5358</v>
      </c>
    </row>
    <row r="635" spans="1:10" x14ac:dyDescent="0.3">
      <c r="A635" s="2" t="s">
        <v>5448</v>
      </c>
      <c r="B635" s="2" t="s">
        <v>91</v>
      </c>
      <c r="C635" s="2" t="s">
        <v>92</v>
      </c>
      <c r="D635" s="3">
        <v>1296000</v>
      </c>
      <c r="E635" s="3">
        <v>1296000</v>
      </c>
      <c r="F635" s="2" t="s">
        <v>16</v>
      </c>
      <c r="G635">
        <v>8.3000000000000001E-3</v>
      </c>
      <c r="H635" s="9">
        <f t="shared" si="9"/>
        <v>0</v>
      </c>
      <c r="I635" t="s">
        <v>308</v>
      </c>
      <c r="J635" t="s">
        <v>309</v>
      </c>
    </row>
    <row r="636" spans="1:10" x14ac:dyDescent="0.3">
      <c r="A636" s="2" t="s">
        <v>5457</v>
      </c>
      <c r="B636" s="2" t="s">
        <v>5357</v>
      </c>
      <c r="C636" s="2" t="s">
        <v>5358</v>
      </c>
      <c r="D636" s="3">
        <v>59616</v>
      </c>
      <c r="E636" s="3">
        <v>59616</v>
      </c>
      <c r="F636" s="2" t="s">
        <v>16</v>
      </c>
      <c r="G636">
        <v>4.4999999999999998E-2</v>
      </c>
      <c r="H636" s="9">
        <f t="shared" si="9"/>
        <v>0</v>
      </c>
      <c r="I636" t="s">
        <v>5357</v>
      </c>
      <c r="J636" t="s">
        <v>5358</v>
      </c>
    </row>
    <row r="637" spans="1:10" x14ac:dyDescent="0.3">
      <c r="A637" s="2" t="s">
        <v>5462</v>
      </c>
      <c r="B637" s="2" t="s">
        <v>5463</v>
      </c>
      <c r="C637" s="2" t="s">
        <v>5464</v>
      </c>
      <c r="D637" s="3">
        <v>1</v>
      </c>
      <c r="E637" s="3">
        <v>0</v>
      </c>
      <c r="F637" s="2" t="s">
        <v>16</v>
      </c>
      <c r="G637">
        <v>1.4E-2</v>
      </c>
      <c r="H637" s="9">
        <f t="shared" si="9"/>
        <v>0</v>
      </c>
      <c r="I637" t="s">
        <v>5463</v>
      </c>
      <c r="J637" t="s">
        <v>5464</v>
      </c>
    </row>
    <row r="638" spans="1:10" x14ac:dyDescent="0.3">
      <c r="A638" s="2" t="s">
        <v>5468</v>
      </c>
      <c r="B638" s="2" t="s">
        <v>5477</v>
      </c>
      <c r="C638" s="2" t="s">
        <v>5478</v>
      </c>
      <c r="D638" s="3">
        <v>317952</v>
      </c>
      <c r="E638" s="3">
        <v>317952</v>
      </c>
      <c r="F638" s="2" t="s">
        <v>16</v>
      </c>
      <c r="G638">
        <v>4.4999999999999998E-2</v>
      </c>
      <c r="H638" s="9">
        <f t="shared" si="9"/>
        <v>0</v>
      </c>
      <c r="I638" t="s">
        <v>5357</v>
      </c>
      <c r="J638" t="s">
        <v>5358</v>
      </c>
    </row>
    <row r="639" spans="1:10" x14ac:dyDescent="0.3">
      <c r="A639" s="2" t="s">
        <v>5482</v>
      </c>
      <c r="B639" s="2" t="s">
        <v>2238</v>
      </c>
      <c r="C639" s="2" t="s">
        <v>2239</v>
      </c>
      <c r="D639" s="3">
        <v>115200</v>
      </c>
      <c r="E639" s="3">
        <v>0</v>
      </c>
      <c r="F639" s="2" t="s">
        <v>16</v>
      </c>
      <c r="G639">
        <v>1.35E-2</v>
      </c>
      <c r="H639" s="9">
        <f t="shared" si="9"/>
        <v>0</v>
      </c>
      <c r="I639" t="s">
        <v>2238</v>
      </c>
      <c r="J639" t="s">
        <v>2239</v>
      </c>
    </row>
    <row r="640" spans="1:10" x14ac:dyDescent="0.3">
      <c r="A640" s="2" t="s">
        <v>5482</v>
      </c>
      <c r="B640" s="2" t="s">
        <v>86</v>
      </c>
      <c r="C640" s="2" t="s">
        <v>87</v>
      </c>
      <c r="D640" s="5">
        <v>-259</v>
      </c>
      <c r="E640" s="3">
        <v>0</v>
      </c>
      <c r="F640" s="2" t="s">
        <v>23</v>
      </c>
      <c r="G640">
        <v>1.35E-2</v>
      </c>
      <c r="H640" s="9">
        <f t="shared" si="9"/>
        <v>0</v>
      </c>
      <c r="I640" t="s">
        <v>2238</v>
      </c>
      <c r="J640" t="s">
        <v>2239</v>
      </c>
    </row>
    <row r="641" spans="1:10" x14ac:dyDescent="0.3">
      <c r="A641" s="2" t="s">
        <v>5491</v>
      </c>
      <c r="B641" s="2" t="s">
        <v>517</v>
      </c>
      <c r="C641" s="2" t="s">
        <v>518</v>
      </c>
      <c r="D641" s="3">
        <v>483840</v>
      </c>
      <c r="E641" s="3">
        <v>483840</v>
      </c>
      <c r="F641" s="2" t="s">
        <v>16</v>
      </c>
      <c r="G641">
        <v>2.6600000000000002E-2</v>
      </c>
      <c r="H641" s="9">
        <f t="shared" si="9"/>
        <v>0</v>
      </c>
      <c r="I641" t="s">
        <v>517</v>
      </c>
      <c r="J641" t="s">
        <v>518</v>
      </c>
    </row>
    <row r="642" spans="1:10" x14ac:dyDescent="0.3">
      <c r="A642" s="2" t="s">
        <v>5496</v>
      </c>
      <c r="B642" s="2" t="s">
        <v>59</v>
      </c>
      <c r="C642" s="2" t="s">
        <v>60</v>
      </c>
      <c r="D642" s="3">
        <v>2106540</v>
      </c>
      <c r="E642" s="3">
        <v>20433.437999999998</v>
      </c>
      <c r="F642" s="2" t="s">
        <v>23</v>
      </c>
      <c r="G642">
        <v>9.6999999999999986E-3</v>
      </c>
      <c r="H642" s="9">
        <f t="shared" si="9"/>
        <v>0</v>
      </c>
      <c r="I642" t="s">
        <v>59</v>
      </c>
      <c r="J642" t="s">
        <v>60</v>
      </c>
    </row>
    <row r="643" spans="1:10" x14ac:dyDescent="0.3">
      <c r="A643" s="2" t="s">
        <v>5501</v>
      </c>
      <c r="B643" s="2" t="s">
        <v>97</v>
      </c>
      <c r="C643" s="2" t="s">
        <v>98</v>
      </c>
      <c r="D643" s="3">
        <v>201600</v>
      </c>
      <c r="E643" s="3">
        <v>201600</v>
      </c>
      <c r="F643" s="2" t="s">
        <v>16</v>
      </c>
      <c r="G643">
        <v>5.1999999999999998E-2</v>
      </c>
      <c r="H643" s="9">
        <f t="shared" ref="H643:H706" si="10">IFERROR(IF(LEFT(B643,1)="F",E643/G643,0),0)</f>
        <v>0</v>
      </c>
      <c r="I643" t="s">
        <v>97</v>
      </c>
      <c r="J643" t="s">
        <v>98</v>
      </c>
    </row>
    <row r="644" spans="1:10" x14ac:dyDescent="0.3">
      <c r="A644" s="2" t="s">
        <v>5506</v>
      </c>
      <c r="B644" s="2" t="s">
        <v>5507</v>
      </c>
      <c r="C644" s="2" t="s">
        <v>5508</v>
      </c>
      <c r="D644" s="3">
        <v>115200</v>
      </c>
      <c r="E644" s="3">
        <v>115200</v>
      </c>
      <c r="F644" s="2" t="s">
        <v>16</v>
      </c>
      <c r="G644">
        <v>1.35E-2</v>
      </c>
      <c r="H644" s="9">
        <f t="shared" si="10"/>
        <v>0</v>
      </c>
      <c r="I644" t="s">
        <v>5507</v>
      </c>
      <c r="J644" t="s">
        <v>5508</v>
      </c>
    </row>
    <row r="645" spans="1:10" x14ac:dyDescent="0.3">
      <c r="A645" s="2" t="s">
        <v>5506</v>
      </c>
      <c r="B645" s="2" t="s">
        <v>86</v>
      </c>
      <c r="C645" s="2" t="s">
        <v>87</v>
      </c>
      <c r="D645" s="5">
        <v>-259</v>
      </c>
      <c r="E645" s="5">
        <v>-259</v>
      </c>
      <c r="F645" s="2" t="s">
        <v>23</v>
      </c>
      <c r="G645">
        <v>1.35E-2</v>
      </c>
      <c r="H645" s="9">
        <f t="shared" si="10"/>
        <v>-19185.185185185186</v>
      </c>
      <c r="I645" t="s">
        <v>5507</v>
      </c>
      <c r="J645" t="s">
        <v>5508</v>
      </c>
    </row>
    <row r="646" spans="1:10" x14ac:dyDescent="0.3">
      <c r="A646" s="2" t="s">
        <v>5516</v>
      </c>
      <c r="B646" s="2" t="s">
        <v>21</v>
      </c>
      <c r="C646" s="2" t="s">
        <v>22</v>
      </c>
      <c r="D646" s="5">
        <v>-71.760000000000005</v>
      </c>
      <c r="E646" s="3">
        <v>0</v>
      </c>
      <c r="F646" s="2" t="s">
        <v>23</v>
      </c>
      <c r="G646">
        <v>4.4999999999999998E-2</v>
      </c>
      <c r="H646" s="9">
        <f t="shared" si="10"/>
        <v>0</v>
      </c>
      <c r="I646" t="s">
        <v>5357</v>
      </c>
      <c r="J646" t="s">
        <v>5358</v>
      </c>
    </row>
    <row r="647" spans="1:10" x14ac:dyDescent="0.3">
      <c r="A647" s="2" t="s">
        <v>5516</v>
      </c>
      <c r="B647" s="2" t="s">
        <v>5477</v>
      </c>
      <c r="C647" s="2" t="s">
        <v>5478</v>
      </c>
      <c r="D647" s="3">
        <v>317952</v>
      </c>
      <c r="E647" s="3">
        <v>317952</v>
      </c>
      <c r="F647" s="2" t="s">
        <v>16</v>
      </c>
      <c r="G647">
        <v>4.4999999999999998E-2</v>
      </c>
      <c r="H647" s="9">
        <f t="shared" si="10"/>
        <v>0</v>
      </c>
      <c r="I647" t="s">
        <v>5357</v>
      </c>
      <c r="J647" t="s">
        <v>5358</v>
      </c>
    </row>
    <row r="648" spans="1:10" x14ac:dyDescent="0.3">
      <c r="A648" s="2" t="s">
        <v>5640</v>
      </c>
      <c r="B648" s="2" t="s">
        <v>5641</v>
      </c>
      <c r="C648" s="2" t="s">
        <v>5642</v>
      </c>
      <c r="D648" s="3">
        <v>981360</v>
      </c>
      <c r="E648" s="3">
        <v>981360</v>
      </c>
      <c r="F648" s="2" t="s">
        <v>16</v>
      </c>
      <c r="G648">
        <v>1.2500000000000001E-2</v>
      </c>
      <c r="H648" s="9">
        <f t="shared" si="10"/>
        <v>0</v>
      </c>
      <c r="I648" t="s">
        <v>5641</v>
      </c>
      <c r="J648" t="s">
        <v>5642</v>
      </c>
    </row>
    <row r="649" spans="1:10" x14ac:dyDescent="0.3">
      <c r="A649" s="2" t="s">
        <v>5640</v>
      </c>
      <c r="B649" s="2" t="s">
        <v>86</v>
      </c>
      <c r="C649" s="2" t="s">
        <v>87</v>
      </c>
      <c r="D649" s="5">
        <v>-522</v>
      </c>
      <c r="E649" s="5">
        <v>-522</v>
      </c>
      <c r="F649" s="2" t="s">
        <v>23</v>
      </c>
      <c r="G649">
        <v>1.2500000000000001E-2</v>
      </c>
      <c r="H649" s="9">
        <f t="shared" si="10"/>
        <v>-41760</v>
      </c>
      <c r="I649" t="s">
        <v>5641</v>
      </c>
      <c r="J649" t="s">
        <v>5642</v>
      </c>
    </row>
    <row r="650" spans="1:10" x14ac:dyDescent="0.3">
      <c r="A650" s="2" t="s">
        <v>5677</v>
      </c>
      <c r="B650" s="2" t="s">
        <v>97</v>
      </c>
      <c r="C650" s="2" t="s">
        <v>98</v>
      </c>
      <c r="D650" s="3">
        <v>38400</v>
      </c>
      <c r="E650" s="3">
        <v>38400</v>
      </c>
      <c r="F650" s="2" t="s">
        <v>16</v>
      </c>
      <c r="G650">
        <v>5.1999999999999998E-2</v>
      </c>
      <c r="H650" s="9">
        <f t="shared" si="10"/>
        <v>0</v>
      </c>
      <c r="I650" t="s">
        <v>1170</v>
      </c>
      <c r="J650" t="s">
        <v>1171</v>
      </c>
    </row>
    <row r="651" spans="1:10" x14ac:dyDescent="0.3">
      <c r="A651" s="2" t="s">
        <v>5677</v>
      </c>
      <c r="B651" s="2" t="s">
        <v>86</v>
      </c>
      <c r="C651" s="2" t="s">
        <v>87</v>
      </c>
      <c r="D651" s="5">
        <v>-498</v>
      </c>
      <c r="E651" s="5">
        <v>-498</v>
      </c>
      <c r="F651" s="2" t="s">
        <v>23</v>
      </c>
      <c r="G651">
        <v>5.1999999999999998E-2</v>
      </c>
      <c r="H651" s="9">
        <f t="shared" si="10"/>
        <v>-9576.923076923078</v>
      </c>
      <c r="I651" t="s">
        <v>1170</v>
      </c>
      <c r="J651" t="s">
        <v>1171</v>
      </c>
    </row>
    <row r="652" spans="1:10" x14ac:dyDescent="0.3">
      <c r="A652" s="2" t="s">
        <v>5702</v>
      </c>
      <c r="B652" s="2" t="s">
        <v>1327</v>
      </c>
      <c r="C652" s="2" t="s">
        <v>1328</v>
      </c>
      <c r="D652" s="3">
        <v>62640</v>
      </c>
      <c r="E652" s="3">
        <v>62640</v>
      </c>
      <c r="F652" s="2" t="s">
        <v>16</v>
      </c>
      <c r="G652">
        <v>1.2500000000000001E-2</v>
      </c>
      <c r="H652" s="9">
        <f t="shared" si="10"/>
        <v>0</v>
      </c>
      <c r="I652" t="s">
        <v>1327</v>
      </c>
      <c r="J652" t="s">
        <v>1328</v>
      </c>
    </row>
    <row r="653" spans="1:10" x14ac:dyDescent="0.3">
      <c r="A653" s="2" t="s">
        <v>5707</v>
      </c>
      <c r="B653" s="2" t="s">
        <v>2238</v>
      </c>
      <c r="C653" s="2" t="s">
        <v>2239</v>
      </c>
      <c r="D653" s="3">
        <v>24576</v>
      </c>
      <c r="E653" s="3">
        <v>24576</v>
      </c>
      <c r="F653" s="2" t="s">
        <v>16</v>
      </c>
      <c r="G653">
        <v>1.35E-2</v>
      </c>
      <c r="H653" s="9">
        <f t="shared" si="10"/>
        <v>0</v>
      </c>
      <c r="I653" t="s">
        <v>2238</v>
      </c>
      <c r="J653" t="s">
        <v>2239</v>
      </c>
    </row>
    <row r="654" spans="1:10" x14ac:dyDescent="0.3">
      <c r="A654" s="2" t="s">
        <v>5707</v>
      </c>
      <c r="B654" s="2" t="s">
        <v>86</v>
      </c>
      <c r="C654" s="2" t="s">
        <v>87</v>
      </c>
      <c r="D654" s="5">
        <v>-73</v>
      </c>
      <c r="E654" s="5">
        <v>-73</v>
      </c>
      <c r="F654" s="2" t="s">
        <v>23</v>
      </c>
      <c r="G654">
        <v>1.35E-2</v>
      </c>
      <c r="H654" s="9">
        <f t="shared" si="10"/>
        <v>-5407.4074074074078</v>
      </c>
      <c r="I654" t="s">
        <v>2238</v>
      </c>
      <c r="J654" t="s">
        <v>2239</v>
      </c>
    </row>
    <row r="655" spans="1:10" x14ac:dyDescent="0.3">
      <c r="A655" s="2" t="s">
        <v>5716</v>
      </c>
      <c r="B655" s="2" t="s">
        <v>76</v>
      </c>
      <c r="C655" s="2" t="s">
        <v>77</v>
      </c>
      <c r="D655" s="3">
        <v>304560</v>
      </c>
      <c r="E655" s="3">
        <v>304560</v>
      </c>
      <c r="F655" s="2" t="s">
        <v>16</v>
      </c>
      <c r="G655">
        <v>9.4000000000000004E-3</v>
      </c>
      <c r="H655" s="9">
        <f t="shared" si="10"/>
        <v>0</v>
      </c>
      <c r="I655" t="s">
        <v>3028</v>
      </c>
      <c r="J655" t="s">
        <v>3029</v>
      </c>
    </row>
    <row r="656" spans="1:10" x14ac:dyDescent="0.3">
      <c r="A656" s="2" t="s">
        <v>5716</v>
      </c>
      <c r="B656" s="2" t="s">
        <v>86</v>
      </c>
      <c r="C656" s="2" t="s">
        <v>87</v>
      </c>
      <c r="D656" s="5">
        <v>-238</v>
      </c>
      <c r="E656" s="5">
        <v>-238</v>
      </c>
      <c r="F656" s="2" t="s">
        <v>23</v>
      </c>
      <c r="G656">
        <v>9.4000000000000004E-3</v>
      </c>
      <c r="H656" s="9">
        <f t="shared" si="10"/>
        <v>-25319.148936170212</v>
      </c>
      <c r="I656" t="s">
        <v>3028</v>
      </c>
      <c r="J656" t="s">
        <v>3029</v>
      </c>
    </row>
    <row r="657" spans="1:10" x14ac:dyDescent="0.3">
      <c r="A657" s="2" t="s">
        <v>5741</v>
      </c>
      <c r="B657" s="2" t="s">
        <v>59</v>
      </c>
      <c r="C657" s="2" t="s">
        <v>60</v>
      </c>
      <c r="D657" s="3">
        <v>76140</v>
      </c>
      <c r="E657" s="3">
        <v>76140</v>
      </c>
      <c r="F657" s="2" t="s">
        <v>16</v>
      </c>
      <c r="G657">
        <v>9.6999999999999986E-3</v>
      </c>
      <c r="H657" s="9">
        <f t="shared" si="10"/>
        <v>0</v>
      </c>
      <c r="I657" t="s">
        <v>59</v>
      </c>
      <c r="J657" t="s">
        <v>60</v>
      </c>
    </row>
    <row r="658" spans="1:10" x14ac:dyDescent="0.3">
      <c r="A658" s="2" t="s">
        <v>5746</v>
      </c>
      <c r="B658" s="2" t="s">
        <v>517</v>
      </c>
      <c r="C658" s="2" t="s">
        <v>518</v>
      </c>
      <c r="D658" s="3">
        <v>393120</v>
      </c>
      <c r="E658" s="3">
        <v>393120</v>
      </c>
      <c r="F658" s="2" t="s">
        <v>16</v>
      </c>
      <c r="G658">
        <v>2.6600000000000002E-2</v>
      </c>
      <c r="H658" s="9">
        <f t="shared" si="10"/>
        <v>0</v>
      </c>
      <c r="I658" t="s">
        <v>517</v>
      </c>
      <c r="J658" t="s">
        <v>518</v>
      </c>
    </row>
    <row r="659" spans="1:10" x14ac:dyDescent="0.3">
      <c r="A659" s="2" t="s">
        <v>5751</v>
      </c>
      <c r="B659" s="2" t="s">
        <v>517</v>
      </c>
      <c r="C659" s="2" t="s">
        <v>518</v>
      </c>
      <c r="D659" s="3">
        <v>564480</v>
      </c>
      <c r="E659" s="3">
        <v>564480</v>
      </c>
      <c r="F659" s="2" t="s">
        <v>16</v>
      </c>
      <c r="G659">
        <v>2.6600000000000002E-2</v>
      </c>
      <c r="H659" s="9">
        <f t="shared" si="10"/>
        <v>0</v>
      </c>
      <c r="I659" t="s">
        <v>517</v>
      </c>
      <c r="J659" t="s">
        <v>518</v>
      </c>
    </row>
    <row r="660" spans="1:10" x14ac:dyDescent="0.3">
      <c r="A660" s="2" t="s">
        <v>5756</v>
      </c>
      <c r="B660" s="2" t="s">
        <v>5477</v>
      </c>
      <c r="C660" s="2" t="s">
        <v>5478</v>
      </c>
      <c r="D660" s="3">
        <v>19872</v>
      </c>
      <c r="E660" s="3">
        <v>19872</v>
      </c>
      <c r="F660" s="2" t="s">
        <v>16</v>
      </c>
      <c r="G660">
        <v>4.4999999999999998E-2</v>
      </c>
      <c r="H660" s="9">
        <f t="shared" si="10"/>
        <v>0</v>
      </c>
      <c r="I660" t="s">
        <v>5477</v>
      </c>
      <c r="J660" t="s">
        <v>5478</v>
      </c>
    </row>
    <row r="661" spans="1:10" x14ac:dyDescent="0.3">
      <c r="A661" s="2" t="s">
        <v>5777</v>
      </c>
      <c r="B661" s="2" t="s">
        <v>517</v>
      </c>
      <c r="C661" s="2" t="s">
        <v>518</v>
      </c>
      <c r="D661" s="3">
        <v>40320</v>
      </c>
      <c r="E661" s="3">
        <v>40320</v>
      </c>
      <c r="F661" s="2" t="s">
        <v>16</v>
      </c>
      <c r="G661">
        <v>2.6600000000000002E-2</v>
      </c>
      <c r="H661" s="9">
        <f t="shared" si="10"/>
        <v>0</v>
      </c>
      <c r="I661" t="s">
        <v>517</v>
      </c>
      <c r="J661" t="s">
        <v>518</v>
      </c>
    </row>
    <row r="662" spans="1:10" x14ac:dyDescent="0.3">
      <c r="A662" s="2" t="s">
        <v>5777</v>
      </c>
      <c r="B662" s="2" t="s">
        <v>65</v>
      </c>
      <c r="C662" s="2" t="s">
        <v>66</v>
      </c>
      <c r="D662" s="5">
        <v>-268</v>
      </c>
      <c r="E662" s="5">
        <v>-268</v>
      </c>
      <c r="F662" s="2" t="s">
        <v>23</v>
      </c>
      <c r="G662">
        <v>2.6600000000000002E-2</v>
      </c>
      <c r="H662" s="9">
        <f t="shared" si="10"/>
        <v>-10075.187969924811</v>
      </c>
      <c r="I662" t="s">
        <v>517</v>
      </c>
      <c r="J662" t="s">
        <v>518</v>
      </c>
    </row>
    <row r="663" spans="1:10" x14ac:dyDescent="0.3">
      <c r="A663" s="2" t="s">
        <v>5802</v>
      </c>
      <c r="B663" s="2" t="s">
        <v>4424</v>
      </c>
      <c r="C663" s="2" t="s">
        <v>4425</v>
      </c>
      <c r="D663" s="3">
        <v>65757</v>
      </c>
      <c r="E663" s="3">
        <v>65757</v>
      </c>
      <c r="F663" s="2" t="s">
        <v>16</v>
      </c>
      <c r="G663">
        <v>9.4000000000000004E-3</v>
      </c>
      <c r="H663" s="9">
        <f t="shared" si="10"/>
        <v>0</v>
      </c>
      <c r="I663" t="s">
        <v>4424</v>
      </c>
      <c r="J663" t="s">
        <v>4425</v>
      </c>
    </row>
    <row r="664" spans="1:10" x14ac:dyDescent="0.3">
      <c r="A664" s="2" t="s">
        <v>5802</v>
      </c>
      <c r="B664" s="2" t="s">
        <v>65</v>
      </c>
      <c r="C664" s="2" t="s">
        <v>66</v>
      </c>
      <c r="D664" s="5">
        <v>-141</v>
      </c>
      <c r="E664" s="5">
        <v>-141</v>
      </c>
      <c r="F664" s="2" t="s">
        <v>23</v>
      </c>
      <c r="G664">
        <v>9.4000000000000004E-3</v>
      </c>
      <c r="H664" s="9">
        <f t="shared" si="10"/>
        <v>-15000</v>
      </c>
      <c r="I664" t="s">
        <v>4424</v>
      </c>
      <c r="J664" t="s">
        <v>4425</v>
      </c>
    </row>
    <row r="665" spans="1:10" x14ac:dyDescent="0.3">
      <c r="A665" s="2" t="s">
        <v>5827</v>
      </c>
      <c r="B665" s="2" t="s">
        <v>91</v>
      </c>
      <c r="C665" s="2" t="s">
        <v>92</v>
      </c>
      <c r="D665" s="3">
        <v>108000</v>
      </c>
      <c r="E665" s="3">
        <v>108000</v>
      </c>
      <c r="F665" s="2" t="s">
        <v>16</v>
      </c>
      <c r="G665">
        <v>8.3000000000000001E-3</v>
      </c>
      <c r="H665" s="9">
        <f t="shared" si="10"/>
        <v>0</v>
      </c>
      <c r="I665" t="s">
        <v>91</v>
      </c>
      <c r="J665" t="s">
        <v>92</v>
      </c>
    </row>
    <row r="666" spans="1:10" x14ac:dyDescent="0.3">
      <c r="A666" s="2" t="s">
        <v>5848</v>
      </c>
      <c r="B666" s="2" t="s">
        <v>76</v>
      </c>
      <c r="C666" s="2" t="s">
        <v>77</v>
      </c>
      <c r="D666" s="3">
        <v>228420</v>
      </c>
      <c r="E666" s="3">
        <v>228420</v>
      </c>
      <c r="F666" s="2" t="s">
        <v>16</v>
      </c>
      <c r="G666">
        <v>9.4000000000000004E-3</v>
      </c>
      <c r="H666" s="9">
        <f t="shared" si="10"/>
        <v>0</v>
      </c>
      <c r="I666" t="s">
        <v>3028</v>
      </c>
      <c r="J666" t="s">
        <v>3029</v>
      </c>
    </row>
    <row r="667" spans="1:10" x14ac:dyDescent="0.3">
      <c r="A667" s="2" t="s">
        <v>5848</v>
      </c>
      <c r="B667" s="2" t="s">
        <v>65</v>
      </c>
      <c r="C667" s="2" t="s">
        <v>66</v>
      </c>
      <c r="D667" s="5">
        <v>-1192</v>
      </c>
      <c r="E667" s="5">
        <v>-1192</v>
      </c>
      <c r="F667" s="2" t="s">
        <v>23</v>
      </c>
      <c r="G667">
        <v>9.4000000000000004E-3</v>
      </c>
      <c r="H667" s="9">
        <f t="shared" si="10"/>
        <v>-126808.51063829787</v>
      </c>
      <c r="I667" t="s">
        <v>3028</v>
      </c>
      <c r="J667" t="s">
        <v>3029</v>
      </c>
    </row>
    <row r="668" spans="1:10" x14ac:dyDescent="0.3">
      <c r="A668" s="2" t="s">
        <v>5873</v>
      </c>
      <c r="B668" s="2" t="s">
        <v>76</v>
      </c>
      <c r="C668" s="2" t="s">
        <v>77</v>
      </c>
      <c r="D668" s="3">
        <v>177660</v>
      </c>
      <c r="E668" s="3">
        <v>177660</v>
      </c>
      <c r="F668" s="2" t="s">
        <v>16</v>
      </c>
      <c r="G668">
        <v>9.4000000000000004E-3</v>
      </c>
      <c r="H668" s="9">
        <f t="shared" si="10"/>
        <v>0</v>
      </c>
      <c r="I668" t="s">
        <v>76</v>
      </c>
      <c r="J668" t="s">
        <v>77</v>
      </c>
    </row>
    <row r="669" spans="1:10" x14ac:dyDescent="0.3">
      <c r="A669" s="2" t="s">
        <v>5873</v>
      </c>
      <c r="B669" s="2" t="s">
        <v>86</v>
      </c>
      <c r="C669" s="2" t="s">
        <v>87</v>
      </c>
      <c r="D669" s="5">
        <v>-238</v>
      </c>
      <c r="E669" s="3">
        <v>0</v>
      </c>
      <c r="F669" s="2" t="s">
        <v>23</v>
      </c>
      <c r="G669">
        <v>9.4000000000000004E-3</v>
      </c>
      <c r="H669" s="9">
        <f t="shared" si="10"/>
        <v>0</v>
      </c>
      <c r="I669" t="s">
        <v>76</v>
      </c>
      <c r="J669" t="s">
        <v>77</v>
      </c>
    </row>
    <row r="670" spans="1:10" x14ac:dyDescent="0.3">
      <c r="A670" s="2" t="s">
        <v>5898</v>
      </c>
      <c r="B670" s="2" t="s">
        <v>1245</v>
      </c>
      <c r="C670" s="2" t="s">
        <v>1246</v>
      </c>
      <c r="D670" s="3">
        <v>50400</v>
      </c>
      <c r="E670" s="3">
        <v>50400</v>
      </c>
      <c r="F670" s="2" t="s">
        <v>16</v>
      </c>
      <c r="G670">
        <v>2.93E-2</v>
      </c>
      <c r="H670" s="9">
        <f t="shared" si="10"/>
        <v>0</v>
      </c>
      <c r="I670" t="s">
        <v>1245</v>
      </c>
      <c r="J670" t="s">
        <v>1246</v>
      </c>
    </row>
    <row r="671" spans="1:10" x14ac:dyDescent="0.3">
      <c r="A671" s="2" t="s">
        <v>5915</v>
      </c>
      <c r="B671" s="2" t="s">
        <v>3028</v>
      </c>
      <c r="C671" s="2" t="s">
        <v>3029</v>
      </c>
      <c r="D671" s="3">
        <v>101520</v>
      </c>
      <c r="E671" s="3">
        <v>101520</v>
      </c>
      <c r="F671" s="2" t="s">
        <v>16</v>
      </c>
      <c r="G671">
        <v>9.4000000000000004E-3</v>
      </c>
      <c r="H671" s="9">
        <f t="shared" si="10"/>
        <v>0</v>
      </c>
      <c r="I671" t="s">
        <v>3028</v>
      </c>
      <c r="J671" t="s">
        <v>3029</v>
      </c>
    </row>
    <row r="672" spans="1:10" x14ac:dyDescent="0.3">
      <c r="A672" s="2" t="s">
        <v>5936</v>
      </c>
      <c r="B672" s="2" t="s">
        <v>5477</v>
      </c>
      <c r="C672" s="2" t="s">
        <v>5478</v>
      </c>
      <c r="D672" s="3">
        <v>46368</v>
      </c>
      <c r="E672" s="3">
        <v>46368</v>
      </c>
      <c r="F672" s="2" t="s">
        <v>16</v>
      </c>
      <c r="G672">
        <v>4.4999999999999998E-2</v>
      </c>
      <c r="H672" s="9">
        <f t="shared" si="10"/>
        <v>0</v>
      </c>
      <c r="I672" t="s">
        <v>5477</v>
      </c>
      <c r="J672" t="s">
        <v>5478</v>
      </c>
    </row>
    <row r="673" spans="1:10" x14ac:dyDescent="0.3">
      <c r="A673" s="2" t="s">
        <v>5941</v>
      </c>
      <c r="B673" s="2" t="s">
        <v>517</v>
      </c>
      <c r="C673" s="2" t="s">
        <v>518</v>
      </c>
      <c r="D673" s="3">
        <v>453600</v>
      </c>
      <c r="E673" s="3">
        <v>453600</v>
      </c>
      <c r="F673" s="2" t="s">
        <v>16</v>
      </c>
      <c r="G673">
        <v>2.6600000000000002E-2</v>
      </c>
      <c r="H673" s="9">
        <f t="shared" si="10"/>
        <v>0</v>
      </c>
      <c r="I673" t="s">
        <v>517</v>
      </c>
      <c r="J673" t="s">
        <v>518</v>
      </c>
    </row>
    <row r="674" spans="1:10" x14ac:dyDescent="0.3">
      <c r="A674" s="2" t="s">
        <v>5946</v>
      </c>
      <c r="B674" s="2" t="s">
        <v>76</v>
      </c>
      <c r="C674" s="2" t="s">
        <v>77</v>
      </c>
      <c r="D674" s="3">
        <v>355320</v>
      </c>
      <c r="E674" s="3">
        <v>355320</v>
      </c>
      <c r="F674" s="2" t="s">
        <v>16</v>
      </c>
      <c r="G674">
        <v>9.4000000000000004E-3</v>
      </c>
      <c r="H674" s="9">
        <f t="shared" si="10"/>
        <v>0</v>
      </c>
      <c r="I674" t="s">
        <v>3028</v>
      </c>
      <c r="J674" t="s">
        <v>3029</v>
      </c>
    </row>
    <row r="675" spans="1:10" x14ac:dyDescent="0.3">
      <c r="A675" s="2" t="s">
        <v>5946</v>
      </c>
      <c r="B675" s="2" t="s">
        <v>86</v>
      </c>
      <c r="C675" s="2" t="s">
        <v>87</v>
      </c>
      <c r="D675" s="5">
        <v>-238</v>
      </c>
      <c r="E675" s="5">
        <v>-238</v>
      </c>
      <c r="F675" s="2" t="s">
        <v>23</v>
      </c>
      <c r="G675">
        <v>9.4000000000000004E-3</v>
      </c>
      <c r="H675" s="9">
        <f t="shared" si="10"/>
        <v>-25319.148936170212</v>
      </c>
      <c r="I675" t="s">
        <v>3028</v>
      </c>
      <c r="J675" t="s">
        <v>3029</v>
      </c>
    </row>
    <row r="676" spans="1:10" x14ac:dyDescent="0.3">
      <c r="A676" s="2" t="s">
        <v>5971</v>
      </c>
      <c r="B676" s="2" t="s">
        <v>517</v>
      </c>
      <c r="C676" s="2" t="s">
        <v>518</v>
      </c>
      <c r="D676" s="3">
        <v>493920</v>
      </c>
      <c r="E676" s="3">
        <v>493920</v>
      </c>
      <c r="F676" s="2" t="s">
        <v>16</v>
      </c>
      <c r="G676">
        <v>2.6600000000000002E-2</v>
      </c>
      <c r="H676" s="9">
        <f t="shared" si="10"/>
        <v>0</v>
      </c>
      <c r="I676" t="s">
        <v>517</v>
      </c>
      <c r="J676" t="s">
        <v>518</v>
      </c>
    </row>
    <row r="677" spans="1:10" x14ac:dyDescent="0.3">
      <c r="A677" s="2" t="s">
        <v>5976</v>
      </c>
      <c r="B677" s="2" t="s">
        <v>5477</v>
      </c>
      <c r="C677" s="2" t="s">
        <v>5478</v>
      </c>
      <c r="D677" s="3">
        <v>13245</v>
      </c>
      <c r="E677" s="3">
        <v>13248</v>
      </c>
      <c r="F677" s="2" t="s">
        <v>16</v>
      </c>
      <c r="G677">
        <v>0</v>
      </c>
      <c r="H677" s="9">
        <f t="shared" si="10"/>
        <v>0</v>
      </c>
      <c r="I677" t="s">
        <v>21</v>
      </c>
      <c r="J677" t="s">
        <v>22</v>
      </c>
    </row>
    <row r="678" spans="1:10" x14ac:dyDescent="0.3">
      <c r="A678" s="2" t="s">
        <v>5980</v>
      </c>
      <c r="B678" s="2" t="s">
        <v>2086</v>
      </c>
      <c r="C678" s="2" t="s">
        <v>2087</v>
      </c>
      <c r="D678" s="3">
        <v>21120</v>
      </c>
      <c r="E678" s="3">
        <v>21120</v>
      </c>
      <c r="F678" s="2" t="s">
        <v>16</v>
      </c>
      <c r="G678">
        <v>3.5999999999999997E-2</v>
      </c>
      <c r="H678" s="9">
        <f t="shared" si="10"/>
        <v>0</v>
      </c>
      <c r="I678" t="s">
        <v>2086</v>
      </c>
      <c r="J678" t="s">
        <v>2087</v>
      </c>
    </row>
    <row r="679" spans="1:10" x14ac:dyDescent="0.3">
      <c r="A679" s="2" t="s">
        <v>5985</v>
      </c>
      <c r="B679" s="2" t="s">
        <v>5986</v>
      </c>
      <c r="C679" s="2" t="s">
        <v>5987</v>
      </c>
      <c r="D679" s="3">
        <v>19872</v>
      </c>
      <c r="E679" s="3">
        <v>19872</v>
      </c>
      <c r="F679" s="2" t="s">
        <v>16</v>
      </c>
      <c r="G679">
        <v>5.0099999999999999E-2</v>
      </c>
      <c r="H679" s="9">
        <f t="shared" si="10"/>
        <v>0</v>
      </c>
      <c r="I679" t="s">
        <v>5986</v>
      </c>
      <c r="J679" t="s">
        <v>5987</v>
      </c>
    </row>
    <row r="680" spans="1:10" x14ac:dyDescent="0.3">
      <c r="A680" s="2" t="s">
        <v>5991</v>
      </c>
      <c r="B680" s="2" t="s">
        <v>3142</v>
      </c>
      <c r="C680" s="2" t="s">
        <v>3143</v>
      </c>
      <c r="D680" s="3">
        <v>158976</v>
      </c>
      <c r="E680" s="3">
        <v>158976</v>
      </c>
      <c r="F680" s="2" t="s">
        <v>16</v>
      </c>
      <c r="G680">
        <v>5.0099999999999999E-2</v>
      </c>
      <c r="H680" s="9">
        <f t="shared" si="10"/>
        <v>0</v>
      </c>
      <c r="I680" t="s">
        <v>5986</v>
      </c>
      <c r="J680" t="s">
        <v>5987</v>
      </c>
    </row>
    <row r="681" spans="1:10" x14ac:dyDescent="0.3">
      <c r="A681" s="2" t="s">
        <v>5996</v>
      </c>
      <c r="B681" s="2" t="s">
        <v>97</v>
      </c>
      <c r="C681" s="2" t="s">
        <v>98</v>
      </c>
      <c r="D681" s="3">
        <v>307200</v>
      </c>
      <c r="E681" s="3">
        <v>307200</v>
      </c>
      <c r="F681" s="2" t="s">
        <v>16</v>
      </c>
      <c r="G681">
        <v>5.1999999999999998E-2</v>
      </c>
      <c r="H681" s="9">
        <f t="shared" si="10"/>
        <v>0</v>
      </c>
      <c r="I681" t="s">
        <v>97</v>
      </c>
      <c r="J681" t="s">
        <v>98</v>
      </c>
    </row>
    <row r="682" spans="1:10" x14ac:dyDescent="0.3">
      <c r="A682" s="2" t="s">
        <v>6083</v>
      </c>
      <c r="B682" s="2" t="s">
        <v>6084</v>
      </c>
      <c r="C682" s="2" t="s">
        <v>6085</v>
      </c>
      <c r="D682" s="3">
        <v>13248</v>
      </c>
      <c r="E682" s="3">
        <v>13248</v>
      </c>
      <c r="F682" s="2" t="s">
        <v>16</v>
      </c>
      <c r="G682">
        <v>4.7500000000000001E-2</v>
      </c>
      <c r="H682" s="9">
        <f t="shared" si="10"/>
        <v>0</v>
      </c>
      <c r="I682" t="s">
        <v>6084</v>
      </c>
      <c r="J682" t="s">
        <v>6085</v>
      </c>
    </row>
    <row r="683" spans="1:10" x14ac:dyDescent="0.3">
      <c r="A683" s="2" t="s">
        <v>6083</v>
      </c>
      <c r="B683" s="2" t="s">
        <v>65</v>
      </c>
      <c r="C683" s="2" t="s">
        <v>66</v>
      </c>
      <c r="D683" s="5">
        <v>-298</v>
      </c>
      <c r="E683" s="5">
        <v>-298</v>
      </c>
      <c r="F683" s="2" t="s">
        <v>23</v>
      </c>
      <c r="G683">
        <v>4.7500000000000001E-2</v>
      </c>
      <c r="H683" s="9">
        <f t="shared" si="10"/>
        <v>-6273.6842105263158</v>
      </c>
      <c r="I683" t="s">
        <v>6084</v>
      </c>
      <c r="J683" t="s">
        <v>6085</v>
      </c>
    </row>
    <row r="684" spans="1:10" x14ac:dyDescent="0.3">
      <c r="A684" s="2" t="s">
        <v>6109</v>
      </c>
      <c r="B684" s="2" t="s">
        <v>97</v>
      </c>
      <c r="C684" s="2" t="s">
        <v>98</v>
      </c>
      <c r="D684" s="3">
        <v>81600</v>
      </c>
      <c r="E684" s="3">
        <v>81600</v>
      </c>
      <c r="F684" s="2" t="s">
        <v>16</v>
      </c>
      <c r="G684">
        <v>5.1999999999999998E-2</v>
      </c>
      <c r="H684" s="9">
        <f t="shared" si="10"/>
        <v>0</v>
      </c>
      <c r="I684" t="s">
        <v>1170</v>
      </c>
      <c r="J684" t="s">
        <v>1171</v>
      </c>
    </row>
    <row r="685" spans="1:10" x14ac:dyDescent="0.3">
      <c r="A685" s="2" t="s">
        <v>6109</v>
      </c>
      <c r="B685" s="2" t="s">
        <v>65</v>
      </c>
      <c r="C685" s="2" t="s">
        <v>66</v>
      </c>
      <c r="D685" s="5">
        <v>-249</v>
      </c>
      <c r="E685" s="5">
        <v>-249</v>
      </c>
      <c r="F685" s="2" t="s">
        <v>23</v>
      </c>
      <c r="G685">
        <v>5.1999999999999998E-2</v>
      </c>
      <c r="H685" s="9">
        <f t="shared" si="10"/>
        <v>-4788.461538461539</v>
      </c>
      <c r="I685" t="s">
        <v>1170</v>
      </c>
      <c r="J685" t="s">
        <v>1171</v>
      </c>
    </row>
    <row r="686" spans="1:10" x14ac:dyDescent="0.3">
      <c r="A686" s="2" t="s">
        <v>6134</v>
      </c>
      <c r="B686" s="2" t="s">
        <v>3608</v>
      </c>
      <c r="C686" s="2" t="s">
        <v>3609</v>
      </c>
      <c r="D686" s="3">
        <v>13248</v>
      </c>
      <c r="E686" s="3">
        <v>13248</v>
      </c>
      <c r="F686" s="2" t="s">
        <v>16</v>
      </c>
      <c r="G686">
        <v>5.0099999999999999E-2</v>
      </c>
      <c r="H686" s="9">
        <f t="shared" si="10"/>
        <v>0</v>
      </c>
      <c r="I686" t="s">
        <v>3608</v>
      </c>
      <c r="J686" t="s">
        <v>3609</v>
      </c>
    </row>
    <row r="687" spans="1:10" x14ac:dyDescent="0.3">
      <c r="A687" s="2" t="s">
        <v>6155</v>
      </c>
      <c r="B687" s="2" t="s">
        <v>6156</v>
      </c>
      <c r="C687" s="2" t="s">
        <v>6157</v>
      </c>
      <c r="D687" s="3">
        <v>808128</v>
      </c>
      <c r="E687" s="3">
        <v>808128</v>
      </c>
      <c r="F687" s="2" t="s">
        <v>16</v>
      </c>
      <c r="G687">
        <v>4.7500000000000001E-2</v>
      </c>
      <c r="H687" s="9">
        <f t="shared" si="10"/>
        <v>0</v>
      </c>
      <c r="I687" t="s">
        <v>6156</v>
      </c>
      <c r="J687" t="s">
        <v>6157</v>
      </c>
    </row>
    <row r="688" spans="1:10" x14ac:dyDescent="0.3">
      <c r="A688" s="2" t="s">
        <v>6155</v>
      </c>
      <c r="B688" s="2" t="s">
        <v>21</v>
      </c>
      <c r="C688" s="2" t="s">
        <v>22</v>
      </c>
      <c r="D688" s="5">
        <v>-298</v>
      </c>
      <c r="E688" s="5">
        <v>-298</v>
      </c>
      <c r="F688" s="2" t="s">
        <v>23</v>
      </c>
      <c r="G688">
        <v>4.7500000000000001E-2</v>
      </c>
      <c r="H688" s="9">
        <f t="shared" si="10"/>
        <v>-6273.6842105263158</v>
      </c>
      <c r="I688" t="s">
        <v>6156</v>
      </c>
      <c r="J688" t="s">
        <v>6157</v>
      </c>
    </row>
    <row r="689" spans="1:10" x14ac:dyDescent="0.3">
      <c r="A689" s="2" t="s">
        <v>6181</v>
      </c>
      <c r="B689" s="2" t="s">
        <v>6182</v>
      </c>
      <c r="C689" s="2" t="s">
        <v>6183</v>
      </c>
      <c r="D689" s="3">
        <v>179280</v>
      </c>
      <c r="E689" s="3">
        <v>179280</v>
      </c>
      <c r="F689" s="2" t="s">
        <v>16</v>
      </c>
      <c r="G689">
        <v>7.45E-3</v>
      </c>
      <c r="H689" s="9">
        <f t="shared" si="10"/>
        <v>0</v>
      </c>
      <c r="I689" t="s">
        <v>4511</v>
      </c>
      <c r="J689" t="s">
        <v>4512</v>
      </c>
    </row>
    <row r="690" spans="1:10" x14ac:dyDescent="0.3">
      <c r="A690" s="2" t="s">
        <v>6187</v>
      </c>
      <c r="B690" s="2" t="s">
        <v>97</v>
      </c>
      <c r="C690" s="2" t="s">
        <v>98</v>
      </c>
      <c r="D690" s="3">
        <v>297600</v>
      </c>
      <c r="E690" s="3">
        <v>297600</v>
      </c>
      <c r="F690" s="2" t="s">
        <v>16</v>
      </c>
      <c r="G690">
        <v>5.1999999999999998E-2</v>
      </c>
      <c r="H690" s="9">
        <f t="shared" si="10"/>
        <v>0</v>
      </c>
      <c r="I690" t="s">
        <v>97</v>
      </c>
      <c r="J690" t="s">
        <v>98</v>
      </c>
    </row>
    <row r="691" spans="1:10" x14ac:dyDescent="0.3">
      <c r="A691" s="2" t="s">
        <v>6192</v>
      </c>
      <c r="B691" s="2" t="s">
        <v>1027</v>
      </c>
      <c r="C691" s="2" t="s">
        <v>1028</v>
      </c>
      <c r="D691" s="3">
        <v>509760</v>
      </c>
      <c r="E691" s="3">
        <v>509760</v>
      </c>
      <c r="F691" s="2" t="s">
        <v>16</v>
      </c>
      <c r="G691">
        <v>3.0499999999999999E-2</v>
      </c>
      <c r="H691" s="9">
        <f t="shared" si="10"/>
        <v>0</v>
      </c>
      <c r="I691" t="s">
        <v>1027</v>
      </c>
      <c r="J691" t="s">
        <v>1028</v>
      </c>
    </row>
    <row r="692" spans="1:10" x14ac:dyDescent="0.3">
      <c r="A692" s="2" t="s">
        <v>6213</v>
      </c>
      <c r="B692" s="2" t="s">
        <v>97</v>
      </c>
      <c r="C692" s="2" t="s">
        <v>98</v>
      </c>
      <c r="D692" s="3">
        <v>52800</v>
      </c>
      <c r="E692" s="3">
        <v>52800</v>
      </c>
      <c r="F692" s="2" t="s">
        <v>16</v>
      </c>
      <c r="G692">
        <v>5.1999999999999998E-2</v>
      </c>
      <c r="H692" s="9">
        <f t="shared" si="10"/>
        <v>0</v>
      </c>
      <c r="I692" t="s">
        <v>1170</v>
      </c>
      <c r="J692" t="s">
        <v>1171</v>
      </c>
    </row>
    <row r="693" spans="1:10" x14ac:dyDescent="0.3">
      <c r="A693" s="2" t="s">
        <v>6213</v>
      </c>
      <c r="B693" s="2" t="s">
        <v>65</v>
      </c>
      <c r="C693" s="2" t="s">
        <v>66</v>
      </c>
      <c r="D693" s="5">
        <v>-248</v>
      </c>
      <c r="E693" s="5">
        <v>-248</v>
      </c>
      <c r="F693" s="2" t="s">
        <v>23</v>
      </c>
      <c r="G693">
        <v>5.1999999999999998E-2</v>
      </c>
      <c r="H693" s="9">
        <f t="shared" si="10"/>
        <v>-4769.2307692307695</v>
      </c>
      <c r="I693" t="s">
        <v>1170</v>
      </c>
      <c r="J693" t="s">
        <v>1171</v>
      </c>
    </row>
    <row r="694" spans="1:10" x14ac:dyDescent="0.3">
      <c r="A694" s="2" t="s">
        <v>6238</v>
      </c>
      <c r="B694" s="2" t="s">
        <v>6156</v>
      </c>
      <c r="C694" s="2" t="s">
        <v>6157</v>
      </c>
      <c r="D694" s="3">
        <v>814752</v>
      </c>
      <c r="E694" s="3">
        <v>814752</v>
      </c>
      <c r="F694" s="2" t="s">
        <v>16</v>
      </c>
      <c r="G694">
        <v>4.7500000000000001E-2</v>
      </c>
      <c r="H694" s="9">
        <f t="shared" si="10"/>
        <v>0</v>
      </c>
      <c r="I694" t="s">
        <v>6156</v>
      </c>
      <c r="J694" t="s">
        <v>6157</v>
      </c>
    </row>
    <row r="695" spans="1:10" x14ac:dyDescent="0.3">
      <c r="A695" s="2" t="s">
        <v>6243</v>
      </c>
      <c r="B695" s="2" t="s">
        <v>6244</v>
      </c>
      <c r="C695" s="2" t="s">
        <v>6245</v>
      </c>
      <c r="D695" s="3">
        <v>13248</v>
      </c>
      <c r="E695" s="3">
        <v>13248</v>
      </c>
      <c r="F695" s="2" t="s">
        <v>16</v>
      </c>
      <c r="G695">
        <v>5.0099999999999999E-2</v>
      </c>
      <c r="H695" s="9">
        <f t="shared" si="10"/>
        <v>0</v>
      </c>
      <c r="I695" t="s">
        <v>6244</v>
      </c>
      <c r="J695" t="s">
        <v>6245</v>
      </c>
    </row>
    <row r="696" spans="1:10" x14ac:dyDescent="0.3">
      <c r="A696" s="2" t="s">
        <v>6249</v>
      </c>
      <c r="B696" s="2" t="s">
        <v>6250</v>
      </c>
      <c r="C696" s="2" t="s">
        <v>6251</v>
      </c>
      <c r="D696" s="3">
        <v>1500</v>
      </c>
      <c r="E696" s="3">
        <v>1500</v>
      </c>
      <c r="F696" s="2" t="s">
        <v>16</v>
      </c>
      <c r="G696">
        <v>1.67E-2</v>
      </c>
      <c r="H696" s="9">
        <f t="shared" si="10"/>
        <v>0</v>
      </c>
      <c r="I696" t="s">
        <v>6250</v>
      </c>
      <c r="J696" t="s">
        <v>6251</v>
      </c>
    </row>
    <row r="697" spans="1:10" x14ac:dyDescent="0.3">
      <c r="A697" s="2" t="s">
        <v>6263</v>
      </c>
      <c r="B697" s="2" t="s">
        <v>693</v>
      </c>
      <c r="C697" s="2" t="s">
        <v>694</v>
      </c>
      <c r="D697" s="3">
        <v>1500</v>
      </c>
      <c r="E697" s="3">
        <v>1500</v>
      </c>
      <c r="F697" s="2" t="s">
        <v>16</v>
      </c>
      <c r="G697">
        <v>2.1000000000000001E-2</v>
      </c>
      <c r="H697" s="9">
        <f t="shared" si="10"/>
        <v>0</v>
      </c>
      <c r="I697" t="s">
        <v>693</v>
      </c>
      <c r="J697" t="s">
        <v>694</v>
      </c>
    </row>
    <row r="698" spans="1:10" x14ac:dyDescent="0.3">
      <c r="A698" s="2" t="s">
        <v>6268</v>
      </c>
      <c r="B698" s="2" t="s">
        <v>6244</v>
      </c>
      <c r="C698" s="2" t="s">
        <v>6245</v>
      </c>
      <c r="D698" s="3">
        <v>13248</v>
      </c>
      <c r="E698" s="3">
        <v>13248</v>
      </c>
      <c r="F698" s="2" t="s">
        <v>16</v>
      </c>
      <c r="G698">
        <v>5.0099999999999999E-2</v>
      </c>
      <c r="H698" s="9">
        <f t="shared" si="10"/>
        <v>0</v>
      </c>
      <c r="I698" t="s">
        <v>6244</v>
      </c>
      <c r="J698" t="s">
        <v>6245</v>
      </c>
    </row>
    <row r="699" spans="1:10" x14ac:dyDescent="0.3">
      <c r="A699" s="2" t="s">
        <v>6289</v>
      </c>
      <c r="B699" s="2" t="s">
        <v>6182</v>
      </c>
      <c r="C699" s="2" t="s">
        <v>6183</v>
      </c>
      <c r="D699" s="3">
        <v>149400</v>
      </c>
      <c r="E699" s="3">
        <v>149400</v>
      </c>
      <c r="F699" s="2" t="s">
        <v>16</v>
      </c>
      <c r="G699">
        <v>7.45E-3</v>
      </c>
      <c r="H699" s="9">
        <f t="shared" si="10"/>
        <v>0</v>
      </c>
      <c r="I699" t="s">
        <v>797</v>
      </c>
      <c r="J699" t="s">
        <v>798</v>
      </c>
    </row>
    <row r="700" spans="1:10" x14ac:dyDescent="0.3">
      <c r="A700" s="2" t="s">
        <v>6289</v>
      </c>
      <c r="B700" s="2" t="s">
        <v>86</v>
      </c>
      <c r="C700" s="2" t="s">
        <v>87</v>
      </c>
      <c r="D700" s="5">
        <v>-222</v>
      </c>
      <c r="E700" s="5">
        <v>-222</v>
      </c>
      <c r="F700" s="2" t="s">
        <v>23</v>
      </c>
      <c r="G700">
        <v>7.45E-3</v>
      </c>
      <c r="H700" s="9">
        <f t="shared" si="10"/>
        <v>-29798.657718120805</v>
      </c>
      <c r="I700" t="s">
        <v>797</v>
      </c>
      <c r="J700" t="s">
        <v>798</v>
      </c>
    </row>
    <row r="701" spans="1:10" x14ac:dyDescent="0.3">
      <c r="A701" s="2" t="s">
        <v>6314</v>
      </c>
      <c r="B701" s="2" t="s">
        <v>4511</v>
      </c>
      <c r="C701" s="2" t="s">
        <v>4512</v>
      </c>
      <c r="D701" s="3">
        <v>119520</v>
      </c>
      <c r="E701" s="3">
        <v>119520</v>
      </c>
      <c r="F701" s="2" t="s">
        <v>16</v>
      </c>
      <c r="G701">
        <v>7.45E-3</v>
      </c>
      <c r="H701" s="9">
        <f t="shared" si="10"/>
        <v>0</v>
      </c>
      <c r="I701" t="s">
        <v>797</v>
      </c>
      <c r="J701" t="s">
        <v>798</v>
      </c>
    </row>
    <row r="702" spans="1:10" x14ac:dyDescent="0.3">
      <c r="A702" s="2" t="s">
        <v>6314</v>
      </c>
      <c r="B702" s="2" t="s">
        <v>86</v>
      </c>
      <c r="C702" s="2" t="s">
        <v>87</v>
      </c>
      <c r="D702" s="5">
        <v>-222.6</v>
      </c>
      <c r="E702" s="5">
        <v>-222.6</v>
      </c>
      <c r="F702" s="2" t="s">
        <v>23</v>
      </c>
      <c r="G702">
        <v>7.45E-3</v>
      </c>
      <c r="H702" s="9">
        <f t="shared" si="10"/>
        <v>-29879.194630872484</v>
      </c>
      <c r="I702" t="s">
        <v>797</v>
      </c>
      <c r="J702" t="s">
        <v>798</v>
      </c>
    </row>
    <row r="703" spans="1:10" x14ac:dyDescent="0.3">
      <c r="A703" s="2" t="s">
        <v>6339</v>
      </c>
      <c r="B703" s="2" t="s">
        <v>97</v>
      </c>
      <c r="C703" s="2" t="s">
        <v>98</v>
      </c>
      <c r="D703" s="3">
        <v>33600</v>
      </c>
      <c r="E703" s="3">
        <v>33600</v>
      </c>
      <c r="F703" s="2" t="s">
        <v>16</v>
      </c>
      <c r="G703">
        <v>5.1999999999999998E-2</v>
      </c>
      <c r="H703" s="9">
        <f t="shared" si="10"/>
        <v>0</v>
      </c>
      <c r="I703" t="s">
        <v>1170</v>
      </c>
      <c r="J703" t="s">
        <v>1171</v>
      </c>
    </row>
    <row r="704" spans="1:10" x14ac:dyDescent="0.3">
      <c r="A704" s="2" t="s">
        <v>6360</v>
      </c>
      <c r="B704" s="2" t="s">
        <v>2934</v>
      </c>
      <c r="C704" s="2" t="s">
        <v>2935</v>
      </c>
      <c r="D704" s="3">
        <v>8208</v>
      </c>
      <c r="E704" s="3">
        <v>8208</v>
      </c>
      <c r="F704" s="2" t="s">
        <v>16</v>
      </c>
      <c r="G704">
        <v>1.7999999999999999E-2</v>
      </c>
      <c r="H704" s="9">
        <f t="shared" si="10"/>
        <v>0</v>
      </c>
      <c r="I704" t="s">
        <v>2934</v>
      </c>
      <c r="J704" t="s">
        <v>2935</v>
      </c>
    </row>
    <row r="705" spans="1:10" x14ac:dyDescent="0.3">
      <c r="A705" s="2" t="s">
        <v>6365</v>
      </c>
      <c r="B705" s="2" t="s">
        <v>947</v>
      </c>
      <c r="C705" s="2" t="s">
        <v>948</v>
      </c>
      <c r="D705" s="3">
        <v>52312</v>
      </c>
      <c r="E705" s="3">
        <v>52312</v>
      </c>
      <c r="F705" s="2" t="s">
        <v>16</v>
      </c>
      <c r="G705">
        <v>1.4E-2</v>
      </c>
      <c r="H705" s="9">
        <f t="shared" si="10"/>
        <v>0</v>
      </c>
      <c r="I705" t="s">
        <v>947</v>
      </c>
      <c r="J705" t="s">
        <v>948</v>
      </c>
    </row>
    <row r="706" spans="1:10" x14ac:dyDescent="0.3">
      <c r="A706" s="2" t="s">
        <v>6365</v>
      </c>
      <c r="B706" s="2" t="s">
        <v>65</v>
      </c>
      <c r="C706" s="2" t="s">
        <v>66</v>
      </c>
      <c r="D706" s="5">
        <v>-154</v>
      </c>
      <c r="E706" s="5">
        <v>-154</v>
      </c>
      <c r="F706" s="2" t="s">
        <v>23</v>
      </c>
      <c r="G706">
        <v>1.4E-2</v>
      </c>
      <c r="H706" s="9">
        <f t="shared" si="10"/>
        <v>-11000</v>
      </c>
      <c r="I706" t="s">
        <v>947</v>
      </c>
      <c r="J706" t="s">
        <v>948</v>
      </c>
    </row>
    <row r="707" spans="1:10" x14ac:dyDescent="0.3">
      <c r="A707" s="2" t="s">
        <v>6374</v>
      </c>
      <c r="B707" s="2" t="s">
        <v>97</v>
      </c>
      <c r="C707" s="2" t="s">
        <v>98</v>
      </c>
      <c r="D707" s="3">
        <v>278400</v>
      </c>
      <c r="E707" s="3">
        <v>278400</v>
      </c>
      <c r="F707" s="2" t="s">
        <v>16</v>
      </c>
      <c r="G707">
        <v>5.1999999999999998E-2</v>
      </c>
      <c r="H707" s="9">
        <f t="shared" ref="H707:H770" si="11">IFERROR(IF(LEFT(B707,1)="F",E707/G707,0),0)</f>
        <v>0</v>
      </c>
      <c r="I707" t="s">
        <v>97</v>
      </c>
      <c r="J707" t="s">
        <v>98</v>
      </c>
    </row>
    <row r="708" spans="1:10" x14ac:dyDescent="0.3">
      <c r="A708" s="2" t="s">
        <v>6395</v>
      </c>
      <c r="B708" s="2" t="s">
        <v>6244</v>
      </c>
      <c r="C708" s="2" t="s">
        <v>6245</v>
      </c>
      <c r="D708" s="3">
        <v>139104</v>
      </c>
      <c r="E708" s="3">
        <v>139104</v>
      </c>
      <c r="F708" s="2" t="s">
        <v>16</v>
      </c>
      <c r="G708">
        <v>5.0099999999999999E-2</v>
      </c>
      <c r="H708" s="9">
        <f t="shared" si="11"/>
        <v>0</v>
      </c>
      <c r="I708" t="s">
        <v>6244</v>
      </c>
      <c r="J708" t="s">
        <v>6245</v>
      </c>
    </row>
    <row r="709" spans="1:10" x14ac:dyDescent="0.3">
      <c r="A709" s="2" t="s">
        <v>6395</v>
      </c>
      <c r="B709" s="2" t="s">
        <v>21</v>
      </c>
      <c r="C709" s="2" t="s">
        <v>22</v>
      </c>
      <c r="D709" s="5">
        <v>-995</v>
      </c>
      <c r="E709" s="5">
        <v>-995</v>
      </c>
      <c r="F709" s="2" t="s">
        <v>23</v>
      </c>
      <c r="G709">
        <v>5.0099999999999999E-2</v>
      </c>
      <c r="H709" s="9">
        <f t="shared" si="11"/>
        <v>-19860.279441117764</v>
      </c>
      <c r="I709" t="s">
        <v>6244</v>
      </c>
      <c r="J709" t="s">
        <v>6245</v>
      </c>
    </row>
    <row r="710" spans="1:10" x14ac:dyDescent="0.3">
      <c r="A710" s="2" t="s">
        <v>6420</v>
      </c>
      <c r="B710" s="2" t="s">
        <v>5357</v>
      </c>
      <c r="C710" s="2" t="s">
        <v>5358</v>
      </c>
      <c r="D710" s="3">
        <v>317952</v>
      </c>
      <c r="E710" s="3">
        <v>317952</v>
      </c>
      <c r="F710" s="2" t="s">
        <v>16</v>
      </c>
      <c r="G710">
        <v>4.4999999999999998E-2</v>
      </c>
      <c r="H710" s="9">
        <f t="shared" si="11"/>
        <v>0</v>
      </c>
      <c r="I710" t="s">
        <v>5357</v>
      </c>
      <c r="J710" t="s">
        <v>5358</v>
      </c>
    </row>
    <row r="711" spans="1:10" x14ac:dyDescent="0.3">
      <c r="A711" s="2" t="s">
        <v>6425</v>
      </c>
      <c r="B711" s="2" t="s">
        <v>740</v>
      </c>
      <c r="C711" s="2" t="s">
        <v>741</v>
      </c>
      <c r="D711" s="3">
        <v>520380</v>
      </c>
      <c r="E711" s="3">
        <v>520380</v>
      </c>
      <c r="F711" s="2" t="s">
        <v>16</v>
      </c>
      <c r="G711">
        <v>3.0499999999999999E-2</v>
      </c>
      <c r="H711" s="9">
        <f t="shared" si="11"/>
        <v>0</v>
      </c>
      <c r="I711" t="s">
        <v>740</v>
      </c>
      <c r="J711" t="s">
        <v>741</v>
      </c>
    </row>
    <row r="712" spans="1:10" x14ac:dyDescent="0.3">
      <c r="A712" s="2" t="s">
        <v>6430</v>
      </c>
      <c r="B712" s="2" t="s">
        <v>4791</v>
      </c>
      <c r="C712" s="2" t="s">
        <v>4792</v>
      </c>
      <c r="D712" s="3">
        <v>317952</v>
      </c>
      <c r="E712" s="3">
        <v>317952</v>
      </c>
      <c r="F712" s="2" t="s">
        <v>16</v>
      </c>
      <c r="G712">
        <v>4.4999999999999998E-2</v>
      </c>
      <c r="H712" s="9">
        <f t="shared" si="11"/>
        <v>0</v>
      </c>
      <c r="I712" t="s">
        <v>4791</v>
      </c>
      <c r="J712" t="s">
        <v>4792</v>
      </c>
    </row>
    <row r="713" spans="1:10" x14ac:dyDescent="0.3">
      <c r="A713" s="2" t="s">
        <v>6435</v>
      </c>
      <c r="B713" s="2" t="s">
        <v>5347</v>
      </c>
      <c r="C713" s="2" t="s">
        <v>5348</v>
      </c>
      <c r="D713" s="3">
        <v>39744</v>
      </c>
      <c r="E713" s="3">
        <v>39744</v>
      </c>
      <c r="F713" s="2" t="s">
        <v>16</v>
      </c>
      <c r="G713">
        <v>4.4999999999999998E-2</v>
      </c>
      <c r="H713" s="9">
        <f t="shared" si="11"/>
        <v>0</v>
      </c>
      <c r="I713" t="s">
        <v>4791</v>
      </c>
      <c r="J713" t="s">
        <v>4792</v>
      </c>
    </row>
    <row r="714" spans="1:10" x14ac:dyDescent="0.3">
      <c r="A714" s="2" t="s">
        <v>6435</v>
      </c>
      <c r="B714" s="2" t="s">
        <v>65</v>
      </c>
      <c r="C714" s="2" t="s">
        <v>66</v>
      </c>
      <c r="D714" s="5">
        <v>-298</v>
      </c>
      <c r="E714" s="3">
        <v>0</v>
      </c>
      <c r="F714" s="2" t="s">
        <v>23</v>
      </c>
      <c r="G714">
        <v>4.4999999999999998E-2</v>
      </c>
      <c r="H714" s="9">
        <f t="shared" si="11"/>
        <v>0</v>
      </c>
      <c r="I714" t="s">
        <v>4791</v>
      </c>
      <c r="J714" t="s">
        <v>4792</v>
      </c>
    </row>
    <row r="715" spans="1:10" x14ac:dyDescent="0.3">
      <c r="A715" s="2" t="s">
        <v>6460</v>
      </c>
      <c r="B715" s="2" t="s">
        <v>699</v>
      </c>
      <c r="C715" s="2" t="s">
        <v>700</v>
      </c>
      <c r="D715" s="3">
        <v>33120</v>
      </c>
      <c r="E715" s="3">
        <v>33120</v>
      </c>
      <c r="F715" s="2" t="s">
        <v>16</v>
      </c>
      <c r="G715">
        <v>4.4999999999999998E-2</v>
      </c>
      <c r="H715" s="9">
        <f t="shared" si="11"/>
        <v>0</v>
      </c>
      <c r="I715" t="s">
        <v>4791</v>
      </c>
      <c r="J715" t="s">
        <v>4792</v>
      </c>
    </row>
    <row r="716" spans="1:10" x14ac:dyDescent="0.3">
      <c r="A716" s="2" t="s">
        <v>6481</v>
      </c>
      <c r="B716" s="2" t="s">
        <v>3142</v>
      </c>
      <c r="C716" s="2" t="s">
        <v>3143</v>
      </c>
      <c r="D716" s="3">
        <v>33120</v>
      </c>
      <c r="E716" s="3">
        <v>33120</v>
      </c>
      <c r="F716" s="2" t="s">
        <v>16</v>
      </c>
      <c r="G716">
        <v>5.0099999999999999E-2</v>
      </c>
      <c r="H716" s="9">
        <f t="shared" si="11"/>
        <v>0</v>
      </c>
      <c r="I716" t="s">
        <v>5986</v>
      </c>
      <c r="J716" t="s">
        <v>5987</v>
      </c>
    </row>
    <row r="717" spans="1:10" x14ac:dyDescent="0.3">
      <c r="A717" s="2" t="s">
        <v>6486</v>
      </c>
      <c r="B717" s="2" t="s">
        <v>1027</v>
      </c>
      <c r="C717" s="2" t="s">
        <v>1028</v>
      </c>
      <c r="D717" s="3">
        <v>74340</v>
      </c>
      <c r="E717" s="3">
        <v>74340</v>
      </c>
      <c r="F717" s="2" t="s">
        <v>16</v>
      </c>
      <c r="G717">
        <v>3.0499999999999999E-2</v>
      </c>
      <c r="H717" s="9">
        <f t="shared" si="11"/>
        <v>0</v>
      </c>
      <c r="I717" t="s">
        <v>1027</v>
      </c>
      <c r="J717" t="s">
        <v>1028</v>
      </c>
    </row>
    <row r="718" spans="1:10" x14ac:dyDescent="0.3">
      <c r="A718" s="2" t="s">
        <v>6486</v>
      </c>
      <c r="B718" s="2" t="s">
        <v>21</v>
      </c>
      <c r="C718" s="2" t="s">
        <v>22</v>
      </c>
      <c r="D718" s="5">
        <v>-323</v>
      </c>
      <c r="E718" s="5">
        <v>-323</v>
      </c>
      <c r="F718" s="2" t="s">
        <v>23</v>
      </c>
      <c r="G718">
        <v>3.0499999999999999E-2</v>
      </c>
      <c r="H718" s="9">
        <f t="shared" si="11"/>
        <v>-10590.163934426229</v>
      </c>
      <c r="I718" t="s">
        <v>1027</v>
      </c>
      <c r="J718" t="s">
        <v>1028</v>
      </c>
    </row>
    <row r="719" spans="1:10" x14ac:dyDescent="0.3">
      <c r="A719" s="2" t="s">
        <v>6511</v>
      </c>
      <c r="B719" s="2" t="s">
        <v>1512</v>
      </c>
      <c r="C719" s="2" t="s">
        <v>1513</v>
      </c>
      <c r="D719" s="3">
        <v>31860</v>
      </c>
      <c r="E719" s="3">
        <v>31860</v>
      </c>
      <c r="F719" s="2" t="s">
        <v>16</v>
      </c>
      <c r="G719">
        <v>3.0499999999999999E-2</v>
      </c>
      <c r="H719" s="9">
        <f t="shared" si="11"/>
        <v>0</v>
      </c>
      <c r="I719" t="s">
        <v>1027</v>
      </c>
      <c r="J719" t="s">
        <v>1028</v>
      </c>
    </row>
    <row r="720" spans="1:10" x14ac:dyDescent="0.3">
      <c r="A720" s="2" t="s">
        <v>6516</v>
      </c>
      <c r="B720" s="2" t="s">
        <v>97</v>
      </c>
      <c r="C720" s="2" t="s">
        <v>98</v>
      </c>
      <c r="D720" s="3">
        <v>259200</v>
      </c>
      <c r="E720" s="3">
        <v>259200</v>
      </c>
      <c r="F720" s="2" t="s">
        <v>16</v>
      </c>
      <c r="G720">
        <v>5.1999999999999998E-2</v>
      </c>
      <c r="H720" s="9">
        <f t="shared" si="11"/>
        <v>0</v>
      </c>
      <c r="I720" t="s">
        <v>97</v>
      </c>
      <c r="J720" t="s">
        <v>98</v>
      </c>
    </row>
    <row r="721" spans="1:10" x14ac:dyDescent="0.3">
      <c r="A721" s="2" t="s">
        <v>6537</v>
      </c>
      <c r="B721" s="2" t="s">
        <v>70</v>
      </c>
      <c r="C721" s="2" t="s">
        <v>71</v>
      </c>
      <c r="D721" s="3">
        <v>50688</v>
      </c>
      <c r="E721" s="3">
        <v>50688</v>
      </c>
      <c r="F721" s="2" t="s">
        <v>16</v>
      </c>
      <c r="G721">
        <v>3.5999999999999997E-2</v>
      </c>
      <c r="H721" s="9">
        <f t="shared" si="11"/>
        <v>0</v>
      </c>
      <c r="I721" t="s">
        <v>70</v>
      </c>
      <c r="J721" t="s">
        <v>71</v>
      </c>
    </row>
    <row r="722" spans="1:10" x14ac:dyDescent="0.3">
      <c r="A722" s="2" t="s">
        <v>6537</v>
      </c>
      <c r="B722" s="2" t="s">
        <v>65</v>
      </c>
      <c r="C722" s="2" t="s">
        <v>66</v>
      </c>
      <c r="D722" s="5">
        <v>-228</v>
      </c>
      <c r="E722" s="5">
        <v>-228</v>
      </c>
      <c r="F722" s="2" t="s">
        <v>23</v>
      </c>
      <c r="G722">
        <v>3.5999999999999997E-2</v>
      </c>
      <c r="H722" s="9">
        <f t="shared" si="11"/>
        <v>-6333.3333333333339</v>
      </c>
      <c r="I722" t="s">
        <v>70</v>
      </c>
      <c r="J722" t="s">
        <v>71</v>
      </c>
    </row>
    <row r="723" spans="1:10" x14ac:dyDescent="0.3">
      <c r="A723" s="2" t="s">
        <v>6558</v>
      </c>
      <c r="B723" s="2" t="s">
        <v>740</v>
      </c>
      <c r="C723" s="2" t="s">
        <v>741</v>
      </c>
      <c r="D723" s="3">
        <v>95580</v>
      </c>
      <c r="E723" s="3">
        <v>95580</v>
      </c>
      <c r="F723" s="2" t="s">
        <v>16</v>
      </c>
      <c r="G723">
        <v>3.0499999999999999E-2</v>
      </c>
      <c r="H723" s="9">
        <f t="shared" si="11"/>
        <v>0</v>
      </c>
      <c r="I723" t="s">
        <v>740</v>
      </c>
      <c r="J723" t="s">
        <v>741</v>
      </c>
    </row>
    <row r="724" spans="1:10" x14ac:dyDescent="0.3">
      <c r="A724" s="2" t="s">
        <v>6563</v>
      </c>
      <c r="B724" s="2" t="s">
        <v>647</v>
      </c>
      <c r="C724" s="2" t="s">
        <v>648</v>
      </c>
      <c r="D724" s="3">
        <v>16380</v>
      </c>
      <c r="E724" s="3">
        <v>16380</v>
      </c>
      <c r="F724" s="2" t="s">
        <v>16</v>
      </c>
      <c r="G724">
        <v>2.1000000000000001E-2</v>
      </c>
      <c r="H724" s="9">
        <f t="shared" si="11"/>
        <v>0</v>
      </c>
      <c r="I724" t="s">
        <v>647</v>
      </c>
      <c r="J724" t="s">
        <v>648</v>
      </c>
    </row>
    <row r="725" spans="1:10" x14ac:dyDescent="0.3">
      <c r="A725" s="2" t="s">
        <v>6568</v>
      </c>
      <c r="B725" s="2" t="s">
        <v>5477</v>
      </c>
      <c r="C725" s="2" t="s">
        <v>5478</v>
      </c>
      <c r="D725" s="3">
        <v>19872</v>
      </c>
      <c r="E725" s="3">
        <v>19872</v>
      </c>
      <c r="F725" s="2" t="s">
        <v>16</v>
      </c>
      <c r="G725">
        <v>4.4999999999999998E-2</v>
      </c>
      <c r="H725" s="9">
        <f t="shared" si="11"/>
        <v>0</v>
      </c>
      <c r="I725" t="s">
        <v>5357</v>
      </c>
      <c r="J725" t="s">
        <v>5358</v>
      </c>
    </row>
    <row r="726" spans="1:10" x14ac:dyDescent="0.3">
      <c r="A726" s="2" t="s">
        <v>6589</v>
      </c>
      <c r="B726" s="2" t="s">
        <v>2086</v>
      </c>
      <c r="C726" s="2" t="s">
        <v>2087</v>
      </c>
      <c r="D726" s="3">
        <v>12672</v>
      </c>
      <c r="E726" s="3">
        <v>12672</v>
      </c>
      <c r="F726" s="2" t="s">
        <v>16</v>
      </c>
      <c r="G726">
        <v>3.5999999999999997E-2</v>
      </c>
      <c r="H726" s="9">
        <f t="shared" si="11"/>
        <v>0</v>
      </c>
      <c r="I726" t="s">
        <v>2086</v>
      </c>
      <c r="J726" t="s">
        <v>2087</v>
      </c>
    </row>
    <row r="727" spans="1:10" x14ac:dyDescent="0.3">
      <c r="A727" s="2" t="s">
        <v>6606</v>
      </c>
      <c r="B727" s="2" t="s">
        <v>693</v>
      </c>
      <c r="C727" s="2" t="s">
        <v>694</v>
      </c>
      <c r="D727" s="3">
        <v>64020</v>
      </c>
      <c r="E727" s="3">
        <v>64020</v>
      </c>
      <c r="F727" s="2" t="s">
        <v>16</v>
      </c>
      <c r="G727">
        <v>2.1000000000000001E-2</v>
      </c>
      <c r="H727" s="9">
        <f t="shared" si="11"/>
        <v>0</v>
      </c>
      <c r="I727" t="s">
        <v>693</v>
      </c>
      <c r="J727" t="s">
        <v>694</v>
      </c>
    </row>
    <row r="728" spans="1:10" x14ac:dyDescent="0.3">
      <c r="A728" s="2" t="s">
        <v>6627</v>
      </c>
      <c r="B728" s="2" t="s">
        <v>97</v>
      </c>
      <c r="C728" s="2" t="s">
        <v>98</v>
      </c>
      <c r="D728" s="3">
        <v>38400</v>
      </c>
      <c r="E728" s="3">
        <v>38400</v>
      </c>
      <c r="F728" s="2" t="s">
        <v>16</v>
      </c>
      <c r="G728">
        <v>5.1999999999999998E-2</v>
      </c>
      <c r="H728" s="9">
        <f t="shared" si="11"/>
        <v>0</v>
      </c>
      <c r="I728" t="s">
        <v>1170</v>
      </c>
      <c r="J728" t="s">
        <v>1171</v>
      </c>
    </row>
    <row r="729" spans="1:10" x14ac:dyDescent="0.3">
      <c r="A729" s="2" t="s">
        <v>6627</v>
      </c>
      <c r="B729" s="2" t="s">
        <v>65</v>
      </c>
      <c r="C729" s="2" t="s">
        <v>66</v>
      </c>
      <c r="D729" s="5">
        <v>-249</v>
      </c>
      <c r="E729" s="5">
        <v>-249</v>
      </c>
      <c r="F729" s="2" t="s">
        <v>23</v>
      </c>
      <c r="G729">
        <v>5.1999999999999998E-2</v>
      </c>
      <c r="H729" s="9">
        <f t="shared" si="11"/>
        <v>-4788.461538461539</v>
      </c>
      <c r="I729" t="s">
        <v>1170</v>
      </c>
      <c r="J729" t="s">
        <v>1171</v>
      </c>
    </row>
    <row r="730" spans="1:10" x14ac:dyDescent="0.3">
      <c r="A730" s="2" t="s">
        <v>6655</v>
      </c>
      <c r="B730" s="2" t="s">
        <v>5357</v>
      </c>
      <c r="C730" s="2" t="s">
        <v>5358</v>
      </c>
      <c r="D730" s="3">
        <v>933984</v>
      </c>
      <c r="E730" s="3">
        <v>933984</v>
      </c>
      <c r="F730" s="2" t="s">
        <v>16</v>
      </c>
      <c r="G730">
        <v>4.4999999999999998E-2</v>
      </c>
      <c r="H730" s="9">
        <f t="shared" si="11"/>
        <v>0</v>
      </c>
      <c r="I730" t="s">
        <v>5357</v>
      </c>
      <c r="J730" t="s">
        <v>5358</v>
      </c>
    </row>
    <row r="731" spans="1:10" x14ac:dyDescent="0.3">
      <c r="A731" s="2" t="s">
        <v>6660</v>
      </c>
      <c r="B731" s="2" t="s">
        <v>740</v>
      </c>
      <c r="C731" s="2" t="s">
        <v>741</v>
      </c>
      <c r="D731" s="3">
        <v>509760</v>
      </c>
      <c r="E731" s="3">
        <v>509760</v>
      </c>
      <c r="F731" s="2" t="s">
        <v>16</v>
      </c>
      <c r="G731">
        <v>3.0499999999999999E-2</v>
      </c>
      <c r="H731" s="9">
        <f t="shared" si="11"/>
        <v>0</v>
      </c>
      <c r="I731" t="s">
        <v>740</v>
      </c>
      <c r="J731" t="s">
        <v>741</v>
      </c>
    </row>
    <row r="732" spans="1:10" x14ac:dyDescent="0.3">
      <c r="A732" s="2" t="s">
        <v>6665</v>
      </c>
      <c r="B732" s="2" t="s">
        <v>2115</v>
      </c>
      <c r="C732" s="2" t="s">
        <v>2116</v>
      </c>
      <c r="D732" s="3">
        <v>18000</v>
      </c>
      <c r="E732" s="3">
        <v>18000</v>
      </c>
      <c r="F732" s="2" t="s">
        <v>16</v>
      </c>
      <c r="G732">
        <v>5.0999999999999997E-2</v>
      </c>
      <c r="H732" s="9">
        <f t="shared" si="11"/>
        <v>0</v>
      </c>
      <c r="I732" t="s">
        <v>2115</v>
      </c>
      <c r="J732" t="s">
        <v>2116</v>
      </c>
    </row>
    <row r="733" spans="1:10" x14ac:dyDescent="0.3">
      <c r="A733" s="2" t="s">
        <v>6670</v>
      </c>
      <c r="B733" s="2" t="s">
        <v>1027</v>
      </c>
      <c r="C733" s="2" t="s">
        <v>1028</v>
      </c>
      <c r="D733" s="3">
        <v>562860</v>
      </c>
      <c r="E733" s="3">
        <v>562860</v>
      </c>
      <c r="F733" s="2" t="s">
        <v>16</v>
      </c>
      <c r="G733">
        <v>3.0499999999999999E-2</v>
      </c>
      <c r="H733" s="9">
        <f t="shared" si="11"/>
        <v>0</v>
      </c>
      <c r="I733" t="s">
        <v>1027</v>
      </c>
      <c r="J733" t="s">
        <v>1028</v>
      </c>
    </row>
    <row r="734" spans="1:10" x14ac:dyDescent="0.3">
      <c r="A734" s="2" t="s">
        <v>6675</v>
      </c>
      <c r="B734" s="2" t="s">
        <v>517</v>
      </c>
      <c r="C734" s="2" t="s">
        <v>518</v>
      </c>
      <c r="D734" s="3">
        <v>413280</v>
      </c>
      <c r="E734" s="3">
        <v>413280</v>
      </c>
      <c r="F734" s="2" t="s">
        <v>16</v>
      </c>
      <c r="G734">
        <v>2.6600000000000002E-2</v>
      </c>
      <c r="H734" s="9">
        <f t="shared" si="11"/>
        <v>0</v>
      </c>
      <c r="I734" t="s">
        <v>517</v>
      </c>
      <c r="J734" t="s">
        <v>518</v>
      </c>
    </row>
    <row r="735" spans="1:10" x14ac:dyDescent="0.3">
      <c r="A735" s="2" t="s">
        <v>6680</v>
      </c>
      <c r="B735" s="2" t="s">
        <v>97</v>
      </c>
      <c r="C735" s="2" t="s">
        <v>98</v>
      </c>
      <c r="D735" s="3">
        <v>4800</v>
      </c>
      <c r="E735" s="3">
        <v>4800</v>
      </c>
      <c r="F735" s="2" t="s">
        <v>16</v>
      </c>
      <c r="G735">
        <v>5.1999999999999998E-2</v>
      </c>
      <c r="H735" s="9">
        <f t="shared" si="11"/>
        <v>0</v>
      </c>
      <c r="I735" t="s">
        <v>1170</v>
      </c>
      <c r="J735" t="s">
        <v>1171</v>
      </c>
    </row>
    <row r="736" spans="1:10" x14ac:dyDescent="0.3">
      <c r="A736" s="2" t="s">
        <v>6688</v>
      </c>
      <c r="B736" s="2" t="s">
        <v>517</v>
      </c>
      <c r="C736" s="2" t="s">
        <v>518</v>
      </c>
      <c r="D736" s="3">
        <v>473760</v>
      </c>
      <c r="E736" s="3">
        <v>473760</v>
      </c>
      <c r="F736" s="2" t="s">
        <v>16</v>
      </c>
      <c r="G736">
        <v>2.6600000000000002E-2</v>
      </c>
      <c r="H736" s="9">
        <f t="shared" si="11"/>
        <v>0</v>
      </c>
      <c r="I736" t="s">
        <v>517</v>
      </c>
      <c r="J736" t="s">
        <v>518</v>
      </c>
    </row>
    <row r="737" spans="1:10" x14ac:dyDescent="0.3">
      <c r="A737" s="2" t="s">
        <v>6693</v>
      </c>
      <c r="B737" s="2" t="s">
        <v>740</v>
      </c>
      <c r="C737" s="2" t="s">
        <v>741</v>
      </c>
      <c r="D737" s="3">
        <v>63720</v>
      </c>
      <c r="E737" s="3">
        <v>63720</v>
      </c>
      <c r="F737" s="2" t="s">
        <v>16</v>
      </c>
      <c r="G737">
        <v>3.0499999999999999E-2</v>
      </c>
      <c r="H737" s="9">
        <f t="shared" si="11"/>
        <v>0</v>
      </c>
      <c r="I737" t="s">
        <v>103</v>
      </c>
      <c r="J737" t="s">
        <v>104</v>
      </c>
    </row>
    <row r="738" spans="1:10" x14ac:dyDescent="0.3">
      <c r="A738" s="2" t="s">
        <v>6693</v>
      </c>
      <c r="B738" s="2" t="s">
        <v>65</v>
      </c>
      <c r="C738" s="2" t="s">
        <v>66</v>
      </c>
      <c r="D738" s="5">
        <v>-648</v>
      </c>
      <c r="E738" s="5">
        <v>-648</v>
      </c>
      <c r="F738" s="2" t="s">
        <v>23</v>
      </c>
      <c r="G738">
        <v>3.0499999999999999E-2</v>
      </c>
      <c r="H738" s="9">
        <f t="shared" si="11"/>
        <v>-21245.901639344262</v>
      </c>
      <c r="I738" t="s">
        <v>103</v>
      </c>
      <c r="J738" t="s">
        <v>104</v>
      </c>
    </row>
    <row r="739" spans="1:10" x14ac:dyDescent="0.3">
      <c r="A739" s="2" t="s">
        <v>6718</v>
      </c>
      <c r="B739" s="2" t="s">
        <v>2611</v>
      </c>
      <c r="C739" s="2" t="s">
        <v>2612</v>
      </c>
      <c r="D739" s="3">
        <v>266400</v>
      </c>
      <c r="E739" s="3">
        <v>266400</v>
      </c>
      <c r="F739" s="2" t="s">
        <v>16</v>
      </c>
      <c r="G739">
        <v>1.2699999999999999E-2</v>
      </c>
      <c r="H739" s="9">
        <f t="shared" si="11"/>
        <v>0</v>
      </c>
      <c r="I739" t="s">
        <v>2611</v>
      </c>
      <c r="J739" t="s">
        <v>2612</v>
      </c>
    </row>
    <row r="740" spans="1:10" x14ac:dyDescent="0.3">
      <c r="A740" s="2" t="s">
        <v>6718</v>
      </c>
      <c r="B740" s="2" t="s">
        <v>65</v>
      </c>
      <c r="C740" s="2" t="s">
        <v>66</v>
      </c>
      <c r="D740" s="5">
        <v>-270</v>
      </c>
      <c r="E740" s="5">
        <v>-270</v>
      </c>
      <c r="F740" s="2" t="s">
        <v>23</v>
      </c>
      <c r="G740">
        <v>1.2699999999999999E-2</v>
      </c>
      <c r="H740" s="9">
        <f t="shared" si="11"/>
        <v>-21259.84251968504</v>
      </c>
      <c r="I740" t="s">
        <v>2611</v>
      </c>
      <c r="J740" t="s">
        <v>2612</v>
      </c>
    </row>
    <row r="741" spans="1:10" x14ac:dyDescent="0.3">
      <c r="A741" s="2" t="s">
        <v>6738</v>
      </c>
      <c r="B741" s="2" t="s">
        <v>1027</v>
      </c>
      <c r="C741" s="2" t="s">
        <v>1028</v>
      </c>
      <c r="D741" s="3">
        <v>1083240</v>
      </c>
      <c r="E741" s="3">
        <v>1083240</v>
      </c>
      <c r="F741" s="2" t="s">
        <v>16</v>
      </c>
      <c r="G741">
        <v>3.0499999999999999E-2</v>
      </c>
      <c r="H741" s="9">
        <f t="shared" si="11"/>
        <v>0</v>
      </c>
      <c r="I741" t="s">
        <v>1027</v>
      </c>
      <c r="J741" t="s">
        <v>1028</v>
      </c>
    </row>
    <row r="742" spans="1:10" x14ac:dyDescent="0.3">
      <c r="A742" s="2" t="s">
        <v>6743</v>
      </c>
      <c r="B742" s="2" t="s">
        <v>4511</v>
      </c>
      <c r="C742" s="2" t="s">
        <v>4512</v>
      </c>
      <c r="D742" s="3">
        <v>179280</v>
      </c>
      <c r="E742" s="3">
        <v>179280</v>
      </c>
      <c r="F742" s="2" t="s">
        <v>16</v>
      </c>
      <c r="G742">
        <v>7.45E-3</v>
      </c>
      <c r="H742" s="9">
        <f t="shared" si="11"/>
        <v>0</v>
      </c>
      <c r="I742" t="s">
        <v>4511</v>
      </c>
      <c r="J742" t="s">
        <v>4512</v>
      </c>
    </row>
    <row r="743" spans="1:10" x14ac:dyDescent="0.3">
      <c r="A743" s="2" t="s">
        <v>6764</v>
      </c>
      <c r="B743" s="2" t="s">
        <v>4988</v>
      </c>
      <c r="C743" s="2" t="s">
        <v>4989</v>
      </c>
      <c r="D743" s="3">
        <v>20160</v>
      </c>
      <c r="E743" s="3">
        <v>20160</v>
      </c>
      <c r="F743" s="2" t="s">
        <v>16</v>
      </c>
      <c r="G743">
        <v>2.6600000000000002E-2</v>
      </c>
      <c r="H743" s="9">
        <f t="shared" si="11"/>
        <v>0</v>
      </c>
      <c r="I743" t="s">
        <v>4988</v>
      </c>
      <c r="J743" t="s">
        <v>4989</v>
      </c>
    </row>
    <row r="744" spans="1:10" x14ac:dyDescent="0.3">
      <c r="A744" s="2" t="s">
        <v>6777</v>
      </c>
      <c r="B744" s="2" t="s">
        <v>4511</v>
      </c>
      <c r="C744" s="2" t="s">
        <v>4512</v>
      </c>
      <c r="D744" s="3">
        <v>231460</v>
      </c>
      <c r="E744" s="3">
        <v>231460</v>
      </c>
      <c r="F744" s="2" t="s">
        <v>16</v>
      </c>
      <c r="G744">
        <v>7.45E-3</v>
      </c>
      <c r="H744" s="9">
        <f t="shared" si="11"/>
        <v>0</v>
      </c>
      <c r="I744" t="s">
        <v>4511</v>
      </c>
      <c r="J744" t="s">
        <v>4512</v>
      </c>
    </row>
    <row r="745" spans="1:10" x14ac:dyDescent="0.3">
      <c r="A745" s="2" t="s">
        <v>6777</v>
      </c>
      <c r="B745" s="2" t="s">
        <v>86</v>
      </c>
      <c r="C745" s="2" t="s">
        <v>87</v>
      </c>
      <c r="D745" s="5">
        <v>-161</v>
      </c>
      <c r="E745" s="5">
        <v>-161</v>
      </c>
      <c r="F745" s="2" t="s">
        <v>23</v>
      </c>
      <c r="G745">
        <v>7.45E-3</v>
      </c>
      <c r="H745" s="9">
        <f t="shared" si="11"/>
        <v>-21610.738255033557</v>
      </c>
      <c r="I745" t="s">
        <v>4511</v>
      </c>
      <c r="J745" t="s">
        <v>4512</v>
      </c>
    </row>
    <row r="746" spans="1:10" x14ac:dyDescent="0.3">
      <c r="A746" s="2" t="s">
        <v>6793</v>
      </c>
      <c r="B746" s="2" t="s">
        <v>517</v>
      </c>
      <c r="C746" s="2" t="s">
        <v>518</v>
      </c>
      <c r="D746" s="3">
        <v>504000</v>
      </c>
      <c r="E746" s="3">
        <v>504000</v>
      </c>
      <c r="F746" s="2" t="s">
        <v>16</v>
      </c>
      <c r="G746">
        <v>2.6600000000000002E-2</v>
      </c>
      <c r="H746" s="9">
        <f t="shared" si="11"/>
        <v>0</v>
      </c>
      <c r="I746" t="s">
        <v>517</v>
      </c>
      <c r="J746" t="s">
        <v>518</v>
      </c>
    </row>
    <row r="747" spans="1:10" x14ac:dyDescent="0.3">
      <c r="A747" s="2" t="s">
        <v>6793</v>
      </c>
      <c r="B747" s="2" t="s">
        <v>65</v>
      </c>
      <c r="C747" s="2" t="s">
        <v>66</v>
      </c>
      <c r="D747" s="5">
        <v>-536</v>
      </c>
      <c r="E747" s="5">
        <v>-536</v>
      </c>
      <c r="F747" s="2" t="s">
        <v>23</v>
      </c>
      <c r="G747">
        <v>2.6600000000000002E-2</v>
      </c>
      <c r="H747" s="9">
        <f t="shared" si="11"/>
        <v>-20150.375939849622</v>
      </c>
      <c r="I747" t="s">
        <v>517</v>
      </c>
      <c r="J747" t="s">
        <v>518</v>
      </c>
    </row>
    <row r="748" spans="1:10" x14ac:dyDescent="0.3">
      <c r="A748" s="2" t="s">
        <v>6810</v>
      </c>
      <c r="B748" s="2" t="s">
        <v>1027</v>
      </c>
      <c r="C748" s="2" t="s">
        <v>1028</v>
      </c>
      <c r="D748" s="3">
        <v>382320</v>
      </c>
      <c r="E748" s="3">
        <v>382320</v>
      </c>
      <c r="F748" s="2" t="s">
        <v>16</v>
      </c>
      <c r="G748">
        <v>3.0499999999999999E-2</v>
      </c>
      <c r="H748" s="9">
        <f t="shared" si="11"/>
        <v>0</v>
      </c>
      <c r="I748" t="s">
        <v>1027</v>
      </c>
      <c r="J748" t="s">
        <v>1028</v>
      </c>
    </row>
    <row r="749" spans="1:10" x14ac:dyDescent="0.3">
      <c r="A749" s="2" t="s">
        <v>6823</v>
      </c>
      <c r="B749" s="2" t="s">
        <v>76</v>
      </c>
      <c r="C749" s="2" t="s">
        <v>77</v>
      </c>
      <c r="D749" s="3">
        <v>507600</v>
      </c>
      <c r="E749" s="3">
        <v>507600</v>
      </c>
      <c r="F749" s="2" t="s">
        <v>16</v>
      </c>
      <c r="G749">
        <v>9.4000000000000004E-3</v>
      </c>
      <c r="H749" s="9">
        <f t="shared" si="11"/>
        <v>0</v>
      </c>
      <c r="I749" t="s">
        <v>3028</v>
      </c>
      <c r="J749" t="s">
        <v>3029</v>
      </c>
    </row>
    <row r="750" spans="1:10" x14ac:dyDescent="0.3">
      <c r="A750" s="2" t="s">
        <v>6823</v>
      </c>
      <c r="B750" s="2" t="s">
        <v>86</v>
      </c>
      <c r="C750" s="2" t="s">
        <v>87</v>
      </c>
      <c r="D750" s="5">
        <v>-238</v>
      </c>
      <c r="E750" s="5">
        <v>-238</v>
      </c>
      <c r="F750" s="2" t="s">
        <v>23</v>
      </c>
      <c r="G750">
        <v>9.4000000000000004E-3</v>
      </c>
      <c r="H750" s="9">
        <f t="shared" si="11"/>
        <v>-25319.148936170212</v>
      </c>
      <c r="I750" t="s">
        <v>3028</v>
      </c>
      <c r="J750" t="s">
        <v>3029</v>
      </c>
    </row>
    <row r="751" spans="1:10" x14ac:dyDescent="0.3">
      <c r="A751" s="2" t="s">
        <v>6856</v>
      </c>
      <c r="B751" s="2" t="s">
        <v>1119</v>
      </c>
      <c r="C751" s="2" t="s">
        <v>1120</v>
      </c>
      <c r="D751" s="3">
        <v>50760</v>
      </c>
      <c r="E751" s="3">
        <v>50760</v>
      </c>
      <c r="F751" s="2" t="s">
        <v>16</v>
      </c>
      <c r="G751">
        <v>9.4000000000000004E-3</v>
      </c>
      <c r="H751" s="9">
        <f t="shared" si="11"/>
        <v>0</v>
      </c>
      <c r="I751" t="s">
        <v>3028</v>
      </c>
      <c r="J751" t="s">
        <v>3029</v>
      </c>
    </row>
    <row r="752" spans="1:10" x14ac:dyDescent="0.3">
      <c r="A752" s="2" t="s">
        <v>6869</v>
      </c>
      <c r="B752" s="2" t="s">
        <v>91</v>
      </c>
      <c r="C752" s="2" t="s">
        <v>92</v>
      </c>
      <c r="D752" s="3">
        <v>54000</v>
      </c>
      <c r="E752" s="3">
        <v>54000</v>
      </c>
      <c r="F752" s="2" t="s">
        <v>16</v>
      </c>
      <c r="G752">
        <v>8.3000000000000001E-3</v>
      </c>
      <c r="H752" s="9">
        <f t="shared" si="11"/>
        <v>0</v>
      </c>
      <c r="I752" t="s">
        <v>91</v>
      </c>
      <c r="J752" t="s">
        <v>92</v>
      </c>
    </row>
    <row r="753" spans="1:10" x14ac:dyDescent="0.3">
      <c r="A753" s="2" t="s">
        <v>6882</v>
      </c>
      <c r="B753" s="2" t="s">
        <v>308</v>
      </c>
      <c r="C753" s="2" t="s">
        <v>309</v>
      </c>
      <c r="D753" s="3">
        <v>27000</v>
      </c>
      <c r="E753" s="3">
        <v>27000</v>
      </c>
      <c r="F753" s="2" t="s">
        <v>16</v>
      </c>
      <c r="G753">
        <v>8.3000000000000001E-3</v>
      </c>
      <c r="H753" s="9">
        <f t="shared" si="11"/>
        <v>0</v>
      </c>
      <c r="I753" t="s">
        <v>91</v>
      </c>
      <c r="J753" t="s">
        <v>92</v>
      </c>
    </row>
    <row r="754" spans="1:10" x14ac:dyDescent="0.3">
      <c r="A754" s="2" t="s">
        <v>6895</v>
      </c>
      <c r="B754" s="2" t="s">
        <v>86</v>
      </c>
      <c r="C754" s="2" t="s">
        <v>87</v>
      </c>
      <c r="D754" s="5">
        <v>-222</v>
      </c>
      <c r="E754" s="5">
        <v>-222</v>
      </c>
      <c r="F754" s="2" t="s">
        <v>23</v>
      </c>
      <c r="G754">
        <v>7.45E-3</v>
      </c>
      <c r="H754" s="9">
        <f t="shared" si="11"/>
        <v>-29798.657718120805</v>
      </c>
      <c r="I754" t="s">
        <v>797</v>
      </c>
      <c r="J754" t="s">
        <v>798</v>
      </c>
    </row>
    <row r="755" spans="1:10" x14ac:dyDescent="0.3">
      <c r="A755" s="2" t="s">
        <v>6895</v>
      </c>
      <c r="B755" s="2" t="s">
        <v>797</v>
      </c>
      <c r="C755" s="2" t="s">
        <v>798</v>
      </c>
      <c r="D755" s="3">
        <v>179280</v>
      </c>
      <c r="E755" s="3">
        <v>179280</v>
      </c>
      <c r="F755" s="2" t="s">
        <v>16</v>
      </c>
      <c r="G755">
        <v>7.45E-3</v>
      </c>
      <c r="H755" s="9">
        <f t="shared" si="11"/>
        <v>0</v>
      </c>
      <c r="I755" t="s">
        <v>797</v>
      </c>
      <c r="J755" t="s">
        <v>798</v>
      </c>
    </row>
    <row r="756" spans="1:10" x14ac:dyDescent="0.3">
      <c r="A756" s="2" t="s">
        <v>6912</v>
      </c>
      <c r="B756" s="2" t="s">
        <v>5357</v>
      </c>
      <c r="C756" s="2" t="s">
        <v>5358</v>
      </c>
      <c r="D756" s="3">
        <v>13248</v>
      </c>
      <c r="E756" s="3">
        <v>13248</v>
      </c>
      <c r="F756" s="2" t="s">
        <v>16</v>
      </c>
      <c r="G756">
        <v>4.4999999999999998E-2</v>
      </c>
      <c r="H756" s="9">
        <f t="shared" si="11"/>
        <v>0</v>
      </c>
      <c r="I756" t="s">
        <v>5357</v>
      </c>
      <c r="J756" t="s">
        <v>5358</v>
      </c>
    </row>
    <row r="757" spans="1:10" x14ac:dyDescent="0.3">
      <c r="A757" s="2" t="s">
        <v>6925</v>
      </c>
      <c r="B757" s="2" t="s">
        <v>4955</v>
      </c>
      <c r="C757" s="2" t="s">
        <v>4956</v>
      </c>
      <c r="D757" s="3">
        <v>21312</v>
      </c>
      <c r="E757" s="3">
        <v>21312</v>
      </c>
      <c r="F757" s="2" t="s">
        <v>16</v>
      </c>
      <c r="G757">
        <v>1.35E-2</v>
      </c>
      <c r="H757" s="9">
        <f t="shared" si="11"/>
        <v>0</v>
      </c>
      <c r="I757" t="s">
        <v>4955</v>
      </c>
      <c r="J757" t="s">
        <v>4956</v>
      </c>
    </row>
    <row r="758" spans="1:10" x14ac:dyDescent="0.3">
      <c r="A758" s="2" t="s">
        <v>6938</v>
      </c>
      <c r="B758" s="2" t="s">
        <v>517</v>
      </c>
      <c r="C758" s="2" t="s">
        <v>518</v>
      </c>
      <c r="D758" s="3">
        <v>322560</v>
      </c>
      <c r="E758" s="3">
        <v>322560</v>
      </c>
      <c r="F758" s="2" t="s">
        <v>16</v>
      </c>
      <c r="G758">
        <v>2.6600000000000002E-2</v>
      </c>
      <c r="H758" s="9">
        <f t="shared" si="11"/>
        <v>0</v>
      </c>
      <c r="I758" t="s">
        <v>517</v>
      </c>
      <c r="J758" t="s">
        <v>518</v>
      </c>
    </row>
    <row r="759" spans="1:10" x14ac:dyDescent="0.3">
      <c r="A759" s="2" t="s">
        <v>6947</v>
      </c>
      <c r="B759" s="2" t="s">
        <v>86</v>
      </c>
      <c r="C759" s="2" t="s">
        <v>87</v>
      </c>
      <c r="D759" s="5">
        <v>-261</v>
      </c>
      <c r="E759" s="3">
        <v>0</v>
      </c>
      <c r="F759" s="2" t="s">
        <v>23</v>
      </c>
      <c r="G759">
        <v>1.2500000000000001E-2</v>
      </c>
      <c r="H759" s="9">
        <f t="shared" si="11"/>
        <v>0</v>
      </c>
      <c r="I759" t="s">
        <v>6955</v>
      </c>
      <c r="J759" t="s">
        <v>6956</v>
      </c>
    </row>
    <row r="760" spans="1:10" x14ac:dyDescent="0.3">
      <c r="A760" s="2" t="s">
        <v>6947</v>
      </c>
      <c r="B760" s="2" t="s">
        <v>6955</v>
      </c>
      <c r="C760" s="2" t="s">
        <v>6956</v>
      </c>
      <c r="D760" s="3">
        <v>125280</v>
      </c>
      <c r="E760" s="3">
        <v>0</v>
      </c>
      <c r="F760" s="2" t="s">
        <v>16</v>
      </c>
      <c r="G760">
        <v>1.2500000000000001E-2</v>
      </c>
      <c r="H760" s="9">
        <f t="shared" si="11"/>
        <v>0</v>
      </c>
      <c r="I760" t="s">
        <v>6955</v>
      </c>
      <c r="J760" t="s">
        <v>6956</v>
      </c>
    </row>
    <row r="761" spans="1:10" x14ac:dyDescent="0.3">
      <c r="A761" s="2" t="s">
        <v>6959</v>
      </c>
      <c r="B761" s="2" t="s">
        <v>5357</v>
      </c>
      <c r="C761" s="2" t="s">
        <v>5358</v>
      </c>
      <c r="D761" s="3">
        <v>21240</v>
      </c>
      <c r="E761" s="3">
        <v>0</v>
      </c>
      <c r="F761" s="2" t="s">
        <v>16</v>
      </c>
      <c r="G761">
        <v>4.4999999999999998E-2</v>
      </c>
      <c r="H761" s="9">
        <f t="shared" si="11"/>
        <v>0</v>
      </c>
      <c r="I761" t="s">
        <v>5357</v>
      </c>
      <c r="J761" t="s">
        <v>5358</v>
      </c>
    </row>
    <row r="762" spans="1:10" x14ac:dyDescent="0.3">
      <c r="A762" s="2" t="s">
        <v>6968</v>
      </c>
      <c r="B762" s="2" t="s">
        <v>86</v>
      </c>
      <c r="C762" s="2" t="s">
        <v>87</v>
      </c>
      <c r="D762" s="5">
        <v>-238</v>
      </c>
      <c r="E762" s="5">
        <v>-238</v>
      </c>
      <c r="F762" s="2" t="s">
        <v>23</v>
      </c>
      <c r="G762">
        <v>9.4000000000000004E-3</v>
      </c>
      <c r="H762" s="9">
        <f t="shared" si="11"/>
        <v>-25319.148936170212</v>
      </c>
      <c r="I762" t="s">
        <v>3028</v>
      </c>
      <c r="J762" t="s">
        <v>3029</v>
      </c>
    </row>
    <row r="763" spans="1:10" x14ac:dyDescent="0.3">
      <c r="A763" s="2" t="s">
        <v>6968</v>
      </c>
      <c r="B763" s="2" t="s">
        <v>6977</v>
      </c>
      <c r="C763" s="2" t="s">
        <v>6978</v>
      </c>
      <c r="D763" s="3">
        <v>355320</v>
      </c>
      <c r="E763" s="3">
        <v>355320</v>
      </c>
      <c r="F763" s="2" t="s">
        <v>16</v>
      </c>
      <c r="G763">
        <v>9.4000000000000004E-3</v>
      </c>
      <c r="H763" s="9">
        <f t="shared" si="11"/>
        <v>0</v>
      </c>
      <c r="I763" t="s">
        <v>3028</v>
      </c>
      <c r="J763" t="s">
        <v>3029</v>
      </c>
    </row>
    <row r="764" spans="1:10" x14ac:dyDescent="0.3">
      <c r="A764" s="2" t="s">
        <v>7064</v>
      </c>
      <c r="B764" s="2" t="s">
        <v>2168</v>
      </c>
      <c r="C764" s="2" t="s">
        <v>2169</v>
      </c>
      <c r="D764" s="3">
        <v>10620</v>
      </c>
      <c r="E764" s="3">
        <v>10620</v>
      </c>
      <c r="F764" s="2" t="s">
        <v>16</v>
      </c>
      <c r="G764">
        <v>3.0499999999999999E-2</v>
      </c>
      <c r="H764" s="9">
        <f t="shared" si="11"/>
        <v>0</v>
      </c>
      <c r="I764" t="s">
        <v>2168</v>
      </c>
      <c r="J764" t="s">
        <v>2169</v>
      </c>
    </row>
    <row r="765" spans="1:10" x14ac:dyDescent="0.3">
      <c r="A765" s="2" t="s">
        <v>7069</v>
      </c>
      <c r="B765" s="2" t="s">
        <v>2168</v>
      </c>
      <c r="C765" s="2" t="s">
        <v>2169</v>
      </c>
      <c r="D765" s="3">
        <v>10620</v>
      </c>
      <c r="E765" s="3">
        <v>10620</v>
      </c>
      <c r="F765" s="2" t="s">
        <v>16</v>
      </c>
      <c r="G765">
        <v>3.0499999999999999E-2</v>
      </c>
      <c r="H765" s="9">
        <f t="shared" si="11"/>
        <v>0</v>
      </c>
      <c r="I765" t="s">
        <v>2168</v>
      </c>
      <c r="J765" t="s">
        <v>2169</v>
      </c>
    </row>
    <row r="766" spans="1:10" x14ac:dyDescent="0.3">
      <c r="A766" s="2" t="s">
        <v>7074</v>
      </c>
      <c r="B766" s="2" t="s">
        <v>86</v>
      </c>
      <c r="C766" s="2" t="s">
        <v>87</v>
      </c>
      <c r="D766" s="5">
        <v>-264</v>
      </c>
      <c r="E766" s="5">
        <v>-264</v>
      </c>
      <c r="F766" s="2" t="s">
        <v>23</v>
      </c>
      <c r="G766">
        <v>1.2500000000000001E-2</v>
      </c>
      <c r="H766" s="9">
        <f t="shared" si="11"/>
        <v>-21120</v>
      </c>
      <c r="I766" t="s">
        <v>6955</v>
      </c>
      <c r="J766" t="s">
        <v>6956</v>
      </c>
    </row>
    <row r="767" spans="1:10" x14ac:dyDescent="0.3">
      <c r="A767" s="2" t="s">
        <v>7074</v>
      </c>
      <c r="B767" s="2" t="s">
        <v>6955</v>
      </c>
      <c r="C767" s="2" t="s">
        <v>6956</v>
      </c>
      <c r="D767" s="3">
        <v>125280</v>
      </c>
      <c r="E767" s="3">
        <v>125280</v>
      </c>
      <c r="F767" s="2" t="s">
        <v>16</v>
      </c>
      <c r="G767">
        <v>1.2500000000000001E-2</v>
      </c>
      <c r="H767" s="9">
        <f t="shared" si="11"/>
        <v>0</v>
      </c>
      <c r="I767" t="s">
        <v>6955</v>
      </c>
      <c r="J767" t="s">
        <v>6956</v>
      </c>
    </row>
    <row r="768" spans="1:10" x14ac:dyDescent="0.3">
      <c r="A768" s="2" t="s">
        <v>7081</v>
      </c>
      <c r="B768" s="2" t="s">
        <v>86</v>
      </c>
      <c r="C768" s="2" t="s">
        <v>87</v>
      </c>
      <c r="D768" s="5">
        <v>-268</v>
      </c>
      <c r="E768" s="5">
        <v>-268</v>
      </c>
      <c r="F768" s="2" t="s">
        <v>23</v>
      </c>
      <c r="G768">
        <v>2.6600000000000002E-2</v>
      </c>
      <c r="H768" s="9">
        <f t="shared" si="11"/>
        <v>-10075.187969924811</v>
      </c>
      <c r="I768" t="s">
        <v>7090</v>
      </c>
      <c r="J768" t="s">
        <v>7091</v>
      </c>
    </row>
    <row r="769" spans="1:10" x14ac:dyDescent="0.3">
      <c r="A769" s="2" t="s">
        <v>7081</v>
      </c>
      <c r="B769" s="2" t="s">
        <v>7090</v>
      </c>
      <c r="C769" s="2" t="s">
        <v>7091</v>
      </c>
      <c r="D769" s="3">
        <v>120960</v>
      </c>
      <c r="E769" s="3">
        <v>120960</v>
      </c>
      <c r="F769" s="2" t="s">
        <v>16</v>
      </c>
      <c r="G769">
        <v>2.6600000000000002E-2</v>
      </c>
      <c r="H769" s="9">
        <f t="shared" si="11"/>
        <v>0</v>
      </c>
      <c r="I769" t="s">
        <v>7090</v>
      </c>
      <c r="J769" t="s">
        <v>7091</v>
      </c>
    </row>
    <row r="770" spans="1:10" x14ac:dyDescent="0.3">
      <c r="A770" s="2" t="s">
        <v>7095</v>
      </c>
      <c r="B770" s="2" t="s">
        <v>4988</v>
      </c>
      <c r="C770" s="2" t="s">
        <v>4989</v>
      </c>
      <c r="D770" s="3">
        <v>10080</v>
      </c>
      <c r="E770" s="3">
        <v>10080</v>
      </c>
      <c r="F770" s="2" t="s">
        <v>16</v>
      </c>
      <c r="G770">
        <v>2.6600000000000002E-2</v>
      </c>
      <c r="H770" s="9">
        <f t="shared" si="11"/>
        <v>0</v>
      </c>
      <c r="I770" t="s">
        <v>7090</v>
      </c>
      <c r="J770" t="s">
        <v>7091</v>
      </c>
    </row>
    <row r="771" spans="1:10" x14ac:dyDescent="0.3">
      <c r="A771" s="2" t="s">
        <v>7100</v>
      </c>
      <c r="B771" s="2" t="s">
        <v>4988</v>
      </c>
      <c r="C771" s="2" t="s">
        <v>4989</v>
      </c>
      <c r="D771" s="3">
        <v>10080</v>
      </c>
      <c r="E771" s="3">
        <v>10080</v>
      </c>
      <c r="F771" s="2" t="s">
        <v>16</v>
      </c>
      <c r="G771">
        <v>2.6600000000000002E-2</v>
      </c>
      <c r="H771" s="9">
        <f t="shared" ref="H771:H834" si="12">IFERROR(IF(LEFT(B771,1)="F",E771/G771,0),0)</f>
        <v>0</v>
      </c>
      <c r="I771" t="s">
        <v>7090</v>
      </c>
      <c r="J771" t="s">
        <v>7091</v>
      </c>
    </row>
    <row r="772" spans="1:10" x14ac:dyDescent="0.3">
      <c r="A772" s="2" t="s">
        <v>7105</v>
      </c>
      <c r="B772" s="2" t="s">
        <v>65</v>
      </c>
      <c r="C772" s="2" t="s">
        <v>66</v>
      </c>
      <c r="D772" s="5">
        <v>-304</v>
      </c>
      <c r="E772" s="5">
        <v>-304</v>
      </c>
      <c r="F772" s="2" t="s">
        <v>23</v>
      </c>
      <c r="G772">
        <v>3.5999999999999997E-2</v>
      </c>
      <c r="H772" s="9">
        <f t="shared" si="12"/>
        <v>-8444.4444444444453</v>
      </c>
      <c r="I772" t="s">
        <v>2086</v>
      </c>
      <c r="J772" t="s">
        <v>2087</v>
      </c>
    </row>
    <row r="773" spans="1:10" x14ac:dyDescent="0.3">
      <c r="A773" s="2" t="s">
        <v>7105</v>
      </c>
      <c r="B773" s="2" t="s">
        <v>2086</v>
      </c>
      <c r="C773" s="2" t="s">
        <v>2087</v>
      </c>
      <c r="D773" s="3">
        <v>84480</v>
      </c>
      <c r="E773" s="3">
        <v>3041.28</v>
      </c>
      <c r="F773" s="2" t="s">
        <v>23</v>
      </c>
      <c r="G773">
        <v>3.5999999999999997E-2</v>
      </c>
      <c r="H773" s="9">
        <f t="shared" si="12"/>
        <v>0</v>
      </c>
      <c r="I773" t="s">
        <v>2086</v>
      </c>
      <c r="J773" t="s">
        <v>2087</v>
      </c>
    </row>
    <row r="774" spans="1:10" x14ac:dyDescent="0.3">
      <c r="A774" s="2" t="s">
        <v>7118</v>
      </c>
      <c r="B774" s="2" t="s">
        <v>7090</v>
      </c>
      <c r="C774" s="2" t="s">
        <v>7091</v>
      </c>
      <c r="D774" s="3">
        <v>70560</v>
      </c>
      <c r="E774" s="3">
        <v>70560</v>
      </c>
      <c r="F774" s="2" t="s">
        <v>16</v>
      </c>
      <c r="G774">
        <v>2.6600000000000002E-2</v>
      </c>
      <c r="H774" s="9">
        <f t="shared" si="12"/>
        <v>0</v>
      </c>
      <c r="I774" t="s">
        <v>7090</v>
      </c>
      <c r="J774" t="s">
        <v>7091</v>
      </c>
    </row>
    <row r="775" spans="1:10" x14ac:dyDescent="0.3">
      <c r="A775" s="2" t="s">
        <v>7127</v>
      </c>
      <c r="B775" s="2" t="s">
        <v>5357</v>
      </c>
      <c r="C775" s="2" t="s">
        <v>5358</v>
      </c>
      <c r="D775" s="3">
        <v>596160</v>
      </c>
      <c r="E775" s="3">
        <v>596160</v>
      </c>
      <c r="F775" s="2" t="s">
        <v>16</v>
      </c>
      <c r="G775">
        <v>4.4999999999999998E-2</v>
      </c>
      <c r="H775" s="9">
        <f t="shared" si="12"/>
        <v>0</v>
      </c>
      <c r="I775" t="s">
        <v>5357</v>
      </c>
      <c r="J775" t="s">
        <v>5358</v>
      </c>
    </row>
    <row r="776" spans="1:10" x14ac:dyDescent="0.3">
      <c r="A776" s="2" t="s">
        <v>7136</v>
      </c>
      <c r="B776" s="2" t="s">
        <v>86</v>
      </c>
      <c r="C776" s="2" t="s">
        <v>87</v>
      </c>
      <c r="D776" s="5">
        <v>-444</v>
      </c>
      <c r="E776" s="5">
        <v>-444</v>
      </c>
      <c r="F776" s="2" t="s">
        <v>23</v>
      </c>
      <c r="G776">
        <v>7.45E-3</v>
      </c>
      <c r="H776" s="9">
        <f t="shared" si="12"/>
        <v>-59597.31543624161</v>
      </c>
      <c r="I776" t="s">
        <v>797</v>
      </c>
      <c r="J776" t="s">
        <v>798</v>
      </c>
    </row>
    <row r="777" spans="1:10" x14ac:dyDescent="0.3">
      <c r="A777" s="2" t="s">
        <v>7136</v>
      </c>
      <c r="B777" s="2" t="s">
        <v>4511</v>
      </c>
      <c r="C777" s="2" t="s">
        <v>4512</v>
      </c>
      <c r="D777" s="3">
        <v>806760</v>
      </c>
      <c r="E777" s="3">
        <v>806760</v>
      </c>
      <c r="F777" s="2" t="s">
        <v>16</v>
      </c>
      <c r="G777">
        <v>7.45E-3</v>
      </c>
      <c r="H777" s="9">
        <f t="shared" si="12"/>
        <v>0</v>
      </c>
      <c r="I777" t="s">
        <v>797</v>
      </c>
      <c r="J777" t="s">
        <v>798</v>
      </c>
    </row>
    <row r="778" spans="1:10" x14ac:dyDescent="0.3">
      <c r="A778" s="2" t="s">
        <v>7153</v>
      </c>
      <c r="B778" s="2" t="s">
        <v>1667</v>
      </c>
      <c r="C778" s="2" t="s">
        <v>1668</v>
      </c>
      <c r="D778" s="3">
        <v>62640</v>
      </c>
      <c r="E778" s="3">
        <v>62640</v>
      </c>
      <c r="F778" s="2" t="s">
        <v>16</v>
      </c>
      <c r="G778">
        <v>1.15E-2</v>
      </c>
      <c r="H778" s="9">
        <f t="shared" si="12"/>
        <v>0</v>
      </c>
      <c r="I778" t="s">
        <v>1667</v>
      </c>
      <c r="J778" t="s">
        <v>1668</v>
      </c>
    </row>
    <row r="779" spans="1:10" x14ac:dyDescent="0.3">
      <c r="A779" s="2" t="s">
        <v>7158</v>
      </c>
      <c r="B779" s="2" t="s">
        <v>121</v>
      </c>
      <c r="C779" s="2" t="s">
        <v>122</v>
      </c>
      <c r="D779" s="3">
        <v>26496</v>
      </c>
      <c r="E779" s="3">
        <v>26496</v>
      </c>
      <c r="F779" s="2" t="s">
        <v>16</v>
      </c>
      <c r="G779">
        <v>4.4999999999999998E-2</v>
      </c>
      <c r="H779" s="9">
        <f t="shared" si="12"/>
        <v>0</v>
      </c>
      <c r="I779" t="s">
        <v>5357</v>
      </c>
      <c r="J779" t="s">
        <v>5358</v>
      </c>
    </row>
    <row r="780" spans="1:10" x14ac:dyDescent="0.3">
      <c r="A780" s="2" t="s">
        <v>7167</v>
      </c>
      <c r="B780" s="2" t="s">
        <v>4791</v>
      </c>
      <c r="C780" s="2" t="s">
        <v>4792</v>
      </c>
      <c r="D780" s="3">
        <v>72864</v>
      </c>
      <c r="E780" s="3">
        <v>72864</v>
      </c>
      <c r="F780" s="2" t="s">
        <v>16</v>
      </c>
      <c r="G780">
        <v>4.4999999999999998E-2</v>
      </c>
      <c r="H780" s="9">
        <f t="shared" si="12"/>
        <v>0</v>
      </c>
      <c r="I780" t="s">
        <v>5347</v>
      </c>
      <c r="J780" t="s">
        <v>5348</v>
      </c>
    </row>
    <row r="781" spans="1:10" x14ac:dyDescent="0.3">
      <c r="A781" s="2" t="s">
        <v>7176</v>
      </c>
      <c r="B781" s="2" t="s">
        <v>97</v>
      </c>
      <c r="C781" s="2" t="s">
        <v>98</v>
      </c>
      <c r="D781" s="3">
        <v>249600</v>
      </c>
      <c r="E781" s="3">
        <v>249600</v>
      </c>
      <c r="F781" s="2" t="s">
        <v>16</v>
      </c>
      <c r="G781">
        <v>5.1999999999999998E-2</v>
      </c>
      <c r="H781" s="9">
        <f t="shared" si="12"/>
        <v>0</v>
      </c>
      <c r="I781" t="s">
        <v>97</v>
      </c>
      <c r="J781" t="s">
        <v>98</v>
      </c>
    </row>
    <row r="782" spans="1:10" x14ac:dyDescent="0.3">
      <c r="A782" s="2" t="s">
        <v>7185</v>
      </c>
      <c r="B782" s="2" t="s">
        <v>86</v>
      </c>
      <c r="C782" s="2" t="s">
        <v>87</v>
      </c>
      <c r="D782" s="3">
        <v>0</v>
      </c>
      <c r="E782" s="3">
        <v>0</v>
      </c>
      <c r="F782" s="2" t="s">
        <v>23</v>
      </c>
      <c r="G782">
        <v>7.45E-3</v>
      </c>
      <c r="H782" s="9">
        <f t="shared" si="12"/>
        <v>0</v>
      </c>
      <c r="I782" t="s">
        <v>797</v>
      </c>
      <c r="J782" t="s">
        <v>798</v>
      </c>
    </row>
    <row r="783" spans="1:10" x14ac:dyDescent="0.3">
      <c r="A783" s="2" t="s">
        <v>7185</v>
      </c>
      <c r="B783" s="2" t="s">
        <v>4511</v>
      </c>
      <c r="C783" s="2" t="s">
        <v>4512</v>
      </c>
      <c r="D783" s="3">
        <v>717120</v>
      </c>
      <c r="E783" s="3">
        <v>717120</v>
      </c>
      <c r="F783" s="2" t="s">
        <v>16</v>
      </c>
      <c r="G783">
        <v>7.45E-3</v>
      </c>
      <c r="H783" s="9">
        <f t="shared" si="12"/>
        <v>0</v>
      </c>
      <c r="I783" t="s">
        <v>797</v>
      </c>
      <c r="J783" t="s">
        <v>798</v>
      </c>
    </row>
    <row r="784" spans="1:10" x14ac:dyDescent="0.3">
      <c r="A784" s="2" t="s">
        <v>7198</v>
      </c>
      <c r="B784" s="2" t="s">
        <v>5357</v>
      </c>
      <c r="C784" s="2" t="s">
        <v>5358</v>
      </c>
      <c r="D784" s="3">
        <v>39744</v>
      </c>
      <c r="E784" s="3">
        <v>39744</v>
      </c>
      <c r="F784" s="2" t="s">
        <v>16</v>
      </c>
      <c r="G784">
        <v>4.4999999999999998E-2</v>
      </c>
      <c r="H784" s="9">
        <f t="shared" si="12"/>
        <v>0</v>
      </c>
      <c r="I784" t="s">
        <v>5357</v>
      </c>
      <c r="J784" t="s">
        <v>5358</v>
      </c>
    </row>
    <row r="785" spans="1:10" x14ac:dyDescent="0.3">
      <c r="A785" s="2" t="s">
        <v>7207</v>
      </c>
      <c r="B785" s="2" t="s">
        <v>97</v>
      </c>
      <c r="C785" s="2" t="s">
        <v>98</v>
      </c>
      <c r="D785" s="3">
        <v>206400</v>
      </c>
      <c r="E785" s="3">
        <v>206400</v>
      </c>
      <c r="F785" s="2" t="s">
        <v>16</v>
      </c>
      <c r="G785">
        <v>5.1999999999999998E-2</v>
      </c>
      <c r="H785" s="9">
        <f t="shared" si="12"/>
        <v>0</v>
      </c>
      <c r="I785" t="s">
        <v>97</v>
      </c>
      <c r="J785" t="s">
        <v>98</v>
      </c>
    </row>
    <row r="786" spans="1:10" x14ac:dyDescent="0.3">
      <c r="A786" s="2" t="s">
        <v>7216</v>
      </c>
      <c r="B786" s="2" t="s">
        <v>86</v>
      </c>
      <c r="C786" s="2" t="s">
        <v>87</v>
      </c>
      <c r="D786" s="5">
        <v>-222</v>
      </c>
      <c r="E786" s="5">
        <v>-222</v>
      </c>
      <c r="F786" s="2" t="s">
        <v>23</v>
      </c>
      <c r="G786">
        <v>7.45E-3</v>
      </c>
      <c r="H786" s="9">
        <f t="shared" si="12"/>
        <v>-29798.657718120805</v>
      </c>
      <c r="I786" t="s">
        <v>797</v>
      </c>
      <c r="J786" t="s">
        <v>798</v>
      </c>
    </row>
    <row r="787" spans="1:10" x14ac:dyDescent="0.3">
      <c r="A787" s="2" t="s">
        <v>7216</v>
      </c>
      <c r="B787" s="2" t="s">
        <v>4511</v>
      </c>
      <c r="C787" s="2" t="s">
        <v>4512</v>
      </c>
      <c r="D787" s="3">
        <v>478080</v>
      </c>
      <c r="E787" s="3">
        <v>478080</v>
      </c>
      <c r="F787" s="2" t="s">
        <v>16</v>
      </c>
      <c r="G787">
        <v>7.45E-3</v>
      </c>
      <c r="H787" s="9">
        <f t="shared" si="12"/>
        <v>0</v>
      </c>
      <c r="I787" t="s">
        <v>797</v>
      </c>
      <c r="J787" t="s">
        <v>798</v>
      </c>
    </row>
    <row r="788" spans="1:10" x14ac:dyDescent="0.3">
      <c r="A788" s="2" t="s">
        <v>7229</v>
      </c>
      <c r="B788" s="2" t="s">
        <v>5357</v>
      </c>
      <c r="C788" s="2" t="s">
        <v>5358</v>
      </c>
      <c r="D788" s="3">
        <v>503424</v>
      </c>
      <c r="E788" s="3">
        <v>503424</v>
      </c>
      <c r="F788" s="2" t="s">
        <v>16</v>
      </c>
      <c r="G788">
        <v>4.4999999999999998E-2</v>
      </c>
      <c r="H788" s="9">
        <f t="shared" si="12"/>
        <v>0</v>
      </c>
      <c r="I788" t="s">
        <v>5357</v>
      </c>
      <c r="J788" t="s">
        <v>5358</v>
      </c>
    </row>
    <row r="789" spans="1:10" x14ac:dyDescent="0.3">
      <c r="A789" s="2" t="s">
        <v>7238</v>
      </c>
      <c r="B789" s="2" t="s">
        <v>86</v>
      </c>
      <c r="C789" s="2" t="s">
        <v>87</v>
      </c>
      <c r="D789" s="5">
        <v>-444</v>
      </c>
      <c r="E789" s="5">
        <v>-444</v>
      </c>
      <c r="F789" s="2" t="s">
        <v>23</v>
      </c>
      <c r="G789">
        <v>7.45E-3</v>
      </c>
      <c r="H789" s="9">
        <f t="shared" si="12"/>
        <v>-59597.31543624161</v>
      </c>
      <c r="I789" t="s">
        <v>797</v>
      </c>
      <c r="J789" t="s">
        <v>798</v>
      </c>
    </row>
    <row r="790" spans="1:10" x14ac:dyDescent="0.3">
      <c r="A790" s="2" t="s">
        <v>7238</v>
      </c>
      <c r="B790" s="2" t="s">
        <v>4511</v>
      </c>
      <c r="C790" s="2" t="s">
        <v>4512</v>
      </c>
      <c r="D790" s="3">
        <v>597600</v>
      </c>
      <c r="E790" s="3">
        <v>597600</v>
      </c>
      <c r="F790" s="2" t="s">
        <v>16</v>
      </c>
      <c r="G790">
        <v>7.45E-3</v>
      </c>
      <c r="H790" s="9">
        <f t="shared" si="12"/>
        <v>0</v>
      </c>
      <c r="I790" t="s">
        <v>797</v>
      </c>
      <c r="J790" t="s">
        <v>798</v>
      </c>
    </row>
    <row r="791" spans="1:10" x14ac:dyDescent="0.3">
      <c r="A791" s="2" t="s">
        <v>7251</v>
      </c>
      <c r="B791" s="2" t="s">
        <v>5357</v>
      </c>
      <c r="C791" s="2" t="s">
        <v>5358</v>
      </c>
      <c r="D791" s="3">
        <v>139104</v>
      </c>
      <c r="E791" s="3">
        <v>139104</v>
      </c>
      <c r="F791" s="2" t="s">
        <v>16</v>
      </c>
      <c r="G791">
        <v>4.4999999999999998E-2</v>
      </c>
      <c r="H791" s="9">
        <f t="shared" si="12"/>
        <v>0</v>
      </c>
      <c r="I791" t="s">
        <v>5357</v>
      </c>
      <c r="J791" t="s">
        <v>5358</v>
      </c>
    </row>
    <row r="792" spans="1:10" x14ac:dyDescent="0.3">
      <c r="A792" s="2" t="s">
        <v>7260</v>
      </c>
      <c r="B792" s="2" t="s">
        <v>97</v>
      </c>
      <c r="C792" s="2" t="s">
        <v>98</v>
      </c>
      <c r="D792" s="3">
        <v>436800</v>
      </c>
      <c r="E792" s="3">
        <v>436800</v>
      </c>
      <c r="F792" s="2" t="s">
        <v>16</v>
      </c>
      <c r="G792">
        <v>5.1999999999999998E-2</v>
      </c>
      <c r="H792" s="9">
        <f t="shared" si="12"/>
        <v>0</v>
      </c>
      <c r="I792" t="s">
        <v>97</v>
      </c>
      <c r="J792" t="s">
        <v>98</v>
      </c>
    </row>
    <row r="793" spans="1:10" x14ac:dyDescent="0.3">
      <c r="A793" s="2" t="s">
        <v>7269</v>
      </c>
      <c r="B793" s="2" t="s">
        <v>65</v>
      </c>
      <c r="C793" s="2" t="s">
        <v>66</v>
      </c>
      <c r="D793" s="5">
        <v>-498</v>
      </c>
      <c r="E793" s="5">
        <v>-498</v>
      </c>
      <c r="F793" s="2" t="s">
        <v>23</v>
      </c>
      <c r="G793">
        <v>5.1999999999999998E-2</v>
      </c>
      <c r="H793" s="9">
        <f t="shared" si="12"/>
        <v>-9576.923076923078</v>
      </c>
      <c r="I793" t="s">
        <v>1170</v>
      </c>
      <c r="J793" t="s">
        <v>1171</v>
      </c>
    </row>
    <row r="794" spans="1:10" x14ac:dyDescent="0.3">
      <c r="A794" s="2" t="s">
        <v>7269</v>
      </c>
      <c r="B794" s="2" t="s">
        <v>97</v>
      </c>
      <c r="C794" s="2" t="s">
        <v>98</v>
      </c>
      <c r="D794" s="3">
        <v>100800</v>
      </c>
      <c r="E794" s="3">
        <v>100800</v>
      </c>
      <c r="F794" s="2" t="s">
        <v>16</v>
      </c>
      <c r="G794">
        <v>5.1999999999999998E-2</v>
      </c>
      <c r="H794" s="9">
        <f t="shared" si="12"/>
        <v>0</v>
      </c>
      <c r="I794" t="s">
        <v>1170</v>
      </c>
      <c r="J794" t="s">
        <v>1171</v>
      </c>
    </row>
    <row r="795" spans="1:10" x14ac:dyDescent="0.3">
      <c r="A795" s="2" t="s">
        <v>7282</v>
      </c>
      <c r="B795" s="2" t="s">
        <v>517</v>
      </c>
      <c r="C795" s="2" t="s">
        <v>518</v>
      </c>
      <c r="D795" s="3">
        <v>161280</v>
      </c>
      <c r="E795" s="3">
        <v>161280</v>
      </c>
      <c r="F795" s="2" t="s">
        <v>16</v>
      </c>
      <c r="G795">
        <v>2.6600000000000002E-2</v>
      </c>
      <c r="H795" s="9">
        <f t="shared" si="12"/>
        <v>0</v>
      </c>
      <c r="I795" t="s">
        <v>517</v>
      </c>
      <c r="J795" t="s">
        <v>518</v>
      </c>
    </row>
    <row r="796" spans="1:10" x14ac:dyDescent="0.3">
      <c r="A796" s="2" t="s">
        <v>7291</v>
      </c>
      <c r="B796" s="2" t="s">
        <v>65</v>
      </c>
      <c r="C796" s="2" t="s">
        <v>66</v>
      </c>
      <c r="D796" s="5">
        <v>-577</v>
      </c>
      <c r="E796" s="5">
        <v>-577</v>
      </c>
      <c r="F796" s="2" t="s">
        <v>23</v>
      </c>
      <c r="G796">
        <v>1.4E-2</v>
      </c>
      <c r="H796" s="9">
        <f t="shared" si="12"/>
        <v>-41214.28571428571</v>
      </c>
      <c r="I796" t="s">
        <v>947</v>
      </c>
      <c r="J796" t="s">
        <v>948</v>
      </c>
    </row>
    <row r="797" spans="1:10" x14ac:dyDescent="0.3">
      <c r="A797" s="2" t="s">
        <v>7291</v>
      </c>
      <c r="B797" s="2" t="s">
        <v>947</v>
      </c>
      <c r="C797" s="2" t="s">
        <v>948</v>
      </c>
      <c r="D797" s="3">
        <v>206400</v>
      </c>
      <c r="E797" s="3">
        <v>206400</v>
      </c>
      <c r="F797" s="2" t="s">
        <v>16</v>
      </c>
      <c r="G797">
        <v>1.4E-2</v>
      </c>
      <c r="H797" s="9">
        <f t="shared" si="12"/>
        <v>0</v>
      </c>
      <c r="I797" t="s">
        <v>947</v>
      </c>
      <c r="J797" t="s">
        <v>948</v>
      </c>
    </row>
    <row r="798" spans="1:10" x14ac:dyDescent="0.3">
      <c r="A798" s="2" t="s">
        <v>7304</v>
      </c>
      <c r="B798" s="2" t="s">
        <v>517</v>
      </c>
      <c r="C798" s="2" t="s">
        <v>518</v>
      </c>
      <c r="D798" s="3">
        <v>483840</v>
      </c>
      <c r="E798" s="3">
        <v>483840</v>
      </c>
      <c r="F798" s="2" t="s">
        <v>16</v>
      </c>
      <c r="G798">
        <v>2.6600000000000002E-2</v>
      </c>
      <c r="H798" s="9">
        <f t="shared" si="12"/>
        <v>0</v>
      </c>
      <c r="I798" t="s">
        <v>517</v>
      </c>
      <c r="J798" t="s">
        <v>518</v>
      </c>
    </row>
    <row r="799" spans="1:10" x14ac:dyDescent="0.3">
      <c r="A799" s="2" t="s">
        <v>7313</v>
      </c>
      <c r="B799" s="2" t="s">
        <v>86</v>
      </c>
      <c r="C799" s="2" t="s">
        <v>87</v>
      </c>
      <c r="D799" s="5">
        <v>-222</v>
      </c>
      <c r="E799" s="5">
        <v>-222</v>
      </c>
      <c r="F799" s="2" t="s">
        <v>23</v>
      </c>
      <c r="G799">
        <v>7.45E-3</v>
      </c>
      <c r="H799" s="9">
        <f t="shared" si="12"/>
        <v>-29798.657718120805</v>
      </c>
      <c r="I799" t="s">
        <v>797</v>
      </c>
      <c r="J799" t="s">
        <v>798</v>
      </c>
    </row>
    <row r="800" spans="1:10" x14ac:dyDescent="0.3">
      <c r="A800" s="2" t="s">
        <v>7313</v>
      </c>
      <c r="B800" s="2" t="s">
        <v>4511</v>
      </c>
      <c r="C800" s="2" t="s">
        <v>4512</v>
      </c>
      <c r="D800" s="3">
        <v>388440</v>
      </c>
      <c r="E800" s="3">
        <v>388440</v>
      </c>
      <c r="F800" s="2" t="s">
        <v>16</v>
      </c>
      <c r="G800">
        <v>7.45E-3</v>
      </c>
      <c r="H800" s="9">
        <f t="shared" si="12"/>
        <v>0</v>
      </c>
      <c r="I800" t="s">
        <v>797</v>
      </c>
      <c r="J800" t="s">
        <v>798</v>
      </c>
    </row>
    <row r="801" spans="1:10" x14ac:dyDescent="0.3">
      <c r="A801" s="2" t="s">
        <v>7326</v>
      </c>
      <c r="B801" s="2" t="s">
        <v>797</v>
      </c>
      <c r="C801" s="2" t="s">
        <v>798</v>
      </c>
      <c r="D801" s="3">
        <v>89640</v>
      </c>
      <c r="E801" s="3">
        <v>89640</v>
      </c>
      <c r="F801" s="2" t="s">
        <v>16</v>
      </c>
      <c r="G801">
        <v>7.45E-3</v>
      </c>
      <c r="H801" s="9">
        <f t="shared" si="12"/>
        <v>0</v>
      </c>
      <c r="I801" t="s">
        <v>797</v>
      </c>
      <c r="J801" t="s">
        <v>798</v>
      </c>
    </row>
    <row r="802" spans="1:10" x14ac:dyDescent="0.3">
      <c r="A802" s="2" t="s">
        <v>7335</v>
      </c>
      <c r="B802" s="2" t="s">
        <v>2086</v>
      </c>
      <c r="C802" s="2" t="s">
        <v>2087</v>
      </c>
      <c r="D802" s="3">
        <v>38016</v>
      </c>
      <c r="E802" s="3">
        <v>38016</v>
      </c>
      <c r="F802" s="2" t="s">
        <v>16</v>
      </c>
      <c r="G802">
        <v>3.5999999999999997E-2</v>
      </c>
      <c r="H802" s="9">
        <f t="shared" si="12"/>
        <v>0</v>
      </c>
      <c r="I802" t="s">
        <v>2086</v>
      </c>
      <c r="J802" t="s">
        <v>2087</v>
      </c>
    </row>
    <row r="803" spans="1:10" x14ac:dyDescent="0.3">
      <c r="A803" s="2" t="s">
        <v>7344</v>
      </c>
      <c r="B803" s="2" t="s">
        <v>65</v>
      </c>
      <c r="C803" s="2" t="s">
        <v>66</v>
      </c>
      <c r="D803" s="5">
        <v>-76</v>
      </c>
      <c r="E803" s="5">
        <v>-76</v>
      </c>
      <c r="F803" s="2" t="s">
        <v>23</v>
      </c>
      <c r="G803">
        <v>3.5999999999999997E-2</v>
      </c>
      <c r="H803" s="9">
        <f t="shared" si="12"/>
        <v>-2111.1111111111113</v>
      </c>
      <c r="I803" t="s">
        <v>70</v>
      </c>
      <c r="J803" t="s">
        <v>71</v>
      </c>
    </row>
    <row r="804" spans="1:10" x14ac:dyDescent="0.3">
      <c r="A804" s="2" t="s">
        <v>7344</v>
      </c>
      <c r="B804" s="2" t="s">
        <v>2086</v>
      </c>
      <c r="C804" s="2" t="s">
        <v>2087</v>
      </c>
      <c r="D804" s="3">
        <v>21120</v>
      </c>
      <c r="E804" s="3">
        <v>21120</v>
      </c>
      <c r="F804" s="2" t="s">
        <v>16</v>
      </c>
      <c r="G804">
        <v>3.5999999999999997E-2</v>
      </c>
      <c r="H804" s="9">
        <f t="shared" si="12"/>
        <v>0</v>
      </c>
      <c r="I804" t="s">
        <v>70</v>
      </c>
      <c r="J804" t="s">
        <v>71</v>
      </c>
    </row>
    <row r="805" spans="1:10" x14ac:dyDescent="0.3">
      <c r="A805" s="2" t="s">
        <v>7353</v>
      </c>
      <c r="B805" s="2" t="s">
        <v>2086</v>
      </c>
      <c r="C805" s="2" t="s">
        <v>2087</v>
      </c>
      <c r="D805" s="3">
        <v>6336</v>
      </c>
      <c r="E805" s="3">
        <v>6336</v>
      </c>
      <c r="F805" s="2" t="s">
        <v>16</v>
      </c>
      <c r="G805">
        <v>3.5999999999999997E-2</v>
      </c>
      <c r="H805" s="9">
        <f t="shared" si="12"/>
        <v>0</v>
      </c>
      <c r="I805" t="s">
        <v>70</v>
      </c>
      <c r="J805" t="s">
        <v>71</v>
      </c>
    </row>
    <row r="806" spans="1:10" x14ac:dyDescent="0.3">
      <c r="A806" s="2" t="s">
        <v>7362</v>
      </c>
      <c r="B806" s="2" t="s">
        <v>5357</v>
      </c>
      <c r="C806" s="2" t="s">
        <v>5358</v>
      </c>
      <c r="D806" s="3">
        <v>311328</v>
      </c>
      <c r="E806" s="3">
        <v>311328</v>
      </c>
      <c r="F806" s="2" t="s">
        <v>16</v>
      </c>
      <c r="G806">
        <v>4.4999999999999998E-2</v>
      </c>
      <c r="H806" s="9">
        <f t="shared" si="12"/>
        <v>0</v>
      </c>
      <c r="I806" t="s">
        <v>5357</v>
      </c>
      <c r="J806" t="s">
        <v>5358</v>
      </c>
    </row>
    <row r="807" spans="1:10" x14ac:dyDescent="0.3">
      <c r="A807" s="2" t="s">
        <v>7371</v>
      </c>
      <c r="B807" s="2" t="s">
        <v>4791</v>
      </c>
      <c r="C807" s="2" t="s">
        <v>4792</v>
      </c>
      <c r="D807" s="3">
        <v>317952</v>
      </c>
      <c r="E807" s="3">
        <v>317952</v>
      </c>
      <c r="F807" s="2" t="s">
        <v>16</v>
      </c>
      <c r="G807">
        <v>4.4999999999999998E-2</v>
      </c>
      <c r="H807" s="9">
        <f t="shared" si="12"/>
        <v>0</v>
      </c>
      <c r="I807" t="s">
        <v>4791</v>
      </c>
      <c r="J807" t="s">
        <v>4792</v>
      </c>
    </row>
    <row r="808" spans="1:10" x14ac:dyDescent="0.3">
      <c r="A808" s="2" t="s">
        <v>7380</v>
      </c>
      <c r="B808" s="2" t="s">
        <v>4791</v>
      </c>
      <c r="C808" s="2" t="s">
        <v>4792</v>
      </c>
      <c r="D808" s="3">
        <v>635904</v>
      </c>
      <c r="E808" s="3">
        <v>635904</v>
      </c>
      <c r="F808" s="2" t="s">
        <v>16</v>
      </c>
      <c r="G808">
        <v>4.4999999999999998E-2</v>
      </c>
      <c r="H808" s="9">
        <f t="shared" si="12"/>
        <v>0</v>
      </c>
      <c r="I808" t="s">
        <v>4791</v>
      </c>
      <c r="J808" t="s">
        <v>4792</v>
      </c>
    </row>
    <row r="809" spans="1:10" x14ac:dyDescent="0.3">
      <c r="A809" s="2" t="s">
        <v>7389</v>
      </c>
      <c r="B809" s="2" t="s">
        <v>86</v>
      </c>
      <c r="C809" s="2" t="s">
        <v>87</v>
      </c>
      <c r="D809" s="5">
        <v>-222</v>
      </c>
      <c r="E809" s="5">
        <v>-222</v>
      </c>
      <c r="F809" s="2" t="s">
        <v>23</v>
      </c>
      <c r="G809">
        <v>7.45E-3</v>
      </c>
      <c r="H809" s="9">
        <f t="shared" si="12"/>
        <v>-29798.657718120805</v>
      </c>
      <c r="I809" t="s">
        <v>797</v>
      </c>
      <c r="J809" t="s">
        <v>798</v>
      </c>
    </row>
    <row r="810" spans="1:10" x14ac:dyDescent="0.3">
      <c r="A810" s="2" t="s">
        <v>7389</v>
      </c>
      <c r="B810" s="2" t="s">
        <v>4511</v>
      </c>
      <c r="C810" s="2" t="s">
        <v>4512</v>
      </c>
      <c r="D810" s="3">
        <v>448200</v>
      </c>
      <c r="E810" s="3">
        <v>448200</v>
      </c>
      <c r="F810" s="2" t="s">
        <v>16</v>
      </c>
      <c r="G810">
        <v>7.45E-3</v>
      </c>
      <c r="H810" s="9">
        <f t="shared" si="12"/>
        <v>0</v>
      </c>
      <c r="I810" t="s">
        <v>797</v>
      </c>
      <c r="J810" t="s">
        <v>798</v>
      </c>
    </row>
    <row r="811" spans="1:10" x14ac:dyDescent="0.3">
      <c r="A811" s="2" t="s">
        <v>7402</v>
      </c>
      <c r="B811" s="2" t="s">
        <v>86</v>
      </c>
      <c r="C811" s="2" t="s">
        <v>87</v>
      </c>
      <c r="D811" s="5">
        <v>-515</v>
      </c>
      <c r="E811" s="5">
        <v>-515</v>
      </c>
      <c r="F811" s="2" t="s">
        <v>23</v>
      </c>
      <c r="G811">
        <v>1.15E-2</v>
      </c>
      <c r="H811" s="9">
        <f t="shared" si="12"/>
        <v>-44782.608695652176</v>
      </c>
      <c r="I811" t="s">
        <v>1667</v>
      </c>
      <c r="J811" t="s">
        <v>1668</v>
      </c>
    </row>
    <row r="812" spans="1:10" x14ac:dyDescent="0.3">
      <c r="A812" s="2" t="s">
        <v>7402</v>
      </c>
      <c r="B812" s="2" t="s">
        <v>1667</v>
      </c>
      <c r="C812" s="2" t="s">
        <v>1668</v>
      </c>
      <c r="D812" s="3">
        <v>149240</v>
      </c>
      <c r="E812" s="3">
        <v>146160</v>
      </c>
      <c r="F812" s="2" t="s">
        <v>16</v>
      </c>
      <c r="G812">
        <v>1.15E-2</v>
      </c>
      <c r="H812" s="9">
        <f t="shared" si="12"/>
        <v>0</v>
      </c>
      <c r="I812" t="s">
        <v>1667</v>
      </c>
      <c r="J812" t="s">
        <v>1668</v>
      </c>
    </row>
    <row r="813" spans="1:10" x14ac:dyDescent="0.3">
      <c r="A813" s="2" t="s">
        <v>7415</v>
      </c>
      <c r="B813" s="2" t="s">
        <v>5357</v>
      </c>
      <c r="C813" s="2" t="s">
        <v>5358</v>
      </c>
      <c r="D813" s="3">
        <v>13248</v>
      </c>
      <c r="E813" s="3">
        <v>13248</v>
      </c>
      <c r="F813" s="2" t="s">
        <v>16</v>
      </c>
      <c r="G813">
        <v>4.4999999999999998E-2</v>
      </c>
      <c r="H813" s="9">
        <f t="shared" si="12"/>
        <v>0</v>
      </c>
      <c r="I813" t="s">
        <v>5357</v>
      </c>
      <c r="J813" t="s">
        <v>5358</v>
      </c>
    </row>
    <row r="814" spans="1:10" x14ac:dyDescent="0.3">
      <c r="A814" s="2" t="s">
        <v>7424</v>
      </c>
      <c r="B814" s="2" t="s">
        <v>2168</v>
      </c>
      <c r="C814" s="2" t="s">
        <v>2169</v>
      </c>
      <c r="D814" s="3">
        <v>10620</v>
      </c>
      <c r="E814" s="3">
        <v>10620</v>
      </c>
      <c r="F814" s="2" t="s">
        <v>16</v>
      </c>
      <c r="G814">
        <v>3.0499999999999999E-2</v>
      </c>
      <c r="H814" s="9">
        <f t="shared" si="12"/>
        <v>0</v>
      </c>
      <c r="I814" t="s">
        <v>2168</v>
      </c>
      <c r="J814" t="s">
        <v>2169</v>
      </c>
    </row>
    <row r="815" spans="1:10" x14ac:dyDescent="0.3">
      <c r="A815" s="2" t="s">
        <v>7433</v>
      </c>
      <c r="B815" s="2" t="s">
        <v>2168</v>
      </c>
      <c r="C815" s="2" t="s">
        <v>2169</v>
      </c>
      <c r="D815" s="3">
        <v>13140</v>
      </c>
      <c r="E815" s="3">
        <v>10620</v>
      </c>
      <c r="F815" s="2" t="s">
        <v>16</v>
      </c>
      <c r="G815">
        <v>3.0499999999999999E-2</v>
      </c>
      <c r="H815" s="9">
        <f t="shared" si="12"/>
        <v>0</v>
      </c>
      <c r="I815" t="s">
        <v>2168</v>
      </c>
      <c r="J815" t="s">
        <v>2169</v>
      </c>
    </row>
    <row r="816" spans="1:10" x14ac:dyDescent="0.3">
      <c r="A816" s="2" t="s">
        <v>7438</v>
      </c>
      <c r="B816" s="2" t="s">
        <v>7439</v>
      </c>
      <c r="C816" s="2" t="s">
        <v>7440</v>
      </c>
      <c r="D816" s="3">
        <v>43680</v>
      </c>
      <c r="E816" s="3">
        <v>0</v>
      </c>
      <c r="F816" s="2" t="s">
        <v>16</v>
      </c>
      <c r="H816" s="9">
        <f t="shared" si="12"/>
        <v>0</v>
      </c>
      <c r="I816" t="e">
        <v>#N/A</v>
      </c>
      <c r="J816" t="e">
        <v>#N/A</v>
      </c>
    </row>
    <row r="817" spans="1:10" x14ac:dyDescent="0.3">
      <c r="A817" s="2" t="s">
        <v>7444</v>
      </c>
      <c r="B817" s="2" t="s">
        <v>740</v>
      </c>
      <c r="C817" s="2" t="s">
        <v>741</v>
      </c>
      <c r="D817" s="3">
        <v>509760</v>
      </c>
      <c r="E817" s="3">
        <v>509760</v>
      </c>
      <c r="F817" s="2" t="s">
        <v>16</v>
      </c>
      <c r="G817">
        <v>3.0499999999999999E-2</v>
      </c>
      <c r="H817" s="9">
        <f t="shared" si="12"/>
        <v>0</v>
      </c>
      <c r="I817" t="s">
        <v>740</v>
      </c>
      <c r="J817" t="s">
        <v>741</v>
      </c>
    </row>
    <row r="818" spans="1:10" x14ac:dyDescent="0.3">
      <c r="A818" s="2" t="s">
        <v>7449</v>
      </c>
      <c r="B818" s="2" t="s">
        <v>740</v>
      </c>
      <c r="C818" s="2" t="s">
        <v>741</v>
      </c>
      <c r="D818" s="3">
        <v>329220</v>
      </c>
      <c r="E818" s="3">
        <v>329220</v>
      </c>
      <c r="F818" s="2" t="s">
        <v>16</v>
      </c>
      <c r="G818">
        <v>3.0499999999999999E-2</v>
      </c>
      <c r="H818" s="9">
        <f t="shared" si="12"/>
        <v>0</v>
      </c>
      <c r="I818" t="s">
        <v>740</v>
      </c>
      <c r="J818" t="s">
        <v>741</v>
      </c>
    </row>
    <row r="819" spans="1:10" x14ac:dyDescent="0.3">
      <c r="A819" s="2" t="s">
        <v>7458</v>
      </c>
      <c r="B819" s="2" t="s">
        <v>86</v>
      </c>
      <c r="C819" s="2" t="s">
        <v>87</v>
      </c>
      <c r="D819" s="5">
        <v>-238</v>
      </c>
      <c r="E819" s="5">
        <v>-238</v>
      </c>
      <c r="F819" s="2" t="s">
        <v>23</v>
      </c>
      <c r="G819">
        <v>9.4000000000000004E-3</v>
      </c>
      <c r="H819" s="9">
        <f t="shared" si="12"/>
        <v>-25319.148936170212</v>
      </c>
      <c r="I819" t="s">
        <v>3028</v>
      </c>
      <c r="J819" t="s">
        <v>3029</v>
      </c>
    </row>
    <row r="820" spans="1:10" x14ac:dyDescent="0.3">
      <c r="A820" s="2" t="s">
        <v>7458</v>
      </c>
      <c r="B820" s="2" t="s">
        <v>6977</v>
      </c>
      <c r="C820" s="2" t="s">
        <v>6978</v>
      </c>
      <c r="D820" s="3">
        <v>583740</v>
      </c>
      <c r="E820" s="3">
        <v>583740</v>
      </c>
      <c r="F820" s="2" t="s">
        <v>16</v>
      </c>
      <c r="G820">
        <v>9.4000000000000004E-3</v>
      </c>
      <c r="H820" s="9">
        <f t="shared" si="12"/>
        <v>0</v>
      </c>
      <c r="I820" t="s">
        <v>3028</v>
      </c>
      <c r="J820" t="s">
        <v>3029</v>
      </c>
    </row>
    <row r="821" spans="1:10" x14ac:dyDescent="0.3">
      <c r="A821" s="2" t="s">
        <v>7471</v>
      </c>
      <c r="B821" s="2" t="s">
        <v>517</v>
      </c>
      <c r="C821" s="2" t="s">
        <v>518</v>
      </c>
      <c r="D821" s="3">
        <v>10080</v>
      </c>
      <c r="E821" s="3">
        <v>10080</v>
      </c>
      <c r="F821" s="2" t="s">
        <v>16</v>
      </c>
      <c r="G821">
        <v>2.6600000000000002E-2</v>
      </c>
      <c r="H821" s="9">
        <f t="shared" si="12"/>
        <v>0</v>
      </c>
      <c r="I821" t="s">
        <v>517</v>
      </c>
      <c r="J821" t="s">
        <v>518</v>
      </c>
    </row>
    <row r="822" spans="1:10" x14ac:dyDescent="0.3">
      <c r="A822" s="2" t="s">
        <v>7480</v>
      </c>
      <c r="B822" s="2" t="s">
        <v>517</v>
      </c>
      <c r="C822" s="2" t="s">
        <v>518</v>
      </c>
      <c r="D822" s="3">
        <v>10080</v>
      </c>
      <c r="E822" s="3">
        <v>10080</v>
      </c>
      <c r="F822" s="2" t="s">
        <v>16</v>
      </c>
      <c r="G822">
        <v>2.6600000000000002E-2</v>
      </c>
      <c r="H822" s="9">
        <f t="shared" si="12"/>
        <v>0</v>
      </c>
      <c r="I822" t="s">
        <v>517</v>
      </c>
      <c r="J822" t="s">
        <v>518</v>
      </c>
    </row>
    <row r="823" spans="1:10" x14ac:dyDescent="0.3">
      <c r="A823" s="2" t="s">
        <v>7489</v>
      </c>
      <c r="B823" s="2" t="s">
        <v>65</v>
      </c>
      <c r="C823" s="2" t="s">
        <v>66</v>
      </c>
      <c r="D823" s="5">
        <v>-268</v>
      </c>
      <c r="E823" s="5">
        <v>-268</v>
      </c>
      <c r="F823" s="2" t="s">
        <v>23</v>
      </c>
      <c r="G823">
        <v>2.6600000000000002E-2</v>
      </c>
      <c r="H823" s="9">
        <f t="shared" si="12"/>
        <v>-10075.187969924811</v>
      </c>
      <c r="I823" t="s">
        <v>2008</v>
      </c>
      <c r="J823" t="s">
        <v>2009</v>
      </c>
    </row>
    <row r="824" spans="1:10" x14ac:dyDescent="0.3">
      <c r="A824" s="2" t="s">
        <v>7489</v>
      </c>
      <c r="B824" s="2" t="s">
        <v>517</v>
      </c>
      <c r="C824" s="2" t="s">
        <v>518</v>
      </c>
      <c r="D824" s="3">
        <v>40320</v>
      </c>
      <c r="E824" s="3">
        <v>40320</v>
      </c>
      <c r="F824" s="2" t="s">
        <v>16</v>
      </c>
      <c r="G824">
        <v>2.6600000000000002E-2</v>
      </c>
      <c r="H824" s="9">
        <f t="shared" si="12"/>
        <v>0</v>
      </c>
      <c r="I824" t="s">
        <v>2008</v>
      </c>
      <c r="J824" t="s">
        <v>2009</v>
      </c>
    </row>
    <row r="825" spans="1:10" x14ac:dyDescent="0.3">
      <c r="A825" s="2" t="s">
        <v>7502</v>
      </c>
      <c r="B825" s="2" t="s">
        <v>2840</v>
      </c>
      <c r="C825" s="2" t="s">
        <v>2841</v>
      </c>
      <c r="D825" s="3">
        <v>20160</v>
      </c>
      <c r="E825" s="3">
        <v>20160</v>
      </c>
      <c r="F825" s="2" t="s">
        <v>16</v>
      </c>
      <c r="G825">
        <v>2.6600000000000002E-2</v>
      </c>
      <c r="H825" s="9">
        <f t="shared" si="12"/>
        <v>0</v>
      </c>
      <c r="I825" t="s">
        <v>2840</v>
      </c>
      <c r="J825" t="s">
        <v>2841</v>
      </c>
    </row>
    <row r="826" spans="1:10" x14ac:dyDescent="0.3">
      <c r="A826" s="2" t="s">
        <v>7507</v>
      </c>
      <c r="B826" s="2" t="s">
        <v>86</v>
      </c>
      <c r="C826" s="2" t="s">
        <v>87</v>
      </c>
      <c r="D826" s="5">
        <v>-536</v>
      </c>
      <c r="E826" s="5">
        <v>-536</v>
      </c>
      <c r="F826" s="2" t="s">
        <v>23</v>
      </c>
      <c r="G826">
        <v>2.6600000000000002E-2</v>
      </c>
      <c r="H826" s="9">
        <f t="shared" si="12"/>
        <v>-20150.375939849622</v>
      </c>
      <c r="I826" t="s">
        <v>7090</v>
      </c>
      <c r="J826" t="s">
        <v>7091</v>
      </c>
    </row>
    <row r="827" spans="1:10" x14ac:dyDescent="0.3">
      <c r="A827" s="2" t="s">
        <v>7507</v>
      </c>
      <c r="B827" s="2" t="s">
        <v>7090</v>
      </c>
      <c r="C827" s="2" t="s">
        <v>7091</v>
      </c>
      <c r="D827" s="3">
        <v>80640</v>
      </c>
      <c r="E827" s="3">
        <v>80640</v>
      </c>
      <c r="F827" s="2" t="s">
        <v>16</v>
      </c>
      <c r="G827">
        <v>2.6600000000000002E-2</v>
      </c>
      <c r="H827" s="9">
        <f t="shared" si="12"/>
        <v>0</v>
      </c>
      <c r="I827" t="s">
        <v>7090</v>
      </c>
      <c r="J827" t="s">
        <v>7091</v>
      </c>
    </row>
    <row r="828" spans="1:10" x14ac:dyDescent="0.3">
      <c r="A828" s="2" t="s">
        <v>7516</v>
      </c>
      <c r="B828" s="2" t="s">
        <v>65</v>
      </c>
      <c r="C828" s="2" t="s">
        <v>66</v>
      </c>
      <c r="D828" s="5">
        <v>-64</v>
      </c>
      <c r="E828" s="5">
        <v>-64</v>
      </c>
      <c r="F828" s="2" t="s">
        <v>23</v>
      </c>
      <c r="G828">
        <v>3.5999999999999997E-2</v>
      </c>
      <c r="H828" s="9">
        <f t="shared" si="12"/>
        <v>-1777.7777777777778</v>
      </c>
      <c r="I828" t="s">
        <v>70</v>
      </c>
      <c r="J828" t="s">
        <v>71</v>
      </c>
    </row>
    <row r="829" spans="1:10" x14ac:dyDescent="0.3">
      <c r="A829" s="2" t="s">
        <v>7516</v>
      </c>
      <c r="B829" s="2" t="s">
        <v>2086</v>
      </c>
      <c r="C829" s="2" t="s">
        <v>2087</v>
      </c>
      <c r="D829" s="3">
        <v>21120</v>
      </c>
      <c r="E829" s="3">
        <v>21120</v>
      </c>
      <c r="F829" s="2" t="s">
        <v>16</v>
      </c>
      <c r="G829">
        <v>3.5999999999999997E-2</v>
      </c>
      <c r="H829" s="9">
        <f t="shared" si="12"/>
        <v>0</v>
      </c>
      <c r="I829" t="s">
        <v>70</v>
      </c>
      <c r="J829" t="s">
        <v>71</v>
      </c>
    </row>
    <row r="830" spans="1:10" x14ac:dyDescent="0.3">
      <c r="A830" s="2" t="s">
        <v>7525</v>
      </c>
      <c r="B830" s="2" t="s">
        <v>70</v>
      </c>
      <c r="C830" s="2" t="s">
        <v>71</v>
      </c>
      <c r="D830" s="3">
        <v>44352</v>
      </c>
      <c r="E830" s="3">
        <v>44352</v>
      </c>
      <c r="F830" s="2" t="s">
        <v>16</v>
      </c>
      <c r="G830">
        <v>3.5999999999999997E-2</v>
      </c>
      <c r="H830" s="9">
        <f t="shared" si="12"/>
        <v>0</v>
      </c>
      <c r="I830" t="s">
        <v>70</v>
      </c>
      <c r="J830" t="s">
        <v>71</v>
      </c>
    </row>
    <row r="831" spans="1:10" x14ac:dyDescent="0.3">
      <c r="A831" s="2" t="s">
        <v>7530</v>
      </c>
      <c r="B831" s="2" t="s">
        <v>1093</v>
      </c>
      <c r="C831" s="2" t="s">
        <v>1094</v>
      </c>
      <c r="D831" s="3">
        <v>1169280</v>
      </c>
      <c r="E831" s="3">
        <v>1169280</v>
      </c>
      <c r="F831" s="2" t="s">
        <v>16</v>
      </c>
      <c r="G831">
        <v>1.2500000000000001E-2</v>
      </c>
      <c r="H831" s="9">
        <f t="shared" si="12"/>
        <v>0</v>
      </c>
      <c r="I831" t="s">
        <v>1093</v>
      </c>
      <c r="J831" t="s">
        <v>1094</v>
      </c>
    </row>
    <row r="832" spans="1:10" x14ac:dyDescent="0.3">
      <c r="A832" s="2" t="s">
        <v>7539</v>
      </c>
      <c r="B832" s="2" t="s">
        <v>2086</v>
      </c>
      <c r="C832" s="2" t="s">
        <v>2087</v>
      </c>
      <c r="D832" s="3">
        <v>4224</v>
      </c>
      <c r="E832" s="3">
        <v>4224</v>
      </c>
      <c r="F832" s="2" t="s">
        <v>16</v>
      </c>
      <c r="G832">
        <v>3.5999999999999997E-2</v>
      </c>
      <c r="H832" s="9">
        <f t="shared" si="12"/>
        <v>0</v>
      </c>
      <c r="I832" t="s">
        <v>2086</v>
      </c>
      <c r="J832" t="s">
        <v>2087</v>
      </c>
    </row>
    <row r="833" spans="1:10" x14ac:dyDescent="0.3">
      <c r="A833" s="2" t="s">
        <v>7544</v>
      </c>
      <c r="B833" s="2" t="s">
        <v>1170</v>
      </c>
      <c r="C833" s="2" t="s">
        <v>1171</v>
      </c>
      <c r="D833" s="3">
        <v>105600</v>
      </c>
      <c r="E833" s="3">
        <v>105600</v>
      </c>
      <c r="F833" s="2" t="s">
        <v>16</v>
      </c>
      <c r="G833">
        <v>5.1999999999999998E-2</v>
      </c>
      <c r="H833" s="9">
        <f t="shared" si="12"/>
        <v>0</v>
      </c>
      <c r="I833" t="s">
        <v>97</v>
      </c>
      <c r="J833" t="s">
        <v>98</v>
      </c>
    </row>
    <row r="834" spans="1:10" x14ac:dyDescent="0.3">
      <c r="A834" s="2" t="s">
        <v>7553</v>
      </c>
      <c r="B834" s="2" t="s">
        <v>5357</v>
      </c>
      <c r="C834" s="2" t="s">
        <v>5358</v>
      </c>
      <c r="D834" s="3">
        <v>6624</v>
      </c>
      <c r="E834" s="3">
        <v>6624</v>
      </c>
      <c r="F834" s="2" t="s">
        <v>16</v>
      </c>
      <c r="G834">
        <v>0</v>
      </c>
      <c r="H834" s="9">
        <f t="shared" si="12"/>
        <v>0</v>
      </c>
      <c r="I834" t="s">
        <v>21</v>
      </c>
      <c r="J834" t="s">
        <v>22</v>
      </c>
    </row>
    <row r="835" spans="1:10" x14ac:dyDescent="0.3">
      <c r="A835" s="2" t="s">
        <v>7557</v>
      </c>
      <c r="B835" s="2" t="s">
        <v>7558</v>
      </c>
      <c r="C835" s="2" t="s">
        <v>7559</v>
      </c>
      <c r="D835" s="3">
        <v>3500</v>
      </c>
      <c r="E835" s="3">
        <v>3500</v>
      </c>
      <c r="F835" s="2" t="s">
        <v>16</v>
      </c>
      <c r="G835">
        <v>600.32100000000003</v>
      </c>
      <c r="H835" s="9">
        <f t="shared" ref="H835:H898" si="13">IFERROR(IF(LEFT(B835,1)="F",E835/G835,0),0)</f>
        <v>0</v>
      </c>
      <c r="I835" t="s">
        <v>156</v>
      </c>
      <c r="J835" t="s">
        <v>157</v>
      </c>
    </row>
    <row r="836" spans="1:10" x14ac:dyDescent="0.3">
      <c r="A836" s="2" t="s">
        <v>7561</v>
      </c>
      <c r="B836" s="2" t="s">
        <v>7562</v>
      </c>
      <c r="C836" s="2" t="s">
        <v>7563</v>
      </c>
      <c r="D836" s="3">
        <v>4800</v>
      </c>
      <c r="E836" s="3">
        <v>4800</v>
      </c>
      <c r="F836" s="2" t="s">
        <v>16</v>
      </c>
      <c r="G836">
        <v>0</v>
      </c>
      <c r="H836" s="9">
        <f t="shared" si="13"/>
        <v>0</v>
      </c>
      <c r="I836" t="s">
        <v>65</v>
      </c>
      <c r="J836" t="s">
        <v>66</v>
      </c>
    </row>
    <row r="837" spans="1:10" x14ac:dyDescent="0.3">
      <c r="A837" s="2" t="s">
        <v>7566</v>
      </c>
      <c r="B837" s="2" t="s">
        <v>740</v>
      </c>
      <c r="C837" s="2" t="s">
        <v>741</v>
      </c>
      <c r="D837" s="3">
        <v>180540</v>
      </c>
      <c r="E837" s="3">
        <v>180540</v>
      </c>
      <c r="F837" s="2" t="s">
        <v>16</v>
      </c>
      <c r="G837">
        <v>3.0499999999999999E-2</v>
      </c>
      <c r="H837" s="9">
        <f t="shared" si="13"/>
        <v>0</v>
      </c>
      <c r="I837" t="s">
        <v>740</v>
      </c>
      <c r="J837" t="s">
        <v>741</v>
      </c>
    </row>
    <row r="838" spans="1:10" x14ac:dyDescent="0.3">
      <c r="A838" s="2" t="s">
        <v>7571</v>
      </c>
      <c r="B838" s="2" t="s">
        <v>947</v>
      </c>
      <c r="C838" s="2" t="s">
        <v>948</v>
      </c>
      <c r="D838" s="3">
        <v>82560</v>
      </c>
      <c r="E838" s="3">
        <v>82560</v>
      </c>
      <c r="F838" s="2" t="s">
        <v>16</v>
      </c>
      <c r="G838">
        <v>1.4E-2</v>
      </c>
      <c r="H838" s="9">
        <f t="shared" si="13"/>
        <v>0</v>
      </c>
      <c r="I838" t="s">
        <v>947</v>
      </c>
      <c r="J838" t="s">
        <v>948</v>
      </c>
    </row>
    <row r="839" spans="1:10" x14ac:dyDescent="0.3">
      <c r="A839" s="2" t="s">
        <v>7576</v>
      </c>
      <c r="B839" s="2" t="s">
        <v>1093</v>
      </c>
      <c r="C839" s="2" t="s">
        <v>1094</v>
      </c>
      <c r="D839" s="3">
        <v>793440</v>
      </c>
      <c r="E839" s="3">
        <v>793440</v>
      </c>
      <c r="F839" s="2" t="s">
        <v>16</v>
      </c>
      <c r="G839">
        <v>1.2500000000000001E-2</v>
      </c>
      <c r="H839" s="9">
        <f t="shared" si="13"/>
        <v>0</v>
      </c>
      <c r="I839" t="s">
        <v>1093</v>
      </c>
      <c r="J839" t="s">
        <v>1094</v>
      </c>
    </row>
    <row r="840" spans="1:10" x14ac:dyDescent="0.3">
      <c r="A840" s="2" t="s">
        <v>7585</v>
      </c>
      <c r="B840" s="2" t="s">
        <v>740</v>
      </c>
      <c r="C840" s="2" t="s">
        <v>741</v>
      </c>
      <c r="D840" s="3">
        <v>509760</v>
      </c>
      <c r="E840" s="3">
        <v>509760</v>
      </c>
      <c r="F840" s="2" t="s">
        <v>16</v>
      </c>
      <c r="G840">
        <v>3.0499999999999999E-2</v>
      </c>
      <c r="H840" s="9">
        <f t="shared" si="13"/>
        <v>0</v>
      </c>
      <c r="I840" t="s">
        <v>740</v>
      </c>
      <c r="J840" t="s">
        <v>741</v>
      </c>
    </row>
    <row r="841" spans="1:10" x14ac:dyDescent="0.3">
      <c r="A841" s="2" t="s">
        <v>7590</v>
      </c>
      <c r="B841" s="2" t="s">
        <v>65</v>
      </c>
      <c r="C841" s="2" t="s">
        <v>66</v>
      </c>
      <c r="D841" s="5">
        <v>-298</v>
      </c>
      <c r="E841" s="5">
        <v>-298</v>
      </c>
      <c r="F841" s="2" t="s">
        <v>23</v>
      </c>
      <c r="G841">
        <v>4.4999999999999998E-2</v>
      </c>
      <c r="H841" s="9">
        <f t="shared" si="13"/>
        <v>-6622.2222222222226</v>
      </c>
      <c r="I841" t="s">
        <v>5347</v>
      </c>
      <c r="J841" t="s">
        <v>5348</v>
      </c>
    </row>
    <row r="842" spans="1:10" x14ac:dyDescent="0.3">
      <c r="A842" s="2" t="s">
        <v>7590</v>
      </c>
      <c r="B842" s="2" t="s">
        <v>5347</v>
      </c>
      <c r="C842" s="2" t="s">
        <v>5348</v>
      </c>
      <c r="D842" s="3">
        <v>72864</v>
      </c>
      <c r="E842" s="3">
        <v>72864</v>
      </c>
      <c r="F842" s="2" t="s">
        <v>16</v>
      </c>
      <c r="G842">
        <v>4.4999999999999998E-2</v>
      </c>
      <c r="H842" s="9">
        <f t="shared" si="13"/>
        <v>0</v>
      </c>
      <c r="I842" t="s">
        <v>5347</v>
      </c>
      <c r="J842" t="s">
        <v>5348</v>
      </c>
    </row>
    <row r="843" spans="1:10" x14ac:dyDescent="0.3">
      <c r="A843" s="2" t="s">
        <v>7603</v>
      </c>
      <c r="B843" s="2" t="s">
        <v>4791</v>
      </c>
      <c r="C843" s="2" t="s">
        <v>4792</v>
      </c>
      <c r="D843" s="3">
        <v>13248</v>
      </c>
      <c r="E843" s="3">
        <v>13248</v>
      </c>
      <c r="F843" s="2" t="s">
        <v>16</v>
      </c>
      <c r="G843">
        <v>4.4999999999999998E-2</v>
      </c>
      <c r="H843" s="9">
        <f t="shared" si="13"/>
        <v>0</v>
      </c>
      <c r="I843" t="s">
        <v>5347</v>
      </c>
      <c r="J843" t="s">
        <v>5348</v>
      </c>
    </row>
    <row r="844" spans="1:10" x14ac:dyDescent="0.3">
      <c r="A844" s="2" t="s">
        <v>7608</v>
      </c>
      <c r="B844" s="2" t="s">
        <v>3113</v>
      </c>
      <c r="C844" s="2" t="s">
        <v>3114</v>
      </c>
      <c r="D844" s="3">
        <v>62640</v>
      </c>
      <c r="E844" s="3">
        <v>62640</v>
      </c>
      <c r="F844" s="2" t="s">
        <v>16</v>
      </c>
      <c r="G844">
        <v>1.15E-2</v>
      </c>
      <c r="H844" s="9">
        <f t="shared" si="13"/>
        <v>0</v>
      </c>
      <c r="I844" t="s">
        <v>3113</v>
      </c>
      <c r="J844" t="s">
        <v>3114</v>
      </c>
    </row>
    <row r="845" spans="1:10" x14ac:dyDescent="0.3">
      <c r="A845" s="2" t="s">
        <v>7613</v>
      </c>
      <c r="B845" s="2" t="s">
        <v>65</v>
      </c>
      <c r="C845" s="2" t="s">
        <v>66</v>
      </c>
      <c r="D845" s="5">
        <v>-183</v>
      </c>
      <c r="E845" s="5">
        <v>-183</v>
      </c>
      <c r="F845" s="2" t="s">
        <v>23</v>
      </c>
      <c r="G845">
        <v>5.0999999999999997E-2</v>
      </c>
      <c r="H845" s="9">
        <f t="shared" si="13"/>
        <v>-3588.2352941176473</v>
      </c>
      <c r="I845" t="s">
        <v>2115</v>
      </c>
      <c r="J845" t="s">
        <v>2116</v>
      </c>
    </row>
    <row r="846" spans="1:10" x14ac:dyDescent="0.3">
      <c r="A846" s="2" t="s">
        <v>7613</v>
      </c>
      <c r="B846" s="2" t="s">
        <v>2115</v>
      </c>
      <c r="C846" s="2" t="s">
        <v>2116</v>
      </c>
      <c r="D846" s="3">
        <v>14400</v>
      </c>
      <c r="E846" s="3">
        <v>14400</v>
      </c>
      <c r="F846" s="2" t="s">
        <v>16</v>
      </c>
      <c r="G846">
        <v>5.0999999999999997E-2</v>
      </c>
      <c r="H846" s="9">
        <f t="shared" si="13"/>
        <v>0</v>
      </c>
      <c r="I846" t="s">
        <v>2115</v>
      </c>
      <c r="J846" t="s">
        <v>2116</v>
      </c>
    </row>
    <row r="847" spans="1:10" x14ac:dyDescent="0.3">
      <c r="A847" s="2" t="s">
        <v>7622</v>
      </c>
      <c r="B847" s="2" t="s">
        <v>65</v>
      </c>
      <c r="C847" s="2" t="s">
        <v>66</v>
      </c>
      <c r="D847" s="5">
        <v>-168</v>
      </c>
      <c r="E847" s="5">
        <v>-168</v>
      </c>
      <c r="F847" s="2" t="s">
        <v>23</v>
      </c>
      <c r="G847">
        <v>3.4000000000000002E-2</v>
      </c>
      <c r="H847" s="9">
        <f t="shared" si="13"/>
        <v>-4941.1764705882351</v>
      </c>
      <c r="I847" t="s">
        <v>2127</v>
      </c>
      <c r="J847" t="s">
        <v>2128</v>
      </c>
    </row>
    <row r="848" spans="1:10" x14ac:dyDescent="0.3">
      <c r="A848" s="2" t="s">
        <v>7622</v>
      </c>
      <c r="B848" s="2" t="s">
        <v>2127</v>
      </c>
      <c r="C848" s="2" t="s">
        <v>2128</v>
      </c>
      <c r="D848" s="3">
        <v>19872</v>
      </c>
      <c r="E848" s="3">
        <v>19872</v>
      </c>
      <c r="F848" s="2" t="s">
        <v>16</v>
      </c>
      <c r="G848">
        <v>3.4000000000000002E-2</v>
      </c>
      <c r="H848" s="9">
        <f t="shared" si="13"/>
        <v>0</v>
      </c>
      <c r="I848" t="s">
        <v>2127</v>
      </c>
      <c r="J848" t="s">
        <v>2128</v>
      </c>
    </row>
    <row r="849" spans="1:10" x14ac:dyDescent="0.3">
      <c r="A849" s="2" t="s">
        <v>7635</v>
      </c>
      <c r="B849" s="2" t="s">
        <v>740</v>
      </c>
      <c r="C849" s="2" t="s">
        <v>741</v>
      </c>
      <c r="D849" s="3">
        <v>82560</v>
      </c>
      <c r="E849" s="3">
        <v>82560</v>
      </c>
      <c r="F849" s="2" t="s">
        <v>16</v>
      </c>
      <c r="G849">
        <v>3.0499999999999999E-2</v>
      </c>
      <c r="H849" s="9">
        <f t="shared" si="13"/>
        <v>0</v>
      </c>
      <c r="I849" t="s">
        <v>103</v>
      </c>
      <c r="J849" t="s">
        <v>104</v>
      </c>
    </row>
    <row r="850" spans="1:10" x14ac:dyDescent="0.3">
      <c r="A850" s="2" t="s">
        <v>7640</v>
      </c>
      <c r="B850" s="2" t="s">
        <v>947</v>
      </c>
      <c r="C850" s="2" t="s">
        <v>948</v>
      </c>
      <c r="D850" s="3">
        <v>42480</v>
      </c>
      <c r="E850" s="3">
        <v>41280</v>
      </c>
      <c r="F850" s="2" t="s">
        <v>16</v>
      </c>
      <c r="G850">
        <v>1.4E-2</v>
      </c>
      <c r="H850" s="9">
        <f t="shared" si="13"/>
        <v>0</v>
      </c>
      <c r="I850" t="s">
        <v>947</v>
      </c>
      <c r="J850" t="s">
        <v>948</v>
      </c>
    </row>
    <row r="851" spans="1:10" x14ac:dyDescent="0.3">
      <c r="A851" s="2" t="s">
        <v>7645</v>
      </c>
      <c r="B851" s="2" t="s">
        <v>5357</v>
      </c>
      <c r="C851" s="2" t="s">
        <v>5358</v>
      </c>
      <c r="D851" s="3">
        <v>563040</v>
      </c>
      <c r="E851" s="3">
        <v>563040</v>
      </c>
      <c r="F851" s="2" t="s">
        <v>16</v>
      </c>
      <c r="G851">
        <v>4.4999999999999998E-2</v>
      </c>
      <c r="H851" s="9">
        <f t="shared" si="13"/>
        <v>0</v>
      </c>
      <c r="I851" t="s">
        <v>5357</v>
      </c>
      <c r="J851" t="s">
        <v>5358</v>
      </c>
    </row>
    <row r="852" spans="1:10" x14ac:dyDescent="0.3">
      <c r="A852" s="2" t="s">
        <v>7650</v>
      </c>
      <c r="B852" s="2" t="s">
        <v>5357</v>
      </c>
      <c r="C852" s="2" t="s">
        <v>5358</v>
      </c>
      <c r="D852" s="3">
        <v>635904</v>
      </c>
      <c r="E852" s="3">
        <v>635904</v>
      </c>
      <c r="F852" s="2" t="s">
        <v>16</v>
      </c>
      <c r="G852">
        <v>4.4999999999999998E-2</v>
      </c>
      <c r="H852" s="9">
        <f t="shared" si="13"/>
        <v>0</v>
      </c>
      <c r="I852" t="s">
        <v>5357</v>
      </c>
      <c r="J852" t="s">
        <v>5358</v>
      </c>
    </row>
    <row r="853" spans="1:10" x14ac:dyDescent="0.3">
      <c r="A853" s="2" t="s">
        <v>7655</v>
      </c>
      <c r="B853" s="2" t="s">
        <v>740</v>
      </c>
      <c r="C853" s="2" t="s">
        <v>741</v>
      </c>
      <c r="D853" s="3">
        <v>512160</v>
      </c>
      <c r="E853" s="3">
        <v>512160</v>
      </c>
      <c r="F853" s="2" t="s">
        <v>16</v>
      </c>
      <c r="G853">
        <v>3.0499999999999999E-2</v>
      </c>
      <c r="H853" s="9">
        <f t="shared" si="13"/>
        <v>0</v>
      </c>
      <c r="I853" t="s">
        <v>740</v>
      </c>
      <c r="J853" t="s">
        <v>741</v>
      </c>
    </row>
    <row r="854" spans="1:10" x14ac:dyDescent="0.3">
      <c r="A854" s="2" t="s">
        <v>7655</v>
      </c>
      <c r="B854" s="2" t="s">
        <v>65</v>
      </c>
      <c r="C854" s="2" t="s">
        <v>66</v>
      </c>
      <c r="D854" s="5">
        <v>-73</v>
      </c>
      <c r="E854" s="5">
        <v>-73</v>
      </c>
      <c r="F854" s="2" t="s">
        <v>23</v>
      </c>
      <c r="G854">
        <v>3.0499999999999999E-2</v>
      </c>
      <c r="H854" s="9">
        <f t="shared" si="13"/>
        <v>-2393.4426229508199</v>
      </c>
      <c r="I854" t="s">
        <v>740</v>
      </c>
      <c r="J854" t="s">
        <v>741</v>
      </c>
    </row>
    <row r="855" spans="1:10" x14ac:dyDescent="0.3">
      <c r="A855" s="2" t="s">
        <v>7664</v>
      </c>
      <c r="B855" s="2" t="s">
        <v>2611</v>
      </c>
      <c r="C855" s="2" t="s">
        <v>2612</v>
      </c>
      <c r="D855" s="3">
        <v>170496</v>
      </c>
      <c r="E855" s="3">
        <v>170496</v>
      </c>
      <c r="F855" s="2" t="s">
        <v>16</v>
      </c>
      <c r="G855">
        <v>1.2699999999999999E-2</v>
      </c>
      <c r="H855" s="9">
        <f t="shared" si="13"/>
        <v>0</v>
      </c>
      <c r="I855" t="s">
        <v>2611</v>
      </c>
      <c r="J855" t="s">
        <v>2612</v>
      </c>
    </row>
    <row r="856" spans="1:10" x14ac:dyDescent="0.3">
      <c r="A856" s="2" t="s">
        <v>7664</v>
      </c>
      <c r="B856" s="2" t="s">
        <v>65</v>
      </c>
      <c r="C856" s="2" t="s">
        <v>66</v>
      </c>
      <c r="D856" s="5">
        <v>-270</v>
      </c>
      <c r="E856" s="5">
        <v>-270</v>
      </c>
      <c r="F856" s="2" t="s">
        <v>23</v>
      </c>
      <c r="G856">
        <v>1.2699999999999999E-2</v>
      </c>
      <c r="H856" s="9">
        <f t="shared" si="13"/>
        <v>-21259.84251968504</v>
      </c>
      <c r="I856" t="s">
        <v>2611</v>
      </c>
      <c r="J856" t="s">
        <v>2612</v>
      </c>
    </row>
    <row r="857" spans="1:10" x14ac:dyDescent="0.3">
      <c r="A857" s="2" t="s">
        <v>7673</v>
      </c>
      <c r="B857" s="2" t="s">
        <v>6955</v>
      </c>
      <c r="C857" s="2" t="s">
        <v>6956</v>
      </c>
      <c r="D857" s="3">
        <v>43440</v>
      </c>
      <c r="E857" s="3">
        <v>0</v>
      </c>
      <c r="F857" s="2" t="s">
        <v>16</v>
      </c>
      <c r="G857">
        <v>1.2500000000000001E-2</v>
      </c>
      <c r="H857" s="9">
        <f t="shared" si="13"/>
        <v>0</v>
      </c>
      <c r="I857" t="s">
        <v>6955</v>
      </c>
      <c r="J857" t="s">
        <v>6956</v>
      </c>
    </row>
    <row r="858" spans="1:10" x14ac:dyDescent="0.3">
      <c r="A858" s="2" t="s">
        <v>7673</v>
      </c>
      <c r="B858" s="2" t="s">
        <v>86</v>
      </c>
      <c r="C858" s="2" t="s">
        <v>87</v>
      </c>
      <c r="D858" s="5">
        <v>-21</v>
      </c>
      <c r="E858" s="3">
        <v>0</v>
      </c>
      <c r="F858" s="2" t="s">
        <v>23</v>
      </c>
      <c r="G858">
        <v>1.2500000000000001E-2</v>
      </c>
      <c r="H858" s="9">
        <f t="shared" si="13"/>
        <v>0</v>
      </c>
      <c r="I858" t="s">
        <v>6955</v>
      </c>
      <c r="J858" t="s">
        <v>6956</v>
      </c>
    </row>
    <row r="859" spans="1:10" x14ac:dyDescent="0.3">
      <c r="A859" s="2" t="s">
        <v>7680</v>
      </c>
      <c r="B859" s="2" t="s">
        <v>308</v>
      </c>
      <c r="C859" s="2" t="s">
        <v>309</v>
      </c>
      <c r="D859" s="3">
        <v>33600</v>
      </c>
      <c r="E859" s="3">
        <v>33600</v>
      </c>
      <c r="F859" s="2" t="s">
        <v>16</v>
      </c>
      <c r="G859">
        <v>8.3000000000000001E-3</v>
      </c>
      <c r="H859" s="9">
        <f t="shared" si="13"/>
        <v>0</v>
      </c>
      <c r="I859" t="s">
        <v>91</v>
      </c>
      <c r="J859" t="s">
        <v>92</v>
      </c>
    </row>
    <row r="860" spans="1:10" x14ac:dyDescent="0.3">
      <c r="A860" s="2" t="s">
        <v>7680</v>
      </c>
      <c r="B860" s="2" t="s">
        <v>86</v>
      </c>
      <c r="C860" s="2" t="s">
        <v>87</v>
      </c>
      <c r="D860" s="5">
        <v>-54</v>
      </c>
      <c r="E860" s="5">
        <v>-54</v>
      </c>
      <c r="F860" s="2" t="s">
        <v>23</v>
      </c>
      <c r="G860">
        <v>8.3000000000000001E-3</v>
      </c>
      <c r="H860" s="9">
        <f t="shared" si="13"/>
        <v>-6506.0240963855422</v>
      </c>
      <c r="I860" t="s">
        <v>91</v>
      </c>
      <c r="J860" t="s">
        <v>92</v>
      </c>
    </row>
    <row r="861" spans="1:10" x14ac:dyDescent="0.3">
      <c r="A861" s="2" t="s">
        <v>7689</v>
      </c>
      <c r="B861" s="2" t="s">
        <v>91</v>
      </c>
      <c r="C861" s="2" t="s">
        <v>92</v>
      </c>
      <c r="D861" s="3">
        <v>27000</v>
      </c>
      <c r="E861" s="3">
        <v>27000</v>
      </c>
      <c r="F861" s="2" t="s">
        <v>16</v>
      </c>
      <c r="G861">
        <v>8.3000000000000001E-3</v>
      </c>
      <c r="H861" s="9">
        <f t="shared" si="13"/>
        <v>0</v>
      </c>
      <c r="I861" t="s">
        <v>91</v>
      </c>
      <c r="J861" t="s">
        <v>92</v>
      </c>
    </row>
    <row r="862" spans="1:10" x14ac:dyDescent="0.3">
      <c r="A862" s="2" t="s">
        <v>7694</v>
      </c>
      <c r="B862" s="2" t="s">
        <v>2121</v>
      </c>
      <c r="C862" s="2" t="s">
        <v>2122</v>
      </c>
      <c r="D862" s="3">
        <v>9936</v>
      </c>
      <c r="E862" s="3">
        <v>9936</v>
      </c>
      <c r="F862" s="2" t="s">
        <v>16</v>
      </c>
      <c r="G862">
        <v>3.4000000000000002E-2</v>
      </c>
      <c r="H862" s="9">
        <f t="shared" si="13"/>
        <v>0</v>
      </c>
      <c r="I862" t="s">
        <v>2121</v>
      </c>
      <c r="J862" t="s">
        <v>2122</v>
      </c>
    </row>
    <row r="863" spans="1:10" x14ac:dyDescent="0.3">
      <c r="A863" s="2" t="s">
        <v>7699</v>
      </c>
      <c r="B863" s="2" t="s">
        <v>5357</v>
      </c>
      <c r="C863" s="2" t="s">
        <v>5358</v>
      </c>
      <c r="D863" s="3">
        <v>635904</v>
      </c>
      <c r="E863" s="3">
        <v>635904</v>
      </c>
      <c r="F863" s="2" t="s">
        <v>16</v>
      </c>
      <c r="G863">
        <v>4.4999999999999998E-2</v>
      </c>
      <c r="H863" s="9">
        <f t="shared" si="13"/>
        <v>0</v>
      </c>
      <c r="I863" t="s">
        <v>5357</v>
      </c>
      <c r="J863" t="s">
        <v>5358</v>
      </c>
    </row>
    <row r="864" spans="1:10" x14ac:dyDescent="0.3">
      <c r="A864" s="2" t="s">
        <v>7704</v>
      </c>
      <c r="B864" s="2" t="s">
        <v>2934</v>
      </c>
      <c r="C864" s="2" t="s">
        <v>2935</v>
      </c>
      <c r="D864" s="3">
        <v>65664</v>
      </c>
      <c r="E864" s="3">
        <v>65664</v>
      </c>
      <c r="F864" s="2" t="s">
        <v>16</v>
      </c>
      <c r="G864">
        <v>1.7999999999999999E-2</v>
      </c>
      <c r="H864" s="9">
        <f t="shared" si="13"/>
        <v>0</v>
      </c>
      <c r="I864" t="s">
        <v>2934</v>
      </c>
      <c r="J864" t="s">
        <v>2935</v>
      </c>
    </row>
    <row r="865" spans="1:10" x14ac:dyDescent="0.3">
      <c r="A865" s="2" t="s">
        <v>7704</v>
      </c>
      <c r="B865" s="2" t="s">
        <v>65</v>
      </c>
      <c r="C865" s="2" t="s">
        <v>66</v>
      </c>
      <c r="D865" s="5">
        <v>-147</v>
      </c>
      <c r="E865" s="5">
        <v>-147</v>
      </c>
      <c r="F865" s="2" t="s">
        <v>23</v>
      </c>
      <c r="G865">
        <v>1.7999999999999999E-2</v>
      </c>
      <c r="H865" s="9">
        <f t="shared" si="13"/>
        <v>-8166.666666666667</v>
      </c>
      <c r="I865" t="s">
        <v>2934</v>
      </c>
      <c r="J865" t="s">
        <v>2935</v>
      </c>
    </row>
    <row r="866" spans="1:10" x14ac:dyDescent="0.3">
      <c r="A866" s="2" t="s">
        <v>7713</v>
      </c>
      <c r="B866" s="2" t="s">
        <v>6977</v>
      </c>
      <c r="C866" s="2" t="s">
        <v>6978</v>
      </c>
      <c r="D866" s="3">
        <v>101520</v>
      </c>
      <c r="E866" s="3">
        <v>101520</v>
      </c>
      <c r="F866" s="2" t="s">
        <v>16</v>
      </c>
      <c r="G866">
        <v>9.4000000000000004E-3</v>
      </c>
      <c r="H866" s="9">
        <f t="shared" si="13"/>
        <v>0</v>
      </c>
      <c r="I866" t="s">
        <v>3028</v>
      </c>
      <c r="J866" t="s">
        <v>3029</v>
      </c>
    </row>
    <row r="867" spans="1:10" x14ac:dyDescent="0.3">
      <c r="A867" s="2" t="s">
        <v>7718</v>
      </c>
      <c r="B867" s="2" t="s">
        <v>97</v>
      </c>
      <c r="C867" s="2" t="s">
        <v>98</v>
      </c>
      <c r="D867" s="3">
        <v>249600</v>
      </c>
      <c r="E867" s="3">
        <v>249600</v>
      </c>
      <c r="F867" s="2" t="s">
        <v>16</v>
      </c>
      <c r="G867">
        <v>5.1999999999999998E-2</v>
      </c>
      <c r="H867" s="9">
        <f t="shared" si="13"/>
        <v>0</v>
      </c>
      <c r="I867" t="s">
        <v>97</v>
      </c>
      <c r="J867" t="s">
        <v>98</v>
      </c>
    </row>
    <row r="868" spans="1:10" x14ac:dyDescent="0.3">
      <c r="A868" s="2" t="s">
        <v>7723</v>
      </c>
      <c r="B868" s="2" t="s">
        <v>5357</v>
      </c>
      <c r="C868" s="2" t="s">
        <v>5358</v>
      </c>
      <c r="D868" s="3">
        <v>722016</v>
      </c>
      <c r="E868" s="3">
        <v>722016</v>
      </c>
      <c r="F868" s="2" t="s">
        <v>16</v>
      </c>
      <c r="G868">
        <v>4.4999999999999998E-2</v>
      </c>
      <c r="H868" s="9">
        <f t="shared" si="13"/>
        <v>0</v>
      </c>
      <c r="I868" t="s">
        <v>5357</v>
      </c>
      <c r="J868" t="s">
        <v>5358</v>
      </c>
    </row>
    <row r="869" spans="1:10" x14ac:dyDescent="0.3">
      <c r="A869" s="2" t="s">
        <v>7728</v>
      </c>
      <c r="B869" s="2" t="s">
        <v>97</v>
      </c>
      <c r="C869" s="2" t="s">
        <v>98</v>
      </c>
      <c r="D869" s="3">
        <v>249600</v>
      </c>
      <c r="E869" s="3">
        <v>249600</v>
      </c>
      <c r="F869" s="2" t="s">
        <v>16</v>
      </c>
      <c r="G869">
        <v>5.1999999999999998E-2</v>
      </c>
      <c r="H869" s="9">
        <f t="shared" si="13"/>
        <v>0</v>
      </c>
      <c r="I869" t="s">
        <v>97</v>
      </c>
      <c r="J869" t="s">
        <v>98</v>
      </c>
    </row>
    <row r="870" spans="1:10" x14ac:dyDescent="0.3">
      <c r="A870" s="2" t="s">
        <v>7749</v>
      </c>
      <c r="B870" s="2" t="s">
        <v>1027</v>
      </c>
      <c r="C870" s="2" t="s">
        <v>1028</v>
      </c>
      <c r="D870" s="3">
        <v>424800</v>
      </c>
      <c r="E870" s="3">
        <v>424800</v>
      </c>
      <c r="F870" s="2" t="s">
        <v>16</v>
      </c>
      <c r="G870">
        <v>3.0499999999999999E-2</v>
      </c>
      <c r="H870" s="9">
        <f t="shared" si="13"/>
        <v>0</v>
      </c>
      <c r="I870" t="s">
        <v>1027</v>
      </c>
      <c r="J870" t="s">
        <v>1028</v>
      </c>
    </row>
    <row r="871" spans="1:10" x14ac:dyDescent="0.3">
      <c r="A871" s="2" t="s">
        <v>7754</v>
      </c>
      <c r="B871" s="2" t="s">
        <v>5357</v>
      </c>
      <c r="C871" s="2" t="s">
        <v>5358</v>
      </c>
      <c r="D871" s="3">
        <v>258336</v>
      </c>
      <c r="E871" s="3">
        <v>258336</v>
      </c>
      <c r="F871" s="2" t="s">
        <v>16</v>
      </c>
      <c r="G871">
        <v>4.4999999999999998E-2</v>
      </c>
      <c r="H871" s="9">
        <f t="shared" si="13"/>
        <v>0</v>
      </c>
      <c r="I871" t="s">
        <v>5357</v>
      </c>
      <c r="J871" t="s">
        <v>5358</v>
      </c>
    </row>
    <row r="872" spans="1:10" x14ac:dyDescent="0.3">
      <c r="A872" s="2" t="s">
        <v>7763</v>
      </c>
      <c r="B872" s="2" t="s">
        <v>97</v>
      </c>
      <c r="C872" s="2" t="s">
        <v>98</v>
      </c>
      <c r="D872" s="3">
        <v>249600</v>
      </c>
      <c r="E872" s="3">
        <v>249600</v>
      </c>
      <c r="F872" s="2" t="s">
        <v>16</v>
      </c>
      <c r="G872">
        <v>5.1999999999999998E-2</v>
      </c>
      <c r="H872" s="9">
        <f t="shared" si="13"/>
        <v>0</v>
      </c>
      <c r="I872" t="s">
        <v>97</v>
      </c>
      <c r="J872" t="s">
        <v>98</v>
      </c>
    </row>
    <row r="873" spans="1:10" x14ac:dyDescent="0.3">
      <c r="A873" s="2" t="s">
        <v>7772</v>
      </c>
      <c r="B873" s="2" t="s">
        <v>1027</v>
      </c>
      <c r="C873" s="2" t="s">
        <v>1028</v>
      </c>
      <c r="D873" s="3">
        <v>615960</v>
      </c>
      <c r="E873" s="3">
        <v>615960</v>
      </c>
      <c r="F873" s="2" t="s">
        <v>16</v>
      </c>
      <c r="G873">
        <v>3.0499999999999999E-2</v>
      </c>
      <c r="H873" s="9">
        <f t="shared" si="13"/>
        <v>0</v>
      </c>
      <c r="I873" t="s">
        <v>1027</v>
      </c>
      <c r="J873" t="s">
        <v>1028</v>
      </c>
    </row>
    <row r="874" spans="1:10" x14ac:dyDescent="0.3">
      <c r="A874" s="2" t="s">
        <v>7781</v>
      </c>
      <c r="B874" s="2" t="s">
        <v>59</v>
      </c>
      <c r="C874" s="2" t="s">
        <v>60</v>
      </c>
      <c r="D874" s="3">
        <v>1269000</v>
      </c>
      <c r="E874" s="3">
        <v>1269000</v>
      </c>
      <c r="F874" s="2" t="s">
        <v>16</v>
      </c>
      <c r="G874">
        <v>9.6999999999999986E-3</v>
      </c>
      <c r="H874" s="9">
        <f t="shared" si="13"/>
        <v>0</v>
      </c>
      <c r="I874" t="s">
        <v>59</v>
      </c>
      <c r="J874" t="s">
        <v>60</v>
      </c>
    </row>
    <row r="875" spans="1:10" x14ac:dyDescent="0.3">
      <c r="A875" s="2" t="s">
        <v>7790</v>
      </c>
      <c r="B875" s="2" t="s">
        <v>1093</v>
      </c>
      <c r="C875" s="2" t="s">
        <v>1094</v>
      </c>
      <c r="D875" s="3">
        <v>1962720</v>
      </c>
      <c r="E875" s="3">
        <v>1962720</v>
      </c>
      <c r="F875" s="2" t="s">
        <v>16</v>
      </c>
      <c r="G875">
        <v>1.2500000000000001E-2</v>
      </c>
      <c r="H875" s="9">
        <f t="shared" si="13"/>
        <v>0</v>
      </c>
      <c r="I875" t="s">
        <v>1093</v>
      </c>
      <c r="J875" t="s">
        <v>1094</v>
      </c>
    </row>
    <row r="876" spans="1:10" x14ac:dyDescent="0.3">
      <c r="A876" s="2" t="s">
        <v>7799</v>
      </c>
      <c r="B876" s="2" t="s">
        <v>4791</v>
      </c>
      <c r="C876" s="2" t="s">
        <v>4792</v>
      </c>
      <c r="D876" s="3">
        <v>463680</v>
      </c>
      <c r="E876" s="3">
        <v>463680</v>
      </c>
      <c r="F876" s="2" t="s">
        <v>16</v>
      </c>
      <c r="G876">
        <v>4.4999999999999998E-2</v>
      </c>
      <c r="H876" s="9">
        <f t="shared" si="13"/>
        <v>0</v>
      </c>
      <c r="I876" t="s">
        <v>4791</v>
      </c>
      <c r="J876" t="s">
        <v>4792</v>
      </c>
    </row>
    <row r="877" spans="1:10" x14ac:dyDescent="0.3">
      <c r="A877" s="2" t="s">
        <v>7808</v>
      </c>
      <c r="B877" s="2" t="s">
        <v>740</v>
      </c>
      <c r="C877" s="2" t="s">
        <v>741</v>
      </c>
      <c r="D877" s="3">
        <v>31860</v>
      </c>
      <c r="E877" s="3">
        <v>31860</v>
      </c>
      <c r="F877" s="2" t="s">
        <v>16</v>
      </c>
      <c r="G877">
        <v>3.0499999999999999E-2</v>
      </c>
      <c r="H877" s="9">
        <f t="shared" si="13"/>
        <v>0</v>
      </c>
      <c r="I877" t="s">
        <v>103</v>
      </c>
      <c r="J877" t="s">
        <v>104</v>
      </c>
    </row>
    <row r="878" spans="1:10" x14ac:dyDescent="0.3">
      <c r="A878" s="2" t="s">
        <v>7813</v>
      </c>
      <c r="B878" s="2" t="s">
        <v>65</v>
      </c>
      <c r="C878" s="2" t="s">
        <v>66</v>
      </c>
      <c r="D878" s="5">
        <v>-76</v>
      </c>
      <c r="E878" s="5">
        <v>-76</v>
      </c>
      <c r="F878" s="2" t="s">
        <v>23</v>
      </c>
      <c r="G878">
        <v>3.0499999999999999E-2</v>
      </c>
      <c r="H878" s="9">
        <f t="shared" si="13"/>
        <v>-2491.8032786885246</v>
      </c>
      <c r="I878" t="s">
        <v>103</v>
      </c>
      <c r="J878" t="s">
        <v>104</v>
      </c>
    </row>
    <row r="879" spans="1:10" x14ac:dyDescent="0.3">
      <c r="A879" s="2" t="s">
        <v>7813</v>
      </c>
      <c r="B879" s="2" t="s">
        <v>2100</v>
      </c>
      <c r="C879" s="2" t="s">
        <v>2101</v>
      </c>
      <c r="D879" s="3">
        <v>13126</v>
      </c>
      <c r="E879" s="3">
        <v>10620</v>
      </c>
      <c r="F879" s="2" t="s">
        <v>16</v>
      </c>
      <c r="G879">
        <v>3.0499999999999999E-2</v>
      </c>
      <c r="H879" s="9">
        <f t="shared" si="13"/>
        <v>0</v>
      </c>
      <c r="I879" t="s">
        <v>103</v>
      </c>
      <c r="J879" t="s">
        <v>104</v>
      </c>
    </row>
    <row r="880" spans="1:10" x14ac:dyDescent="0.3">
      <c r="A880" s="2" t="s">
        <v>7822</v>
      </c>
      <c r="B880" s="2" t="s">
        <v>59</v>
      </c>
      <c r="C880" s="2" t="s">
        <v>60</v>
      </c>
      <c r="D880" s="3">
        <v>1040580</v>
      </c>
      <c r="E880" s="3">
        <v>1040580</v>
      </c>
      <c r="F880" s="2" t="s">
        <v>16</v>
      </c>
      <c r="G880">
        <v>9.6999999999999986E-3</v>
      </c>
      <c r="H880" s="9">
        <f t="shared" si="13"/>
        <v>0</v>
      </c>
      <c r="I880" t="s">
        <v>59</v>
      </c>
      <c r="J880" t="s">
        <v>60</v>
      </c>
    </row>
    <row r="881" spans="1:10" x14ac:dyDescent="0.3">
      <c r="A881" s="2" t="s">
        <v>7831</v>
      </c>
      <c r="B881" s="2" t="s">
        <v>517</v>
      </c>
      <c r="C881" s="2" t="s">
        <v>518</v>
      </c>
      <c r="D881" s="3">
        <v>241920</v>
      </c>
      <c r="E881" s="3">
        <v>241920</v>
      </c>
      <c r="F881" s="2" t="s">
        <v>16</v>
      </c>
      <c r="G881">
        <v>2.6600000000000002E-2</v>
      </c>
      <c r="H881" s="9">
        <f t="shared" si="13"/>
        <v>0</v>
      </c>
      <c r="I881" t="s">
        <v>517</v>
      </c>
      <c r="J881" t="s">
        <v>518</v>
      </c>
    </row>
    <row r="882" spans="1:10" x14ac:dyDescent="0.3">
      <c r="A882" s="2" t="s">
        <v>7840</v>
      </c>
      <c r="B882" s="2" t="s">
        <v>4791</v>
      </c>
      <c r="C882" s="2" t="s">
        <v>4792</v>
      </c>
      <c r="D882" s="3">
        <v>496800</v>
      </c>
      <c r="E882" s="3">
        <v>496800</v>
      </c>
      <c r="F882" s="2" t="s">
        <v>16</v>
      </c>
      <c r="G882">
        <v>4.4999999999999998E-2</v>
      </c>
      <c r="H882" s="9">
        <f t="shared" si="13"/>
        <v>0</v>
      </c>
      <c r="I882" t="s">
        <v>4791</v>
      </c>
      <c r="J882" t="s">
        <v>4792</v>
      </c>
    </row>
    <row r="883" spans="1:10" x14ac:dyDescent="0.3">
      <c r="A883" s="2" t="s">
        <v>7849</v>
      </c>
      <c r="B883" s="2" t="s">
        <v>1027</v>
      </c>
      <c r="C883" s="2" t="s">
        <v>1028</v>
      </c>
      <c r="D883" s="3">
        <v>42480</v>
      </c>
      <c r="E883" s="3">
        <v>42480</v>
      </c>
      <c r="F883" s="2" t="s">
        <v>16</v>
      </c>
      <c r="G883">
        <v>3.0499999999999999E-2</v>
      </c>
      <c r="H883" s="9">
        <f t="shared" si="13"/>
        <v>0</v>
      </c>
      <c r="I883" t="s">
        <v>1027</v>
      </c>
      <c r="J883" t="s">
        <v>1028</v>
      </c>
    </row>
    <row r="884" spans="1:10" x14ac:dyDescent="0.3">
      <c r="A884" s="2" t="s">
        <v>7858</v>
      </c>
      <c r="B884" s="2" t="s">
        <v>59</v>
      </c>
      <c r="C884" s="2" t="s">
        <v>60</v>
      </c>
      <c r="D884" s="3">
        <v>837540</v>
      </c>
      <c r="E884" s="3">
        <v>837540</v>
      </c>
      <c r="F884" s="2" t="s">
        <v>16</v>
      </c>
      <c r="G884">
        <v>9.6999999999999986E-3</v>
      </c>
      <c r="H884" s="9">
        <f t="shared" si="13"/>
        <v>0</v>
      </c>
      <c r="I884" t="s">
        <v>59</v>
      </c>
      <c r="J884" t="s">
        <v>60</v>
      </c>
    </row>
    <row r="885" spans="1:10" x14ac:dyDescent="0.3">
      <c r="A885" s="2" t="s">
        <v>7867</v>
      </c>
      <c r="B885" s="2" t="s">
        <v>517</v>
      </c>
      <c r="C885" s="2" t="s">
        <v>518</v>
      </c>
      <c r="D885" s="3">
        <v>252000</v>
      </c>
      <c r="E885" s="3">
        <v>252000</v>
      </c>
      <c r="F885" s="2" t="s">
        <v>16</v>
      </c>
      <c r="G885">
        <v>2.6600000000000002E-2</v>
      </c>
      <c r="H885" s="9">
        <f t="shared" si="13"/>
        <v>0</v>
      </c>
      <c r="I885" t="s">
        <v>517</v>
      </c>
      <c r="J885" t="s">
        <v>518</v>
      </c>
    </row>
    <row r="886" spans="1:10" x14ac:dyDescent="0.3">
      <c r="A886" s="2" t="s">
        <v>7876</v>
      </c>
      <c r="B886" s="2" t="s">
        <v>97</v>
      </c>
      <c r="C886" s="2" t="s">
        <v>98</v>
      </c>
      <c r="D886" s="3">
        <v>398400</v>
      </c>
      <c r="E886" s="3">
        <v>398400</v>
      </c>
      <c r="F886" s="2" t="s">
        <v>16</v>
      </c>
      <c r="G886">
        <v>5.1999999999999998E-2</v>
      </c>
      <c r="H886" s="9">
        <f t="shared" si="13"/>
        <v>0</v>
      </c>
      <c r="I886" t="s">
        <v>97</v>
      </c>
      <c r="J886" t="s">
        <v>98</v>
      </c>
    </row>
    <row r="887" spans="1:10" x14ac:dyDescent="0.3">
      <c r="A887" s="2" t="s">
        <v>7881</v>
      </c>
      <c r="B887" s="2" t="s">
        <v>86</v>
      </c>
      <c r="C887" s="2" t="s">
        <v>87</v>
      </c>
      <c r="D887" s="5">
        <v>-20</v>
      </c>
      <c r="E887" s="3">
        <v>0</v>
      </c>
      <c r="F887" s="2" t="s">
        <v>23</v>
      </c>
      <c r="G887">
        <v>1.2500000000000001E-2</v>
      </c>
      <c r="H887" s="9">
        <f t="shared" si="13"/>
        <v>0</v>
      </c>
      <c r="I887" t="s">
        <v>6955</v>
      </c>
      <c r="J887" t="s">
        <v>6956</v>
      </c>
    </row>
    <row r="888" spans="1:10" x14ac:dyDescent="0.3">
      <c r="A888" s="2" t="s">
        <v>7881</v>
      </c>
      <c r="B888" s="2" t="s">
        <v>6955</v>
      </c>
      <c r="C888" s="2" t="s">
        <v>6956</v>
      </c>
      <c r="D888" s="3">
        <v>43440</v>
      </c>
      <c r="E888" s="3">
        <v>0</v>
      </c>
      <c r="F888" s="2" t="s">
        <v>16</v>
      </c>
      <c r="G888">
        <v>1.2500000000000001E-2</v>
      </c>
      <c r="H888" s="9">
        <f t="shared" si="13"/>
        <v>0</v>
      </c>
      <c r="I888" t="s">
        <v>6955</v>
      </c>
      <c r="J888" t="s">
        <v>6956</v>
      </c>
    </row>
    <row r="889" spans="1:10" x14ac:dyDescent="0.3">
      <c r="A889" s="2" t="s">
        <v>7891</v>
      </c>
      <c r="B889" s="2" t="s">
        <v>65</v>
      </c>
      <c r="C889" s="2" t="s">
        <v>66</v>
      </c>
      <c r="D889" s="5">
        <v>-261</v>
      </c>
      <c r="E889" s="5">
        <v>-261</v>
      </c>
      <c r="F889" s="2" t="s">
        <v>23</v>
      </c>
      <c r="G889">
        <v>1.2500000000000001E-2</v>
      </c>
      <c r="H889" s="9">
        <f t="shared" si="13"/>
        <v>-20880</v>
      </c>
      <c r="I889" t="s">
        <v>1093</v>
      </c>
      <c r="J889" t="s">
        <v>1094</v>
      </c>
    </row>
    <row r="890" spans="1:10" x14ac:dyDescent="0.3">
      <c r="A890" s="2" t="s">
        <v>7891</v>
      </c>
      <c r="B890" s="2" t="s">
        <v>1093</v>
      </c>
      <c r="C890" s="2" t="s">
        <v>1094</v>
      </c>
      <c r="D890" s="3">
        <v>104400</v>
      </c>
      <c r="E890" s="3">
        <v>104400</v>
      </c>
      <c r="F890" s="2" t="s">
        <v>16</v>
      </c>
      <c r="G890">
        <v>1.2500000000000001E-2</v>
      </c>
      <c r="H890" s="9">
        <f t="shared" si="13"/>
        <v>0</v>
      </c>
      <c r="I890" t="s">
        <v>1093</v>
      </c>
      <c r="J890" t="s">
        <v>1094</v>
      </c>
    </row>
    <row r="891" spans="1:10" x14ac:dyDescent="0.3">
      <c r="A891" s="2" t="s">
        <v>7904</v>
      </c>
      <c r="B891" s="2" t="s">
        <v>2168</v>
      </c>
      <c r="C891" s="2" t="s">
        <v>2169</v>
      </c>
      <c r="D891" s="3">
        <v>42480</v>
      </c>
      <c r="E891" s="3">
        <v>42480</v>
      </c>
      <c r="F891" s="2" t="s">
        <v>16</v>
      </c>
      <c r="G891">
        <v>3.0499999999999999E-2</v>
      </c>
      <c r="H891" s="9">
        <f t="shared" si="13"/>
        <v>0</v>
      </c>
      <c r="I891" t="s">
        <v>1027</v>
      </c>
      <c r="J891" t="s">
        <v>1028</v>
      </c>
    </row>
    <row r="892" spans="1:10" x14ac:dyDescent="0.3">
      <c r="A892" s="2" t="s">
        <v>7909</v>
      </c>
      <c r="B892" s="2" t="s">
        <v>517</v>
      </c>
      <c r="C892" s="2" t="s">
        <v>518</v>
      </c>
      <c r="D892" s="3">
        <v>524160</v>
      </c>
      <c r="E892" s="3">
        <v>524160</v>
      </c>
      <c r="F892" s="2" t="s">
        <v>16</v>
      </c>
      <c r="G892">
        <v>2.6600000000000002E-2</v>
      </c>
      <c r="H892" s="9">
        <f t="shared" si="13"/>
        <v>0</v>
      </c>
      <c r="I892" t="s">
        <v>517</v>
      </c>
      <c r="J892" t="s">
        <v>518</v>
      </c>
    </row>
    <row r="893" spans="1:10" x14ac:dyDescent="0.3">
      <c r="A893" s="2" t="s">
        <v>7918</v>
      </c>
      <c r="B893" s="2" t="s">
        <v>1027</v>
      </c>
      <c r="C893" s="2" t="s">
        <v>1028</v>
      </c>
      <c r="D893" s="3">
        <v>318600</v>
      </c>
      <c r="E893" s="3">
        <v>318600</v>
      </c>
      <c r="F893" s="2" t="s">
        <v>16</v>
      </c>
      <c r="G893">
        <v>3.0499999999999999E-2</v>
      </c>
      <c r="H893" s="9">
        <f t="shared" si="13"/>
        <v>0</v>
      </c>
      <c r="I893" t="s">
        <v>1027</v>
      </c>
      <c r="J893" t="s">
        <v>1028</v>
      </c>
    </row>
    <row r="894" spans="1:10" x14ac:dyDescent="0.3">
      <c r="A894" s="2" t="s">
        <v>7923</v>
      </c>
      <c r="B894" s="2" t="s">
        <v>517</v>
      </c>
      <c r="C894" s="2" t="s">
        <v>518</v>
      </c>
      <c r="D894" s="3">
        <v>10080</v>
      </c>
      <c r="E894" s="3">
        <v>10080</v>
      </c>
      <c r="F894" s="2" t="s">
        <v>16</v>
      </c>
      <c r="G894">
        <v>2.6600000000000002E-2</v>
      </c>
      <c r="H894" s="9">
        <f t="shared" si="13"/>
        <v>0</v>
      </c>
      <c r="I894" t="s">
        <v>517</v>
      </c>
      <c r="J894" t="s">
        <v>518</v>
      </c>
    </row>
    <row r="895" spans="1:10" x14ac:dyDescent="0.3">
      <c r="A895" s="2" t="s">
        <v>7928</v>
      </c>
      <c r="B895" s="2" t="s">
        <v>59</v>
      </c>
      <c r="C895" s="2" t="s">
        <v>60</v>
      </c>
      <c r="D895" s="3">
        <v>431460</v>
      </c>
      <c r="E895" s="3">
        <v>431460</v>
      </c>
      <c r="F895" s="2" t="s">
        <v>16</v>
      </c>
      <c r="G895">
        <v>9.6999999999999986E-3</v>
      </c>
      <c r="H895" s="9">
        <f t="shared" si="13"/>
        <v>0</v>
      </c>
      <c r="I895" t="s">
        <v>59</v>
      </c>
      <c r="J895" t="s">
        <v>60</v>
      </c>
    </row>
    <row r="896" spans="1:10" x14ac:dyDescent="0.3">
      <c r="A896" s="2" t="s">
        <v>7933</v>
      </c>
      <c r="B896" s="2" t="s">
        <v>1027</v>
      </c>
      <c r="C896" s="2" t="s">
        <v>1028</v>
      </c>
      <c r="D896" s="3">
        <v>318600</v>
      </c>
      <c r="E896" s="3">
        <v>318600</v>
      </c>
      <c r="F896" s="2" t="s">
        <v>16</v>
      </c>
      <c r="G896">
        <v>3.0499999999999999E-2</v>
      </c>
      <c r="H896" s="9">
        <f t="shared" si="13"/>
        <v>0</v>
      </c>
      <c r="I896" t="s">
        <v>1027</v>
      </c>
      <c r="J896" t="s">
        <v>1028</v>
      </c>
    </row>
    <row r="897" spans="1:10" x14ac:dyDescent="0.3">
      <c r="A897" s="2" t="s">
        <v>7938</v>
      </c>
      <c r="B897" s="2" t="s">
        <v>1027</v>
      </c>
      <c r="C897" s="2" t="s">
        <v>1028</v>
      </c>
      <c r="D897" s="3">
        <v>722160</v>
      </c>
      <c r="E897" s="3">
        <v>722160</v>
      </c>
      <c r="F897" s="2" t="s">
        <v>16</v>
      </c>
      <c r="G897">
        <v>3.0499999999999999E-2</v>
      </c>
      <c r="H897" s="9">
        <f t="shared" si="13"/>
        <v>0</v>
      </c>
      <c r="I897" t="s">
        <v>1027</v>
      </c>
      <c r="J897" t="s">
        <v>1028</v>
      </c>
    </row>
    <row r="898" spans="1:10" x14ac:dyDescent="0.3">
      <c r="A898" s="2" t="s">
        <v>7947</v>
      </c>
      <c r="B898" s="2" t="s">
        <v>517</v>
      </c>
      <c r="C898" s="2" t="s">
        <v>518</v>
      </c>
      <c r="D898" s="3">
        <v>10080</v>
      </c>
      <c r="E898" s="3">
        <v>10080</v>
      </c>
      <c r="F898" s="2" t="s">
        <v>16</v>
      </c>
      <c r="G898">
        <v>2.6600000000000002E-2</v>
      </c>
      <c r="H898" s="9">
        <f t="shared" si="13"/>
        <v>0</v>
      </c>
      <c r="I898" t="s">
        <v>517</v>
      </c>
      <c r="J898" t="s">
        <v>518</v>
      </c>
    </row>
    <row r="899" spans="1:10" x14ac:dyDescent="0.3">
      <c r="A899" s="2" t="s">
        <v>7956</v>
      </c>
      <c r="B899" s="2" t="s">
        <v>97</v>
      </c>
      <c r="C899" s="2" t="s">
        <v>98</v>
      </c>
      <c r="D899" s="3">
        <v>364800</v>
      </c>
      <c r="E899" s="3">
        <v>364800</v>
      </c>
      <c r="F899" s="2" t="s">
        <v>16</v>
      </c>
      <c r="G899">
        <v>5.1999999999999998E-2</v>
      </c>
      <c r="H899" s="9">
        <f t="shared" ref="H899:H962" si="14">IFERROR(IF(LEFT(B899,1)="F",E899/G899,0),0)</f>
        <v>0</v>
      </c>
      <c r="I899" t="s">
        <v>97</v>
      </c>
      <c r="J899" t="s">
        <v>98</v>
      </c>
    </row>
    <row r="900" spans="1:10" x14ac:dyDescent="0.3">
      <c r="A900" s="2" t="s">
        <v>7965</v>
      </c>
      <c r="B900" s="2" t="s">
        <v>59</v>
      </c>
      <c r="C900" s="2" t="s">
        <v>60</v>
      </c>
      <c r="D900" s="3">
        <v>1675080</v>
      </c>
      <c r="E900" s="3">
        <v>1675080</v>
      </c>
      <c r="F900" s="2" t="s">
        <v>16</v>
      </c>
      <c r="G900">
        <v>9.6999999999999986E-3</v>
      </c>
      <c r="H900" s="9">
        <f t="shared" si="14"/>
        <v>0</v>
      </c>
      <c r="I900" t="s">
        <v>59</v>
      </c>
      <c r="J900" t="s">
        <v>60</v>
      </c>
    </row>
    <row r="901" spans="1:10" x14ac:dyDescent="0.3">
      <c r="A901" s="2" t="s">
        <v>7974</v>
      </c>
      <c r="B901" s="2" t="s">
        <v>5477</v>
      </c>
      <c r="C901" s="2" t="s">
        <v>5478</v>
      </c>
      <c r="D901" s="3">
        <v>264960</v>
      </c>
      <c r="E901" s="3">
        <v>264960</v>
      </c>
      <c r="F901" s="2" t="s">
        <v>16</v>
      </c>
      <c r="G901">
        <v>4.4999999999999998E-2</v>
      </c>
      <c r="H901" s="9">
        <f t="shared" si="14"/>
        <v>0</v>
      </c>
      <c r="I901" t="s">
        <v>5477</v>
      </c>
      <c r="J901" t="s">
        <v>5478</v>
      </c>
    </row>
    <row r="902" spans="1:10" x14ac:dyDescent="0.3">
      <c r="A902" s="2" t="s">
        <v>7983</v>
      </c>
      <c r="B902" s="2" t="s">
        <v>59</v>
      </c>
      <c r="C902" s="2" t="s">
        <v>60</v>
      </c>
      <c r="D902" s="3">
        <v>761400</v>
      </c>
      <c r="E902" s="3">
        <v>761400</v>
      </c>
      <c r="F902" s="2" t="s">
        <v>16</v>
      </c>
      <c r="G902">
        <v>9.6999999999999986E-3</v>
      </c>
      <c r="H902" s="9">
        <f t="shared" si="14"/>
        <v>0</v>
      </c>
      <c r="I902" t="s">
        <v>59</v>
      </c>
      <c r="J902" t="s">
        <v>60</v>
      </c>
    </row>
    <row r="903" spans="1:10" x14ac:dyDescent="0.3">
      <c r="A903" s="2" t="s">
        <v>7988</v>
      </c>
      <c r="B903" s="2" t="s">
        <v>1027</v>
      </c>
      <c r="C903" s="2" t="s">
        <v>1028</v>
      </c>
      <c r="D903" s="3">
        <v>297360</v>
      </c>
      <c r="E903" s="3">
        <v>297360</v>
      </c>
      <c r="F903" s="2" t="s">
        <v>16</v>
      </c>
      <c r="G903">
        <v>3.0499999999999999E-2</v>
      </c>
      <c r="H903" s="9">
        <f t="shared" si="14"/>
        <v>0</v>
      </c>
      <c r="I903" t="s">
        <v>1027</v>
      </c>
      <c r="J903" t="s">
        <v>1028</v>
      </c>
    </row>
    <row r="904" spans="1:10" x14ac:dyDescent="0.3">
      <c r="A904" s="2" t="s">
        <v>7993</v>
      </c>
      <c r="B904" s="2" t="s">
        <v>517</v>
      </c>
      <c r="C904" s="2" t="s">
        <v>518</v>
      </c>
      <c r="D904" s="3">
        <v>252000</v>
      </c>
      <c r="E904" s="3">
        <v>252000</v>
      </c>
      <c r="F904" s="2" t="s">
        <v>16</v>
      </c>
      <c r="G904">
        <v>2.6600000000000002E-2</v>
      </c>
      <c r="H904" s="9">
        <f t="shared" si="14"/>
        <v>0</v>
      </c>
      <c r="I904" t="s">
        <v>517</v>
      </c>
      <c r="J904" t="s">
        <v>518</v>
      </c>
    </row>
    <row r="905" spans="1:10" x14ac:dyDescent="0.3">
      <c r="A905" s="2" t="s">
        <v>8002</v>
      </c>
      <c r="B905" s="2" t="s">
        <v>517</v>
      </c>
      <c r="C905" s="2" t="s">
        <v>518</v>
      </c>
      <c r="D905" s="3">
        <v>181440</v>
      </c>
      <c r="E905" s="3">
        <v>181440</v>
      </c>
      <c r="F905" s="2" t="s">
        <v>16</v>
      </c>
      <c r="G905">
        <v>2.6600000000000002E-2</v>
      </c>
      <c r="H905" s="9">
        <f t="shared" si="14"/>
        <v>0</v>
      </c>
      <c r="I905" t="s">
        <v>517</v>
      </c>
      <c r="J905" t="s">
        <v>518</v>
      </c>
    </row>
    <row r="906" spans="1:10" x14ac:dyDescent="0.3">
      <c r="A906" s="2" t="s">
        <v>8011</v>
      </c>
      <c r="B906" s="2" t="s">
        <v>97</v>
      </c>
      <c r="C906" s="2" t="s">
        <v>98</v>
      </c>
      <c r="D906" s="3">
        <v>273600</v>
      </c>
      <c r="E906" s="3">
        <v>273600</v>
      </c>
      <c r="F906" s="2" t="s">
        <v>16</v>
      </c>
      <c r="G906">
        <v>5.1999999999999998E-2</v>
      </c>
      <c r="H906" s="9">
        <f t="shared" si="14"/>
        <v>0</v>
      </c>
      <c r="I906" t="s">
        <v>97</v>
      </c>
      <c r="J906" t="s">
        <v>98</v>
      </c>
    </row>
    <row r="907" spans="1:10" x14ac:dyDescent="0.3">
      <c r="A907" s="2" t="s">
        <v>8020</v>
      </c>
      <c r="B907" s="2" t="s">
        <v>59</v>
      </c>
      <c r="C907" s="2" t="s">
        <v>60</v>
      </c>
      <c r="D907" s="3">
        <v>1243620</v>
      </c>
      <c r="E907" s="3">
        <v>1243620</v>
      </c>
      <c r="F907" s="2" t="s">
        <v>16</v>
      </c>
      <c r="G907">
        <v>9.6999999999999986E-3</v>
      </c>
      <c r="H907" s="9">
        <f t="shared" si="14"/>
        <v>0</v>
      </c>
      <c r="I907" t="s">
        <v>59</v>
      </c>
      <c r="J907" t="s">
        <v>60</v>
      </c>
    </row>
    <row r="908" spans="1:10" x14ac:dyDescent="0.3">
      <c r="A908" s="2" t="s">
        <v>8029</v>
      </c>
      <c r="B908" s="2" t="s">
        <v>1027</v>
      </c>
      <c r="C908" s="2" t="s">
        <v>1028</v>
      </c>
      <c r="D908" s="3">
        <v>754020</v>
      </c>
      <c r="E908" s="3">
        <v>754020</v>
      </c>
      <c r="F908" s="2" t="s">
        <v>16</v>
      </c>
      <c r="G908">
        <v>3.0499999999999999E-2</v>
      </c>
      <c r="H908" s="9">
        <f t="shared" si="14"/>
        <v>0</v>
      </c>
      <c r="I908" t="s">
        <v>1027</v>
      </c>
      <c r="J908" t="s">
        <v>1028</v>
      </c>
    </row>
    <row r="909" spans="1:10" x14ac:dyDescent="0.3">
      <c r="A909" s="2" t="s">
        <v>8034</v>
      </c>
      <c r="B909" s="2" t="s">
        <v>5477</v>
      </c>
      <c r="C909" s="2" t="s">
        <v>5478</v>
      </c>
      <c r="D909" s="3">
        <v>52992</v>
      </c>
      <c r="E909" s="3">
        <v>52992</v>
      </c>
      <c r="F909" s="2" t="s">
        <v>16</v>
      </c>
      <c r="G909">
        <v>4.4999999999999998E-2</v>
      </c>
      <c r="H909" s="9">
        <f t="shared" si="14"/>
        <v>0</v>
      </c>
      <c r="I909" t="s">
        <v>5477</v>
      </c>
      <c r="J909" t="s">
        <v>5478</v>
      </c>
    </row>
    <row r="910" spans="1:10" x14ac:dyDescent="0.3">
      <c r="A910" s="2" t="s">
        <v>8039</v>
      </c>
      <c r="B910" s="2" t="s">
        <v>1027</v>
      </c>
      <c r="C910" s="2" t="s">
        <v>1028</v>
      </c>
      <c r="D910" s="3">
        <v>265500</v>
      </c>
      <c r="E910" s="3">
        <v>265500</v>
      </c>
      <c r="F910" s="2" t="s">
        <v>16</v>
      </c>
      <c r="G910">
        <v>3.0499999999999999E-2</v>
      </c>
      <c r="H910" s="9">
        <f t="shared" si="14"/>
        <v>0</v>
      </c>
      <c r="I910" t="s">
        <v>1027</v>
      </c>
      <c r="J910" t="s">
        <v>1028</v>
      </c>
    </row>
    <row r="911" spans="1:10" x14ac:dyDescent="0.3">
      <c r="A911" s="2" t="s">
        <v>8048</v>
      </c>
      <c r="B911" s="2" t="s">
        <v>2086</v>
      </c>
      <c r="C911" s="2" t="s">
        <v>2087</v>
      </c>
      <c r="D911" s="3">
        <v>25344</v>
      </c>
      <c r="E911" s="3">
        <v>25344</v>
      </c>
      <c r="F911" s="2" t="s">
        <v>16</v>
      </c>
      <c r="G911">
        <v>3.5999999999999997E-2</v>
      </c>
      <c r="H911" s="9">
        <f t="shared" si="14"/>
        <v>0</v>
      </c>
      <c r="I911" t="s">
        <v>2086</v>
      </c>
      <c r="J911" t="s">
        <v>2087</v>
      </c>
    </row>
    <row r="912" spans="1:10" x14ac:dyDescent="0.3">
      <c r="A912" s="2" t="s">
        <v>8057</v>
      </c>
      <c r="B912" s="2" t="s">
        <v>8058</v>
      </c>
      <c r="C912" s="2" t="s">
        <v>8059</v>
      </c>
      <c r="D912" s="3">
        <v>104400</v>
      </c>
      <c r="E912" s="3">
        <v>104400</v>
      </c>
      <c r="F912" s="2" t="s">
        <v>16</v>
      </c>
      <c r="G912">
        <v>1.15E-2</v>
      </c>
      <c r="H912" s="9">
        <f t="shared" si="14"/>
        <v>0</v>
      </c>
      <c r="I912" t="s">
        <v>10719</v>
      </c>
      <c r="J912" t="s">
        <v>10720</v>
      </c>
    </row>
    <row r="913" spans="1:10" x14ac:dyDescent="0.3">
      <c r="A913" s="2" t="s">
        <v>8063</v>
      </c>
      <c r="B913" s="2" t="s">
        <v>1027</v>
      </c>
      <c r="C913" s="2" t="s">
        <v>1028</v>
      </c>
      <c r="D913" s="3">
        <v>711540</v>
      </c>
      <c r="E913" s="3">
        <v>711540</v>
      </c>
      <c r="F913" s="2" t="s">
        <v>16</v>
      </c>
      <c r="G913">
        <v>3.0499999999999999E-2</v>
      </c>
      <c r="H913" s="9">
        <f t="shared" si="14"/>
        <v>0</v>
      </c>
      <c r="I913" t="s">
        <v>1027</v>
      </c>
      <c r="J913" t="s">
        <v>1028</v>
      </c>
    </row>
    <row r="914" spans="1:10" x14ac:dyDescent="0.3">
      <c r="A914" s="2" t="s">
        <v>8068</v>
      </c>
      <c r="B914" s="2" t="s">
        <v>59</v>
      </c>
      <c r="C914" s="2" t="s">
        <v>60</v>
      </c>
      <c r="D914" s="3">
        <v>2436480</v>
      </c>
      <c r="E914" s="3">
        <v>2436480</v>
      </c>
      <c r="F914" s="2" t="s">
        <v>16</v>
      </c>
      <c r="G914">
        <v>9.6999999999999986E-3</v>
      </c>
      <c r="H914" s="9">
        <f t="shared" si="14"/>
        <v>0</v>
      </c>
      <c r="I914" t="s">
        <v>59</v>
      </c>
      <c r="J914" t="s">
        <v>60</v>
      </c>
    </row>
    <row r="915" spans="1:10" x14ac:dyDescent="0.3">
      <c r="A915" s="2" t="s">
        <v>8077</v>
      </c>
      <c r="B915" s="2" t="s">
        <v>65</v>
      </c>
      <c r="C915" s="2" t="s">
        <v>66</v>
      </c>
      <c r="D915" s="5">
        <v>-40</v>
      </c>
      <c r="E915" s="5">
        <v>-40</v>
      </c>
      <c r="F915" s="2" t="s">
        <v>23</v>
      </c>
      <c r="G915">
        <v>3.5999999999999997E-2</v>
      </c>
      <c r="H915" s="9">
        <f t="shared" si="14"/>
        <v>-1111.1111111111111</v>
      </c>
      <c r="I915" t="s">
        <v>70</v>
      </c>
      <c r="J915" t="s">
        <v>71</v>
      </c>
    </row>
    <row r="916" spans="1:10" x14ac:dyDescent="0.3">
      <c r="A916" s="2" t="s">
        <v>8077</v>
      </c>
      <c r="B916" s="2" t="s">
        <v>2086</v>
      </c>
      <c r="C916" s="2" t="s">
        <v>2087</v>
      </c>
      <c r="D916" s="3">
        <v>10560</v>
      </c>
      <c r="E916" s="3">
        <v>10560</v>
      </c>
      <c r="F916" s="2" t="s">
        <v>16</v>
      </c>
      <c r="G916">
        <v>3.5999999999999997E-2</v>
      </c>
      <c r="H916" s="9">
        <f t="shared" si="14"/>
        <v>0</v>
      </c>
      <c r="I916" t="s">
        <v>70</v>
      </c>
      <c r="J916" t="s">
        <v>71</v>
      </c>
    </row>
    <row r="917" spans="1:10" x14ac:dyDescent="0.3">
      <c r="A917" s="2" t="s">
        <v>8077</v>
      </c>
      <c r="B917" s="2" t="s">
        <v>2086</v>
      </c>
      <c r="C917" s="2" t="s">
        <v>2087</v>
      </c>
      <c r="D917" s="3">
        <v>10560</v>
      </c>
      <c r="E917" s="3">
        <v>10560</v>
      </c>
      <c r="F917" s="2" t="s">
        <v>16</v>
      </c>
      <c r="G917">
        <v>3.5999999999999997E-2</v>
      </c>
      <c r="H917" s="9">
        <f t="shared" si="14"/>
        <v>0</v>
      </c>
      <c r="I917" t="s">
        <v>70</v>
      </c>
      <c r="J917" t="s">
        <v>71</v>
      </c>
    </row>
    <row r="918" spans="1:10" x14ac:dyDescent="0.3">
      <c r="A918" s="2" t="s">
        <v>8089</v>
      </c>
      <c r="B918" s="2" t="s">
        <v>70</v>
      </c>
      <c r="C918" s="2" t="s">
        <v>71</v>
      </c>
      <c r="D918" s="3">
        <v>19008</v>
      </c>
      <c r="E918" s="3">
        <v>19008</v>
      </c>
      <c r="F918" s="2" t="s">
        <v>16</v>
      </c>
      <c r="G918">
        <v>3.5999999999999997E-2</v>
      </c>
      <c r="H918" s="9">
        <f t="shared" si="14"/>
        <v>0</v>
      </c>
      <c r="I918" t="s">
        <v>70</v>
      </c>
      <c r="J918" t="s">
        <v>71</v>
      </c>
    </row>
    <row r="919" spans="1:10" x14ac:dyDescent="0.3">
      <c r="A919" s="2" t="s">
        <v>8094</v>
      </c>
      <c r="B919" s="2" t="s">
        <v>65</v>
      </c>
      <c r="C919" s="2" t="s">
        <v>66</v>
      </c>
      <c r="D919" s="5">
        <v>-747</v>
      </c>
      <c r="E919" s="5">
        <v>-747</v>
      </c>
      <c r="F919" s="2" t="s">
        <v>23</v>
      </c>
      <c r="G919">
        <v>5.1999999999999998E-2</v>
      </c>
      <c r="H919" s="9">
        <f t="shared" si="14"/>
        <v>-14365.384615384615</v>
      </c>
      <c r="I919" t="s">
        <v>1170</v>
      </c>
      <c r="J919" t="s">
        <v>1171</v>
      </c>
    </row>
    <row r="920" spans="1:10" x14ac:dyDescent="0.3">
      <c r="A920" s="2" t="s">
        <v>8094</v>
      </c>
      <c r="B920" s="2" t="s">
        <v>97</v>
      </c>
      <c r="C920" s="2" t="s">
        <v>98</v>
      </c>
      <c r="D920" s="3">
        <v>76800</v>
      </c>
      <c r="E920" s="3">
        <v>76800</v>
      </c>
      <c r="F920" s="2" t="s">
        <v>16</v>
      </c>
      <c r="G920">
        <v>5.1999999999999998E-2</v>
      </c>
      <c r="H920" s="9">
        <f t="shared" si="14"/>
        <v>0</v>
      </c>
      <c r="I920" t="s">
        <v>1170</v>
      </c>
      <c r="J920" t="s">
        <v>1171</v>
      </c>
    </row>
    <row r="921" spans="1:10" x14ac:dyDescent="0.3">
      <c r="A921" s="2" t="s">
        <v>8107</v>
      </c>
      <c r="B921" s="2" t="s">
        <v>86</v>
      </c>
      <c r="C921" s="2" t="s">
        <v>87</v>
      </c>
      <c r="D921" s="5">
        <v>-448</v>
      </c>
      <c r="E921" s="5">
        <v>-448</v>
      </c>
      <c r="F921" s="2" t="s">
        <v>23</v>
      </c>
      <c r="G921">
        <v>8.3000000000000001E-3</v>
      </c>
      <c r="H921" s="9">
        <f t="shared" si="14"/>
        <v>-53975.903614457828</v>
      </c>
      <c r="I921" t="s">
        <v>91</v>
      </c>
      <c r="J921" t="s">
        <v>92</v>
      </c>
    </row>
    <row r="922" spans="1:10" x14ac:dyDescent="0.3">
      <c r="A922" s="2" t="s">
        <v>8107</v>
      </c>
      <c r="B922" s="2" t="s">
        <v>91</v>
      </c>
      <c r="C922" s="2" t="s">
        <v>92</v>
      </c>
      <c r="D922" s="3">
        <v>378000</v>
      </c>
      <c r="E922" s="3">
        <v>378000</v>
      </c>
      <c r="F922" s="2" t="s">
        <v>16</v>
      </c>
      <c r="G922">
        <v>8.3000000000000001E-3</v>
      </c>
      <c r="H922" s="9">
        <f t="shared" si="14"/>
        <v>0</v>
      </c>
      <c r="I922" t="s">
        <v>91</v>
      </c>
      <c r="J922" t="s">
        <v>92</v>
      </c>
    </row>
    <row r="923" spans="1:10" x14ac:dyDescent="0.3">
      <c r="A923" s="2" t="s">
        <v>8120</v>
      </c>
      <c r="B923" s="2" t="s">
        <v>65</v>
      </c>
      <c r="C923" s="2" t="s">
        <v>66</v>
      </c>
      <c r="D923" s="5">
        <v>-268</v>
      </c>
      <c r="E923" s="5">
        <v>-268</v>
      </c>
      <c r="F923" s="2" t="s">
        <v>23</v>
      </c>
      <c r="G923">
        <v>2.6600000000000002E-2</v>
      </c>
      <c r="H923" s="9">
        <f t="shared" si="14"/>
        <v>-10075.187969924811</v>
      </c>
      <c r="I923" t="s">
        <v>517</v>
      </c>
      <c r="J923" t="s">
        <v>518</v>
      </c>
    </row>
    <row r="924" spans="1:10" x14ac:dyDescent="0.3">
      <c r="A924" s="2" t="s">
        <v>8120</v>
      </c>
      <c r="B924" s="2" t="s">
        <v>517</v>
      </c>
      <c r="C924" s="2" t="s">
        <v>518</v>
      </c>
      <c r="D924" s="3">
        <v>40320</v>
      </c>
      <c r="E924" s="3">
        <v>40320</v>
      </c>
      <c r="F924" s="2" t="s">
        <v>16</v>
      </c>
      <c r="G924">
        <v>2.6600000000000002E-2</v>
      </c>
      <c r="H924" s="9">
        <f t="shared" si="14"/>
        <v>0</v>
      </c>
      <c r="I924" t="s">
        <v>517</v>
      </c>
      <c r="J924" t="s">
        <v>518</v>
      </c>
    </row>
    <row r="925" spans="1:10" x14ac:dyDescent="0.3">
      <c r="A925" s="2" t="s">
        <v>8133</v>
      </c>
      <c r="B925" s="2" t="s">
        <v>65</v>
      </c>
      <c r="C925" s="2" t="s">
        <v>66</v>
      </c>
      <c r="D925" s="5">
        <v>-738</v>
      </c>
      <c r="E925" s="5">
        <v>-738</v>
      </c>
      <c r="F925" s="2" t="s">
        <v>23</v>
      </c>
      <c r="G925">
        <v>9.6999999999999986E-3</v>
      </c>
      <c r="H925" s="9">
        <f t="shared" si="14"/>
        <v>-76082.47422680413</v>
      </c>
      <c r="I925" t="s">
        <v>59</v>
      </c>
      <c r="J925" t="s">
        <v>60</v>
      </c>
    </row>
    <row r="926" spans="1:10" x14ac:dyDescent="0.3">
      <c r="A926" s="2" t="s">
        <v>8133</v>
      </c>
      <c r="B926" s="2" t="s">
        <v>59</v>
      </c>
      <c r="C926" s="2" t="s">
        <v>60</v>
      </c>
      <c r="D926" s="3">
        <v>1294380</v>
      </c>
      <c r="E926" s="3">
        <v>1294380</v>
      </c>
      <c r="F926" s="2" t="s">
        <v>16</v>
      </c>
      <c r="G926">
        <v>9.6999999999999986E-3</v>
      </c>
      <c r="H926" s="9">
        <f t="shared" si="14"/>
        <v>0</v>
      </c>
      <c r="I926" t="s">
        <v>59</v>
      </c>
      <c r="J926" t="s">
        <v>60</v>
      </c>
    </row>
    <row r="927" spans="1:10" x14ac:dyDescent="0.3">
      <c r="A927" s="2" t="s">
        <v>8146</v>
      </c>
      <c r="B927" s="2" t="s">
        <v>740</v>
      </c>
      <c r="C927" s="2" t="s">
        <v>741</v>
      </c>
      <c r="D927" s="3">
        <v>1019520</v>
      </c>
      <c r="E927" s="3">
        <v>1019520</v>
      </c>
      <c r="F927" s="2" t="s">
        <v>16</v>
      </c>
      <c r="G927">
        <v>3.0499999999999999E-2</v>
      </c>
      <c r="H927" s="9">
        <f t="shared" si="14"/>
        <v>0</v>
      </c>
      <c r="I927" t="s">
        <v>740</v>
      </c>
      <c r="J927" t="s">
        <v>741</v>
      </c>
    </row>
    <row r="928" spans="1:10" x14ac:dyDescent="0.3">
      <c r="A928" s="2" t="s">
        <v>8155</v>
      </c>
      <c r="B928" s="2" t="s">
        <v>1119</v>
      </c>
      <c r="C928" s="2" t="s">
        <v>1120</v>
      </c>
      <c r="D928" s="3">
        <v>50760</v>
      </c>
      <c r="E928" s="3">
        <v>50760</v>
      </c>
      <c r="F928" s="2" t="s">
        <v>16</v>
      </c>
      <c r="G928">
        <v>9.4000000000000004E-3</v>
      </c>
      <c r="H928" s="9">
        <f t="shared" si="14"/>
        <v>0</v>
      </c>
      <c r="I928" t="s">
        <v>3028</v>
      </c>
      <c r="J928" t="s">
        <v>3029</v>
      </c>
    </row>
    <row r="929" spans="1:10" x14ac:dyDescent="0.3">
      <c r="A929" s="2" t="s">
        <v>8164</v>
      </c>
      <c r="B929" s="2" t="s">
        <v>445</v>
      </c>
      <c r="C929" s="2" t="s">
        <v>446</v>
      </c>
      <c r="D929" s="3">
        <v>126900</v>
      </c>
      <c r="E929" s="3">
        <v>126900</v>
      </c>
      <c r="F929" s="2" t="s">
        <v>16</v>
      </c>
      <c r="G929">
        <v>9.4000000000000004E-3</v>
      </c>
      <c r="H929" s="9">
        <f t="shared" si="14"/>
        <v>0</v>
      </c>
      <c r="I929" t="s">
        <v>3028</v>
      </c>
      <c r="J929" t="s">
        <v>3029</v>
      </c>
    </row>
    <row r="930" spans="1:10" x14ac:dyDescent="0.3">
      <c r="A930" s="2" t="s">
        <v>8173</v>
      </c>
      <c r="B930" s="2" t="s">
        <v>6977</v>
      </c>
      <c r="C930" s="2" t="s">
        <v>6978</v>
      </c>
      <c r="D930" s="3">
        <v>76140</v>
      </c>
      <c r="E930" s="3">
        <v>76140</v>
      </c>
      <c r="F930" s="2" t="s">
        <v>16</v>
      </c>
      <c r="G930">
        <v>9.4000000000000004E-3</v>
      </c>
      <c r="H930" s="9">
        <f t="shared" si="14"/>
        <v>0</v>
      </c>
      <c r="I930" t="s">
        <v>3028</v>
      </c>
      <c r="J930" t="s">
        <v>3029</v>
      </c>
    </row>
    <row r="931" spans="1:10" x14ac:dyDescent="0.3">
      <c r="A931" s="2" t="s">
        <v>8182</v>
      </c>
      <c r="B931" s="2" t="s">
        <v>59</v>
      </c>
      <c r="C931" s="2" t="s">
        <v>60</v>
      </c>
      <c r="D931" s="3">
        <v>203040</v>
      </c>
      <c r="E931" s="3">
        <v>203040</v>
      </c>
      <c r="F931" s="2" t="s">
        <v>16</v>
      </c>
      <c r="G931">
        <v>9.6999999999999986E-3</v>
      </c>
      <c r="H931" s="9">
        <f t="shared" si="14"/>
        <v>0</v>
      </c>
      <c r="I931" t="s">
        <v>59</v>
      </c>
      <c r="J931" t="s">
        <v>60</v>
      </c>
    </row>
    <row r="932" spans="1:10" x14ac:dyDescent="0.3">
      <c r="A932" s="2" t="s">
        <v>8191</v>
      </c>
      <c r="B932" s="2" t="s">
        <v>2127</v>
      </c>
      <c r="C932" s="2" t="s">
        <v>2128</v>
      </c>
      <c r="D932" s="3">
        <v>14904</v>
      </c>
      <c r="E932" s="3">
        <v>14904</v>
      </c>
      <c r="F932" s="2" t="s">
        <v>16</v>
      </c>
      <c r="G932">
        <v>3.4000000000000002E-2</v>
      </c>
      <c r="H932" s="9">
        <f t="shared" si="14"/>
        <v>0</v>
      </c>
      <c r="I932" t="s">
        <v>2127</v>
      </c>
      <c r="J932" t="s">
        <v>2128</v>
      </c>
    </row>
    <row r="933" spans="1:10" x14ac:dyDescent="0.3">
      <c r="A933" s="2" t="s">
        <v>8200</v>
      </c>
      <c r="B933" s="2" t="s">
        <v>1027</v>
      </c>
      <c r="C933" s="2" t="s">
        <v>1028</v>
      </c>
      <c r="D933" s="3">
        <v>573480</v>
      </c>
      <c r="E933" s="3">
        <v>573480</v>
      </c>
      <c r="F933" s="2" t="s">
        <v>16</v>
      </c>
      <c r="G933">
        <v>3.0499999999999999E-2</v>
      </c>
      <c r="H933" s="9">
        <f t="shared" si="14"/>
        <v>0</v>
      </c>
      <c r="I933" t="s">
        <v>1027</v>
      </c>
      <c r="J933" t="s">
        <v>1028</v>
      </c>
    </row>
    <row r="934" spans="1:10" x14ac:dyDescent="0.3">
      <c r="A934" s="2" t="s">
        <v>8209</v>
      </c>
      <c r="B934" s="2" t="s">
        <v>4511</v>
      </c>
      <c r="C934" s="2" t="s">
        <v>4512</v>
      </c>
      <c r="D934" s="3">
        <v>268920</v>
      </c>
      <c r="E934" s="3">
        <v>268920</v>
      </c>
      <c r="F934" s="2" t="s">
        <v>16</v>
      </c>
      <c r="G934">
        <v>7.45E-3</v>
      </c>
      <c r="H934" s="9">
        <f t="shared" si="14"/>
        <v>0</v>
      </c>
      <c r="I934" t="s">
        <v>4511</v>
      </c>
      <c r="J934" t="s">
        <v>4512</v>
      </c>
    </row>
    <row r="935" spans="1:10" x14ac:dyDescent="0.3">
      <c r="A935" s="2" t="s">
        <v>8214</v>
      </c>
      <c r="B935" s="2" t="s">
        <v>86</v>
      </c>
      <c r="C935" s="2" t="s">
        <v>87</v>
      </c>
      <c r="D935" s="5">
        <v>-140</v>
      </c>
      <c r="E935" s="5">
        <v>-140</v>
      </c>
      <c r="F935" s="2" t="s">
        <v>23</v>
      </c>
      <c r="G935">
        <v>2.6600000000000002E-2</v>
      </c>
      <c r="H935" s="9">
        <f t="shared" si="14"/>
        <v>-5263.1578947368416</v>
      </c>
      <c r="I935" t="s">
        <v>2803</v>
      </c>
      <c r="J935" t="s">
        <v>2804</v>
      </c>
    </row>
    <row r="936" spans="1:10" x14ac:dyDescent="0.3">
      <c r="A936" s="2" t="s">
        <v>8214</v>
      </c>
      <c r="B936" s="2" t="s">
        <v>2803</v>
      </c>
      <c r="C936" s="2" t="s">
        <v>2804</v>
      </c>
      <c r="D936" s="3">
        <v>10080</v>
      </c>
      <c r="E936" s="3">
        <v>10080</v>
      </c>
      <c r="F936" s="2" t="s">
        <v>16</v>
      </c>
      <c r="G936">
        <v>2.6600000000000002E-2</v>
      </c>
      <c r="H936" s="9">
        <f t="shared" si="14"/>
        <v>0</v>
      </c>
      <c r="I936" t="s">
        <v>2803</v>
      </c>
      <c r="J936" t="s">
        <v>2804</v>
      </c>
    </row>
    <row r="937" spans="1:10" x14ac:dyDescent="0.3">
      <c r="A937" s="2" t="s">
        <v>8227</v>
      </c>
      <c r="B937" s="2" t="s">
        <v>2803</v>
      </c>
      <c r="C937" s="2" t="s">
        <v>2804</v>
      </c>
      <c r="D937" s="3">
        <v>10080</v>
      </c>
      <c r="E937" s="3">
        <v>10080</v>
      </c>
      <c r="F937" s="2" t="s">
        <v>16</v>
      </c>
      <c r="G937">
        <v>2.6600000000000002E-2</v>
      </c>
      <c r="H937" s="9">
        <f t="shared" si="14"/>
        <v>0</v>
      </c>
      <c r="I937" t="s">
        <v>2803</v>
      </c>
      <c r="J937" t="s">
        <v>2804</v>
      </c>
    </row>
    <row r="938" spans="1:10" x14ac:dyDescent="0.3">
      <c r="A938" s="2" t="s">
        <v>8227</v>
      </c>
      <c r="B938" s="2" t="s">
        <v>2803</v>
      </c>
      <c r="C938" s="2" t="s">
        <v>2804</v>
      </c>
      <c r="D938" s="3">
        <v>10080</v>
      </c>
      <c r="E938" s="3">
        <v>10080</v>
      </c>
      <c r="F938" s="2" t="s">
        <v>16</v>
      </c>
      <c r="G938">
        <v>2.6600000000000002E-2</v>
      </c>
      <c r="H938" s="9">
        <f t="shared" si="14"/>
        <v>0</v>
      </c>
      <c r="I938" t="s">
        <v>2803</v>
      </c>
      <c r="J938" t="s">
        <v>2804</v>
      </c>
    </row>
    <row r="939" spans="1:10" x14ac:dyDescent="0.3">
      <c r="A939" s="2" t="s">
        <v>8236</v>
      </c>
      <c r="B939" s="2" t="s">
        <v>6955</v>
      </c>
      <c r="C939" s="2" t="s">
        <v>6956</v>
      </c>
      <c r="D939" s="3">
        <v>20880</v>
      </c>
      <c r="E939" s="3">
        <v>20880</v>
      </c>
      <c r="F939" s="2" t="s">
        <v>16</v>
      </c>
      <c r="G939">
        <v>1.2500000000000001E-2</v>
      </c>
      <c r="H939" s="9">
        <f t="shared" si="14"/>
        <v>0</v>
      </c>
      <c r="I939" t="s">
        <v>2539</v>
      </c>
      <c r="J939" t="s">
        <v>2540</v>
      </c>
    </row>
    <row r="940" spans="1:10" x14ac:dyDescent="0.3">
      <c r="A940" s="2" t="s">
        <v>8241</v>
      </c>
      <c r="B940" s="2" t="s">
        <v>1327</v>
      </c>
      <c r="C940" s="2" t="s">
        <v>1328</v>
      </c>
      <c r="D940" s="3">
        <v>62640</v>
      </c>
      <c r="E940" s="3">
        <v>62640</v>
      </c>
      <c r="F940" s="2" t="s">
        <v>16</v>
      </c>
      <c r="G940">
        <v>1.2500000000000001E-2</v>
      </c>
      <c r="H940" s="9">
        <f t="shared" si="14"/>
        <v>0</v>
      </c>
      <c r="I940" t="s">
        <v>2539</v>
      </c>
      <c r="J940" t="s">
        <v>2540</v>
      </c>
    </row>
    <row r="941" spans="1:10" x14ac:dyDescent="0.3">
      <c r="A941" s="2" t="s">
        <v>8246</v>
      </c>
      <c r="B941" s="2" t="s">
        <v>86</v>
      </c>
      <c r="C941" s="2" t="s">
        <v>87</v>
      </c>
      <c r="D941" s="5">
        <v>-1305</v>
      </c>
      <c r="E941" s="5">
        <v>-1305</v>
      </c>
      <c r="F941" s="2" t="s">
        <v>23</v>
      </c>
      <c r="G941">
        <v>1.2500000000000001E-2</v>
      </c>
      <c r="H941" s="9">
        <f t="shared" si="14"/>
        <v>-104400</v>
      </c>
      <c r="I941" t="s">
        <v>2539</v>
      </c>
      <c r="J941" t="s">
        <v>2540</v>
      </c>
    </row>
    <row r="942" spans="1:10" x14ac:dyDescent="0.3">
      <c r="A942" s="2" t="s">
        <v>8246</v>
      </c>
      <c r="B942" s="2" t="s">
        <v>2539</v>
      </c>
      <c r="C942" s="2" t="s">
        <v>2540</v>
      </c>
      <c r="D942" s="3">
        <v>146160</v>
      </c>
      <c r="E942" s="3">
        <v>146160</v>
      </c>
      <c r="F942" s="2" t="s">
        <v>16</v>
      </c>
      <c r="G942">
        <v>1.2500000000000001E-2</v>
      </c>
      <c r="H942" s="9">
        <f t="shared" si="14"/>
        <v>0</v>
      </c>
      <c r="I942" t="s">
        <v>2539</v>
      </c>
      <c r="J942" t="s">
        <v>2540</v>
      </c>
    </row>
    <row r="943" spans="1:10" x14ac:dyDescent="0.3">
      <c r="A943" s="2" t="s">
        <v>8255</v>
      </c>
      <c r="B943" s="2" t="s">
        <v>8256</v>
      </c>
      <c r="C943" s="2" t="s">
        <v>8257</v>
      </c>
      <c r="D943" s="3">
        <v>19456</v>
      </c>
      <c r="E943" s="3">
        <v>19456</v>
      </c>
      <c r="F943" s="2" t="s">
        <v>16</v>
      </c>
      <c r="G943">
        <v>5.1999999999999998E-2</v>
      </c>
      <c r="H943" s="9">
        <f t="shared" si="14"/>
        <v>0</v>
      </c>
      <c r="I943" t="s">
        <v>97</v>
      </c>
      <c r="J943" t="s">
        <v>98</v>
      </c>
    </row>
    <row r="944" spans="1:10" x14ac:dyDescent="0.3">
      <c r="A944" s="2" t="s">
        <v>8261</v>
      </c>
      <c r="B944" s="2" t="s">
        <v>5347</v>
      </c>
      <c r="C944" s="2" t="s">
        <v>5348</v>
      </c>
      <c r="D944" s="3">
        <v>6624</v>
      </c>
      <c r="E944" s="3">
        <v>6624</v>
      </c>
      <c r="F944" s="2" t="s">
        <v>16</v>
      </c>
      <c r="G944">
        <v>0</v>
      </c>
      <c r="H944" s="9">
        <f t="shared" si="14"/>
        <v>0</v>
      </c>
      <c r="I944" t="s">
        <v>65</v>
      </c>
      <c r="J944" t="s">
        <v>66</v>
      </c>
    </row>
    <row r="945" spans="1:10" x14ac:dyDescent="0.3">
      <c r="A945" s="2" t="s">
        <v>8261</v>
      </c>
      <c r="B945" s="2" t="s">
        <v>4791</v>
      </c>
      <c r="C945" s="2" t="s">
        <v>4792</v>
      </c>
      <c r="D945" s="3">
        <v>6624</v>
      </c>
      <c r="E945" s="3">
        <v>6624</v>
      </c>
      <c r="F945" s="2" t="s">
        <v>16</v>
      </c>
      <c r="G945">
        <v>0</v>
      </c>
      <c r="H945" s="9">
        <f t="shared" si="14"/>
        <v>0</v>
      </c>
      <c r="I945" t="s">
        <v>65</v>
      </c>
      <c r="J945" t="s">
        <v>66</v>
      </c>
    </row>
    <row r="946" spans="1:10" x14ac:dyDescent="0.3">
      <c r="A946" s="2" t="s">
        <v>8268</v>
      </c>
      <c r="B946" s="2" t="s">
        <v>4365</v>
      </c>
      <c r="C946" s="2" t="s">
        <v>4366</v>
      </c>
      <c r="D946" s="3">
        <v>9450</v>
      </c>
      <c r="E946" s="3">
        <v>9450</v>
      </c>
      <c r="F946" s="2" t="s">
        <v>16</v>
      </c>
      <c r="G946">
        <v>0.85</v>
      </c>
      <c r="H946" s="9">
        <f t="shared" si="14"/>
        <v>0</v>
      </c>
      <c r="I946" t="s">
        <v>18392</v>
      </c>
      <c r="J946" t="s">
        <v>18393</v>
      </c>
    </row>
    <row r="947" spans="1:10" x14ac:dyDescent="0.3">
      <c r="A947" s="2" t="s">
        <v>8313</v>
      </c>
      <c r="B947" s="2" t="s">
        <v>740</v>
      </c>
      <c r="C947" s="2" t="s">
        <v>741</v>
      </c>
      <c r="D947" s="3">
        <v>106200</v>
      </c>
      <c r="E947" s="3">
        <v>0</v>
      </c>
      <c r="F947" s="2" t="s">
        <v>16</v>
      </c>
      <c r="G947">
        <v>3.0499999999999999E-2</v>
      </c>
      <c r="H947" s="9">
        <f t="shared" si="14"/>
        <v>0</v>
      </c>
      <c r="I947" t="s">
        <v>740</v>
      </c>
      <c r="J947" t="s">
        <v>741</v>
      </c>
    </row>
    <row r="948" spans="1:10" x14ac:dyDescent="0.3">
      <c r="A948" s="2" t="s">
        <v>8313</v>
      </c>
      <c r="B948" s="2" t="s">
        <v>103</v>
      </c>
      <c r="C948" s="2" t="s">
        <v>104</v>
      </c>
      <c r="D948" s="3">
        <v>106200</v>
      </c>
      <c r="E948" s="3">
        <v>106200</v>
      </c>
      <c r="F948" s="2" t="s">
        <v>16</v>
      </c>
      <c r="G948">
        <v>3.0499999999999999E-2</v>
      </c>
      <c r="H948" s="9">
        <f t="shared" si="14"/>
        <v>0</v>
      </c>
      <c r="I948" t="s">
        <v>740</v>
      </c>
      <c r="J948" t="s">
        <v>741</v>
      </c>
    </row>
    <row r="949" spans="1:10" x14ac:dyDescent="0.3">
      <c r="A949" s="2" t="s">
        <v>8321</v>
      </c>
      <c r="B949" s="2" t="s">
        <v>65</v>
      </c>
      <c r="C949" s="2" t="s">
        <v>66</v>
      </c>
      <c r="D949" s="5">
        <v>-323</v>
      </c>
      <c r="E949" s="5">
        <v>-323</v>
      </c>
      <c r="F949" s="2" t="s">
        <v>23</v>
      </c>
      <c r="G949">
        <v>3.0499999999999999E-2</v>
      </c>
      <c r="H949" s="9">
        <f t="shared" si="14"/>
        <v>-10590.163934426229</v>
      </c>
      <c r="I949" t="s">
        <v>740</v>
      </c>
      <c r="J949" t="s">
        <v>741</v>
      </c>
    </row>
    <row r="950" spans="1:10" x14ac:dyDescent="0.3">
      <c r="A950" s="2" t="s">
        <v>8321</v>
      </c>
      <c r="B950" s="2" t="s">
        <v>740</v>
      </c>
      <c r="C950" s="2" t="s">
        <v>741</v>
      </c>
      <c r="D950" s="3">
        <v>63720</v>
      </c>
      <c r="E950" s="3">
        <v>63720</v>
      </c>
      <c r="F950" s="2" t="s">
        <v>16</v>
      </c>
      <c r="G950">
        <v>3.0499999999999999E-2</v>
      </c>
      <c r="H950" s="9">
        <f t="shared" si="14"/>
        <v>0</v>
      </c>
      <c r="I950" t="s">
        <v>740</v>
      </c>
      <c r="J950" t="s">
        <v>741</v>
      </c>
    </row>
    <row r="951" spans="1:10" x14ac:dyDescent="0.3">
      <c r="A951" s="2" t="s">
        <v>8330</v>
      </c>
      <c r="B951" s="2" t="s">
        <v>2100</v>
      </c>
      <c r="C951" s="2" t="s">
        <v>2101</v>
      </c>
      <c r="D951" s="3">
        <v>10620</v>
      </c>
      <c r="E951" s="3">
        <v>10620</v>
      </c>
      <c r="F951" s="2" t="s">
        <v>16</v>
      </c>
      <c r="G951">
        <v>3.0499999999999999E-2</v>
      </c>
      <c r="H951" s="9">
        <f t="shared" si="14"/>
        <v>0</v>
      </c>
      <c r="I951" t="s">
        <v>740</v>
      </c>
      <c r="J951" t="s">
        <v>741</v>
      </c>
    </row>
    <row r="952" spans="1:10" x14ac:dyDescent="0.3">
      <c r="A952" s="2" t="s">
        <v>8335</v>
      </c>
      <c r="B952" s="2" t="s">
        <v>1512</v>
      </c>
      <c r="C952" s="2" t="s">
        <v>1513</v>
      </c>
      <c r="D952" s="3">
        <v>31860</v>
      </c>
      <c r="E952" s="3">
        <v>31860</v>
      </c>
      <c r="F952" s="2" t="s">
        <v>16</v>
      </c>
      <c r="G952">
        <v>3.0499999999999999E-2</v>
      </c>
      <c r="H952" s="9">
        <f t="shared" si="14"/>
        <v>0</v>
      </c>
      <c r="I952" t="s">
        <v>1027</v>
      </c>
      <c r="J952" t="s">
        <v>1028</v>
      </c>
    </row>
    <row r="953" spans="1:10" x14ac:dyDescent="0.3">
      <c r="A953" s="2" t="s">
        <v>8340</v>
      </c>
      <c r="B953" s="2" t="s">
        <v>21</v>
      </c>
      <c r="C953" s="2" t="s">
        <v>22</v>
      </c>
      <c r="D953" s="5">
        <v>-140</v>
      </c>
      <c r="E953" s="5">
        <v>-140</v>
      </c>
      <c r="F953" s="2" t="s">
        <v>23</v>
      </c>
      <c r="G953">
        <v>3.0499999999999999E-2</v>
      </c>
      <c r="H953" s="9">
        <f t="shared" si="14"/>
        <v>-4590.1639344262294</v>
      </c>
      <c r="I953" t="s">
        <v>1027</v>
      </c>
      <c r="J953" t="s">
        <v>1028</v>
      </c>
    </row>
    <row r="954" spans="1:10" x14ac:dyDescent="0.3">
      <c r="A954" s="2" t="s">
        <v>8340</v>
      </c>
      <c r="B954" s="2" t="s">
        <v>1027</v>
      </c>
      <c r="C954" s="2" t="s">
        <v>1028</v>
      </c>
      <c r="D954" s="3">
        <v>42480</v>
      </c>
      <c r="E954" s="3">
        <v>42480</v>
      </c>
      <c r="F954" s="2" t="s">
        <v>16</v>
      </c>
      <c r="G954">
        <v>3.0499999999999999E-2</v>
      </c>
      <c r="H954" s="9">
        <f t="shared" si="14"/>
        <v>0</v>
      </c>
      <c r="I954" t="s">
        <v>1027</v>
      </c>
      <c r="J954" t="s">
        <v>1028</v>
      </c>
    </row>
    <row r="955" spans="1:10" x14ac:dyDescent="0.3">
      <c r="A955" s="2" t="s">
        <v>8349</v>
      </c>
      <c r="B955" s="2" t="s">
        <v>4511</v>
      </c>
      <c r="C955" s="2" t="s">
        <v>4512</v>
      </c>
      <c r="D955" s="3">
        <v>89640</v>
      </c>
      <c r="E955" s="3">
        <v>89640</v>
      </c>
      <c r="F955" s="2" t="s">
        <v>16</v>
      </c>
      <c r="G955">
        <v>7.45E-3</v>
      </c>
      <c r="H955" s="9">
        <f t="shared" si="14"/>
        <v>0</v>
      </c>
      <c r="I955" t="s">
        <v>797</v>
      </c>
      <c r="J955" t="s">
        <v>798</v>
      </c>
    </row>
    <row r="956" spans="1:10" x14ac:dyDescent="0.3">
      <c r="A956" s="2" t="s">
        <v>8358</v>
      </c>
      <c r="B956" s="2" t="s">
        <v>2727</v>
      </c>
      <c r="C956" s="2" t="s">
        <v>2728</v>
      </c>
      <c r="D956" s="3">
        <v>25380</v>
      </c>
      <c r="E956" s="3">
        <v>25380</v>
      </c>
      <c r="F956" s="2" t="s">
        <v>16</v>
      </c>
      <c r="G956">
        <v>9.4000000000000004E-3</v>
      </c>
      <c r="H956" s="9">
        <f t="shared" si="14"/>
        <v>0</v>
      </c>
      <c r="I956" t="s">
        <v>4424</v>
      </c>
      <c r="J956" t="s">
        <v>4425</v>
      </c>
    </row>
    <row r="957" spans="1:10" x14ac:dyDescent="0.3">
      <c r="A957" s="2" t="s">
        <v>8367</v>
      </c>
      <c r="B957" s="2" t="s">
        <v>7090</v>
      </c>
      <c r="C957" s="2" t="s">
        <v>7091</v>
      </c>
      <c r="D957" s="3">
        <v>30240</v>
      </c>
      <c r="E957" s="3">
        <v>30240</v>
      </c>
      <c r="F957" s="2" t="s">
        <v>16</v>
      </c>
      <c r="G957">
        <v>2.6600000000000002E-2</v>
      </c>
      <c r="H957" s="9">
        <f t="shared" si="14"/>
        <v>0</v>
      </c>
      <c r="I957" t="s">
        <v>7090</v>
      </c>
      <c r="J957" t="s">
        <v>7091</v>
      </c>
    </row>
    <row r="958" spans="1:10" x14ac:dyDescent="0.3">
      <c r="A958" s="2" t="s">
        <v>8372</v>
      </c>
      <c r="B958" s="2" t="s">
        <v>65</v>
      </c>
      <c r="C958" s="2" t="s">
        <v>66</v>
      </c>
      <c r="D958" s="5">
        <v>-306</v>
      </c>
      <c r="E958" s="5">
        <v>-306</v>
      </c>
      <c r="F958" s="2" t="s">
        <v>23</v>
      </c>
      <c r="G958">
        <v>3.5999999999999997E-2</v>
      </c>
      <c r="H958" s="9">
        <f t="shared" si="14"/>
        <v>-8500</v>
      </c>
      <c r="I958" t="s">
        <v>2086</v>
      </c>
      <c r="J958" t="s">
        <v>2087</v>
      </c>
    </row>
    <row r="959" spans="1:10" x14ac:dyDescent="0.3">
      <c r="A959" s="2" t="s">
        <v>8372</v>
      </c>
      <c r="B959" s="2" t="s">
        <v>2086</v>
      </c>
      <c r="C959" s="2" t="s">
        <v>2087</v>
      </c>
      <c r="D959" s="3">
        <v>67584</v>
      </c>
      <c r="E959" s="3">
        <v>67584</v>
      </c>
      <c r="F959" s="2" t="s">
        <v>16</v>
      </c>
      <c r="G959">
        <v>3.5999999999999997E-2</v>
      </c>
      <c r="H959" s="9">
        <f t="shared" si="14"/>
        <v>0</v>
      </c>
      <c r="I959" t="s">
        <v>2086</v>
      </c>
      <c r="J959" t="s">
        <v>2087</v>
      </c>
    </row>
    <row r="960" spans="1:10" x14ac:dyDescent="0.3">
      <c r="A960" s="2" t="s">
        <v>8381</v>
      </c>
      <c r="B960" s="2" t="s">
        <v>65</v>
      </c>
      <c r="C960" s="2" t="s">
        <v>66</v>
      </c>
      <c r="D960" s="5">
        <v>-135</v>
      </c>
      <c r="E960" s="5">
        <v>-135</v>
      </c>
      <c r="F960" s="2" t="s">
        <v>23</v>
      </c>
      <c r="G960">
        <v>1.2699999999999999E-2</v>
      </c>
      <c r="H960" s="9">
        <f t="shared" si="14"/>
        <v>-10629.92125984252</v>
      </c>
      <c r="I960" t="s">
        <v>2611</v>
      </c>
      <c r="J960" t="s">
        <v>2612</v>
      </c>
    </row>
    <row r="961" spans="1:10" x14ac:dyDescent="0.3">
      <c r="A961" s="2" t="s">
        <v>8381</v>
      </c>
      <c r="B961" s="2" t="s">
        <v>2611</v>
      </c>
      <c r="C961" s="2" t="s">
        <v>2612</v>
      </c>
      <c r="D961" s="3">
        <v>127872</v>
      </c>
      <c r="E961" s="3">
        <v>127872</v>
      </c>
      <c r="F961" s="2" t="s">
        <v>16</v>
      </c>
      <c r="G961">
        <v>1.2699999999999999E-2</v>
      </c>
      <c r="H961" s="9">
        <f t="shared" si="14"/>
        <v>0</v>
      </c>
      <c r="I961" t="s">
        <v>2611</v>
      </c>
      <c r="J961" t="s">
        <v>2612</v>
      </c>
    </row>
    <row r="962" spans="1:10" x14ac:dyDescent="0.3">
      <c r="A962" s="2" t="s">
        <v>8394</v>
      </c>
      <c r="B962" s="2" t="s">
        <v>59</v>
      </c>
      <c r="C962" s="2" t="s">
        <v>60</v>
      </c>
      <c r="D962" s="3">
        <v>736020</v>
      </c>
      <c r="E962" s="3">
        <v>736020</v>
      </c>
      <c r="F962" s="2" t="s">
        <v>16</v>
      </c>
      <c r="G962">
        <v>9.6999999999999986E-3</v>
      </c>
      <c r="H962" s="9">
        <f t="shared" si="14"/>
        <v>0</v>
      </c>
      <c r="I962" t="s">
        <v>59</v>
      </c>
      <c r="J962" t="s">
        <v>60</v>
      </c>
    </row>
    <row r="963" spans="1:10" x14ac:dyDescent="0.3">
      <c r="A963" s="2" t="s">
        <v>8403</v>
      </c>
      <c r="B963" s="2" t="s">
        <v>65</v>
      </c>
      <c r="C963" s="2" t="s">
        <v>66</v>
      </c>
      <c r="D963" s="5">
        <v>-323</v>
      </c>
      <c r="E963" s="5">
        <v>-323</v>
      </c>
      <c r="F963" s="2" t="s">
        <v>23</v>
      </c>
      <c r="G963">
        <v>3.0499999999999999E-2</v>
      </c>
      <c r="H963" s="9">
        <f t="shared" ref="H963:H1026" si="15">IFERROR(IF(LEFT(B963,1)="F",E963/G963,0),0)</f>
        <v>-10590.163934426229</v>
      </c>
      <c r="I963" t="s">
        <v>103</v>
      </c>
      <c r="J963" t="s">
        <v>104</v>
      </c>
    </row>
    <row r="964" spans="1:10" x14ac:dyDescent="0.3">
      <c r="A964" s="2" t="s">
        <v>8403</v>
      </c>
      <c r="B964" s="2" t="s">
        <v>103</v>
      </c>
      <c r="C964" s="2" t="s">
        <v>104</v>
      </c>
      <c r="D964" s="3">
        <v>138060</v>
      </c>
      <c r="E964" s="3">
        <v>138060</v>
      </c>
      <c r="F964" s="2" t="s">
        <v>16</v>
      </c>
      <c r="G964">
        <v>3.0499999999999999E-2</v>
      </c>
      <c r="H964" s="9">
        <f t="shared" si="15"/>
        <v>0</v>
      </c>
      <c r="I964" t="s">
        <v>103</v>
      </c>
      <c r="J964" t="s">
        <v>104</v>
      </c>
    </row>
    <row r="965" spans="1:10" x14ac:dyDescent="0.3">
      <c r="A965" s="2" t="s">
        <v>8412</v>
      </c>
      <c r="B965" s="2" t="s">
        <v>59</v>
      </c>
      <c r="C965" s="2" t="s">
        <v>60</v>
      </c>
      <c r="D965" s="3">
        <v>1243620</v>
      </c>
      <c r="E965" s="3">
        <v>1243620</v>
      </c>
      <c r="F965" s="2" t="s">
        <v>16</v>
      </c>
      <c r="G965">
        <v>9.6999999999999986E-3</v>
      </c>
      <c r="H965" s="9">
        <f t="shared" si="15"/>
        <v>0</v>
      </c>
      <c r="I965" t="s">
        <v>59</v>
      </c>
      <c r="J965" t="s">
        <v>60</v>
      </c>
    </row>
    <row r="966" spans="1:10" x14ac:dyDescent="0.3">
      <c r="A966" s="2" t="s">
        <v>8421</v>
      </c>
      <c r="B966" s="2" t="s">
        <v>5357</v>
      </c>
      <c r="C966" s="2" t="s">
        <v>5358</v>
      </c>
      <c r="D966" s="3">
        <v>331200</v>
      </c>
      <c r="E966" s="3">
        <v>331200</v>
      </c>
      <c r="F966" s="2" t="s">
        <v>16</v>
      </c>
      <c r="G966">
        <v>4.4999999999999998E-2</v>
      </c>
      <c r="H966" s="9">
        <f t="shared" si="15"/>
        <v>0</v>
      </c>
      <c r="I966" t="s">
        <v>5357</v>
      </c>
      <c r="J966" t="s">
        <v>5358</v>
      </c>
    </row>
    <row r="967" spans="1:10" x14ac:dyDescent="0.3">
      <c r="A967" s="2" t="s">
        <v>8430</v>
      </c>
      <c r="B967" s="2" t="s">
        <v>103</v>
      </c>
      <c r="C967" s="2" t="s">
        <v>104</v>
      </c>
      <c r="D967" s="3">
        <v>42480</v>
      </c>
      <c r="E967" s="3">
        <v>42480</v>
      </c>
      <c r="F967" s="2" t="s">
        <v>16</v>
      </c>
      <c r="G967">
        <v>3.0499999999999999E-2</v>
      </c>
      <c r="H967" s="9">
        <f t="shared" si="15"/>
        <v>0</v>
      </c>
      <c r="I967" t="s">
        <v>740</v>
      </c>
      <c r="J967" t="s">
        <v>741</v>
      </c>
    </row>
    <row r="968" spans="1:10" x14ac:dyDescent="0.3">
      <c r="A968" s="2" t="s">
        <v>8435</v>
      </c>
      <c r="B968" s="2" t="s">
        <v>740</v>
      </c>
      <c r="C968" s="2" t="s">
        <v>741</v>
      </c>
      <c r="D968" s="3">
        <v>605340</v>
      </c>
      <c r="E968" s="3">
        <v>605340</v>
      </c>
      <c r="F968" s="2" t="s">
        <v>16</v>
      </c>
      <c r="G968">
        <v>3.0499999999999999E-2</v>
      </c>
      <c r="H968" s="9">
        <f t="shared" si="15"/>
        <v>0</v>
      </c>
      <c r="I968" t="s">
        <v>740</v>
      </c>
      <c r="J968" t="s">
        <v>741</v>
      </c>
    </row>
    <row r="969" spans="1:10" x14ac:dyDescent="0.3">
      <c r="A969" s="2" t="s">
        <v>8440</v>
      </c>
      <c r="B969" s="2" t="s">
        <v>517</v>
      </c>
      <c r="C969" s="2" t="s">
        <v>518</v>
      </c>
      <c r="D969" s="3">
        <v>221760</v>
      </c>
      <c r="E969" s="3">
        <v>221760</v>
      </c>
      <c r="F969" s="2" t="s">
        <v>16</v>
      </c>
      <c r="G969">
        <v>2.6600000000000002E-2</v>
      </c>
      <c r="H969" s="9">
        <f t="shared" si="15"/>
        <v>0</v>
      </c>
      <c r="I969" t="s">
        <v>517</v>
      </c>
      <c r="J969" t="s">
        <v>518</v>
      </c>
    </row>
    <row r="970" spans="1:10" x14ac:dyDescent="0.3">
      <c r="A970" s="2" t="s">
        <v>8445</v>
      </c>
      <c r="B970" s="2" t="s">
        <v>59</v>
      </c>
      <c r="C970" s="2" t="s">
        <v>60</v>
      </c>
      <c r="D970" s="3">
        <v>456840</v>
      </c>
      <c r="E970" s="3">
        <v>456840</v>
      </c>
      <c r="F970" s="2" t="s">
        <v>16</v>
      </c>
      <c r="G970">
        <v>9.6999999999999986E-3</v>
      </c>
      <c r="H970" s="9">
        <f t="shared" si="15"/>
        <v>0</v>
      </c>
      <c r="I970" t="s">
        <v>59</v>
      </c>
      <c r="J970" t="s">
        <v>60</v>
      </c>
    </row>
    <row r="971" spans="1:10" x14ac:dyDescent="0.3">
      <c r="A971" s="2" t="s">
        <v>8454</v>
      </c>
      <c r="B971" s="2" t="s">
        <v>517</v>
      </c>
      <c r="C971" s="2" t="s">
        <v>518</v>
      </c>
      <c r="D971" s="3">
        <v>262080</v>
      </c>
      <c r="E971" s="3">
        <v>262080</v>
      </c>
      <c r="F971" s="2" t="s">
        <v>16</v>
      </c>
      <c r="G971">
        <v>2.6600000000000002E-2</v>
      </c>
      <c r="H971" s="9">
        <f t="shared" si="15"/>
        <v>0</v>
      </c>
      <c r="I971" t="s">
        <v>517</v>
      </c>
      <c r="J971" t="s">
        <v>518</v>
      </c>
    </row>
    <row r="972" spans="1:10" x14ac:dyDescent="0.3">
      <c r="A972" s="2" t="s">
        <v>8463</v>
      </c>
      <c r="B972" s="2" t="s">
        <v>2086</v>
      </c>
      <c r="C972" s="2" t="s">
        <v>2087</v>
      </c>
      <c r="D972" s="3">
        <v>21120</v>
      </c>
      <c r="E972" s="3">
        <v>21120</v>
      </c>
      <c r="F972" s="2" t="s">
        <v>16</v>
      </c>
      <c r="G972">
        <v>3.5999999999999997E-2</v>
      </c>
      <c r="H972" s="9">
        <f t="shared" si="15"/>
        <v>0</v>
      </c>
      <c r="I972" t="s">
        <v>70</v>
      </c>
      <c r="J972" t="s">
        <v>71</v>
      </c>
    </row>
    <row r="973" spans="1:10" x14ac:dyDescent="0.3">
      <c r="A973" s="2" t="s">
        <v>8468</v>
      </c>
      <c r="B973" s="2" t="s">
        <v>97</v>
      </c>
      <c r="C973" s="2" t="s">
        <v>98</v>
      </c>
      <c r="D973" s="3">
        <v>4800</v>
      </c>
      <c r="E973" s="3">
        <v>4800</v>
      </c>
      <c r="F973" s="2" t="s">
        <v>16</v>
      </c>
      <c r="G973">
        <v>5.1999999999999998E-2</v>
      </c>
      <c r="H973" s="9">
        <f t="shared" si="15"/>
        <v>0</v>
      </c>
      <c r="I973" t="s">
        <v>1170</v>
      </c>
      <c r="J973" t="s">
        <v>1171</v>
      </c>
    </row>
    <row r="974" spans="1:10" x14ac:dyDescent="0.3">
      <c r="A974" s="2" t="s">
        <v>8473</v>
      </c>
      <c r="B974" s="2" t="s">
        <v>1170</v>
      </c>
      <c r="C974" s="2" t="s">
        <v>1171</v>
      </c>
      <c r="D974" s="3">
        <v>33600</v>
      </c>
      <c r="E974" s="3">
        <v>33600</v>
      </c>
      <c r="F974" s="2" t="s">
        <v>16</v>
      </c>
      <c r="G974">
        <v>5.1999999999999998E-2</v>
      </c>
      <c r="H974" s="9">
        <f t="shared" si="15"/>
        <v>0</v>
      </c>
      <c r="I974" t="s">
        <v>1170</v>
      </c>
      <c r="J974" t="s">
        <v>1171</v>
      </c>
    </row>
    <row r="975" spans="1:10" x14ac:dyDescent="0.3">
      <c r="A975" s="2" t="s">
        <v>8478</v>
      </c>
      <c r="B975" s="2" t="s">
        <v>740</v>
      </c>
      <c r="C975" s="2" t="s">
        <v>741</v>
      </c>
      <c r="D975" s="3">
        <v>1040760</v>
      </c>
      <c r="E975" s="3">
        <v>1040760</v>
      </c>
      <c r="F975" s="2" t="s">
        <v>16</v>
      </c>
      <c r="G975">
        <v>3.0499999999999999E-2</v>
      </c>
      <c r="H975" s="9">
        <f t="shared" si="15"/>
        <v>0</v>
      </c>
      <c r="I975" t="s">
        <v>740</v>
      </c>
      <c r="J975" t="s">
        <v>741</v>
      </c>
    </row>
    <row r="976" spans="1:10" x14ac:dyDescent="0.3">
      <c r="A976" s="2" t="s">
        <v>8483</v>
      </c>
      <c r="B976" s="2" t="s">
        <v>21</v>
      </c>
      <c r="C976" s="2" t="s">
        <v>22</v>
      </c>
      <c r="D976" s="5">
        <v>-298</v>
      </c>
      <c r="E976" s="5">
        <v>-298</v>
      </c>
      <c r="F976" s="2" t="s">
        <v>23</v>
      </c>
      <c r="G976">
        <v>4.4999999999999998E-2</v>
      </c>
      <c r="H976" s="9">
        <f t="shared" si="15"/>
        <v>-6622.2222222222226</v>
      </c>
      <c r="I976" t="s">
        <v>5357</v>
      </c>
      <c r="J976" t="s">
        <v>5358</v>
      </c>
    </row>
    <row r="977" spans="1:10" x14ac:dyDescent="0.3">
      <c r="A977" s="2" t="s">
        <v>8483</v>
      </c>
      <c r="B977" s="2" t="s">
        <v>5357</v>
      </c>
      <c r="C977" s="2" t="s">
        <v>5358</v>
      </c>
      <c r="D977" s="3">
        <v>662400</v>
      </c>
      <c r="E977" s="3">
        <v>662400</v>
      </c>
      <c r="F977" s="2" t="s">
        <v>16</v>
      </c>
      <c r="G977">
        <v>4.4999999999999998E-2</v>
      </c>
      <c r="H977" s="9">
        <f t="shared" si="15"/>
        <v>0</v>
      </c>
      <c r="I977" t="s">
        <v>5357</v>
      </c>
      <c r="J977" t="s">
        <v>5358</v>
      </c>
    </row>
    <row r="978" spans="1:10" x14ac:dyDescent="0.3">
      <c r="A978" s="2" t="s">
        <v>8496</v>
      </c>
      <c r="B978" s="2" t="s">
        <v>59</v>
      </c>
      <c r="C978" s="2" t="s">
        <v>60</v>
      </c>
      <c r="D978" s="3">
        <v>1472040</v>
      </c>
      <c r="E978" s="3">
        <v>1472040</v>
      </c>
      <c r="F978" s="2" t="s">
        <v>16</v>
      </c>
      <c r="G978">
        <v>9.6999999999999986E-3</v>
      </c>
      <c r="H978" s="9">
        <f t="shared" si="15"/>
        <v>0</v>
      </c>
      <c r="I978" t="s">
        <v>59</v>
      </c>
      <c r="J978" t="s">
        <v>60</v>
      </c>
    </row>
    <row r="979" spans="1:10" x14ac:dyDescent="0.3">
      <c r="A979" s="2" t="s">
        <v>8505</v>
      </c>
      <c r="B979" s="2" t="s">
        <v>517</v>
      </c>
      <c r="C979" s="2" t="s">
        <v>518</v>
      </c>
      <c r="D979" s="3">
        <v>241920</v>
      </c>
      <c r="E979" s="3">
        <v>241920</v>
      </c>
      <c r="F979" s="2" t="s">
        <v>16</v>
      </c>
      <c r="G979">
        <v>2.6600000000000002E-2</v>
      </c>
      <c r="H979" s="9">
        <f t="shared" si="15"/>
        <v>0</v>
      </c>
      <c r="I979" t="s">
        <v>517</v>
      </c>
      <c r="J979" t="s">
        <v>518</v>
      </c>
    </row>
    <row r="980" spans="1:10" x14ac:dyDescent="0.3">
      <c r="A980" s="2" t="s">
        <v>8514</v>
      </c>
      <c r="B980" s="2" t="s">
        <v>97</v>
      </c>
      <c r="C980" s="2" t="s">
        <v>98</v>
      </c>
      <c r="D980" s="3">
        <v>81600</v>
      </c>
      <c r="E980" s="3">
        <v>81600</v>
      </c>
      <c r="F980" s="2" t="s">
        <v>16</v>
      </c>
      <c r="G980">
        <v>5.1999999999999998E-2</v>
      </c>
      <c r="H980" s="9">
        <f t="shared" si="15"/>
        <v>0</v>
      </c>
      <c r="I980" t="s">
        <v>97</v>
      </c>
      <c r="J980" t="s">
        <v>98</v>
      </c>
    </row>
    <row r="981" spans="1:10" x14ac:dyDescent="0.3">
      <c r="A981" s="2" t="s">
        <v>8519</v>
      </c>
      <c r="B981" s="2" t="s">
        <v>517</v>
      </c>
      <c r="C981" s="2" t="s">
        <v>518</v>
      </c>
      <c r="D981" s="3">
        <v>493920</v>
      </c>
      <c r="E981" s="3">
        <v>493920</v>
      </c>
      <c r="F981" s="2" t="s">
        <v>16</v>
      </c>
      <c r="G981">
        <v>2.6600000000000002E-2</v>
      </c>
      <c r="H981" s="9">
        <f t="shared" si="15"/>
        <v>0</v>
      </c>
      <c r="I981" t="s">
        <v>517</v>
      </c>
      <c r="J981" t="s">
        <v>518</v>
      </c>
    </row>
    <row r="982" spans="1:10" x14ac:dyDescent="0.3">
      <c r="A982" s="2" t="s">
        <v>8524</v>
      </c>
      <c r="B982" s="2" t="s">
        <v>1027</v>
      </c>
      <c r="C982" s="2" t="s">
        <v>1028</v>
      </c>
      <c r="D982" s="3">
        <v>647820</v>
      </c>
      <c r="E982" s="3">
        <v>647820</v>
      </c>
      <c r="F982" s="2" t="s">
        <v>16</v>
      </c>
      <c r="G982">
        <v>3.0499999999999999E-2</v>
      </c>
      <c r="H982" s="9">
        <f t="shared" si="15"/>
        <v>0</v>
      </c>
      <c r="I982" t="s">
        <v>1027</v>
      </c>
      <c r="J982" t="s">
        <v>1028</v>
      </c>
    </row>
    <row r="983" spans="1:10" x14ac:dyDescent="0.3">
      <c r="A983" s="2" t="s">
        <v>8532</v>
      </c>
      <c r="B983" s="2" t="s">
        <v>97</v>
      </c>
      <c r="C983" s="2" t="s">
        <v>98</v>
      </c>
      <c r="D983" s="3">
        <v>417600</v>
      </c>
      <c r="E983" s="3">
        <v>417600</v>
      </c>
      <c r="F983" s="2" t="s">
        <v>16</v>
      </c>
      <c r="G983">
        <v>5.1999999999999998E-2</v>
      </c>
      <c r="H983" s="9">
        <f t="shared" si="15"/>
        <v>0</v>
      </c>
      <c r="I983" t="s">
        <v>97</v>
      </c>
      <c r="J983" t="s">
        <v>98</v>
      </c>
    </row>
    <row r="984" spans="1:10" x14ac:dyDescent="0.3">
      <c r="A984" s="2" t="s">
        <v>8537</v>
      </c>
      <c r="B984" s="2" t="s">
        <v>5357</v>
      </c>
      <c r="C984" s="2" t="s">
        <v>5358</v>
      </c>
      <c r="D984" s="3">
        <v>609408</v>
      </c>
      <c r="E984" s="3">
        <v>609408</v>
      </c>
      <c r="F984" s="2" t="s">
        <v>16</v>
      </c>
      <c r="G984">
        <v>4.4999999999999998E-2</v>
      </c>
      <c r="H984" s="9">
        <f t="shared" si="15"/>
        <v>0</v>
      </c>
      <c r="I984" t="s">
        <v>5357</v>
      </c>
      <c r="J984" t="s">
        <v>5358</v>
      </c>
    </row>
    <row r="985" spans="1:10" x14ac:dyDescent="0.3">
      <c r="A985" s="2" t="s">
        <v>8542</v>
      </c>
      <c r="B985" s="2" t="s">
        <v>740</v>
      </c>
      <c r="C985" s="2" t="s">
        <v>741</v>
      </c>
      <c r="D985" s="3">
        <v>350460</v>
      </c>
      <c r="E985" s="3">
        <v>350460</v>
      </c>
      <c r="F985" s="2" t="s">
        <v>16</v>
      </c>
      <c r="G985">
        <v>3.0499999999999999E-2</v>
      </c>
      <c r="H985" s="9">
        <f t="shared" si="15"/>
        <v>0</v>
      </c>
      <c r="I985" t="s">
        <v>740</v>
      </c>
      <c r="J985" t="s">
        <v>741</v>
      </c>
    </row>
    <row r="986" spans="1:10" x14ac:dyDescent="0.3">
      <c r="A986" s="2" t="s">
        <v>8547</v>
      </c>
      <c r="B986" s="2" t="s">
        <v>2934</v>
      </c>
      <c r="C986" s="2" t="s">
        <v>2935</v>
      </c>
      <c r="D986" s="3">
        <v>90288</v>
      </c>
      <c r="E986" s="3">
        <v>90288</v>
      </c>
      <c r="F986" s="2" t="s">
        <v>16</v>
      </c>
      <c r="G986">
        <v>1.7999999999999999E-2</v>
      </c>
      <c r="H986" s="9">
        <f t="shared" si="15"/>
        <v>0</v>
      </c>
      <c r="I986" t="s">
        <v>2934</v>
      </c>
      <c r="J986" t="s">
        <v>2935</v>
      </c>
    </row>
    <row r="987" spans="1:10" x14ac:dyDescent="0.3">
      <c r="A987" s="2" t="s">
        <v>8547</v>
      </c>
      <c r="B987" s="2" t="s">
        <v>65</v>
      </c>
      <c r="C987" s="2" t="s">
        <v>66</v>
      </c>
      <c r="D987" s="5">
        <v>-147</v>
      </c>
      <c r="E987" s="5">
        <v>-147</v>
      </c>
      <c r="F987" s="2" t="s">
        <v>23</v>
      </c>
      <c r="G987">
        <v>1.7999999999999999E-2</v>
      </c>
      <c r="H987" s="9">
        <f t="shared" si="15"/>
        <v>-8166.666666666667</v>
      </c>
      <c r="I987" t="s">
        <v>2934</v>
      </c>
      <c r="J987" t="s">
        <v>2935</v>
      </c>
    </row>
    <row r="988" spans="1:10" x14ac:dyDescent="0.3">
      <c r="A988" s="2" t="s">
        <v>8556</v>
      </c>
      <c r="B988" s="2" t="s">
        <v>2115</v>
      </c>
      <c r="C988" s="2" t="s">
        <v>2116</v>
      </c>
      <c r="D988" s="3">
        <v>7200</v>
      </c>
      <c r="E988" s="3">
        <v>7200</v>
      </c>
      <c r="F988" s="2" t="s">
        <v>16</v>
      </c>
      <c r="G988">
        <v>5.0999999999999997E-2</v>
      </c>
      <c r="H988" s="9">
        <f t="shared" si="15"/>
        <v>0</v>
      </c>
      <c r="I988" t="s">
        <v>2115</v>
      </c>
      <c r="J988" t="s">
        <v>2116</v>
      </c>
    </row>
    <row r="989" spans="1:10" x14ac:dyDescent="0.3">
      <c r="A989" s="2" t="s">
        <v>8561</v>
      </c>
      <c r="B989" s="2" t="s">
        <v>1027</v>
      </c>
      <c r="C989" s="2" t="s">
        <v>1028</v>
      </c>
      <c r="D989" s="3">
        <v>1030140</v>
      </c>
      <c r="E989" s="3">
        <v>1030140</v>
      </c>
      <c r="F989" s="2" t="s">
        <v>16</v>
      </c>
      <c r="G989">
        <v>3.0499999999999999E-2</v>
      </c>
      <c r="H989" s="9">
        <f t="shared" si="15"/>
        <v>0</v>
      </c>
      <c r="I989" t="s">
        <v>1027</v>
      </c>
      <c r="J989" t="s">
        <v>1028</v>
      </c>
    </row>
    <row r="990" spans="1:10" x14ac:dyDescent="0.3">
      <c r="A990" s="2" t="s">
        <v>8566</v>
      </c>
      <c r="B990" s="2" t="s">
        <v>5357</v>
      </c>
      <c r="C990" s="2" t="s">
        <v>5358</v>
      </c>
      <c r="D990" s="3">
        <v>331200</v>
      </c>
      <c r="E990" s="3">
        <v>331200</v>
      </c>
      <c r="F990" s="2" t="s">
        <v>16</v>
      </c>
      <c r="G990">
        <v>4.4999999999999998E-2</v>
      </c>
      <c r="H990" s="9">
        <f t="shared" si="15"/>
        <v>0</v>
      </c>
      <c r="I990" t="s">
        <v>5357</v>
      </c>
      <c r="J990" t="s">
        <v>5358</v>
      </c>
    </row>
    <row r="991" spans="1:10" x14ac:dyDescent="0.3">
      <c r="A991" s="2" t="s">
        <v>8575</v>
      </c>
      <c r="B991" s="2" t="s">
        <v>4791</v>
      </c>
      <c r="C991" s="2" t="s">
        <v>4792</v>
      </c>
      <c r="D991" s="3">
        <v>483552</v>
      </c>
      <c r="E991" s="3">
        <v>482552</v>
      </c>
      <c r="F991" s="2" t="s">
        <v>16</v>
      </c>
      <c r="G991">
        <v>4.4999999999999998E-2</v>
      </c>
      <c r="H991" s="9">
        <f t="shared" si="15"/>
        <v>0</v>
      </c>
      <c r="I991" t="s">
        <v>4791</v>
      </c>
      <c r="J991" t="s">
        <v>4792</v>
      </c>
    </row>
    <row r="992" spans="1:10" x14ac:dyDescent="0.3">
      <c r="A992" s="2" t="s">
        <v>8584</v>
      </c>
      <c r="B992" s="2" t="s">
        <v>517</v>
      </c>
      <c r="C992" s="2" t="s">
        <v>518</v>
      </c>
      <c r="D992" s="3">
        <v>504000</v>
      </c>
      <c r="E992" s="3">
        <v>504000</v>
      </c>
      <c r="F992" s="2" t="s">
        <v>16</v>
      </c>
      <c r="G992">
        <v>2.6600000000000002E-2</v>
      </c>
      <c r="H992" s="9">
        <f t="shared" si="15"/>
        <v>0</v>
      </c>
      <c r="I992" t="s">
        <v>517</v>
      </c>
      <c r="J992" t="s">
        <v>518</v>
      </c>
    </row>
    <row r="993" spans="1:10" x14ac:dyDescent="0.3">
      <c r="A993" s="2" t="s">
        <v>8589</v>
      </c>
      <c r="B993" s="2" t="s">
        <v>97</v>
      </c>
      <c r="C993" s="2" t="s">
        <v>98</v>
      </c>
      <c r="D993" s="3">
        <v>249600</v>
      </c>
      <c r="E993" s="3">
        <v>249600</v>
      </c>
      <c r="F993" s="2" t="s">
        <v>16</v>
      </c>
      <c r="G993">
        <v>5.1999999999999998E-2</v>
      </c>
      <c r="H993" s="9">
        <f t="shared" si="15"/>
        <v>0</v>
      </c>
      <c r="I993" t="s">
        <v>97</v>
      </c>
      <c r="J993" t="s">
        <v>98</v>
      </c>
    </row>
    <row r="994" spans="1:10" x14ac:dyDescent="0.3">
      <c r="A994" s="2" t="s">
        <v>8594</v>
      </c>
      <c r="B994" s="2" t="s">
        <v>517</v>
      </c>
      <c r="C994" s="2" t="s">
        <v>518</v>
      </c>
      <c r="D994" s="3">
        <v>211680</v>
      </c>
      <c r="E994" s="3">
        <v>211680</v>
      </c>
      <c r="F994" s="2" t="s">
        <v>16</v>
      </c>
      <c r="G994">
        <v>2.6600000000000002E-2</v>
      </c>
      <c r="H994" s="9">
        <f t="shared" si="15"/>
        <v>0</v>
      </c>
      <c r="I994" t="s">
        <v>517</v>
      </c>
      <c r="J994" t="s">
        <v>518</v>
      </c>
    </row>
    <row r="995" spans="1:10" x14ac:dyDescent="0.3">
      <c r="A995" s="2" t="s">
        <v>8599</v>
      </c>
      <c r="B995" s="2" t="s">
        <v>97</v>
      </c>
      <c r="C995" s="2" t="s">
        <v>98</v>
      </c>
      <c r="D995" s="3">
        <v>249600</v>
      </c>
      <c r="E995" s="3">
        <v>249600</v>
      </c>
      <c r="F995" s="2" t="s">
        <v>16</v>
      </c>
      <c r="G995">
        <v>5.1999999999999998E-2</v>
      </c>
      <c r="H995" s="9">
        <f t="shared" si="15"/>
        <v>0</v>
      </c>
      <c r="I995" t="s">
        <v>97</v>
      </c>
      <c r="J995" t="s">
        <v>98</v>
      </c>
    </row>
    <row r="996" spans="1:10" x14ac:dyDescent="0.3">
      <c r="A996" s="2" t="s">
        <v>8608</v>
      </c>
      <c r="B996" s="2" t="s">
        <v>1027</v>
      </c>
      <c r="C996" s="2" t="s">
        <v>1028</v>
      </c>
      <c r="D996" s="3">
        <v>817740</v>
      </c>
      <c r="E996" s="3">
        <v>817740</v>
      </c>
      <c r="F996" s="2" t="s">
        <v>16</v>
      </c>
      <c r="G996">
        <v>3.0499999999999999E-2</v>
      </c>
      <c r="H996" s="9">
        <f t="shared" si="15"/>
        <v>0</v>
      </c>
      <c r="I996" t="s">
        <v>1027</v>
      </c>
      <c r="J996" t="s">
        <v>1028</v>
      </c>
    </row>
    <row r="997" spans="1:10" x14ac:dyDescent="0.3">
      <c r="A997" s="2" t="s">
        <v>8617</v>
      </c>
      <c r="B997" s="2" t="s">
        <v>517</v>
      </c>
      <c r="C997" s="2" t="s">
        <v>518</v>
      </c>
      <c r="D997" s="3">
        <v>383040</v>
      </c>
      <c r="E997" s="3">
        <v>383040</v>
      </c>
      <c r="F997" s="2" t="s">
        <v>16</v>
      </c>
      <c r="G997">
        <v>2.6600000000000002E-2</v>
      </c>
      <c r="H997" s="9">
        <f t="shared" si="15"/>
        <v>0</v>
      </c>
      <c r="I997" t="s">
        <v>517</v>
      </c>
      <c r="J997" t="s">
        <v>518</v>
      </c>
    </row>
    <row r="998" spans="1:10" x14ac:dyDescent="0.3">
      <c r="A998" s="2" t="s">
        <v>8630</v>
      </c>
      <c r="B998" s="2" t="s">
        <v>59</v>
      </c>
      <c r="C998" s="2" t="s">
        <v>60</v>
      </c>
      <c r="D998" s="3">
        <v>253800</v>
      </c>
      <c r="E998" s="3">
        <v>253800</v>
      </c>
      <c r="F998" s="2" t="s">
        <v>16</v>
      </c>
      <c r="G998">
        <v>9.6999999999999986E-3</v>
      </c>
      <c r="H998" s="9">
        <f t="shared" si="15"/>
        <v>0</v>
      </c>
      <c r="I998" t="s">
        <v>59</v>
      </c>
      <c r="J998" t="s">
        <v>60</v>
      </c>
    </row>
    <row r="999" spans="1:10" x14ac:dyDescent="0.3">
      <c r="A999" s="2" t="s">
        <v>8639</v>
      </c>
      <c r="B999" s="2" t="s">
        <v>5357</v>
      </c>
      <c r="C999" s="2" t="s">
        <v>5358</v>
      </c>
      <c r="D999" s="3">
        <v>13248</v>
      </c>
      <c r="E999" s="3">
        <v>13248</v>
      </c>
      <c r="F999" s="2" t="s">
        <v>16</v>
      </c>
      <c r="G999">
        <v>4.4999999999999998E-2</v>
      </c>
      <c r="H999" s="9">
        <f t="shared" si="15"/>
        <v>0</v>
      </c>
      <c r="I999" t="s">
        <v>5357</v>
      </c>
      <c r="J999" t="s">
        <v>5358</v>
      </c>
    </row>
    <row r="1000" spans="1:10" x14ac:dyDescent="0.3">
      <c r="A1000" s="2" t="s">
        <v>8644</v>
      </c>
      <c r="B1000" s="2" t="s">
        <v>5477</v>
      </c>
      <c r="C1000" s="2" t="s">
        <v>5478</v>
      </c>
      <c r="D1000" s="3">
        <v>6624</v>
      </c>
      <c r="E1000" s="3">
        <v>6624</v>
      </c>
      <c r="F1000" s="2" t="s">
        <v>16</v>
      </c>
      <c r="G1000">
        <v>4.4999999999999998E-2</v>
      </c>
      <c r="H1000" s="9">
        <f t="shared" si="15"/>
        <v>0</v>
      </c>
      <c r="I1000" t="s">
        <v>5357</v>
      </c>
      <c r="J1000" t="s">
        <v>5358</v>
      </c>
    </row>
    <row r="1001" spans="1:10" x14ac:dyDescent="0.3">
      <c r="A1001" s="2" t="s">
        <v>8649</v>
      </c>
      <c r="B1001" s="2" t="s">
        <v>86</v>
      </c>
      <c r="C1001" s="2" t="s">
        <v>87</v>
      </c>
      <c r="D1001" s="5">
        <v>-624</v>
      </c>
      <c r="E1001" s="5">
        <v>-624</v>
      </c>
      <c r="F1001" s="2" t="s">
        <v>23</v>
      </c>
      <c r="G1001">
        <v>5.0999999999999997E-2</v>
      </c>
      <c r="H1001" s="9">
        <f t="shared" si="15"/>
        <v>-12235.294117647059</v>
      </c>
      <c r="I1001" t="s">
        <v>416</v>
      </c>
      <c r="J1001" t="s">
        <v>417</v>
      </c>
    </row>
    <row r="1002" spans="1:10" x14ac:dyDescent="0.3">
      <c r="A1002" s="2" t="s">
        <v>8649</v>
      </c>
      <c r="B1002" s="2" t="s">
        <v>416</v>
      </c>
      <c r="C1002" s="2" t="s">
        <v>417</v>
      </c>
      <c r="D1002" s="3">
        <v>73440</v>
      </c>
      <c r="E1002" s="3">
        <v>73440</v>
      </c>
      <c r="F1002" s="2" t="s">
        <v>16</v>
      </c>
      <c r="G1002">
        <v>5.0999999999999997E-2</v>
      </c>
      <c r="H1002" s="9">
        <f t="shared" si="15"/>
        <v>0</v>
      </c>
      <c r="I1002" t="s">
        <v>416</v>
      </c>
      <c r="J1002" t="s">
        <v>417</v>
      </c>
    </row>
    <row r="1003" spans="1:10" x14ac:dyDescent="0.3">
      <c r="A1003" s="2" t="s">
        <v>8658</v>
      </c>
      <c r="B1003" s="2" t="s">
        <v>4791</v>
      </c>
      <c r="C1003" s="2" t="s">
        <v>4792</v>
      </c>
      <c r="D1003" s="3">
        <v>172224</v>
      </c>
      <c r="E1003" s="3">
        <v>172224</v>
      </c>
      <c r="F1003" s="2" t="s">
        <v>16</v>
      </c>
      <c r="G1003">
        <v>4.4999999999999998E-2</v>
      </c>
      <c r="H1003" s="9">
        <f t="shared" si="15"/>
        <v>0</v>
      </c>
      <c r="I1003" t="s">
        <v>4791</v>
      </c>
      <c r="J1003" t="s">
        <v>4792</v>
      </c>
    </row>
    <row r="1004" spans="1:10" x14ac:dyDescent="0.3">
      <c r="A1004" s="2" t="s">
        <v>8667</v>
      </c>
      <c r="B1004" s="2" t="s">
        <v>65</v>
      </c>
      <c r="C1004" s="2" t="s">
        <v>66</v>
      </c>
      <c r="D1004" s="5">
        <v>-268</v>
      </c>
      <c r="E1004" s="5">
        <v>-268</v>
      </c>
      <c r="F1004" s="2" t="s">
        <v>23</v>
      </c>
      <c r="G1004">
        <v>2.6600000000000002E-2</v>
      </c>
      <c r="H1004" s="9">
        <f t="shared" si="15"/>
        <v>-10075.187969924811</v>
      </c>
      <c r="I1004" t="s">
        <v>517</v>
      </c>
      <c r="J1004" t="s">
        <v>518</v>
      </c>
    </row>
    <row r="1005" spans="1:10" x14ac:dyDescent="0.3">
      <c r="A1005" s="2" t="s">
        <v>8667</v>
      </c>
      <c r="B1005" s="2" t="s">
        <v>517</v>
      </c>
      <c r="C1005" s="2" t="s">
        <v>518</v>
      </c>
      <c r="D1005" s="3">
        <v>141120</v>
      </c>
      <c r="E1005" s="3">
        <v>141120</v>
      </c>
      <c r="F1005" s="2" t="s">
        <v>16</v>
      </c>
      <c r="G1005">
        <v>2.6600000000000002E-2</v>
      </c>
      <c r="H1005" s="9">
        <f t="shared" si="15"/>
        <v>0</v>
      </c>
      <c r="I1005" t="s">
        <v>517</v>
      </c>
      <c r="J1005" t="s">
        <v>518</v>
      </c>
    </row>
    <row r="1006" spans="1:10" x14ac:dyDescent="0.3">
      <c r="A1006" s="2" t="s">
        <v>8676</v>
      </c>
      <c r="B1006" s="2" t="s">
        <v>7090</v>
      </c>
      <c r="C1006" s="2" t="s">
        <v>7091</v>
      </c>
      <c r="D1006" s="3">
        <v>30240</v>
      </c>
      <c r="E1006" s="3">
        <v>30240</v>
      </c>
      <c r="F1006" s="2" t="s">
        <v>16</v>
      </c>
      <c r="G1006">
        <v>2.6600000000000002E-2</v>
      </c>
      <c r="H1006" s="9">
        <f t="shared" si="15"/>
        <v>0</v>
      </c>
      <c r="I1006" t="s">
        <v>4988</v>
      </c>
      <c r="J1006" t="s">
        <v>4989</v>
      </c>
    </row>
    <row r="1007" spans="1:10" x14ac:dyDescent="0.3">
      <c r="A1007" s="2" t="s">
        <v>8681</v>
      </c>
      <c r="B1007" s="2" t="s">
        <v>2840</v>
      </c>
      <c r="C1007" s="2" t="s">
        <v>2841</v>
      </c>
      <c r="D1007" s="3">
        <v>20160</v>
      </c>
      <c r="E1007" s="3">
        <v>20160</v>
      </c>
      <c r="F1007" s="2" t="s">
        <v>16</v>
      </c>
      <c r="G1007">
        <v>2.6600000000000002E-2</v>
      </c>
      <c r="H1007" s="9">
        <f t="shared" si="15"/>
        <v>0</v>
      </c>
      <c r="I1007" t="s">
        <v>4988</v>
      </c>
      <c r="J1007" t="s">
        <v>4989</v>
      </c>
    </row>
    <row r="1008" spans="1:10" x14ac:dyDescent="0.3">
      <c r="A1008" s="2" t="s">
        <v>8686</v>
      </c>
      <c r="B1008" s="2" t="s">
        <v>1027</v>
      </c>
      <c r="C1008" s="2" t="s">
        <v>1028</v>
      </c>
      <c r="D1008" s="3">
        <v>138060</v>
      </c>
      <c r="E1008" s="3">
        <v>138060</v>
      </c>
      <c r="F1008" s="2" t="s">
        <v>16</v>
      </c>
      <c r="G1008">
        <v>3.0499999999999999E-2</v>
      </c>
      <c r="H1008" s="9">
        <f t="shared" si="15"/>
        <v>0</v>
      </c>
      <c r="I1008" t="s">
        <v>1027</v>
      </c>
      <c r="J1008" t="s">
        <v>1028</v>
      </c>
    </row>
    <row r="1009" spans="1:10" x14ac:dyDescent="0.3">
      <c r="A1009" s="2" t="s">
        <v>8694</v>
      </c>
      <c r="B1009" s="2" t="s">
        <v>86</v>
      </c>
      <c r="C1009" s="2" t="s">
        <v>87</v>
      </c>
      <c r="D1009" s="5">
        <v>-222</v>
      </c>
      <c r="E1009" s="5">
        <v>-222</v>
      </c>
      <c r="F1009" s="2" t="s">
        <v>23</v>
      </c>
      <c r="G1009">
        <v>7.45E-3</v>
      </c>
      <c r="H1009" s="9">
        <f t="shared" si="15"/>
        <v>-29798.657718120805</v>
      </c>
      <c r="I1009" t="s">
        <v>797</v>
      </c>
      <c r="J1009" t="s">
        <v>798</v>
      </c>
    </row>
    <row r="1010" spans="1:10" x14ac:dyDescent="0.3">
      <c r="A1010" s="2" t="s">
        <v>8694</v>
      </c>
      <c r="B1010" s="2" t="s">
        <v>797</v>
      </c>
      <c r="C1010" s="2" t="s">
        <v>798</v>
      </c>
      <c r="D1010" s="3">
        <v>448200</v>
      </c>
      <c r="E1010" s="3">
        <v>448200</v>
      </c>
      <c r="F1010" s="2" t="s">
        <v>16</v>
      </c>
      <c r="G1010">
        <v>7.45E-3</v>
      </c>
      <c r="H1010" s="9">
        <f t="shared" si="15"/>
        <v>0</v>
      </c>
      <c r="I1010" t="s">
        <v>797</v>
      </c>
      <c r="J1010" t="s">
        <v>798</v>
      </c>
    </row>
    <row r="1011" spans="1:10" x14ac:dyDescent="0.3">
      <c r="A1011" s="2" t="s">
        <v>8707</v>
      </c>
      <c r="B1011" s="2" t="s">
        <v>740</v>
      </c>
      <c r="C1011" s="2" t="s">
        <v>741</v>
      </c>
      <c r="D1011" s="3">
        <v>95580</v>
      </c>
      <c r="E1011" s="3">
        <v>95580</v>
      </c>
      <c r="F1011" s="2" t="s">
        <v>16</v>
      </c>
      <c r="G1011">
        <v>3.0499999999999999E-2</v>
      </c>
      <c r="H1011" s="9">
        <f t="shared" si="15"/>
        <v>0</v>
      </c>
      <c r="I1011" t="s">
        <v>740</v>
      </c>
      <c r="J1011" t="s">
        <v>741</v>
      </c>
    </row>
    <row r="1012" spans="1:10" x14ac:dyDescent="0.3">
      <c r="A1012" s="2" t="s">
        <v>8712</v>
      </c>
      <c r="B1012" s="2" t="s">
        <v>65</v>
      </c>
      <c r="C1012" s="2" t="s">
        <v>66</v>
      </c>
      <c r="D1012" s="5">
        <v>-249</v>
      </c>
      <c r="E1012" s="5">
        <v>-249</v>
      </c>
      <c r="F1012" s="2" t="s">
        <v>23</v>
      </c>
      <c r="G1012">
        <v>5.1999999999999998E-2</v>
      </c>
      <c r="H1012" s="9">
        <f t="shared" si="15"/>
        <v>-4788.461538461539</v>
      </c>
      <c r="I1012" t="s">
        <v>1170</v>
      </c>
      <c r="J1012" t="s">
        <v>1171</v>
      </c>
    </row>
    <row r="1013" spans="1:10" x14ac:dyDescent="0.3">
      <c r="A1013" s="2" t="s">
        <v>8712</v>
      </c>
      <c r="B1013" s="2" t="s">
        <v>97</v>
      </c>
      <c r="C1013" s="2" t="s">
        <v>98</v>
      </c>
      <c r="D1013" s="3">
        <v>57600</v>
      </c>
      <c r="E1013" s="3">
        <v>57600</v>
      </c>
      <c r="F1013" s="2" t="s">
        <v>16</v>
      </c>
      <c r="G1013">
        <v>5.1999999999999998E-2</v>
      </c>
      <c r="H1013" s="9">
        <f t="shared" si="15"/>
        <v>0</v>
      </c>
      <c r="I1013" t="s">
        <v>1170</v>
      </c>
      <c r="J1013" t="s">
        <v>1171</v>
      </c>
    </row>
    <row r="1014" spans="1:10" x14ac:dyDescent="0.3">
      <c r="A1014" s="2" t="s">
        <v>8721</v>
      </c>
      <c r="B1014" s="2" t="s">
        <v>3349</v>
      </c>
      <c r="C1014" s="2" t="s">
        <v>2306</v>
      </c>
      <c r="D1014" s="3">
        <v>126900</v>
      </c>
      <c r="E1014" s="3">
        <v>126900</v>
      </c>
      <c r="F1014" s="2" t="s">
        <v>16</v>
      </c>
      <c r="G1014">
        <v>1.04E-2</v>
      </c>
      <c r="H1014" s="9">
        <f t="shared" si="15"/>
        <v>0</v>
      </c>
      <c r="I1014" t="s">
        <v>2305</v>
      </c>
      <c r="J1014" t="s">
        <v>2306</v>
      </c>
    </row>
    <row r="1015" spans="1:10" x14ac:dyDescent="0.3">
      <c r="A1015" s="2" t="s">
        <v>8721</v>
      </c>
      <c r="B1015" s="2" t="s">
        <v>2305</v>
      </c>
      <c r="C1015" s="2" t="s">
        <v>2306</v>
      </c>
      <c r="D1015" s="3">
        <v>582912</v>
      </c>
      <c r="E1015" s="3">
        <v>582912</v>
      </c>
      <c r="F1015" s="2" t="s">
        <v>16</v>
      </c>
      <c r="G1015">
        <v>1.04E-2</v>
      </c>
      <c r="H1015" s="9">
        <f t="shared" si="15"/>
        <v>0</v>
      </c>
      <c r="I1015" t="s">
        <v>2305</v>
      </c>
      <c r="J1015" t="s">
        <v>2306</v>
      </c>
    </row>
    <row r="1016" spans="1:10" x14ac:dyDescent="0.3">
      <c r="A1016" s="2" t="s">
        <v>8721</v>
      </c>
      <c r="B1016" s="2" t="s">
        <v>65</v>
      </c>
      <c r="C1016" s="2" t="s">
        <v>66</v>
      </c>
      <c r="D1016" s="5">
        <v>-2</v>
      </c>
      <c r="E1016" s="5">
        <v>-2</v>
      </c>
      <c r="F1016" s="2" t="s">
        <v>23</v>
      </c>
      <c r="G1016">
        <v>1.04E-2</v>
      </c>
      <c r="H1016" s="9">
        <f t="shared" si="15"/>
        <v>-192.30769230769232</v>
      </c>
      <c r="I1016" t="s">
        <v>2305</v>
      </c>
      <c r="J1016" t="s">
        <v>2306</v>
      </c>
    </row>
    <row r="1017" spans="1:10" x14ac:dyDescent="0.3">
      <c r="A1017" s="2" t="s">
        <v>8763</v>
      </c>
      <c r="B1017" s="2" t="s">
        <v>5477</v>
      </c>
      <c r="C1017" s="2" t="s">
        <v>5478</v>
      </c>
      <c r="D1017" s="3">
        <v>6624</v>
      </c>
      <c r="E1017" s="3">
        <v>6624</v>
      </c>
      <c r="F1017" s="2" t="s">
        <v>16</v>
      </c>
      <c r="G1017">
        <v>4.4999999999999998E-2</v>
      </c>
      <c r="H1017" s="9">
        <f t="shared" si="15"/>
        <v>0</v>
      </c>
      <c r="I1017" t="s">
        <v>5357</v>
      </c>
      <c r="J1017" t="s">
        <v>5358</v>
      </c>
    </row>
    <row r="1018" spans="1:10" x14ac:dyDescent="0.3">
      <c r="A1018" s="2" t="s">
        <v>8768</v>
      </c>
      <c r="B1018" s="2" t="s">
        <v>65</v>
      </c>
      <c r="C1018" s="2" t="s">
        <v>66</v>
      </c>
      <c r="D1018" s="5">
        <v>-498</v>
      </c>
      <c r="E1018" s="5">
        <v>-498</v>
      </c>
      <c r="F1018" s="2" t="s">
        <v>23</v>
      </c>
      <c r="G1018">
        <v>5.1999999999999998E-2</v>
      </c>
      <c r="H1018" s="9">
        <f t="shared" si="15"/>
        <v>-9576.923076923078</v>
      </c>
      <c r="I1018" t="s">
        <v>1170</v>
      </c>
      <c r="J1018" t="s">
        <v>1171</v>
      </c>
    </row>
    <row r="1019" spans="1:10" x14ac:dyDescent="0.3">
      <c r="A1019" s="2" t="s">
        <v>8768</v>
      </c>
      <c r="B1019" s="2" t="s">
        <v>97</v>
      </c>
      <c r="C1019" s="2" t="s">
        <v>98</v>
      </c>
      <c r="D1019" s="3">
        <v>67200</v>
      </c>
      <c r="E1019" s="3">
        <v>3494.4</v>
      </c>
      <c r="F1019" s="2" t="s">
        <v>23</v>
      </c>
      <c r="G1019">
        <v>5.1999999999999998E-2</v>
      </c>
      <c r="H1019" s="9">
        <f t="shared" si="15"/>
        <v>0</v>
      </c>
      <c r="I1019" t="s">
        <v>1170</v>
      </c>
      <c r="J1019" t="s">
        <v>1171</v>
      </c>
    </row>
    <row r="1020" spans="1:10" x14ac:dyDescent="0.3">
      <c r="A1020" s="2" t="s">
        <v>8777</v>
      </c>
      <c r="B1020" s="2" t="s">
        <v>86</v>
      </c>
      <c r="C1020" s="2" t="s">
        <v>87</v>
      </c>
      <c r="D1020" s="5">
        <v>-220</v>
      </c>
      <c r="E1020" s="5">
        <v>-220</v>
      </c>
      <c r="F1020" s="2" t="s">
        <v>23</v>
      </c>
      <c r="G1020">
        <v>7.45E-3</v>
      </c>
      <c r="H1020" s="9">
        <f t="shared" si="15"/>
        <v>-29530.201342281878</v>
      </c>
      <c r="I1020" t="s">
        <v>797</v>
      </c>
      <c r="J1020" t="s">
        <v>798</v>
      </c>
    </row>
    <row r="1021" spans="1:10" x14ac:dyDescent="0.3">
      <c r="A1021" s="2" t="s">
        <v>8777</v>
      </c>
      <c r="B1021" s="2" t="s">
        <v>797</v>
      </c>
      <c r="C1021" s="2" t="s">
        <v>798</v>
      </c>
      <c r="D1021" s="3">
        <v>478080</v>
      </c>
      <c r="E1021" s="3">
        <v>3561.6959999999999</v>
      </c>
      <c r="F1021" s="2" t="s">
        <v>23</v>
      </c>
      <c r="G1021">
        <v>7.45E-3</v>
      </c>
      <c r="H1021" s="9">
        <f t="shared" si="15"/>
        <v>0</v>
      </c>
      <c r="I1021" t="s">
        <v>797</v>
      </c>
      <c r="J1021" t="s">
        <v>798</v>
      </c>
    </row>
    <row r="1022" spans="1:10" x14ac:dyDescent="0.3">
      <c r="A1022" s="2" t="s">
        <v>8786</v>
      </c>
      <c r="B1022" s="2" t="s">
        <v>3113</v>
      </c>
      <c r="C1022" s="2" t="s">
        <v>3114</v>
      </c>
      <c r="D1022" s="3">
        <v>83520</v>
      </c>
      <c r="E1022" s="3">
        <v>83520</v>
      </c>
      <c r="F1022" s="2" t="s">
        <v>16</v>
      </c>
      <c r="G1022">
        <v>1.15E-2</v>
      </c>
      <c r="H1022" s="9">
        <f t="shared" si="15"/>
        <v>0</v>
      </c>
      <c r="I1022" t="s">
        <v>3113</v>
      </c>
      <c r="J1022" t="s">
        <v>3114</v>
      </c>
    </row>
    <row r="1023" spans="1:10" x14ac:dyDescent="0.3">
      <c r="A1023" s="2" t="s">
        <v>8791</v>
      </c>
      <c r="B1023" s="2" t="s">
        <v>65</v>
      </c>
      <c r="C1023" s="2" t="s">
        <v>66</v>
      </c>
      <c r="D1023" s="5">
        <v>-220</v>
      </c>
      <c r="E1023" s="5">
        <v>-220</v>
      </c>
      <c r="F1023" s="2" t="s">
        <v>23</v>
      </c>
      <c r="G1023">
        <v>1.15E-2</v>
      </c>
      <c r="H1023" s="9">
        <f t="shared" si="15"/>
        <v>-19130.434782608696</v>
      </c>
      <c r="I1023" t="s">
        <v>3113</v>
      </c>
      <c r="J1023" t="s">
        <v>3114</v>
      </c>
    </row>
    <row r="1024" spans="1:10" x14ac:dyDescent="0.3">
      <c r="A1024" s="2" t="s">
        <v>8791</v>
      </c>
      <c r="B1024" s="2" t="s">
        <v>3113</v>
      </c>
      <c r="C1024" s="2" t="s">
        <v>3114</v>
      </c>
      <c r="D1024" s="3">
        <v>92400</v>
      </c>
      <c r="E1024" s="3">
        <v>92400</v>
      </c>
      <c r="F1024" s="2" t="s">
        <v>16</v>
      </c>
      <c r="G1024">
        <v>1.15E-2</v>
      </c>
      <c r="H1024" s="9">
        <f t="shared" si="15"/>
        <v>0</v>
      </c>
      <c r="I1024" t="s">
        <v>3113</v>
      </c>
      <c r="J1024" t="s">
        <v>3114</v>
      </c>
    </row>
    <row r="1025" spans="1:10" x14ac:dyDescent="0.3">
      <c r="A1025" s="2" t="s">
        <v>8800</v>
      </c>
      <c r="B1025" s="2" t="s">
        <v>740</v>
      </c>
      <c r="C1025" s="2" t="s">
        <v>741</v>
      </c>
      <c r="D1025" s="3">
        <v>31860</v>
      </c>
      <c r="E1025" s="3">
        <v>31860</v>
      </c>
      <c r="F1025" s="2" t="s">
        <v>16</v>
      </c>
      <c r="G1025">
        <v>3.0499999999999999E-2</v>
      </c>
      <c r="H1025" s="9">
        <f t="shared" si="15"/>
        <v>0</v>
      </c>
      <c r="I1025" t="s">
        <v>2100</v>
      </c>
      <c r="J1025" t="s">
        <v>2101</v>
      </c>
    </row>
    <row r="1026" spans="1:10" x14ac:dyDescent="0.3">
      <c r="A1026" s="2" t="s">
        <v>8805</v>
      </c>
      <c r="B1026" s="2" t="s">
        <v>2100</v>
      </c>
      <c r="C1026" s="2" t="s">
        <v>2101</v>
      </c>
      <c r="D1026" s="3">
        <v>21240</v>
      </c>
      <c r="E1026" s="3">
        <v>21240</v>
      </c>
      <c r="F1026" s="2" t="s">
        <v>16</v>
      </c>
      <c r="G1026">
        <v>3.0499999999999999E-2</v>
      </c>
      <c r="H1026" s="9">
        <f t="shared" si="15"/>
        <v>0</v>
      </c>
      <c r="I1026" t="s">
        <v>2100</v>
      </c>
      <c r="J1026" t="s">
        <v>2101</v>
      </c>
    </row>
    <row r="1027" spans="1:10" x14ac:dyDescent="0.3">
      <c r="A1027" s="2" t="s">
        <v>8810</v>
      </c>
      <c r="B1027" s="2" t="s">
        <v>65</v>
      </c>
      <c r="C1027" s="2" t="s">
        <v>66</v>
      </c>
      <c r="D1027" s="5">
        <v>-343</v>
      </c>
      <c r="E1027" s="5">
        <v>-343</v>
      </c>
      <c r="F1027" s="2" t="s">
        <v>23</v>
      </c>
      <c r="G1027">
        <v>4.4999999999999998E-2</v>
      </c>
      <c r="H1027" s="9">
        <f t="shared" ref="H1027:H1090" si="16">IFERROR(IF(LEFT(B1027,1)="F",E1027/G1027,0),0)</f>
        <v>-7622.2222222222226</v>
      </c>
      <c r="I1027" t="s">
        <v>4791</v>
      </c>
      <c r="J1027" t="s">
        <v>4792</v>
      </c>
    </row>
    <row r="1028" spans="1:10" x14ac:dyDescent="0.3">
      <c r="A1028" s="2" t="s">
        <v>8810</v>
      </c>
      <c r="B1028" s="2" t="s">
        <v>4791</v>
      </c>
      <c r="C1028" s="2" t="s">
        <v>4792</v>
      </c>
      <c r="D1028" s="3">
        <v>34120</v>
      </c>
      <c r="E1028" s="3">
        <v>34120</v>
      </c>
      <c r="F1028" s="2" t="s">
        <v>16</v>
      </c>
      <c r="G1028">
        <v>4.4999999999999998E-2</v>
      </c>
      <c r="H1028" s="9">
        <f t="shared" si="16"/>
        <v>0</v>
      </c>
      <c r="I1028" t="s">
        <v>4791</v>
      </c>
      <c r="J1028" t="s">
        <v>4792</v>
      </c>
    </row>
    <row r="1029" spans="1:10" x14ac:dyDescent="0.3">
      <c r="A1029" s="2" t="s">
        <v>8819</v>
      </c>
      <c r="B1029" s="2" t="s">
        <v>65</v>
      </c>
      <c r="C1029" s="2" t="s">
        <v>66</v>
      </c>
      <c r="D1029" s="5">
        <v>-498</v>
      </c>
      <c r="E1029" s="5">
        <v>-498</v>
      </c>
      <c r="F1029" s="2" t="s">
        <v>23</v>
      </c>
      <c r="G1029">
        <v>5.1999999999999998E-2</v>
      </c>
      <c r="H1029" s="9">
        <f t="shared" si="16"/>
        <v>-9576.923076923078</v>
      </c>
      <c r="I1029" t="s">
        <v>1170</v>
      </c>
      <c r="J1029" t="s">
        <v>1171</v>
      </c>
    </row>
    <row r="1030" spans="1:10" x14ac:dyDescent="0.3">
      <c r="A1030" s="2" t="s">
        <v>8819</v>
      </c>
      <c r="B1030" s="2" t="s">
        <v>97</v>
      </c>
      <c r="C1030" s="2" t="s">
        <v>98</v>
      </c>
      <c r="D1030" s="3">
        <v>81600</v>
      </c>
      <c r="E1030" s="3">
        <v>81600</v>
      </c>
      <c r="F1030" s="2" t="s">
        <v>16</v>
      </c>
      <c r="G1030">
        <v>5.1999999999999998E-2</v>
      </c>
      <c r="H1030" s="9">
        <f t="shared" si="16"/>
        <v>0</v>
      </c>
      <c r="I1030" t="s">
        <v>1170</v>
      </c>
      <c r="J1030" t="s">
        <v>1171</v>
      </c>
    </row>
    <row r="1031" spans="1:10" x14ac:dyDescent="0.3">
      <c r="A1031" s="2" t="s">
        <v>8828</v>
      </c>
      <c r="B1031" s="2" t="s">
        <v>1170</v>
      </c>
      <c r="C1031" s="2" t="s">
        <v>1171</v>
      </c>
      <c r="D1031" s="3">
        <v>4800</v>
      </c>
      <c r="E1031" s="3">
        <v>4800</v>
      </c>
      <c r="F1031" s="2" t="s">
        <v>16</v>
      </c>
      <c r="G1031">
        <v>5.1999999999999998E-2</v>
      </c>
      <c r="H1031" s="9">
        <f t="shared" si="16"/>
        <v>0</v>
      </c>
      <c r="I1031" t="s">
        <v>1170</v>
      </c>
      <c r="J1031" t="s">
        <v>1171</v>
      </c>
    </row>
    <row r="1032" spans="1:10" x14ac:dyDescent="0.3">
      <c r="A1032" s="2" t="s">
        <v>8833</v>
      </c>
      <c r="B1032" s="2" t="s">
        <v>2100</v>
      </c>
      <c r="C1032" s="2" t="s">
        <v>2101</v>
      </c>
      <c r="D1032" s="3">
        <v>84960</v>
      </c>
      <c r="E1032" s="3">
        <v>84960</v>
      </c>
      <c r="F1032" s="2" t="s">
        <v>16</v>
      </c>
      <c r="G1032">
        <v>3.0499999999999999E-2</v>
      </c>
      <c r="H1032" s="9">
        <f t="shared" si="16"/>
        <v>0</v>
      </c>
      <c r="I1032" t="s">
        <v>2100</v>
      </c>
      <c r="J1032" t="s">
        <v>2101</v>
      </c>
    </row>
    <row r="1033" spans="1:10" x14ac:dyDescent="0.3">
      <c r="A1033" s="2" t="s">
        <v>8842</v>
      </c>
      <c r="B1033" s="2" t="s">
        <v>86</v>
      </c>
      <c r="C1033" s="2" t="s">
        <v>87</v>
      </c>
      <c r="D1033" s="5">
        <v>-170</v>
      </c>
      <c r="E1033" s="5">
        <v>-170</v>
      </c>
      <c r="F1033" s="2" t="s">
        <v>23</v>
      </c>
      <c r="G1033">
        <v>8.3000000000000001E-3</v>
      </c>
      <c r="H1033" s="9">
        <f t="shared" si="16"/>
        <v>-20481.927710843374</v>
      </c>
      <c r="I1033" t="s">
        <v>91</v>
      </c>
      <c r="J1033" t="s">
        <v>92</v>
      </c>
    </row>
    <row r="1034" spans="1:10" x14ac:dyDescent="0.3">
      <c r="A1034" s="2" t="s">
        <v>8842</v>
      </c>
      <c r="B1034" s="2" t="s">
        <v>308</v>
      </c>
      <c r="C1034" s="2" t="s">
        <v>309</v>
      </c>
      <c r="D1034" s="3">
        <v>155400</v>
      </c>
      <c r="E1034" s="3">
        <v>155400</v>
      </c>
      <c r="F1034" s="2" t="s">
        <v>16</v>
      </c>
      <c r="G1034">
        <v>8.3000000000000001E-3</v>
      </c>
      <c r="H1034" s="9">
        <f t="shared" si="16"/>
        <v>0</v>
      </c>
      <c r="I1034" t="s">
        <v>91</v>
      </c>
      <c r="J1034" t="s">
        <v>92</v>
      </c>
    </row>
    <row r="1035" spans="1:10" x14ac:dyDescent="0.3">
      <c r="A1035" s="2" t="s">
        <v>8855</v>
      </c>
      <c r="B1035" s="2" t="s">
        <v>91</v>
      </c>
      <c r="C1035" s="2" t="s">
        <v>92</v>
      </c>
      <c r="D1035" s="3">
        <v>108000</v>
      </c>
      <c r="E1035" s="3">
        <v>108000</v>
      </c>
      <c r="F1035" s="2" t="s">
        <v>16</v>
      </c>
      <c r="G1035">
        <v>8.3000000000000001E-3</v>
      </c>
      <c r="H1035" s="9">
        <f t="shared" si="16"/>
        <v>0</v>
      </c>
      <c r="I1035" t="s">
        <v>91</v>
      </c>
      <c r="J1035" t="s">
        <v>92</v>
      </c>
    </row>
    <row r="1036" spans="1:10" x14ac:dyDescent="0.3">
      <c r="A1036" s="2" t="s">
        <v>8864</v>
      </c>
      <c r="B1036" s="2" t="s">
        <v>65</v>
      </c>
      <c r="C1036" s="2" t="s">
        <v>66</v>
      </c>
      <c r="D1036" s="5">
        <v>-140</v>
      </c>
      <c r="E1036" s="5">
        <v>-140</v>
      </c>
      <c r="F1036" s="2" t="s">
        <v>23</v>
      </c>
      <c r="G1036">
        <v>3.5999999999999997E-2</v>
      </c>
      <c r="H1036" s="9">
        <f t="shared" si="16"/>
        <v>-3888.8888888888891</v>
      </c>
      <c r="I1036" t="s">
        <v>2086</v>
      </c>
      <c r="J1036" t="s">
        <v>2087</v>
      </c>
    </row>
    <row r="1037" spans="1:10" x14ac:dyDescent="0.3">
      <c r="A1037" s="2" t="s">
        <v>8864</v>
      </c>
      <c r="B1037" s="2" t="s">
        <v>2086</v>
      </c>
      <c r="C1037" s="2" t="s">
        <v>2087</v>
      </c>
      <c r="D1037" s="3">
        <v>46464</v>
      </c>
      <c r="E1037" s="3">
        <v>46464</v>
      </c>
      <c r="F1037" s="2" t="s">
        <v>16</v>
      </c>
      <c r="G1037">
        <v>3.5999999999999997E-2</v>
      </c>
      <c r="H1037" s="9">
        <f t="shared" si="16"/>
        <v>0</v>
      </c>
      <c r="I1037" t="s">
        <v>2086</v>
      </c>
      <c r="J1037" t="s">
        <v>2087</v>
      </c>
    </row>
    <row r="1038" spans="1:10" x14ac:dyDescent="0.3">
      <c r="A1038" s="2" t="s">
        <v>8877</v>
      </c>
      <c r="B1038" s="2" t="s">
        <v>740</v>
      </c>
      <c r="C1038" s="2" t="s">
        <v>741</v>
      </c>
      <c r="D1038" s="3">
        <v>1019520</v>
      </c>
      <c r="E1038" s="3">
        <v>1019520</v>
      </c>
      <c r="F1038" s="2" t="s">
        <v>16</v>
      </c>
      <c r="G1038">
        <v>3.0499999999999999E-2</v>
      </c>
      <c r="H1038" s="9">
        <f t="shared" si="16"/>
        <v>0</v>
      </c>
      <c r="I1038" t="s">
        <v>740</v>
      </c>
      <c r="J1038" t="s">
        <v>741</v>
      </c>
    </row>
    <row r="1039" spans="1:10" x14ac:dyDescent="0.3">
      <c r="A1039" s="2" t="s">
        <v>8886</v>
      </c>
      <c r="B1039" s="2" t="s">
        <v>1027</v>
      </c>
      <c r="C1039" s="2" t="s">
        <v>1028</v>
      </c>
      <c r="D1039" s="3">
        <v>180540</v>
      </c>
      <c r="E1039" s="3">
        <v>180540</v>
      </c>
      <c r="F1039" s="2" t="s">
        <v>16</v>
      </c>
      <c r="G1039">
        <v>3.0499999999999999E-2</v>
      </c>
      <c r="H1039" s="9">
        <f t="shared" si="16"/>
        <v>0</v>
      </c>
      <c r="I1039" t="s">
        <v>1027</v>
      </c>
      <c r="J1039" t="s">
        <v>1028</v>
      </c>
    </row>
    <row r="1040" spans="1:10" x14ac:dyDescent="0.3">
      <c r="A1040" s="2" t="s">
        <v>8891</v>
      </c>
      <c r="B1040" s="2" t="s">
        <v>2086</v>
      </c>
      <c r="C1040" s="2" t="s">
        <v>2087</v>
      </c>
      <c r="D1040" s="3">
        <v>31680</v>
      </c>
      <c r="E1040" s="3">
        <v>31680</v>
      </c>
      <c r="F1040" s="2" t="s">
        <v>16</v>
      </c>
      <c r="G1040">
        <v>3.5999999999999997E-2</v>
      </c>
      <c r="H1040" s="9">
        <f t="shared" si="16"/>
        <v>0</v>
      </c>
      <c r="I1040" t="s">
        <v>70</v>
      </c>
      <c r="J1040" t="s">
        <v>71</v>
      </c>
    </row>
    <row r="1041" spans="1:10" x14ac:dyDescent="0.3">
      <c r="A1041" s="2" t="s">
        <v>8891</v>
      </c>
      <c r="B1041" s="2" t="s">
        <v>65</v>
      </c>
      <c r="C1041" s="2" t="s">
        <v>66</v>
      </c>
      <c r="D1041" s="5">
        <v>-304</v>
      </c>
      <c r="E1041" s="5">
        <v>-304</v>
      </c>
      <c r="F1041" s="2" t="s">
        <v>23</v>
      </c>
      <c r="G1041">
        <v>3.5999999999999997E-2</v>
      </c>
      <c r="H1041" s="9">
        <f t="shared" si="16"/>
        <v>-8444.4444444444453</v>
      </c>
      <c r="I1041" t="s">
        <v>70</v>
      </c>
      <c r="J1041" t="s">
        <v>71</v>
      </c>
    </row>
    <row r="1042" spans="1:10" x14ac:dyDescent="0.3">
      <c r="A1042" s="2" t="s">
        <v>8900</v>
      </c>
      <c r="B1042" s="2" t="s">
        <v>2086</v>
      </c>
      <c r="C1042" s="2" t="s">
        <v>2087</v>
      </c>
      <c r="D1042" s="3">
        <v>8448</v>
      </c>
      <c r="E1042" s="3">
        <v>8448</v>
      </c>
      <c r="F1042" s="2" t="s">
        <v>16</v>
      </c>
      <c r="G1042">
        <v>3.5999999999999997E-2</v>
      </c>
      <c r="H1042" s="9">
        <f t="shared" si="16"/>
        <v>0</v>
      </c>
      <c r="I1042" t="s">
        <v>2086</v>
      </c>
      <c r="J1042" t="s">
        <v>2087</v>
      </c>
    </row>
    <row r="1043" spans="1:10" x14ac:dyDescent="0.3">
      <c r="A1043" s="2" t="s">
        <v>8905</v>
      </c>
      <c r="B1043" s="2" t="s">
        <v>1667</v>
      </c>
      <c r="C1043" s="2" t="s">
        <v>1668</v>
      </c>
      <c r="D1043" s="3">
        <v>104400</v>
      </c>
      <c r="E1043" s="3">
        <v>104400</v>
      </c>
      <c r="F1043" s="2" t="s">
        <v>16</v>
      </c>
      <c r="G1043">
        <v>1.15E-2</v>
      </c>
      <c r="H1043" s="9">
        <f t="shared" si="16"/>
        <v>0</v>
      </c>
      <c r="I1043" t="s">
        <v>1667</v>
      </c>
      <c r="J1043" t="s">
        <v>1668</v>
      </c>
    </row>
    <row r="1044" spans="1:10" x14ac:dyDescent="0.3">
      <c r="A1044" s="2" t="s">
        <v>8922</v>
      </c>
      <c r="B1044" s="2" t="s">
        <v>1027</v>
      </c>
      <c r="C1044" s="2" t="s">
        <v>1028</v>
      </c>
      <c r="D1044" s="3">
        <v>838980</v>
      </c>
      <c r="E1044" s="3">
        <v>838980</v>
      </c>
      <c r="F1044" s="2" t="s">
        <v>16</v>
      </c>
      <c r="G1044">
        <v>3.0499999999999999E-2</v>
      </c>
      <c r="H1044" s="9">
        <f t="shared" si="16"/>
        <v>0</v>
      </c>
      <c r="I1044" t="s">
        <v>1027</v>
      </c>
      <c r="J1044" t="s">
        <v>1028</v>
      </c>
    </row>
    <row r="1045" spans="1:10" x14ac:dyDescent="0.3">
      <c r="A1045" s="2" t="s">
        <v>8927</v>
      </c>
      <c r="B1045" s="2" t="s">
        <v>4791</v>
      </c>
      <c r="C1045" s="2" t="s">
        <v>4792</v>
      </c>
      <c r="D1045" s="3">
        <v>271584</v>
      </c>
      <c r="E1045" s="3">
        <v>271584</v>
      </c>
      <c r="F1045" s="2" t="s">
        <v>16</v>
      </c>
      <c r="G1045">
        <v>4.4999999999999998E-2</v>
      </c>
      <c r="H1045" s="9">
        <f t="shared" si="16"/>
        <v>0</v>
      </c>
      <c r="I1045" t="s">
        <v>4791</v>
      </c>
      <c r="J1045" t="s">
        <v>4792</v>
      </c>
    </row>
    <row r="1046" spans="1:10" x14ac:dyDescent="0.3">
      <c r="A1046" s="2" t="s">
        <v>8932</v>
      </c>
      <c r="B1046" s="2" t="s">
        <v>2100</v>
      </c>
      <c r="C1046" s="2" t="s">
        <v>2101</v>
      </c>
      <c r="D1046" s="3">
        <v>212400</v>
      </c>
      <c r="E1046" s="3">
        <v>212400</v>
      </c>
      <c r="F1046" s="2" t="s">
        <v>16</v>
      </c>
      <c r="G1046">
        <v>3.0499999999999999E-2</v>
      </c>
      <c r="H1046" s="9">
        <f t="shared" si="16"/>
        <v>0</v>
      </c>
      <c r="I1046" t="s">
        <v>2100</v>
      </c>
      <c r="J1046" t="s">
        <v>2101</v>
      </c>
    </row>
    <row r="1047" spans="1:10" x14ac:dyDescent="0.3">
      <c r="A1047" s="2" t="s">
        <v>8932</v>
      </c>
      <c r="B1047" s="2" t="s">
        <v>65</v>
      </c>
      <c r="C1047" s="2" t="s">
        <v>66</v>
      </c>
      <c r="D1047" s="5">
        <v>-323</v>
      </c>
      <c r="E1047" s="5">
        <v>-323</v>
      </c>
      <c r="F1047" s="2" t="s">
        <v>23</v>
      </c>
      <c r="G1047">
        <v>3.0499999999999999E-2</v>
      </c>
      <c r="H1047" s="9">
        <f t="shared" si="16"/>
        <v>-10590.163934426229</v>
      </c>
      <c r="I1047" t="s">
        <v>2100</v>
      </c>
      <c r="J1047" t="s">
        <v>2101</v>
      </c>
    </row>
    <row r="1048" spans="1:10" x14ac:dyDescent="0.3">
      <c r="A1048" s="2" t="s">
        <v>8953</v>
      </c>
      <c r="B1048" s="2" t="s">
        <v>76</v>
      </c>
      <c r="C1048" s="2" t="s">
        <v>77</v>
      </c>
      <c r="D1048" s="3">
        <v>964440</v>
      </c>
      <c r="E1048" s="3">
        <v>964440</v>
      </c>
      <c r="F1048" s="2" t="s">
        <v>16</v>
      </c>
      <c r="G1048">
        <v>9.4000000000000004E-3</v>
      </c>
      <c r="H1048" s="9">
        <f t="shared" si="16"/>
        <v>0</v>
      </c>
      <c r="I1048" t="s">
        <v>3028</v>
      </c>
      <c r="J1048" t="s">
        <v>3029</v>
      </c>
    </row>
    <row r="1049" spans="1:10" x14ac:dyDescent="0.3">
      <c r="A1049" s="2" t="s">
        <v>8953</v>
      </c>
      <c r="B1049" s="2" t="s">
        <v>86</v>
      </c>
      <c r="C1049" s="2" t="s">
        <v>87</v>
      </c>
      <c r="D1049" s="5">
        <v>-238</v>
      </c>
      <c r="E1049" s="5">
        <v>-238</v>
      </c>
      <c r="F1049" s="2" t="s">
        <v>23</v>
      </c>
      <c r="G1049">
        <v>9.4000000000000004E-3</v>
      </c>
      <c r="H1049" s="9">
        <f t="shared" si="16"/>
        <v>-25319.148936170212</v>
      </c>
      <c r="I1049" t="s">
        <v>3028</v>
      </c>
      <c r="J1049" t="s">
        <v>3029</v>
      </c>
    </row>
    <row r="1050" spans="1:10" x14ac:dyDescent="0.3">
      <c r="A1050" s="2" t="s">
        <v>8974</v>
      </c>
      <c r="B1050" s="2" t="s">
        <v>5357</v>
      </c>
      <c r="C1050" s="2" t="s">
        <v>5358</v>
      </c>
      <c r="D1050" s="3">
        <v>311328</v>
      </c>
      <c r="E1050" s="3">
        <v>311328</v>
      </c>
      <c r="F1050" s="2" t="s">
        <v>16</v>
      </c>
      <c r="G1050">
        <v>4.4999999999999998E-2</v>
      </c>
      <c r="H1050" s="9">
        <f t="shared" si="16"/>
        <v>0</v>
      </c>
      <c r="I1050" t="s">
        <v>5357</v>
      </c>
      <c r="J1050" t="s">
        <v>5358</v>
      </c>
    </row>
    <row r="1051" spans="1:10" x14ac:dyDescent="0.3">
      <c r="A1051" s="2" t="s">
        <v>8979</v>
      </c>
      <c r="B1051" s="2" t="s">
        <v>3028</v>
      </c>
      <c r="C1051" s="2" t="s">
        <v>3029</v>
      </c>
      <c r="D1051" s="3">
        <v>76140</v>
      </c>
      <c r="E1051" s="3">
        <v>0</v>
      </c>
      <c r="F1051" s="2" t="s">
        <v>16</v>
      </c>
      <c r="G1051">
        <v>9.4000000000000004E-3</v>
      </c>
      <c r="H1051" s="9">
        <f t="shared" si="16"/>
        <v>0</v>
      </c>
      <c r="I1051" t="s">
        <v>3028</v>
      </c>
      <c r="J1051" t="s">
        <v>3029</v>
      </c>
    </row>
    <row r="1052" spans="1:10" x14ac:dyDescent="0.3">
      <c r="A1052" s="2" t="s">
        <v>8979</v>
      </c>
      <c r="B1052" s="2" t="s">
        <v>6977</v>
      </c>
      <c r="C1052" s="2" t="s">
        <v>6978</v>
      </c>
      <c r="D1052" s="3">
        <v>76140</v>
      </c>
      <c r="E1052" s="3">
        <v>76140</v>
      </c>
      <c r="F1052" s="2" t="s">
        <v>16</v>
      </c>
      <c r="G1052">
        <v>9.4000000000000004E-3</v>
      </c>
      <c r="H1052" s="9">
        <f t="shared" si="16"/>
        <v>0</v>
      </c>
      <c r="I1052" t="s">
        <v>3028</v>
      </c>
      <c r="J1052" t="s">
        <v>3029</v>
      </c>
    </row>
    <row r="1053" spans="1:10" x14ac:dyDescent="0.3">
      <c r="A1053" s="2" t="s">
        <v>8999</v>
      </c>
      <c r="B1053" s="2" t="s">
        <v>3028</v>
      </c>
      <c r="C1053" s="2" t="s">
        <v>3029</v>
      </c>
      <c r="D1053" s="3">
        <v>25380</v>
      </c>
      <c r="E1053" s="3">
        <v>25380</v>
      </c>
      <c r="F1053" s="2" t="s">
        <v>16</v>
      </c>
      <c r="G1053">
        <v>9.4000000000000004E-3</v>
      </c>
      <c r="H1053" s="9">
        <f t="shared" si="16"/>
        <v>0</v>
      </c>
      <c r="I1053" t="s">
        <v>3028</v>
      </c>
      <c r="J1053" t="s">
        <v>3029</v>
      </c>
    </row>
    <row r="1054" spans="1:10" x14ac:dyDescent="0.3">
      <c r="A1054" s="2" t="s">
        <v>9004</v>
      </c>
      <c r="B1054" s="2" t="s">
        <v>76</v>
      </c>
      <c r="C1054" s="2" t="s">
        <v>77</v>
      </c>
      <c r="D1054" s="3">
        <v>177660</v>
      </c>
      <c r="E1054" s="3">
        <v>177660</v>
      </c>
      <c r="F1054" s="2" t="s">
        <v>16</v>
      </c>
      <c r="G1054">
        <v>9.4000000000000004E-3</v>
      </c>
      <c r="H1054" s="9">
        <f t="shared" si="16"/>
        <v>0</v>
      </c>
      <c r="I1054" t="s">
        <v>3028</v>
      </c>
      <c r="J1054" t="s">
        <v>3029</v>
      </c>
    </row>
    <row r="1055" spans="1:10" x14ac:dyDescent="0.3">
      <c r="A1055" s="2" t="s">
        <v>9004</v>
      </c>
      <c r="B1055" s="2" t="s">
        <v>86</v>
      </c>
      <c r="C1055" s="2" t="s">
        <v>87</v>
      </c>
      <c r="D1055" s="5">
        <v>-238</v>
      </c>
      <c r="E1055" s="5">
        <v>-238</v>
      </c>
      <c r="F1055" s="2" t="s">
        <v>23</v>
      </c>
      <c r="G1055">
        <v>9.4000000000000004E-3</v>
      </c>
      <c r="H1055" s="9">
        <f t="shared" si="16"/>
        <v>-25319.148936170212</v>
      </c>
      <c r="I1055" t="s">
        <v>3028</v>
      </c>
      <c r="J1055" t="s">
        <v>3029</v>
      </c>
    </row>
    <row r="1056" spans="1:10" x14ac:dyDescent="0.3">
      <c r="A1056" s="2" t="s">
        <v>9025</v>
      </c>
      <c r="B1056" s="2" t="s">
        <v>91</v>
      </c>
      <c r="C1056" s="2" t="s">
        <v>92</v>
      </c>
      <c r="D1056" s="3">
        <v>135000</v>
      </c>
      <c r="E1056" s="3">
        <v>135000</v>
      </c>
      <c r="F1056" s="2" t="s">
        <v>16</v>
      </c>
      <c r="G1056">
        <v>8.3000000000000001E-3</v>
      </c>
      <c r="H1056" s="9">
        <f t="shared" si="16"/>
        <v>0</v>
      </c>
      <c r="I1056" t="s">
        <v>91</v>
      </c>
      <c r="J1056" t="s">
        <v>92</v>
      </c>
    </row>
    <row r="1057" spans="1:10" x14ac:dyDescent="0.3">
      <c r="A1057" s="2" t="s">
        <v>9030</v>
      </c>
      <c r="B1057" s="2" t="s">
        <v>76</v>
      </c>
      <c r="C1057" s="2" t="s">
        <v>77</v>
      </c>
      <c r="D1057" s="3">
        <v>50760</v>
      </c>
      <c r="E1057" s="3">
        <v>50760</v>
      </c>
      <c r="F1057" s="2" t="s">
        <v>16</v>
      </c>
      <c r="G1057">
        <v>9.4000000000000004E-3</v>
      </c>
      <c r="H1057" s="9">
        <f t="shared" si="16"/>
        <v>0</v>
      </c>
      <c r="I1057" t="s">
        <v>3028</v>
      </c>
      <c r="J1057" t="s">
        <v>3029</v>
      </c>
    </row>
    <row r="1058" spans="1:10" x14ac:dyDescent="0.3">
      <c r="A1058" s="2" t="s">
        <v>9039</v>
      </c>
      <c r="B1058" s="2" t="s">
        <v>3759</v>
      </c>
      <c r="C1058" s="2" t="s">
        <v>3760</v>
      </c>
      <c r="D1058" s="3">
        <v>29880</v>
      </c>
      <c r="E1058" s="3">
        <v>29880</v>
      </c>
      <c r="F1058" s="2" t="s">
        <v>16</v>
      </c>
      <c r="G1058">
        <v>7.45E-3</v>
      </c>
      <c r="H1058" s="9">
        <f t="shared" si="16"/>
        <v>0</v>
      </c>
      <c r="I1058" t="s">
        <v>797</v>
      </c>
      <c r="J1058" t="s">
        <v>798</v>
      </c>
    </row>
    <row r="1059" spans="1:10" x14ac:dyDescent="0.3">
      <c r="A1059" s="2" t="s">
        <v>9044</v>
      </c>
      <c r="B1059" s="2" t="s">
        <v>1027</v>
      </c>
      <c r="C1059" s="2" t="s">
        <v>1028</v>
      </c>
      <c r="D1059" s="3">
        <v>987660</v>
      </c>
      <c r="E1059" s="3">
        <v>987660</v>
      </c>
      <c r="F1059" s="2" t="s">
        <v>16</v>
      </c>
      <c r="G1059">
        <v>3.0499999999999999E-2</v>
      </c>
      <c r="H1059" s="9">
        <f t="shared" si="16"/>
        <v>0</v>
      </c>
      <c r="I1059" t="s">
        <v>1027</v>
      </c>
      <c r="J1059" t="s">
        <v>1028</v>
      </c>
    </row>
    <row r="1060" spans="1:10" x14ac:dyDescent="0.3">
      <c r="A1060" s="2" t="s">
        <v>9053</v>
      </c>
      <c r="B1060" s="2" t="s">
        <v>65</v>
      </c>
      <c r="C1060" s="2" t="s">
        <v>66</v>
      </c>
      <c r="D1060" s="5">
        <v>-298</v>
      </c>
      <c r="E1060" s="5">
        <v>-298</v>
      </c>
      <c r="F1060" s="2" t="s">
        <v>23</v>
      </c>
      <c r="G1060">
        <v>4.4999999999999998E-2</v>
      </c>
      <c r="H1060" s="9">
        <f t="shared" si="16"/>
        <v>-6622.2222222222226</v>
      </c>
      <c r="I1060" t="s">
        <v>4791</v>
      </c>
      <c r="J1060" t="s">
        <v>4792</v>
      </c>
    </row>
    <row r="1061" spans="1:10" x14ac:dyDescent="0.3">
      <c r="A1061" s="2" t="s">
        <v>9053</v>
      </c>
      <c r="B1061" s="2" t="s">
        <v>5347</v>
      </c>
      <c r="C1061" s="2" t="s">
        <v>5348</v>
      </c>
      <c r="D1061" s="3">
        <v>59616</v>
      </c>
      <c r="E1061" s="3">
        <v>59616</v>
      </c>
      <c r="F1061" s="2" t="s">
        <v>16</v>
      </c>
      <c r="G1061">
        <v>4.4999999999999998E-2</v>
      </c>
      <c r="H1061" s="9">
        <f t="shared" si="16"/>
        <v>0</v>
      </c>
      <c r="I1061" t="s">
        <v>4791</v>
      </c>
      <c r="J1061" t="s">
        <v>4792</v>
      </c>
    </row>
    <row r="1062" spans="1:10" x14ac:dyDescent="0.3">
      <c r="A1062" s="2" t="s">
        <v>9062</v>
      </c>
      <c r="B1062" s="2" t="s">
        <v>4791</v>
      </c>
      <c r="C1062" s="2" t="s">
        <v>4792</v>
      </c>
      <c r="D1062" s="3">
        <v>6624</v>
      </c>
      <c r="E1062" s="3">
        <v>6624</v>
      </c>
      <c r="F1062" s="2" t="s">
        <v>16</v>
      </c>
      <c r="G1062">
        <v>4.4999999999999998E-2</v>
      </c>
      <c r="H1062" s="9">
        <f t="shared" si="16"/>
        <v>0</v>
      </c>
      <c r="I1062" t="s">
        <v>4791</v>
      </c>
      <c r="J1062" t="s">
        <v>4792</v>
      </c>
    </row>
    <row r="1063" spans="1:10" x14ac:dyDescent="0.3">
      <c r="A1063" s="2" t="s">
        <v>9067</v>
      </c>
      <c r="B1063" s="2" t="s">
        <v>70</v>
      </c>
      <c r="C1063" s="2" t="s">
        <v>71</v>
      </c>
      <c r="D1063" s="3">
        <v>12672</v>
      </c>
      <c r="E1063" s="3">
        <v>12672</v>
      </c>
      <c r="F1063" s="2" t="s">
        <v>16</v>
      </c>
      <c r="G1063">
        <v>3.5999999999999997E-2</v>
      </c>
      <c r="H1063" s="9">
        <f t="shared" si="16"/>
        <v>0</v>
      </c>
      <c r="I1063" t="s">
        <v>70</v>
      </c>
      <c r="J1063" t="s">
        <v>71</v>
      </c>
    </row>
    <row r="1064" spans="1:10" x14ac:dyDescent="0.3">
      <c r="A1064" s="2" t="s">
        <v>9072</v>
      </c>
      <c r="B1064" s="2" t="s">
        <v>4511</v>
      </c>
      <c r="C1064" s="2" t="s">
        <v>4512</v>
      </c>
      <c r="D1064" s="3">
        <v>149400</v>
      </c>
      <c r="E1064" s="3">
        <v>149400</v>
      </c>
      <c r="F1064" s="2" t="s">
        <v>16</v>
      </c>
      <c r="G1064">
        <v>7.45E-3</v>
      </c>
      <c r="H1064" s="9">
        <f t="shared" si="16"/>
        <v>0</v>
      </c>
      <c r="I1064" t="s">
        <v>797</v>
      </c>
      <c r="J1064" t="s">
        <v>798</v>
      </c>
    </row>
    <row r="1065" spans="1:10" x14ac:dyDescent="0.3">
      <c r="A1065" s="2" t="s">
        <v>9077</v>
      </c>
      <c r="B1065" s="2" t="s">
        <v>5357</v>
      </c>
      <c r="C1065" s="2" t="s">
        <v>5358</v>
      </c>
      <c r="D1065" s="3">
        <v>317952</v>
      </c>
      <c r="E1065" s="3">
        <v>317952</v>
      </c>
      <c r="F1065" s="2" t="s">
        <v>16</v>
      </c>
      <c r="G1065">
        <v>4.4999999999999998E-2</v>
      </c>
      <c r="H1065" s="9">
        <f t="shared" si="16"/>
        <v>0</v>
      </c>
      <c r="I1065" t="s">
        <v>5357</v>
      </c>
      <c r="J1065" t="s">
        <v>5358</v>
      </c>
    </row>
    <row r="1066" spans="1:10" x14ac:dyDescent="0.3">
      <c r="A1066" s="2" t="s">
        <v>9090</v>
      </c>
      <c r="B1066" s="2" t="s">
        <v>97</v>
      </c>
      <c r="C1066" s="2" t="s">
        <v>98</v>
      </c>
      <c r="D1066" s="3">
        <v>249600</v>
      </c>
      <c r="E1066" s="3">
        <v>249600</v>
      </c>
      <c r="F1066" s="2" t="s">
        <v>16</v>
      </c>
      <c r="G1066">
        <v>5.1999999999999998E-2</v>
      </c>
      <c r="H1066" s="9">
        <f t="shared" si="16"/>
        <v>0</v>
      </c>
      <c r="I1066" t="s">
        <v>97</v>
      </c>
      <c r="J1066" t="s">
        <v>98</v>
      </c>
    </row>
    <row r="1067" spans="1:10" x14ac:dyDescent="0.3">
      <c r="A1067" s="2" t="s">
        <v>9095</v>
      </c>
      <c r="B1067" s="2" t="s">
        <v>740</v>
      </c>
      <c r="C1067" s="2" t="s">
        <v>741</v>
      </c>
      <c r="D1067" s="3">
        <v>1019520</v>
      </c>
      <c r="E1067" s="3">
        <v>1019520</v>
      </c>
      <c r="F1067" s="2" t="s">
        <v>16</v>
      </c>
      <c r="G1067">
        <v>3.0499999999999999E-2</v>
      </c>
      <c r="H1067" s="9">
        <f t="shared" si="16"/>
        <v>0</v>
      </c>
      <c r="I1067" t="s">
        <v>740</v>
      </c>
      <c r="J1067" t="s">
        <v>741</v>
      </c>
    </row>
    <row r="1068" spans="1:10" x14ac:dyDescent="0.3">
      <c r="A1068" s="2" t="s">
        <v>9104</v>
      </c>
      <c r="B1068" s="2" t="s">
        <v>5357</v>
      </c>
      <c r="C1068" s="2" t="s">
        <v>5358</v>
      </c>
      <c r="D1068" s="3">
        <v>317952</v>
      </c>
      <c r="E1068" s="3">
        <v>317952</v>
      </c>
      <c r="F1068" s="2" t="s">
        <v>16</v>
      </c>
      <c r="G1068">
        <v>4.4999999999999998E-2</v>
      </c>
      <c r="H1068" s="9">
        <f t="shared" si="16"/>
        <v>0</v>
      </c>
      <c r="I1068" t="s">
        <v>5357</v>
      </c>
      <c r="J1068" t="s">
        <v>5358</v>
      </c>
    </row>
    <row r="1069" spans="1:10" x14ac:dyDescent="0.3">
      <c r="A1069" s="2" t="s">
        <v>9117</v>
      </c>
      <c r="B1069" s="2" t="s">
        <v>1027</v>
      </c>
      <c r="C1069" s="2" t="s">
        <v>1028</v>
      </c>
      <c r="D1069" s="3">
        <v>116820</v>
      </c>
      <c r="E1069" s="3">
        <v>116820</v>
      </c>
      <c r="F1069" s="2" t="s">
        <v>16</v>
      </c>
      <c r="G1069">
        <v>3.0499999999999999E-2</v>
      </c>
      <c r="H1069" s="9">
        <f t="shared" si="16"/>
        <v>0</v>
      </c>
      <c r="I1069" t="s">
        <v>1027</v>
      </c>
      <c r="J1069" t="s">
        <v>1028</v>
      </c>
    </row>
    <row r="1070" spans="1:10" x14ac:dyDescent="0.3">
      <c r="A1070" s="2" t="s">
        <v>9126</v>
      </c>
      <c r="B1070" s="2" t="s">
        <v>97</v>
      </c>
      <c r="C1070" s="2" t="s">
        <v>98</v>
      </c>
      <c r="D1070" s="3">
        <v>302400</v>
      </c>
      <c r="E1070" s="3">
        <v>302400</v>
      </c>
      <c r="F1070" s="2" t="s">
        <v>16</v>
      </c>
      <c r="G1070">
        <v>5.1999999999999998E-2</v>
      </c>
      <c r="H1070" s="9">
        <f t="shared" si="16"/>
        <v>0</v>
      </c>
      <c r="I1070" t="s">
        <v>97</v>
      </c>
      <c r="J1070" t="s">
        <v>98</v>
      </c>
    </row>
    <row r="1071" spans="1:10" x14ac:dyDescent="0.3">
      <c r="A1071" s="2" t="s">
        <v>9131</v>
      </c>
      <c r="B1071" s="2" t="s">
        <v>97</v>
      </c>
      <c r="C1071" s="2" t="s">
        <v>98</v>
      </c>
      <c r="D1071" s="3">
        <v>24000</v>
      </c>
      <c r="E1071" s="3">
        <v>24000</v>
      </c>
      <c r="F1071" s="2" t="s">
        <v>16</v>
      </c>
      <c r="G1071">
        <v>5.1999999999999998E-2</v>
      </c>
      <c r="H1071" s="9">
        <f t="shared" si="16"/>
        <v>0</v>
      </c>
      <c r="I1071" t="s">
        <v>1170</v>
      </c>
      <c r="J1071" t="s">
        <v>1171</v>
      </c>
    </row>
    <row r="1072" spans="1:10" x14ac:dyDescent="0.3">
      <c r="A1072" s="2" t="s">
        <v>9136</v>
      </c>
      <c r="B1072" s="2" t="s">
        <v>517</v>
      </c>
      <c r="C1072" s="2" t="s">
        <v>518</v>
      </c>
      <c r="D1072" s="3">
        <v>483840</v>
      </c>
      <c r="E1072" s="3">
        <v>483840</v>
      </c>
      <c r="F1072" s="2" t="s">
        <v>16</v>
      </c>
      <c r="G1072">
        <v>2.6600000000000002E-2</v>
      </c>
      <c r="H1072" s="9">
        <f t="shared" si="16"/>
        <v>0</v>
      </c>
      <c r="I1072" t="s">
        <v>517</v>
      </c>
      <c r="J1072" t="s">
        <v>518</v>
      </c>
    </row>
    <row r="1073" spans="1:10" x14ac:dyDescent="0.3">
      <c r="A1073" s="2" t="s">
        <v>9149</v>
      </c>
      <c r="B1073" s="2" t="s">
        <v>65</v>
      </c>
      <c r="C1073" s="2" t="s">
        <v>66</v>
      </c>
      <c r="D1073" s="5">
        <v>-249</v>
      </c>
      <c r="E1073" s="5">
        <v>-249</v>
      </c>
      <c r="F1073" s="2" t="s">
        <v>23</v>
      </c>
      <c r="G1073">
        <v>5.1999999999999998E-2</v>
      </c>
      <c r="H1073" s="9">
        <f t="shared" si="16"/>
        <v>-4788.461538461539</v>
      </c>
      <c r="I1073" t="s">
        <v>1170</v>
      </c>
      <c r="J1073" t="s">
        <v>1171</v>
      </c>
    </row>
    <row r="1074" spans="1:10" x14ac:dyDescent="0.3">
      <c r="A1074" s="2" t="s">
        <v>9149</v>
      </c>
      <c r="B1074" s="2" t="s">
        <v>1170</v>
      </c>
      <c r="C1074" s="2" t="s">
        <v>1171</v>
      </c>
      <c r="D1074" s="3">
        <v>28800</v>
      </c>
      <c r="E1074" s="3">
        <v>28800</v>
      </c>
      <c r="F1074" s="2" t="s">
        <v>16</v>
      </c>
      <c r="G1074">
        <v>5.1999999999999998E-2</v>
      </c>
      <c r="H1074" s="9">
        <f t="shared" si="16"/>
        <v>0</v>
      </c>
      <c r="I1074" t="s">
        <v>1170</v>
      </c>
      <c r="J1074" t="s">
        <v>1171</v>
      </c>
    </row>
    <row r="1075" spans="1:10" x14ac:dyDescent="0.3">
      <c r="A1075" s="2" t="s">
        <v>9158</v>
      </c>
      <c r="B1075" s="2" t="s">
        <v>5477</v>
      </c>
      <c r="C1075" s="2" t="s">
        <v>5478</v>
      </c>
      <c r="D1075" s="3">
        <v>19872</v>
      </c>
      <c r="E1075" s="3">
        <v>19872</v>
      </c>
      <c r="F1075" s="2" t="s">
        <v>16</v>
      </c>
      <c r="G1075">
        <v>4.4999999999999998E-2</v>
      </c>
      <c r="H1075" s="9">
        <f t="shared" si="16"/>
        <v>0</v>
      </c>
      <c r="I1075" t="s">
        <v>5477</v>
      </c>
      <c r="J1075" t="s">
        <v>5478</v>
      </c>
    </row>
    <row r="1076" spans="1:10" x14ac:dyDescent="0.3">
      <c r="A1076" s="2" t="s">
        <v>9167</v>
      </c>
      <c r="B1076" s="2" t="s">
        <v>5357</v>
      </c>
      <c r="C1076" s="2" t="s">
        <v>5358</v>
      </c>
      <c r="D1076" s="3">
        <v>317952</v>
      </c>
      <c r="E1076" s="3">
        <v>317952</v>
      </c>
      <c r="F1076" s="2" t="s">
        <v>16</v>
      </c>
      <c r="G1076">
        <v>4.4999999999999998E-2</v>
      </c>
      <c r="H1076" s="9">
        <f t="shared" si="16"/>
        <v>0</v>
      </c>
      <c r="I1076" t="s">
        <v>5357</v>
      </c>
      <c r="J1076" t="s">
        <v>5358</v>
      </c>
    </row>
    <row r="1077" spans="1:10" x14ac:dyDescent="0.3">
      <c r="A1077" s="2" t="s">
        <v>9180</v>
      </c>
      <c r="B1077" s="2" t="s">
        <v>1027</v>
      </c>
      <c r="C1077" s="2" t="s">
        <v>1028</v>
      </c>
      <c r="D1077" s="3">
        <v>913320</v>
      </c>
      <c r="E1077" s="3">
        <v>913320</v>
      </c>
      <c r="F1077" s="2" t="s">
        <v>16</v>
      </c>
      <c r="G1077">
        <v>3.0499999999999999E-2</v>
      </c>
      <c r="H1077" s="9">
        <f t="shared" si="16"/>
        <v>0</v>
      </c>
      <c r="I1077" t="s">
        <v>1027</v>
      </c>
      <c r="J1077" t="s">
        <v>1028</v>
      </c>
    </row>
    <row r="1078" spans="1:10" x14ac:dyDescent="0.3">
      <c r="A1078" s="2" t="s">
        <v>9189</v>
      </c>
      <c r="B1078" s="2" t="s">
        <v>97</v>
      </c>
      <c r="C1078" s="2" t="s">
        <v>98</v>
      </c>
      <c r="D1078" s="3">
        <v>345600</v>
      </c>
      <c r="E1078" s="3">
        <v>345600</v>
      </c>
      <c r="F1078" s="2" t="s">
        <v>16</v>
      </c>
      <c r="G1078">
        <v>5.1999999999999998E-2</v>
      </c>
      <c r="H1078" s="9">
        <f t="shared" si="16"/>
        <v>0</v>
      </c>
      <c r="I1078" t="s">
        <v>97</v>
      </c>
      <c r="J1078" t="s">
        <v>98</v>
      </c>
    </row>
    <row r="1079" spans="1:10" x14ac:dyDescent="0.3">
      <c r="A1079" s="2" t="s">
        <v>9198</v>
      </c>
      <c r="B1079" s="2" t="s">
        <v>65</v>
      </c>
      <c r="C1079" s="2" t="s">
        <v>66</v>
      </c>
      <c r="D1079" s="5">
        <v>-288</v>
      </c>
      <c r="E1079" s="5">
        <v>-288</v>
      </c>
      <c r="F1079" s="2" t="s">
        <v>23</v>
      </c>
      <c r="G1079">
        <v>1.4E-2</v>
      </c>
      <c r="H1079" s="9">
        <f t="shared" si="16"/>
        <v>-20571.428571428572</v>
      </c>
      <c r="I1079" t="s">
        <v>947</v>
      </c>
      <c r="J1079" t="s">
        <v>948</v>
      </c>
    </row>
    <row r="1080" spans="1:10" x14ac:dyDescent="0.3">
      <c r="A1080" s="2" t="s">
        <v>9198</v>
      </c>
      <c r="B1080" s="2" t="s">
        <v>947</v>
      </c>
      <c r="C1080" s="2" t="s">
        <v>948</v>
      </c>
      <c r="D1080" s="3">
        <v>144480</v>
      </c>
      <c r="E1080" s="3">
        <v>144480</v>
      </c>
      <c r="F1080" s="2" t="s">
        <v>16</v>
      </c>
      <c r="G1080">
        <v>1.4E-2</v>
      </c>
      <c r="H1080" s="9">
        <f t="shared" si="16"/>
        <v>0</v>
      </c>
      <c r="I1080" t="s">
        <v>947</v>
      </c>
      <c r="J1080" t="s">
        <v>948</v>
      </c>
    </row>
    <row r="1081" spans="1:10" x14ac:dyDescent="0.3">
      <c r="A1081" s="2" t="s">
        <v>9211</v>
      </c>
      <c r="B1081" s="2" t="s">
        <v>65</v>
      </c>
      <c r="C1081" s="2" t="s">
        <v>66</v>
      </c>
      <c r="D1081" s="5">
        <v>-498</v>
      </c>
      <c r="E1081" s="5">
        <v>-498</v>
      </c>
      <c r="F1081" s="2" t="s">
        <v>23</v>
      </c>
      <c r="G1081">
        <v>5.1999999999999998E-2</v>
      </c>
      <c r="H1081" s="9">
        <f t="shared" si="16"/>
        <v>-9576.923076923078</v>
      </c>
      <c r="I1081" t="s">
        <v>1170</v>
      </c>
      <c r="J1081" t="s">
        <v>1171</v>
      </c>
    </row>
    <row r="1082" spans="1:10" x14ac:dyDescent="0.3">
      <c r="A1082" s="2" t="s">
        <v>9211</v>
      </c>
      <c r="B1082" s="2" t="s">
        <v>97</v>
      </c>
      <c r="C1082" s="2" t="s">
        <v>98</v>
      </c>
      <c r="D1082" s="3">
        <v>38400</v>
      </c>
      <c r="E1082" s="3">
        <v>38400</v>
      </c>
      <c r="F1082" s="2" t="s">
        <v>16</v>
      </c>
      <c r="G1082">
        <v>5.1999999999999998E-2</v>
      </c>
      <c r="H1082" s="9">
        <f t="shared" si="16"/>
        <v>0</v>
      </c>
      <c r="I1082" t="s">
        <v>1170</v>
      </c>
      <c r="J1082" t="s">
        <v>1171</v>
      </c>
    </row>
    <row r="1083" spans="1:10" x14ac:dyDescent="0.3">
      <c r="A1083" s="2" t="s">
        <v>9220</v>
      </c>
      <c r="B1083" s="2" t="s">
        <v>21</v>
      </c>
      <c r="C1083" s="2" t="s">
        <v>22</v>
      </c>
      <c r="D1083" s="5">
        <v>-224</v>
      </c>
      <c r="E1083" s="5">
        <v>-224</v>
      </c>
      <c r="F1083" s="2" t="s">
        <v>23</v>
      </c>
      <c r="G1083">
        <v>1.4E-2</v>
      </c>
      <c r="H1083" s="9">
        <f t="shared" si="16"/>
        <v>-16000</v>
      </c>
      <c r="I1083" t="s">
        <v>2023</v>
      </c>
      <c r="J1083" t="s">
        <v>2024</v>
      </c>
    </row>
    <row r="1084" spans="1:10" x14ac:dyDescent="0.3">
      <c r="A1084" s="2" t="s">
        <v>9220</v>
      </c>
      <c r="B1084" s="2" t="s">
        <v>2023</v>
      </c>
      <c r="C1084" s="2" t="s">
        <v>2024</v>
      </c>
      <c r="D1084" s="3">
        <v>57280</v>
      </c>
      <c r="E1084" s="3">
        <v>57280</v>
      </c>
      <c r="F1084" s="2" t="s">
        <v>16</v>
      </c>
      <c r="G1084">
        <v>1.4E-2</v>
      </c>
      <c r="H1084" s="9">
        <f t="shared" si="16"/>
        <v>0</v>
      </c>
      <c r="I1084" t="s">
        <v>2023</v>
      </c>
      <c r="J1084" t="s">
        <v>2024</v>
      </c>
    </row>
    <row r="1085" spans="1:10" x14ac:dyDescent="0.3">
      <c r="A1085" s="2" t="s">
        <v>9229</v>
      </c>
      <c r="B1085" s="2" t="s">
        <v>4791</v>
      </c>
      <c r="C1085" s="2" t="s">
        <v>4792</v>
      </c>
      <c r="D1085" s="3">
        <v>258336</v>
      </c>
      <c r="E1085" s="3">
        <v>258336</v>
      </c>
      <c r="F1085" s="2" t="s">
        <v>16</v>
      </c>
      <c r="G1085">
        <v>4.4999999999999998E-2</v>
      </c>
      <c r="H1085" s="9">
        <f t="shared" si="16"/>
        <v>0</v>
      </c>
      <c r="I1085" t="s">
        <v>4791</v>
      </c>
      <c r="J1085" t="s">
        <v>4792</v>
      </c>
    </row>
    <row r="1086" spans="1:10" x14ac:dyDescent="0.3">
      <c r="A1086" s="2" t="s">
        <v>9238</v>
      </c>
      <c r="B1086" s="2" t="s">
        <v>9267</v>
      </c>
      <c r="C1086" s="2" t="s">
        <v>9268</v>
      </c>
      <c r="D1086" s="3">
        <v>3952000</v>
      </c>
      <c r="E1086" s="3">
        <v>3952000</v>
      </c>
      <c r="F1086" s="2" t="s">
        <v>16</v>
      </c>
      <c r="G1086">
        <v>2.9000000000000001E-2</v>
      </c>
      <c r="H1086" s="9">
        <f t="shared" si="16"/>
        <v>0</v>
      </c>
      <c r="I1086" t="s">
        <v>9267</v>
      </c>
      <c r="J1086" t="s">
        <v>9268</v>
      </c>
    </row>
    <row r="1087" spans="1:10" x14ac:dyDescent="0.3">
      <c r="A1087" s="2" t="s">
        <v>9280</v>
      </c>
      <c r="B1087" s="2" t="s">
        <v>97</v>
      </c>
      <c r="C1087" s="2" t="s">
        <v>98</v>
      </c>
      <c r="D1087" s="3">
        <v>100800</v>
      </c>
      <c r="E1087" s="3">
        <v>100800</v>
      </c>
      <c r="F1087" s="2" t="s">
        <v>16</v>
      </c>
      <c r="G1087">
        <v>5.1999999999999998E-2</v>
      </c>
      <c r="H1087" s="9">
        <f t="shared" si="16"/>
        <v>0</v>
      </c>
      <c r="I1087" t="s">
        <v>97</v>
      </c>
      <c r="J1087" t="s">
        <v>98</v>
      </c>
    </row>
    <row r="1088" spans="1:10" x14ac:dyDescent="0.3">
      <c r="A1088" s="2" t="s">
        <v>9285</v>
      </c>
      <c r="B1088" s="2" t="s">
        <v>97</v>
      </c>
      <c r="C1088" s="2" t="s">
        <v>98</v>
      </c>
      <c r="D1088" s="3">
        <v>24000</v>
      </c>
      <c r="E1088" s="3">
        <v>24000</v>
      </c>
      <c r="F1088" s="2" t="s">
        <v>16</v>
      </c>
      <c r="G1088">
        <v>5.1999999999999998E-2</v>
      </c>
      <c r="H1088" s="9">
        <f t="shared" si="16"/>
        <v>0</v>
      </c>
      <c r="I1088" t="s">
        <v>1170</v>
      </c>
      <c r="J1088" t="s">
        <v>1171</v>
      </c>
    </row>
    <row r="1089" spans="1:10" x14ac:dyDescent="0.3">
      <c r="A1089" s="2" t="s">
        <v>9290</v>
      </c>
      <c r="B1089" s="2" t="s">
        <v>3113</v>
      </c>
      <c r="C1089" s="2" t="s">
        <v>3114</v>
      </c>
      <c r="D1089" s="3">
        <v>83520</v>
      </c>
      <c r="E1089" s="3">
        <v>83520</v>
      </c>
      <c r="F1089" s="2" t="s">
        <v>16</v>
      </c>
      <c r="G1089">
        <v>1.15E-2</v>
      </c>
      <c r="H1089" s="9">
        <f t="shared" si="16"/>
        <v>0</v>
      </c>
      <c r="I1089" t="s">
        <v>3113</v>
      </c>
      <c r="J1089" t="s">
        <v>3114</v>
      </c>
    </row>
    <row r="1090" spans="1:10" x14ac:dyDescent="0.3">
      <c r="A1090" s="2" t="s">
        <v>9299</v>
      </c>
      <c r="B1090" s="2" t="s">
        <v>4791</v>
      </c>
      <c r="C1090" s="2" t="s">
        <v>4792</v>
      </c>
      <c r="D1090" s="3">
        <v>6624</v>
      </c>
      <c r="E1090" s="3">
        <v>6624</v>
      </c>
      <c r="F1090" s="2" t="s">
        <v>16</v>
      </c>
      <c r="G1090">
        <v>4.4999999999999998E-2</v>
      </c>
      <c r="H1090" s="9">
        <f t="shared" si="16"/>
        <v>0</v>
      </c>
      <c r="I1090" t="s">
        <v>5347</v>
      </c>
      <c r="J1090" t="s">
        <v>5348</v>
      </c>
    </row>
    <row r="1091" spans="1:10" x14ac:dyDescent="0.3">
      <c r="A1091" s="2" t="s">
        <v>9308</v>
      </c>
      <c r="B1091" s="2" t="s">
        <v>5357</v>
      </c>
      <c r="C1091" s="2" t="s">
        <v>5358</v>
      </c>
      <c r="D1091" s="3">
        <v>6624</v>
      </c>
      <c r="E1091" s="3">
        <v>6624</v>
      </c>
      <c r="F1091" s="2" t="s">
        <v>16</v>
      </c>
      <c r="G1091">
        <v>4.4999999999999998E-2</v>
      </c>
      <c r="H1091" s="9">
        <f t="shared" ref="H1091:H1154" si="17">IFERROR(IF(LEFT(B1091,1)="F",E1091/G1091,0),0)</f>
        <v>0</v>
      </c>
      <c r="I1091" t="s">
        <v>5357</v>
      </c>
      <c r="J1091" t="s">
        <v>5358</v>
      </c>
    </row>
    <row r="1092" spans="1:10" x14ac:dyDescent="0.3">
      <c r="A1092" s="2" t="s">
        <v>9317</v>
      </c>
      <c r="B1092" s="2" t="s">
        <v>740</v>
      </c>
      <c r="C1092" s="2" t="s">
        <v>741</v>
      </c>
      <c r="D1092" s="3">
        <v>10620</v>
      </c>
      <c r="E1092" s="3">
        <v>10620</v>
      </c>
      <c r="F1092" s="2" t="s">
        <v>16</v>
      </c>
      <c r="G1092">
        <v>3.0499999999999999E-2</v>
      </c>
      <c r="H1092" s="9">
        <f t="shared" si="17"/>
        <v>0</v>
      </c>
      <c r="I1092" t="s">
        <v>740</v>
      </c>
      <c r="J1092" t="s">
        <v>741</v>
      </c>
    </row>
    <row r="1093" spans="1:10" x14ac:dyDescent="0.3">
      <c r="A1093" s="2" t="s">
        <v>9322</v>
      </c>
      <c r="B1093" s="2" t="s">
        <v>21</v>
      </c>
      <c r="C1093" s="2" t="s">
        <v>22</v>
      </c>
      <c r="D1093" s="5">
        <v>-323</v>
      </c>
      <c r="E1093" s="5">
        <v>-323</v>
      </c>
      <c r="F1093" s="2" t="s">
        <v>23</v>
      </c>
      <c r="G1093">
        <v>3.0499999999999999E-2</v>
      </c>
      <c r="H1093" s="9">
        <f t="shared" si="17"/>
        <v>-10590.163934426229</v>
      </c>
      <c r="I1093" t="s">
        <v>1027</v>
      </c>
      <c r="J1093" t="s">
        <v>1028</v>
      </c>
    </row>
    <row r="1094" spans="1:10" x14ac:dyDescent="0.3">
      <c r="A1094" s="2" t="s">
        <v>9322</v>
      </c>
      <c r="B1094" s="2" t="s">
        <v>1027</v>
      </c>
      <c r="C1094" s="2" t="s">
        <v>1028</v>
      </c>
      <c r="D1094" s="3">
        <v>53100</v>
      </c>
      <c r="E1094" s="3">
        <v>53100</v>
      </c>
      <c r="F1094" s="2" t="s">
        <v>16</v>
      </c>
      <c r="G1094">
        <v>3.0499999999999999E-2</v>
      </c>
      <c r="H1094" s="9">
        <f t="shared" si="17"/>
        <v>0</v>
      </c>
      <c r="I1094" t="s">
        <v>1027</v>
      </c>
      <c r="J1094" t="s">
        <v>1028</v>
      </c>
    </row>
    <row r="1095" spans="1:10" x14ac:dyDescent="0.3">
      <c r="A1095" s="2" t="s">
        <v>9331</v>
      </c>
      <c r="B1095" s="2" t="s">
        <v>86</v>
      </c>
      <c r="C1095" s="2" t="s">
        <v>87</v>
      </c>
      <c r="D1095" s="5">
        <v>-268</v>
      </c>
      <c r="E1095" s="5">
        <v>-268</v>
      </c>
      <c r="F1095" s="2" t="s">
        <v>23</v>
      </c>
      <c r="G1095">
        <v>2.6600000000000002E-2</v>
      </c>
      <c r="H1095" s="9">
        <f t="shared" si="17"/>
        <v>-10075.187969924811</v>
      </c>
      <c r="I1095" t="s">
        <v>4988</v>
      </c>
      <c r="J1095" t="s">
        <v>4989</v>
      </c>
    </row>
    <row r="1096" spans="1:10" x14ac:dyDescent="0.3">
      <c r="A1096" s="2" t="s">
        <v>9331</v>
      </c>
      <c r="B1096" s="2" t="s">
        <v>4988</v>
      </c>
      <c r="C1096" s="2" t="s">
        <v>4989</v>
      </c>
      <c r="D1096" s="3">
        <v>60480</v>
      </c>
      <c r="E1096" s="3">
        <v>60480</v>
      </c>
      <c r="F1096" s="2" t="s">
        <v>16</v>
      </c>
      <c r="G1096">
        <v>2.6600000000000002E-2</v>
      </c>
      <c r="H1096" s="9">
        <f t="shared" si="17"/>
        <v>0</v>
      </c>
      <c r="I1096" t="s">
        <v>4988</v>
      </c>
      <c r="J1096" t="s">
        <v>4989</v>
      </c>
    </row>
    <row r="1097" spans="1:10" x14ac:dyDescent="0.3">
      <c r="A1097" s="2" t="s">
        <v>9340</v>
      </c>
      <c r="B1097" s="2" t="s">
        <v>65</v>
      </c>
      <c r="C1097" s="2" t="s">
        <v>66</v>
      </c>
      <c r="D1097" s="5">
        <v>-40</v>
      </c>
      <c r="E1097" s="5">
        <v>-40</v>
      </c>
      <c r="F1097" s="2" t="s">
        <v>23</v>
      </c>
      <c r="G1097">
        <v>2.6600000000000002E-2</v>
      </c>
      <c r="H1097" s="9">
        <f t="shared" si="17"/>
        <v>-1503.7593984962405</v>
      </c>
      <c r="I1097" t="s">
        <v>517</v>
      </c>
      <c r="J1097" t="s">
        <v>518</v>
      </c>
    </row>
    <row r="1098" spans="1:10" x14ac:dyDescent="0.3">
      <c r="A1098" s="2" t="s">
        <v>9340</v>
      </c>
      <c r="B1098" s="2" t="s">
        <v>517</v>
      </c>
      <c r="C1098" s="2" t="s">
        <v>518</v>
      </c>
      <c r="D1098" s="3">
        <v>12260</v>
      </c>
      <c r="E1098" s="3">
        <v>12260</v>
      </c>
      <c r="F1098" s="2" t="s">
        <v>16</v>
      </c>
      <c r="G1098">
        <v>2.6600000000000002E-2</v>
      </c>
      <c r="H1098" s="9">
        <f t="shared" si="17"/>
        <v>0</v>
      </c>
      <c r="I1098" t="s">
        <v>517</v>
      </c>
      <c r="J1098" t="s">
        <v>518</v>
      </c>
    </row>
    <row r="1099" spans="1:10" x14ac:dyDescent="0.3">
      <c r="A1099" s="2" t="s">
        <v>9349</v>
      </c>
      <c r="B1099" s="2" t="s">
        <v>86</v>
      </c>
      <c r="C1099" s="2" t="s">
        <v>87</v>
      </c>
      <c r="D1099" s="5">
        <v>-238</v>
      </c>
      <c r="E1099" s="5">
        <v>-238</v>
      </c>
      <c r="F1099" s="2" t="s">
        <v>23</v>
      </c>
      <c r="G1099">
        <v>9.4000000000000004E-3</v>
      </c>
      <c r="H1099" s="9">
        <f t="shared" si="17"/>
        <v>-25319.148936170212</v>
      </c>
      <c r="I1099" t="s">
        <v>3028</v>
      </c>
      <c r="J1099" t="s">
        <v>3029</v>
      </c>
    </row>
    <row r="1100" spans="1:10" x14ac:dyDescent="0.3">
      <c r="A1100" s="2" t="s">
        <v>9349</v>
      </c>
      <c r="B1100" s="2" t="s">
        <v>76</v>
      </c>
      <c r="C1100" s="2" t="s">
        <v>77</v>
      </c>
      <c r="D1100" s="3">
        <v>177660</v>
      </c>
      <c r="E1100" s="3">
        <v>177660</v>
      </c>
      <c r="F1100" s="2" t="s">
        <v>16</v>
      </c>
      <c r="G1100">
        <v>9.4000000000000004E-3</v>
      </c>
      <c r="H1100" s="9">
        <f t="shared" si="17"/>
        <v>0</v>
      </c>
      <c r="I1100" t="s">
        <v>3028</v>
      </c>
      <c r="J1100" t="s">
        <v>3029</v>
      </c>
    </row>
    <row r="1101" spans="1:10" x14ac:dyDescent="0.3">
      <c r="A1101" s="2" t="s">
        <v>9358</v>
      </c>
      <c r="B1101" s="2" t="s">
        <v>86</v>
      </c>
      <c r="C1101" s="2" t="s">
        <v>87</v>
      </c>
      <c r="D1101" s="5">
        <v>-476</v>
      </c>
      <c r="E1101" s="5">
        <v>-476</v>
      </c>
      <c r="F1101" s="2" t="s">
        <v>23</v>
      </c>
      <c r="G1101">
        <v>9.4000000000000004E-3</v>
      </c>
      <c r="H1101" s="9">
        <f t="shared" si="17"/>
        <v>-50638.297872340423</v>
      </c>
      <c r="I1101" t="s">
        <v>3028</v>
      </c>
      <c r="J1101" t="s">
        <v>3029</v>
      </c>
    </row>
    <row r="1102" spans="1:10" x14ac:dyDescent="0.3">
      <c r="A1102" s="2" t="s">
        <v>9358</v>
      </c>
      <c r="B1102" s="2" t="s">
        <v>9363</v>
      </c>
      <c r="C1102" s="2" t="s">
        <v>9364</v>
      </c>
      <c r="D1102" s="3">
        <v>329940</v>
      </c>
      <c r="E1102" s="3">
        <v>329940</v>
      </c>
      <c r="F1102" s="2" t="s">
        <v>16</v>
      </c>
      <c r="G1102">
        <v>9.4000000000000004E-3</v>
      </c>
      <c r="H1102" s="9">
        <f t="shared" si="17"/>
        <v>0</v>
      </c>
      <c r="I1102" t="s">
        <v>3028</v>
      </c>
      <c r="J1102" t="s">
        <v>3029</v>
      </c>
    </row>
    <row r="1103" spans="1:10" x14ac:dyDescent="0.3">
      <c r="A1103" s="2" t="s">
        <v>9368</v>
      </c>
      <c r="B1103" s="2" t="s">
        <v>3028</v>
      </c>
      <c r="C1103" s="2" t="s">
        <v>3029</v>
      </c>
      <c r="D1103" s="3">
        <v>25380</v>
      </c>
      <c r="E1103" s="3">
        <v>25380</v>
      </c>
      <c r="F1103" s="2" t="s">
        <v>16</v>
      </c>
      <c r="G1103">
        <v>9.4000000000000004E-3</v>
      </c>
      <c r="H1103" s="9">
        <f t="shared" si="17"/>
        <v>0</v>
      </c>
      <c r="I1103" t="s">
        <v>3028</v>
      </c>
      <c r="J1103" t="s">
        <v>3029</v>
      </c>
    </row>
    <row r="1104" spans="1:10" x14ac:dyDescent="0.3">
      <c r="A1104" s="2" t="s">
        <v>9377</v>
      </c>
      <c r="B1104" s="2" t="s">
        <v>1667</v>
      </c>
      <c r="C1104" s="2" t="s">
        <v>1668</v>
      </c>
      <c r="D1104" s="3">
        <v>83520</v>
      </c>
      <c r="E1104" s="3">
        <v>83520</v>
      </c>
      <c r="F1104" s="2" t="s">
        <v>16</v>
      </c>
      <c r="G1104">
        <v>1.15E-2</v>
      </c>
      <c r="H1104" s="9">
        <f t="shared" si="17"/>
        <v>0</v>
      </c>
      <c r="I1104" t="s">
        <v>1667</v>
      </c>
      <c r="J1104" t="s">
        <v>1668</v>
      </c>
    </row>
    <row r="1105" spans="1:10" x14ac:dyDescent="0.3">
      <c r="A1105" s="2" t="s">
        <v>9386</v>
      </c>
      <c r="B1105" s="2" t="s">
        <v>65</v>
      </c>
      <c r="C1105" s="2" t="s">
        <v>66</v>
      </c>
      <c r="D1105" s="5">
        <v>-549</v>
      </c>
      <c r="E1105" s="5">
        <v>-549</v>
      </c>
      <c r="F1105" s="2" t="s">
        <v>23</v>
      </c>
      <c r="G1105">
        <v>5.0999999999999997E-2</v>
      </c>
      <c r="H1105" s="9">
        <f t="shared" si="17"/>
        <v>-10764.705882352942</v>
      </c>
      <c r="I1105" t="s">
        <v>2115</v>
      </c>
      <c r="J1105" t="s">
        <v>2116</v>
      </c>
    </row>
    <row r="1106" spans="1:10" x14ac:dyDescent="0.3">
      <c r="A1106" s="2" t="s">
        <v>9386</v>
      </c>
      <c r="B1106" s="2" t="s">
        <v>2115</v>
      </c>
      <c r="C1106" s="2" t="s">
        <v>2116</v>
      </c>
      <c r="D1106" s="3">
        <v>36000</v>
      </c>
      <c r="E1106" s="3">
        <v>36000</v>
      </c>
      <c r="F1106" s="2" t="s">
        <v>16</v>
      </c>
      <c r="G1106">
        <v>5.0999999999999997E-2</v>
      </c>
      <c r="H1106" s="9">
        <f t="shared" si="17"/>
        <v>0</v>
      </c>
      <c r="I1106" t="s">
        <v>2115</v>
      </c>
      <c r="J1106" t="s">
        <v>2116</v>
      </c>
    </row>
    <row r="1107" spans="1:10" x14ac:dyDescent="0.3">
      <c r="A1107" s="2" t="s">
        <v>9399</v>
      </c>
      <c r="B1107" s="2" t="s">
        <v>797</v>
      </c>
      <c r="C1107" s="2" t="s">
        <v>798</v>
      </c>
      <c r="D1107" s="3">
        <v>5000</v>
      </c>
      <c r="E1107" s="3">
        <v>0</v>
      </c>
      <c r="F1107" s="2" t="s">
        <v>16</v>
      </c>
      <c r="G1107">
        <v>7.45E-3</v>
      </c>
      <c r="H1107" s="9">
        <f t="shared" si="17"/>
        <v>0</v>
      </c>
      <c r="I1107" t="s">
        <v>797</v>
      </c>
      <c r="J1107" t="s">
        <v>798</v>
      </c>
    </row>
    <row r="1108" spans="1:10" x14ac:dyDescent="0.3">
      <c r="A1108" s="2" t="s">
        <v>9404</v>
      </c>
      <c r="B1108" s="2" t="s">
        <v>9405</v>
      </c>
      <c r="C1108" s="2" t="s">
        <v>9406</v>
      </c>
      <c r="D1108" s="3">
        <v>1015200</v>
      </c>
      <c r="E1108" s="3">
        <v>1015200</v>
      </c>
      <c r="F1108" s="2" t="s">
        <v>16</v>
      </c>
      <c r="G1108">
        <v>9.4000000000000004E-3</v>
      </c>
      <c r="H1108" s="9">
        <f t="shared" si="17"/>
        <v>0</v>
      </c>
      <c r="I1108" t="s">
        <v>9405</v>
      </c>
      <c r="J1108" t="s">
        <v>9406</v>
      </c>
    </row>
    <row r="1109" spans="1:10" x14ac:dyDescent="0.3">
      <c r="A1109" s="2" t="s">
        <v>9409</v>
      </c>
      <c r="B1109" s="2" t="s">
        <v>4424</v>
      </c>
      <c r="C1109" s="2" t="s">
        <v>4425</v>
      </c>
      <c r="D1109" s="3">
        <v>203040</v>
      </c>
      <c r="E1109" s="3">
        <v>203040</v>
      </c>
      <c r="F1109" s="2" t="s">
        <v>16</v>
      </c>
      <c r="G1109">
        <v>9.4000000000000004E-3</v>
      </c>
      <c r="H1109" s="9">
        <f t="shared" si="17"/>
        <v>0</v>
      </c>
      <c r="I1109" t="s">
        <v>9405</v>
      </c>
      <c r="J1109" t="s">
        <v>9406</v>
      </c>
    </row>
    <row r="1110" spans="1:10" x14ac:dyDescent="0.3">
      <c r="A1110" s="2" t="s">
        <v>9413</v>
      </c>
      <c r="B1110" s="2" t="s">
        <v>103</v>
      </c>
      <c r="C1110" s="2" t="s">
        <v>104</v>
      </c>
      <c r="D1110" s="3">
        <v>116820</v>
      </c>
      <c r="E1110" s="3">
        <v>116820</v>
      </c>
      <c r="F1110" s="2" t="s">
        <v>16</v>
      </c>
      <c r="G1110">
        <v>3.0499999999999999E-2</v>
      </c>
      <c r="H1110" s="9">
        <f t="shared" si="17"/>
        <v>0</v>
      </c>
      <c r="I1110" t="e">
        <v>#N/A</v>
      </c>
      <c r="J1110" t="e">
        <v>#N/A</v>
      </c>
    </row>
    <row r="1111" spans="1:10" x14ac:dyDescent="0.3">
      <c r="A1111" s="2" t="s">
        <v>9413</v>
      </c>
      <c r="B1111" s="2" t="s">
        <v>65</v>
      </c>
      <c r="C1111" s="2" t="s">
        <v>66</v>
      </c>
      <c r="D1111" s="5">
        <v>-323</v>
      </c>
      <c r="E1111" s="5">
        <v>-323</v>
      </c>
      <c r="F1111" s="2" t="s">
        <v>23</v>
      </c>
      <c r="G1111">
        <f>30.5/1000</f>
        <v>3.0499999999999999E-2</v>
      </c>
      <c r="H1111" s="9">
        <f t="shared" si="17"/>
        <v>-10590.163934426229</v>
      </c>
      <c r="I1111" t="e">
        <v>#N/A</v>
      </c>
      <c r="J1111" t="e">
        <v>#N/A</v>
      </c>
    </row>
    <row r="1112" spans="1:10" x14ac:dyDescent="0.3">
      <c r="A1112" s="2" t="s">
        <v>9423</v>
      </c>
      <c r="B1112" s="2" t="s">
        <v>3142</v>
      </c>
      <c r="C1112" s="2" t="s">
        <v>3143</v>
      </c>
      <c r="D1112" s="3">
        <v>39744</v>
      </c>
      <c r="E1112" s="3">
        <v>39744</v>
      </c>
      <c r="F1112" s="2" t="s">
        <v>16</v>
      </c>
      <c r="G1112">
        <v>5.0099999999999999E-2</v>
      </c>
      <c r="H1112" s="9">
        <f t="shared" si="17"/>
        <v>0</v>
      </c>
      <c r="I1112" t="s">
        <v>3142</v>
      </c>
      <c r="J1112" t="s">
        <v>3143</v>
      </c>
    </row>
    <row r="1113" spans="1:10" x14ac:dyDescent="0.3">
      <c r="A1113" s="2" t="s">
        <v>9423</v>
      </c>
      <c r="B1113" s="2" t="s">
        <v>65</v>
      </c>
      <c r="C1113" s="2" t="s">
        <v>66</v>
      </c>
      <c r="D1113" s="5">
        <v>-331</v>
      </c>
      <c r="E1113" s="5">
        <v>-331</v>
      </c>
      <c r="F1113" s="2" t="s">
        <v>23</v>
      </c>
      <c r="G1113">
        <v>5.0099999999999999E-2</v>
      </c>
      <c r="H1113" s="9">
        <f t="shared" si="17"/>
        <v>-6606.7864271457083</v>
      </c>
      <c r="I1113" t="s">
        <v>3142</v>
      </c>
      <c r="J1113" t="s">
        <v>3143</v>
      </c>
    </row>
    <row r="1114" spans="1:10" x14ac:dyDescent="0.3">
      <c r="A1114" s="2" t="s">
        <v>9432</v>
      </c>
      <c r="B1114" s="2" t="s">
        <v>91</v>
      </c>
      <c r="C1114" s="2" t="s">
        <v>92</v>
      </c>
      <c r="D1114" s="3">
        <v>54000</v>
      </c>
      <c r="E1114" s="3">
        <v>54000</v>
      </c>
      <c r="F1114" s="2" t="s">
        <v>16</v>
      </c>
      <c r="G1114">
        <v>8.3000000000000001E-3</v>
      </c>
      <c r="H1114" s="9">
        <f t="shared" si="17"/>
        <v>0</v>
      </c>
      <c r="I1114" t="s">
        <v>91</v>
      </c>
      <c r="J1114" t="s">
        <v>92</v>
      </c>
    </row>
    <row r="1115" spans="1:10" x14ac:dyDescent="0.3">
      <c r="A1115" s="2" t="s">
        <v>9437</v>
      </c>
      <c r="B1115" s="2" t="s">
        <v>517</v>
      </c>
      <c r="C1115" s="2" t="s">
        <v>518</v>
      </c>
      <c r="D1115" s="3">
        <v>897120</v>
      </c>
      <c r="E1115" s="3">
        <v>897120</v>
      </c>
      <c r="F1115" s="2" t="s">
        <v>16</v>
      </c>
      <c r="G1115">
        <v>2.6600000000000002E-2</v>
      </c>
      <c r="H1115" s="9">
        <f t="shared" si="17"/>
        <v>0</v>
      </c>
      <c r="I1115" t="s">
        <v>517</v>
      </c>
      <c r="J1115" t="s">
        <v>518</v>
      </c>
    </row>
    <row r="1116" spans="1:10" x14ac:dyDescent="0.3">
      <c r="A1116" s="2" t="s">
        <v>9442</v>
      </c>
      <c r="B1116" s="2" t="s">
        <v>70</v>
      </c>
      <c r="C1116" s="2" t="s">
        <v>71</v>
      </c>
      <c r="D1116" s="3">
        <v>38016</v>
      </c>
      <c r="E1116" s="3">
        <v>0</v>
      </c>
      <c r="F1116" s="2" t="s">
        <v>16</v>
      </c>
      <c r="G1116">
        <v>3.5999999999999997E-2</v>
      </c>
      <c r="H1116" s="9">
        <f t="shared" si="17"/>
        <v>0</v>
      </c>
      <c r="I1116" t="s">
        <v>70</v>
      </c>
      <c r="J1116" t="s">
        <v>71</v>
      </c>
    </row>
    <row r="1117" spans="1:10" x14ac:dyDescent="0.3">
      <c r="A1117" s="2" t="s">
        <v>9442</v>
      </c>
      <c r="B1117" s="2" t="s">
        <v>2086</v>
      </c>
      <c r="C1117" s="2" t="s">
        <v>2087</v>
      </c>
      <c r="D1117" s="3">
        <v>38016</v>
      </c>
      <c r="E1117" s="3">
        <v>38016</v>
      </c>
      <c r="F1117" s="2" t="s">
        <v>16</v>
      </c>
      <c r="G1117">
        <v>3.5999999999999997E-2</v>
      </c>
      <c r="H1117" s="9">
        <f t="shared" si="17"/>
        <v>0</v>
      </c>
      <c r="I1117" t="s">
        <v>70</v>
      </c>
      <c r="J1117" t="s">
        <v>71</v>
      </c>
    </row>
    <row r="1118" spans="1:10" x14ac:dyDescent="0.3">
      <c r="A1118" s="2" t="s">
        <v>9450</v>
      </c>
      <c r="B1118" s="2" t="s">
        <v>2611</v>
      </c>
      <c r="C1118" s="2" t="s">
        <v>2612</v>
      </c>
      <c r="D1118" s="3">
        <v>106560</v>
      </c>
      <c r="E1118" s="3">
        <v>106560</v>
      </c>
      <c r="F1118" s="2" t="s">
        <v>16</v>
      </c>
      <c r="G1118">
        <v>1.2699999999999999E-2</v>
      </c>
      <c r="H1118" s="9">
        <f t="shared" si="17"/>
        <v>0</v>
      </c>
      <c r="I1118" t="s">
        <v>2611</v>
      </c>
      <c r="J1118" t="s">
        <v>2612</v>
      </c>
    </row>
    <row r="1119" spans="1:10" x14ac:dyDescent="0.3">
      <c r="A1119" s="2" t="s">
        <v>9450</v>
      </c>
      <c r="B1119" s="2" t="s">
        <v>65</v>
      </c>
      <c r="C1119" s="2" t="s">
        <v>66</v>
      </c>
      <c r="D1119" s="5">
        <v>-135</v>
      </c>
      <c r="E1119" s="5">
        <v>-135</v>
      </c>
      <c r="F1119" s="2" t="s">
        <v>23</v>
      </c>
      <c r="G1119">
        <v>1.2699999999999999E-2</v>
      </c>
      <c r="H1119" s="9">
        <f t="shared" si="17"/>
        <v>-10629.92125984252</v>
      </c>
      <c r="I1119" t="s">
        <v>2611</v>
      </c>
      <c r="J1119" t="s">
        <v>2612</v>
      </c>
    </row>
    <row r="1120" spans="1:10" x14ac:dyDescent="0.3">
      <c r="A1120" s="2" t="s">
        <v>9459</v>
      </c>
      <c r="B1120" s="2" t="s">
        <v>517</v>
      </c>
      <c r="C1120" s="2" t="s">
        <v>518</v>
      </c>
      <c r="D1120" s="3">
        <v>30240</v>
      </c>
      <c r="E1120" s="3">
        <v>30240</v>
      </c>
      <c r="F1120" s="2" t="s">
        <v>16</v>
      </c>
      <c r="G1120">
        <v>2.6600000000000002E-2</v>
      </c>
      <c r="H1120" s="9">
        <f t="shared" si="17"/>
        <v>0</v>
      </c>
      <c r="I1120" t="s">
        <v>517</v>
      </c>
      <c r="J1120" t="s">
        <v>518</v>
      </c>
    </row>
    <row r="1121" spans="1:10" x14ac:dyDescent="0.3">
      <c r="A1121" s="2" t="s">
        <v>9464</v>
      </c>
      <c r="B1121" s="2" t="s">
        <v>65</v>
      </c>
      <c r="C1121" s="2" t="s">
        <v>66</v>
      </c>
      <c r="D1121" s="5">
        <v>-478</v>
      </c>
      <c r="E1121" s="5">
        <v>-478</v>
      </c>
      <c r="F1121" s="2" t="s">
        <v>23</v>
      </c>
      <c r="G1121">
        <v>2.6600000000000002E-2</v>
      </c>
      <c r="H1121" s="9">
        <f t="shared" si="17"/>
        <v>-17969.924812030073</v>
      </c>
      <c r="I1121" t="s">
        <v>517</v>
      </c>
      <c r="J1121" t="s">
        <v>518</v>
      </c>
    </row>
    <row r="1122" spans="1:10" x14ac:dyDescent="0.3">
      <c r="A1122" s="2" t="s">
        <v>9464</v>
      </c>
      <c r="B1122" s="2" t="s">
        <v>517</v>
      </c>
      <c r="C1122" s="2" t="s">
        <v>518</v>
      </c>
      <c r="D1122" s="3">
        <v>48220</v>
      </c>
      <c r="E1122" s="3">
        <v>48220</v>
      </c>
      <c r="F1122" s="2" t="s">
        <v>16</v>
      </c>
      <c r="G1122">
        <v>2.6600000000000002E-2</v>
      </c>
      <c r="H1122" s="9">
        <f t="shared" si="17"/>
        <v>0</v>
      </c>
      <c r="I1122" t="s">
        <v>517</v>
      </c>
      <c r="J1122" t="s">
        <v>518</v>
      </c>
    </row>
    <row r="1123" spans="1:10" x14ac:dyDescent="0.3">
      <c r="A1123" s="2" t="s">
        <v>9477</v>
      </c>
      <c r="B1123" s="2" t="s">
        <v>5357</v>
      </c>
      <c r="C1123" s="2" t="s">
        <v>5358</v>
      </c>
      <c r="D1123" s="3">
        <v>629280</v>
      </c>
      <c r="E1123" s="3">
        <v>629280</v>
      </c>
      <c r="F1123" s="2" t="s">
        <v>16</v>
      </c>
      <c r="G1123">
        <v>4.4999999999999998E-2</v>
      </c>
      <c r="H1123" s="9">
        <f t="shared" si="17"/>
        <v>0</v>
      </c>
      <c r="I1123" t="s">
        <v>5357</v>
      </c>
      <c r="J1123" t="s">
        <v>5358</v>
      </c>
    </row>
    <row r="1124" spans="1:10" x14ac:dyDescent="0.3">
      <c r="A1124" s="2" t="s">
        <v>9490</v>
      </c>
      <c r="B1124" s="2" t="s">
        <v>5986</v>
      </c>
      <c r="C1124" s="2" t="s">
        <v>5987</v>
      </c>
      <c r="D1124" s="3">
        <v>19872</v>
      </c>
      <c r="E1124" s="3">
        <v>19872</v>
      </c>
      <c r="F1124" s="2" t="s">
        <v>16</v>
      </c>
      <c r="G1124">
        <v>5.0099999999999999E-2</v>
      </c>
      <c r="H1124" s="9">
        <f t="shared" si="17"/>
        <v>0</v>
      </c>
      <c r="I1124" t="s">
        <v>5986</v>
      </c>
      <c r="J1124" t="s">
        <v>5987</v>
      </c>
    </row>
    <row r="1125" spans="1:10" x14ac:dyDescent="0.3">
      <c r="A1125" s="2" t="s">
        <v>9499</v>
      </c>
      <c r="B1125" s="2" t="s">
        <v>6244</v>
      </c>
      <c r="C1125" s="2" t="s">
        <v>6245</v>
      </c>
      <c r="D1125" s="3">
        <v>19872</v>
      </c>
      <c r="E1125" s="3">
        <v>19872</v>
      </c>
      <c r="F1125" s="2" t="s">
        <v>16</v>
      </c>
      <c r="G1125">
        <v>5.0099999999999999E-2</v>
      </c>
      <c r="H1125" s="9">
        <f t="shared" si="17"/>
        <v>0</v>
      </c>
      <c r="I1125" t="s">
        <v>6244</v>
      </c>
      <c r="J1125" t="s">
        <v>6245</v>
      </c>
    </row>
    <row r="1126" spans="1:10" x14ac:dyDescent="0.3">
      <c r="A1126" s="2" t="s">
        <v>9504</v>
      </c>
      <c r="B1126" s="2" t="s">
        <v>1512</v>
      </c>
      <c r="C1126" s="2" t="s">
        <v>1513</v>
      </c>
      <c r="D1126" s="3">
        <v>63720</v>
      </c>
      <c r="E1126" s="3">
        <v>63720</v>
      </c>
      <c r="F1126" s="2" t="s">
        <v>16</v>
      </c>
      <c r="G1126">
        <v>3.0499999999999999E-2</v>
      </c>
      <c r="H1126" s="9">
        <f t="shared" si="17"/>
        <v>0</v>
      </c>
      <c r="I1126" t="s">
        <v>1027</v>
      </c>
      <c r="J1126" t="s">
        <v>1028</v>
      </c>
    </row>
    <row r="1127" spans="1:10" x14ac:dyDescent="0.3">
      <c r="A1127" s="2" t="s">
        <v>9509</v>
      </c>
      <c r="B1127" s="2" t="s">
        <v>2168</v>
      </c>
      <c r="C1127" s="2" t="s">
        <v>2169</v>
      </c>
      <c r="D1127" s="3">
        <v>10620</v>
      </c>
      <c r="E1127" s="3">
        <v>10620</v>
      </c>
      <c r="F1127" s="2" t="s">
        <v>16</v>
      </c>
      <c r="G1127">
        <v>3.0499999999999999E-2</v>
      </c>
      <c r="H1127" s="9">
        <f t="shared" si="17"/>
        <v>0</v>
      </c>
      <c r="I1127" t="s">
        <v>1027</v>
      </c>
      <c r="J1127" t="s">
        <v>1028</v>
      </c>
    </row>
    <row r="1128" spans="1:10" x14ac:dyDescent="0.3">
      <c r="A1128" s="2" t="s">
        <v>9514</v>
      </c>
      <c r="B1128" s="2" t="s">
        <v>6955</v>
      </c>
      <c r="C1128" s="2" t="s">
        <v>6956</v>
      </c>
      <c r="D1128" s="3">
        <v>146160</v>
      </c>
      <c r="E1128" s="3">
        <v>146160</v>
      </c>
      <c r="F1128" s="2" t="s">
        <v>16</v>
      </c>
      <c r="G1128">
        <v>1.2500000000000001E-2</v>
      </c>
      <c r="H1128" s="9">
        <f t="shared" si="17"/>
        <v>0</v>
      </c>
      <c r="I1128" t="s">
        <v>6955</v>
      </c>
      <c r="J1128" t="s">
        <v>6956</v>
      </c>
    </row>
    <row r="1129" spans="1:10" x14ac:dyDescent="0.3">
      <c r="A1129" s="2" t="s">
        <v>9523</v>
      </c>
      <c r="B1129" s="2" t="s">
        <v>65</v>
      </c>
      <c r="C1129" s="2" t="s">
        <v>66</v>
      </c>
      <c r="D1129" s="5">
        <v>-147</v>
      </c>
      <c r="E1129" s="5">
        <v>-147</v>
      </c>
      <c r="F1129" s="2" t="s">
        <v>23</v>
      </c>
      <c r="G1129">
        <v>1.7999999999999999E-2</v>
      </c>
      <c r="H1129" s="9">
        <f t="shared" si="17"/>
        <v>-8166.666666666667</v>
      </c>
      <c r="I1129" t="s">
        <v>2934</v>
      </c>
      <c r="J1129" t="s">
        <v>2935</v>
      </c>
    </row>
    <row r="1130" spans="1:10" x14ac:dyDescent="0.3">
      <c r="A1130" s="2" t="s">
        <v>9523</v>
      </c>
      <c r="B1130" s="2" t="s">
        <v>2934</v>
      </c>
      <c r="C1130" s="2" t="s">
        <v>2935</v>
      </c>
      <c r="D1130" s="3">
        <v>49248</v>
      </c>
      <c r="E1130" s="3">
        <v>49248</v>
      </c>
      <c r="F1130" s="2" t="s">
        <v>16</v>
      </c>
      <c r="G1130">
        <v>1.7999999999999999E-2</v>
      </c>
      <c r="H1130" s="9">
        <f t="shared" si="17"/>
        <v>0</v>
      </c>
      <c r="I1130" t="s">
        <v>2934</v>
      </c>
      <c r="J1130" t="s">
        <v>2935</v>
      </c>
    </row>
    <row r="1131" spans="1:10" x14ac:dyDescent="0.3">
      <c r="A1131" s="2" t="s">
        <v>9536</v>
      </c>
      <c r="B1131" s="2" t="s">
        <v>86</v>
      </c>
      <c r="C1131" s="2" t="s">
        <v>87</v>
      </c>
      <c r="D1131" s="5">
        <v>-268</v>
      </c>
      <c r="E1131" s="5">
        <v>-268</v>
      </c>
      <c r="F1131" s="2" t="s">
        <v>23</v>
      </c>
      <c r="G1131">
        <v>2.6600000000000002E-2</v>
      </c>
      <c r="H1131" s="9">
        <f t="shared" si="17"/>
        <v>-10075.187969924811</v>
      </c>
      <c r="I1131" t="s">
        <v>4988</v>
      </c>
      <c r="J1131" t="s">
        <v>4989</v>
      </c>
    </row>
    <row r="1132" spans="1:10" x14ac:dyDescent="0.3">
      <c r="A1132" s="2" t="s">
        <v>9536</v>
      </c>
      <c r="B1132" s="2" t="s">
        <v>4988</v>
      </c>
      <c r="C1132" s="2" t="s">
        <v>4989</v>
      </c>
      <c r="D1132" s="3">
        <v>90720</v>
      </c>
      <c r="E1132" s="3">
        <v>90720</v>
      </c>
      <c r="F1132" s="2" t="s">
        <v>16</v>
      </c>
      <c r="G1132">
        <v>2.6600000000000002E-2</v>
      </c>
      <c r="H1132" s="9">
        <f t="shared" si="17"/>
        <v>0</v>
      </c>
      <c r="I1132" t="s">
        <v>4988</v>
      </c>
      <c r="J1132" t="s">
        <v>4989</v>
      </c>
    </row>
    <row r="1133" spans="1:10" x14ac:dyDescent="0.3">
      <c r="A1133" s="2" t="s">
        <v>9549</v>
      </c>
      <c r="B1133" s="2" t="s">
        <v>21</v>
      </c>
      <c r="C1133" s="2" t="s">
        <v>22</v>
      </c>
      <c r="D1133" s="5">
        <v>-298</v>
      </c>
      <c r="E1133" s="5">
        <v>-298</v>
      </c>
      <c r="F1133" s="2" t="s">
        <v>23</v>
      </c>
      <c r="G1133">
        <v>4.4999999999999998E-2</v>
      </c>
      <c r="H1133" s="9">
        <f t="shared" si="17"/>
        <v>-6622.2222222222226</v>
      </c>
      <c r="I1133" t="s">
        <v>5477</v>
      </c>
      <c r="J1133" t="s">
        <v>5478</v>
      </c>
    </row>
    <row r="1134" spans="1:10" x14ac:dyDescent="0.3">
      <c r="A1134" s="2" t="s">
        <v>9549</v>
      </c>
      <c r="B1134" s="2" t="s">
        <v>5357</v>
      </c>
      <c r="C1134" s="2" t="s">
        <v>5358</v>
      </c>
      <c r="D1134" s="3">
        <v>52992</v>
      </c>
      <c r="E1134" s="3">
        <v>52992</v>
      </c>
      <c r="F1134" s="2" t="s">
        <v>16</v>
      </c>
      <c r="G1134">
        <v>4.4999999999999998E-2</v>
      </c>
      <c r="H1134" s="9">
        <f t="shared" si="17"/>
        <v>0</v>
      </c>
      <c r="I1134" t="s">
        <v>5477</v>
      </c>
      <c r="J1134" t="s">
        <v>5478</v>
      </c>
    </row>
    <row r="1135" spans="1:10" x14ac:dyDescent="0.3">
      <c r="A1135" s="2" t="s">
        <v>9562</v>
      </c>
      <c r="B1135" s="2" t="s">
        <v>5477</v>
      </c>
      <c r="C1135" s="2" t="s">
        <v>5478</v>
      </c>
      <c r="D1135" s="3">
        <v>26496</v>
      </c>
      <c r="E1135" s="3">
        <v>26496</v>
      </c>
      <c r="F1135" s="2" t="s">
        <v>16</v>
      </c>
      <c r="G1135">
        <v>4.4999999999999998E-2</v>
      </c>
      <c r="H1135" s="9">
        <f t="shared" si="17"/>
        <v>0</v>
      </c>
      <c r="I1135" t="s">
        <v>5477</v>
      </c>
      <c r="J1135" t="s">
        <v>5478</v>
      </c>
    </row>
    <row r="1136" spans="1:10" x14ac:dyDescent="0.3">
      <c r="A1136" s="2" t="s">
        <v>9571</v>
      </c>
      <c r="B1136" s="2" t="s">
        <v>5357</v>
      </c>
      <c r="C1136" s="2" t="s">
        <v>5358</v>
      </c>
      <c r="D1136" s="3">
        <v>86112</v>
      </c>
      <c r="E1136" s="3">
        <v>86112</v>
      </c>
      <c r="F1136" s="2" t="s">
        <v>16</v>
      </c>
      <c r="G1136">
        <v>4.4999999999999998E-2</v>
      </c>
      <c r="H1136" s="9">
        <f t="shared" si="17"/>
        <v>0</v>
      </c>
      <c r="I1136" t="s">
        <v>5357</v>
      </c>
      <c r="J1136" t="s">
        <v>5358</v>
      </c>
    </row>
    <row r="1137" spans="1:10" x14ac:dyDescent="0.3">
      <c r="A1137" s="2" t="s">
        <v>9580</v>
      </c>
      <c r="B1137" s="2" t="s">
        <v>91</v>
      </c>
      <c r="C1137" s="2" t="s">
        <v>92</v>
      </c>
      <c r="D1137" s="3">
        <v>81000</v>
      </c>
      <c r="E1137" s="3">
        <v>81000</v>
      </c>
      <c r="F1137" s="2" t="s">
        <v>16</v>
      </c>
      <c r="G1137">
        <v>8.3000000000000001E-3</v>
      </c>
      <c r="H1137" s="9">
        <f t="shared" si="17"/>
        <v>0</v>
      </c>
      <c r="I1137" t="s">
        <v>91</v>
      </c>
      <c r="J1137" t="s">
        <v>92</v>
      </c>
    </row>
    <row r="1138" spans="1:10" x14ac:dyDescent="0.3">
      <c r="A1138" s="2" t="s">
        <v>9589</v>
      </c>
      <c r="B1138" s="2" t="s">
        <v>86</v>
      </c>
      <c r="C1138" s="2" t="s">
        <v>87</v>
      </c>
      <c r="D1138" s="5">
        <v>-268</v>
      </c>
      <c r="E1138" s="5">
        <v>-268</v>
      </c>
      <c r="F1138" s="2" t="s">
        <v>23</v>
      </c>
      <c r="G1138">
        <v>2.6600000000000002E-2</v>
      </c>
      <c r="H1138" s="9">
        <f t="shared" si="17"/>
        <v>-10075.187969924811</v>
      </c>
      <c r="I1138" t="s">
        <v>4988</v>
      </c>
      <c r="J1138" t="s">
        <v>4989</v>
      </c>
    </row>
    <row r="1139" spans="1:10" x14ac:dyDescent="0.3">
      <c r="A1139" s="2" t="s">
        <v>9589</v>
      </c>
      <c r="B1139" s="2" t="s">
        <v>4988</v>
      </c>
      <c r="C1139" s="2" t="s">
        <v>4989</v>
      </c>
      <c r="D1139" s="3">
        <v>70560</v>
      </c>
      <c r="E1139" s="3">
        <v>70560</v>
      </c>
      <c r="F1139" s="2" t="s">
        <v>16</v>
      </c>
      <c r="G1139">
        <v>2.6600000000000002E-2</v>
      </c>
      <c r="H1139" s="9">
        <f t="shared" si="17"/>
        <v>0</v>
      </c>
      <c r="I1139" t="s">
        <v>4988</v>
      </c>
      <c r="J1139" t="s">
        <v>4989</v>
      </c>
    </row>
    <row r="1140" spans="1:10" x14ac:dyDescent="0.3">
      <c r="A1140" s="2" t="s">
        <v>9602</v>
      </c>
      <c r="B1140" s="2" t="s">
        <v>5357</v>
      </c>
      <c r="C1140" s="2" t="s">
        <v>5358</v>
      </c>
      <c r="D1140" s="3">
        <v>231840</v>
      </c>
      <c r="E1140" s="3">
        <v>231840</v>
      </c>
      <c r="F1140" s="2" t="s">
        <v>16</v>
      </c>
      <c r="G1140">
        <v>4.4999999999999998E-2</v>
      </c>
      <c r="H1140" s="9">
        <f t="shared" si="17"/>
        <v>0</v>
      </c>
      <c r="I1140" t="s">
        <v>5357</v>
      </c>
      <c r="J1140" t="s">
        <v>5358</v>
      </c>
    </row>
    <row r="1141" spans="1:10" x14ac:dyDescent="0.3">
      <c r="A1141" s="2" t="s">
        <v>9615</v>
      </c>
      <c r="B1141" s="2" t="s">
        <v>740</v>
      </c>
      <c r="C1141" s="2" t="s">
        <v>741</v>
      </c>
      <c r="D1141" s="3">
        <v>1008900</v>
      </c>
      <c r="E1141" s="3">
        <v>1008900</v>
      </c>
      <c r="F1141" s="2" t="s">
        <v>16</v>
      </c>
      <c r="G1141">
        <v>3.0499999999999999E-2</v>
      </c>
      <c r="H1141" s="9">
        <f t="shared" si="17"/>
        <v>0</v>
      </c>
      <c r="I1141" t="s">
        <v>740</v>
      </c>
      <c r="J1141" t="s">
        <v>741</v>
      </c>
    </row>
    <row r="1142" spans="1:10" x14ac:dyDescent="0.3">
      <c r="A1142" s="2" t="s">
        <v>9624</v>
      </c>
      <c r="B1142" s="2" t="s">
        <v>4791</v>
      </c>
      <c r="C1142" s="2" t="s">
        <v>4792</v>
      </c>
      <c r="D1142" s="3">
        <v>79488</v>
      </c>
      <c r="E1142" s="3">
        <v>79488</v>
      </c>
      <c r="F1142" s="2" t="s">
        <v>16</v>
      </c>
      <c r="G1142">
        <v>4.4999999999999998E-2</v>
      </c>
      <c r="H1142" s="9">
        <f t="shared" si="17"/>
        <v>0</v>
      </c>
      <c r="I1142" t="s">
        <v>4791</v>
      </c>
      <c r="J1142" t="s">
        <v>4792</v>
      </c>
    </row>
    <row r="1143" spans="1:10" x14ac:dyDescent="0.3">
      <c r="A1143" s="2" t="s">
        <v>9633</v>
      </c>
      <c r="B1143" s="2" t="s">
        <v>293</v>
      </c>
      <c r="C1143" s="2" t="s">
        <v>294</v>
      </c>
      <c r="D1143" s="3">
        <v>31968</v>
      </c>
      <c r="E1143" s="3">
        <v>31968</v>
      </c>
      <c r="F1143" s="2" t="s">
        <v>16</v>
      </c>
      <c r="G1143">
        <v>1.2699999999999999E-2</v>
      </c>
      <c r="H1143" s="9">
        <f t="shared" si="17"/>
        <v>0</v>
      </c>
      <c r="I1143" t="s">
        <v>293</v>
      </c>
      <c r="J1143" t="s">
        <v>294</v>
      </c>
    </row>
    <row r="1144" spans="1:10" x14ac:dyDescent="0.3">
      <c r="A1144" s="2" t="s">
        <v>9642</v>
      </c>
      <c r="B1144" s="2" t="s">
        <v>740</v>
      </c>
      <c r="C1144" s="2" t="s">
        <v>741</v>
      </c>
      <c r="D1144" s="3">
        <v>31860</v>
      </c>
      <c r="E1144" s="3">
        <v>31860</v>
      </c>
      <c r="F1144" s="2" t="s">
        <v>16</v>
      </c>
      <c r="G1144">
        <v>3.0499999999999999E-2</v>
      </c>
      <c r="H1144" s="9">
        <f t="shared" si="17"/>
        <v>0</v>
      </c>
      <c r="I1144" t="s">
        <v>103</v>
      </c>
      <c r="J1144" t="s">
        <v>104</v>
      </c>
    </row>
    <row r="1145" spans="1:10" x14ac:dyDescent="0.3">
      <c r="A1145" s="2" t="s">
        <v>9647</v>
      </c>
      <c r="B1145" s="2" t="s">
        <v>65</v>
      </c>
      <c r="C1145" s="2" t="s">
        <v>66</v>
      </c>
      <c r="D1145" s="5">
        <v>-646</v>
      </c>
      <c r="E1145" s="5">
        <v>-646</v>
      </c>
      <c r="F1145" s="2" t="s">
        <v>23</v>
      </c>
      <c r="G1145">
        <v>3.0499999999999999E-2</v>
      </c>
      <c r="H1145" s="9">
        <f t="shared" si="17"/>
        <v>-21180.327868852459</v>
      </c>
      <c r="I1145" t="s">
        <v>103</v>
      </c>
      <c r="J1145" t="s">
        <v>104</v>
      </c>
    </row>
    <row r="1146" spans="1:10" x14ac:dyDescent="0.3">
      <c r="A1146" s="2" t="s">
        <v>9647</v>
      </c>
      <c r="B1146" s="2" t="s">
        <v>103</v>
      </c>
      <c r="C1146" s="2" t="s">
        <v>104</v>
      </c>
      <c r="D1146" s="3">
        <v>138060</v>
      </c>
      <c r="E1146" s="3">
        <v>138060</v>
      </c>
      <c r="F1146" s="2" t="s">
        <v>16</v>
      </c>
      <c r="G1146">
        <v>3.0499999999999999E-2</v>
      </c>
      <c r="H1146" s="9">
        <f t="shared" si="17"/>
        <v>0</v>
      </c>
      <c r="I1146" t="s">
        <v>103</v>
      </c>
      <c r="J1146" t="s">
        <v>104</v>
      </c>
    </row>
    <row r="1147" spans="1:10" x14ac:dyDescent="0.3">
      <c r="A1147" s="2" t="s">
        <v>9656</v>
      </c>
      <c r="B1147" s="2" t="s">
        <v>1093</v>
      </c>
      <c r="C1147" s="2" t="s">
        <v>1094</v>
      </c>
      <c r="D1147" s="3">
        <v>250560</v>
      </c>
      <c r="E1147" s="3">
        <v>250560</v>
      </c>
      <c r="F1147" s="2" t="s">
        <v>16</v>
      </c>
      <c r="G1147">
        <v>1.2500000000000001E-2</v>
      </c>
      <c r="H1147" s="9">
        <f t="shared" si="17"/>
        <v>0</v>
      </c>
      <c r="I1147" t="s">
        <v>1093</v>
      </c>
      <c r="J1147" t="s">
        <v>1094</v>
      </c>
    </row>
    <row r="1148" spans="1:10" x14ac:dyDescent="0.3">
      <c r="A1148" s="2" t="s">
        <v>9665</v>
      </c>
      <c r="B1148" s="2" t="s">
        <v>6244</v>
      </c>
      <c r="C1148" s="2" t="s">
        <v>6245</v>
      </c>
      <c r="D1148" s="3">
        <v>19872</v>
      </c>
      <c r="E1148" s="3">
        <v>19872</v>
      </c>
      <c r="F1148" s="2" t="s">
        <v>16</v>
      </c>
      <c r="G1148">
        <v>5.0099999999999999E-2</v>
      </c>
      <c r="H1148" s="9">
        <f t="shared" si="17"/>
        <v>0</v>
      </c>
      <c r="I1148" t="s">
        <v>6244</v>
      </c>
      <c r="J1148" t="s">
        <v>6245</v>
      </c>
    </row>
    <row r="1149" spans="1:10" x14ac:dyDescent="0.3">
      <c r="A1149" s="2" t="s">
        <v>9674</v>
      </c>
      <c r="B1149" s="2" t="s">
        <v>1093</v>
      </c>
      <c r="C1149" s="2" t="s">
        <v>1094</v>
      </c>
      <c r="D1149" s="3">
        <v>751680</v>
      </c>
      <c r="E1149" s="3">
        <v>751680</v>
      </c>
      <c r="F1149" s="2" t="s">
        <v>16</v>
      </c>
      <c r="G1149">
        <v>1.2500000000000001E-2</v>
      </c>
      <c r="H1149" s="9">
        <f t="shared" si="17"/>
        <v>0</v>
      </c>
      <c r="I1149" t="s">
        <v>1093</v>
      </c>
      <c r="J1149" t="s">
        <v>1094</v>
      </c>
    </row>
    <row r="1150" spans="1:10" x14ac:dyDescent="0.3">
      <c r="A1150" s="2" t="s">
        <v>9683</v>
      </c>
      <c r="B1150" s="2" t="s">
        <v>1027</v>
      </c>
      <c r="C1150" s="2" t="s">
        <v>1028</v>
      </c>
      <c r="D1150" s="3">
        <v>382320</v>
      </c>
      <c r="E1150" s="3">
        <v>382320</v>
      </c>
      <c r="F1150" s="2" t="s">
        <v>16</v>
      </c>
      <c r="G1150">
        <v>3.0499999999999999E-2</v>
      </c>
      <c r="H1150" s="9">
        <f t="shared" si="17"/>
        <v>0</v>
      </c>
      <c r="I1150" t="s">
        <v>1027</v>
      </c>
      <c r="J1150" t="s">
        <v>1028</v>
      </c>
    </row>
    <row r="1151" spans="1:10" x14ac:dyDescent="0.3">
      <c r="A1151" s="2" t="s">
        <v>9688</v>
      </c>
      <c r="B1151" s="2" t="s">
        <v>6955</v>
      </c>
      <c r="C1151" s="2" t="s">
        <v>6956</v>
      </c>
      <c r="D1151" s="3">
        <v>68078</v>
      </c>
      <c r="E1151" s="3">
        <v>68078</v>
      </c>
      <c r="F1151" s="2" t="s">
        <v>16</v>
      </c>
      <c r="G1151">
        <v>1.2500000000000001E-2</v>
      </c>
      <c r="H1151" s="9">
        <f t="shared" si="17"/>
        <v>0</v>
      </c>
      <c r="I1151" t="s">
        <v>6955</v>
      </c>
      <c r="J1151" t="s">
        <v>6956</v>
      </c>
    </row>
    <row r="1152" spans="1:10" x14ac:dyDescent="0.3">
      <c r="A1152" s="2" t="s">
        <v>9688</v>
      </c>
      <c r="B1152" s="2" t="s">
        <v>86</v>
      </c>
      <c r="C1152" s="2" t="s">
        <v>87</v>
      </c>
      <c r="D1152" s="5">
        <v>-67</v>
      </c>
      <c r="E1152" s="5">
        <v>-67</v>
      </c>
      <c r="F1152" s="2" t="s">
        <v>23</v>
      </c>
      <c r="G1152">
        <v>1.2500000000000001E-2</v>
      </c>
      <c r="H1152" s="9">
        <f t="shared" si="17"/>
        <v>-5360</v>
      </c>
      <c r="I1152" t="s">
        <v>6955</v>
      </c>
      <c r="J1152" t="s">
        <v>6956</v>
      </c>
    </row>
    <row r="1153" spans="1:10" x14ac:dyDescent="0.3">
      <c r="A1153" s="2" t="s">
        <v>9713</v>
      </c>
      <c r="B1153" s="2" t="s">
        <v>485</v>
      </c>
      <c r="C1153" s="2" t="s">
        <v>486</v>
      </c>
      <c r="D1153" s="3">
        <v>96000</v>
      </c>
      <c r="E1153" s="3">
        <v>96000</v>
      </c>
      <c r="F1153" s="2" t="s">
        <v>16</v>
      </c>
      <c r="G1153">
        <v>1.4E-2</v>
      </c>
      <c r="H1153" s="9">
        <f t="shared" si="17"/>
        <v>0</v>
      </c>
      <c r="I1153" t="s">
        <v>485</v>
      </c>
      <c r="J1153" t="s">
        <v>486</v>
      </c>
    </row>
    <row r="1154" spans="1:10" x14ac:dyDescent="0.3">
      <c r="A1154" s="2" t="s">
        <v>9734</v>
      </c>
      <c r="B1154" s="2" t="s">
        <v>5357</v>
      </c>
      <c r="C1154" s="2" t="s">
        <v>5358</v>
      </c>
      <c r="D1154" s="3">
        <v>6624</v>
      </c>
      <c r="E1154" s="3">
        <v>6624</v>
      </c>
      <c r="F1154" s="2" t="s">
        <v>16</v>
      </c>
      <c r="G1154">
        <v>4.4999999999999998E-2</v>
      </c>
      <c r="H1154" s="9">
        <f t="shared" si="17"/>
        <v>0</v>
      </c>
      <c r="I1154" t="s">
        <v>5357</v>
      </c>
      <c r="J1154" t="s">
        <v>5358</v>
      </c>
    </row>
    <row r="1155" spans="1:10" x14ac:dyDescent="0.3">
      <c r="A1155" s="2" t="s">
        <v>9739</v>
      </c>
      <c r="B1155" s="2" t="s">
        <v>91</v>
      </c>
      <c r="C1155" s="2" t="s">
        <v>92</v>
      </c>
      <c r="D1155" s="3">
        <v>81000</v>
      </c>
      <c r="E1155" s="3">
        <v>81000</v>
      </c>
      <c r="F1155" s="2" t="s">
        <v>16</v>
      </c>
      <c r="G1155">
        <v>8.3000000000000001E-3</v>
      </c>
      <c r="H1155" s="9">
        <f t="shared" ref="H1155:H1218" si="18">IFERROR(IF(LEFT(B1155,1)="F",E1155/G1155,0),0)</f>
        <v>0</v>
      </c>
      <c r="I1155" t="s">
        <v>91</v>
      </c>
      <c r="J1155" t="s">
        <v>92</v>
      </c>
    </row>
    <row r="1156" spans="1:10" x14ac:dyDescent="0.3">
      <c r="A1156" s="2" t="s">
        <v>9760</v>
      </c>
      <c r="B1156" s="2" t="s">
        <v>1093</v>
      </c>
      <c r="C1156" s="2" t="s">
        <v>1094</v>
      </c>
      <c r="D1156" s="3">
        <v>2004480</v>
      </c>
      <c r="E1156" s="3">
        <v>2004480</v>
      </c>
      <c r="F1156" s="2" t="s">
        <v>16</v>
      </c>
      <c r="G1156">
        <v>1.2500000000000001E-2</v>
      </c>
      <c r="H1156" s="9">
        <f t="shared" si="18"/>
        <v>0</v>
      </c>
      <c r="I1156" t="s">
        <v>1093</v>
      </c>
      <c r="J1156" t="s">
        <v>1094</v>
      </c>
    </row>
    <row r="1157" spans="1:10" x14ac:dyDescent="0.3">
      <c r="A1157" s="2" t="s">
        <v>9765</v>
      </c>
      <c r="B1157" s="2" t="s">
        <v>4791</v>
      </c>
      <c r="C1157" s="2" t="s">
        <v>4792</v>
      </c>
      <c r="D1157" s="3">
        <v>874368</v>
      </c>
      <c r="E1157" s="3">
        <v>874368</v>
      </c>
      <c r="F1157" s="2" t="s">
        <v>16</v>
      </c>
      <c r="G1157">
        <v>4.4999999999999998E-2</v>
      </c>
      <c r="H1157" s="9">
        <f t="shared" si="18"/>
        <v>0</v>
      </c>
      <c r="I1157" t="s">
        <v>4791</v>
      </c>
      <c r="J1157" t="s">
        <v>4792</v>
      </c>
    </row>
    <row r="1158" spans="1:10" x14ac:dyDescent="0.3">
      <c r="A1158" s="2" t="s">
        <v>9770</v>
      </c>
      <c r="B1158" s="2" t="s">
        <v>2840</v>
      </c>
      <c r="C1158" s="2" t="s">
        <v>2841</v>
      </c>
      <c r="D1158" s="3">
        <v>30240</v>
      </c>
      <c r="E1158" s="3">
        <v>30240</v>
      </c>
      <c r="F1158" s="2" t="s">
        <v>16</v>
      </c>
      <c r="G1158">
        <v>2.6600000000000002E-2</v>
      </c>
      <c r="H1158" s="9">
        <f t="shared" si="18"/>
        <v>0</v>
      </c>
      <c r="I1158" t="e">
        <v>#N/A</v>
      </c>
      <c r="J1158" t="e">
        <v>#N/A</v>
      </c>
    </row>
    <row r="1159" spans="1:10" x14ac:dyDescent="0.3">
      <c r="A1159" s="2" t="s">
        <v>9791</v>
      </c>
      <c r="B1159" s="2" t="s">
        <v>4988</v>
      </c>
      <c r="C1159" s="2" t="s">
        <v>4989</v>
      </c>
      <c r="D1159" s="3">
        <v>10080</v>
      </c>
      <c r="E1159" s="3">
        <v>10080</v>
      </c>
      <c r="F1159" s="2" t="s">
        <v>16</v>
      </c>
      <c r="G1159">
        <v>2.6600000000000002E-2</v>
      </c>
      <c r="H1159" s="9">
        <f t="shared" si="18"/>
        <v>0</v>
      </c>
      <c r="I1159" t="s">
        <v>2840</v>
      </c>
      <c r="J1159" t="s">
        <v>2841</v>
      </c>
    </row>
    <row r="1160" spans="1:10" x14ac:dyDescent="0.3">
      <c r="A1160" s="2" t="s">
        <v>9796</v>
      </c>
      <c r="B1160" s="2" t="s">
        <v>103</v>
      </c>
      <c r="C1160" s="2" t="s">
        <v>104</v>
      </c>
      <c r="D1160" s="3">
        <v>509760</v>
      </c>
      <c r="E1160" s="3">
        <v>0</v>
      </c>
      <c r="F1160" s="2" t="s">
        <v>16</v>
      </c>
      <c r="G1160">
        <v>3.0499999999999999E-2</v>
      </c>
      <c r="H1160" s="9">
        <f t="shared" si="18"/>
        <v>0</v>
      </c>
      <c r="I1160" t="s">
        <v>740</v>
      </c>
      <c r="J1160" t="s">
        <v>741</v>
      </c>
    </row>
    <row r="1161" spans="1:10" x14ac:dyDescent="0.3">
      <c r="A1161" s="2" t="s">
        <v>9809</v>
      </c>
      <c r="B1161" s="2" t="s">
        <v>769</v>
      </c>
      <c r="C1161" s="2" t="s">
        <v>770</v>
      </c>
      <c r="D1161" s="3">
        <v>59760</v>
      </c>
      <c r="E1161" s="3">
        <v>59760</v>
      </c>
      <c r="F1161" s="2" t="s">
        <v>16</v>
      </c>
      <c r="G1161">
        <v>7.7999999999999996E-3</v>
      </c>
      <c r="H1161" s="9">
        <f t="shared" si="18"/>
        <v>0</v>
      </c>
      <c r="I1161" t="s">
        <v>769</v>
      </c>
      <c r="J1161" t="s">
        <v>770</v>
      </c>
    </row>
    <row r="1162" spans="1:10" x14ac:dyDescent="0.3">
      <c r="A1162" s="2" t="s">
        <v>9842</v>
      </c>
      <c r="B1162" s="2" t="s">
        <v>1027</v>
      </c>
      <c r="C1162" s="2" t="s">
        <v>1028</v>
      </c>
      <c r="D1162" s="3">
        <v>509760</v>
      </c>
      <c r="E1162" s="3">
        <v>509760</v>
      </c>
      <c r="F1162" s="2" t="s">
        <v>16</v>
      </c>
      <c r="G1162">
        <v>3.0499999999999999E-2</v>
      </c>
      <c r="H1162" s="9">
        <f t="shared" si="18"/>
        <v>0</v>
      </c>
      <c r="I1162" t="s">
        <v>1027</v>
      </c>
      <c r="J1162" t="s">
        <v>1028</v>
      </c>
    </row>
    <row r="1163" spans="1:10" x14ac:dyDescent="0.3">
      <c r="A1163" s="2" t="s">
        <v>9851</v>
      </c>
      <c r="B1163" s="2" t="s">
        <v>1093</v>
      </c>
      <c r="C1163" s="2" t="s">
        <v>1094</v>
      </c>
      <c r="D1163" s="3">
        <v>1064880</v>
      </c>
      <c r="E1163" s="3">
        <v>1064880</v>
      </c>
      <c r="F1163" s="2" t="s">
        <v>16</v>
      </c>
      <c r="G1163">
        <v>1.2500000000000001E-2</v>
      </c>
      <c r="H1163" s="9">
        <f t="shared" si="18"/>
        <v>0</v>
      </c>
      <c r="I1163" t="s">
        <v>1093</v>
      </c>
      <c r="J1163" t="s">
        <v>1094</v>
      </c>
    </row>
    <row r="1164" spans="1:10" x14ac:dyDescent="0.3">
      <c r="A1164" s="2" t="s">
        <v>9864</v>
      </c>
      <c r="B1164" s="2" t="s">
        <v>517</v>
      </c>
      <c r="C1164" s="2" t="s">
        <v>518</v>
      </c>
      <c r="D1164" s="3">
        <v>604800</v>
      </c>
      <c r="E1164" s="3">
        <v>604800</v>
      </c>
      <c r="F1164" s="2" t="s">
        <v>16</v>
      </c>
      <c r="G1164">
        <v>2.6600000000000002E-2</v>
      </c>
      <c r="H1164" s="9">
        <f t="shared" si="18"/>
        <v>0</v>
      </c>
      <c r="I1164" t="s">
        <v>517</v>
      </c>
      <c r="J1164" t="s">
        <v>518</v>
      </c>
    </row>
    <row r="1165" spans="1:10" x14ac:dyDescent="0.3">
      <c r="A1165" s="2" t="s">
        <v>9877</v>
      </c>
      <c r="B1165" s="2" t="s">
        <v>4791</v>
      </c>
      <c r="C1165" s="2" t="s">
        <v>4792</v>
      </c>
      <c r="D1165" s="3">
        <v>344448</v>
      </c>
      <c r="E1165" s="3">
        <v>344448</v>
      </c>
      <c r="F1165" s="2" t="s">
        <v>16</v>
      </c>
      <c r="G1165">
        <v>4.4999999999999998E-2</v>
      </c>
      <c r="H1165" s="9">
        <f t="shared" si="18"/>
        <v>0</v>
      </c>
      <c r="I1165" t="s">
        <v>4791</v>
      </c>
      <c r="J1165" t="s">
        <v>4792</v>
      </c>
    </row>
    <row r="1166" spans="1:10" x14ac:dyDescent="0.3">
      <c r="A1166" s="2" t="s">
        <v>9886</v>
      </c>
      <c r="B1166" s="2" t="s">
        <v>65</v>
      </c>
      <c r="C1166" s="2" t="s">
        <v>66</v>
      </c>
      <c r="D1166" s="5">
        <v>-732</v>
      </c>
      <c r="E1166" s="5">
        <v>-732</v>
      </c>
      <c r="F1166" s="2" t="s">
        <v>23</v>
      </c>
      <c r="G1166">
        <v>5.0999999999999997E-2</v>
      </c>
      <c r="H1166" s="9">
        <f t="shared" si="18"/>
        <v>-14352.941176470589</v>
      </c>
      <c r="I1166" t="s">
        <v>2115</v>
      </c>
      <c r="J1166" t="s">
        <v>2116</v>
      </c>
    </row>
    <row r="1167" spans="1:10" x14ac:dyDescent="0.3">
      <c r="A1167" s="2" t="s">
        <v>9886</v>
      </c>
      <c r="B1167" s="2" t="s">
        <v>2115</v>
      </c>
      <c r="C1167" s="2" t="s">
        <v>2116</v>
      </c>
      <c r="D1167" s="3">
        <v>46800</v>
      </c>
      <c r="E1167" s="3">
        <v>46800</v>
      </c>
      <c r="F1167" s="2" t="s">
        <v>16</v>
      </c>
      <c r="G1167">
        <v>5.0999999999999997E-2</v>
      </c>
      <c r="H1167" s="9">
        <f t="shared" si="18"/>
        <v>0</v>
      </c>
      <c r="I1167" t="s">
        <v>2115</v>
      </c>
      <c r="J1167" t="s">
        <v>2116</v>
      </c>
    </row>
    <row r="1168" spans="1:10" x14ac:dyDescent="0.3">
      <c r="A1168" s="2" t="s">
        <v>9899</v>
      </c>
      <c r="B1168" s="2" t="s">
        <v>4791</v>
      </c>
      <c r="C1168" s="2" t="s">
        <v>4792</v>
      </c>
      <c r="D1168" s="3">
        <v>291456</v>
      </c>
      <c r="E1168" s="3">
        <v>291456</v>
      </c>
      <c r="F1168" s="2" t="s">
        <v>16</v>
      </c>
      <c r="G1168">
        <v>4.4999999999999998E-2</v>
      </c>
      <c r="H1168" s="9">
        <f t="shared" si="18"/>
        <v>0</v>
      </c>
      <c r="I1168" t="s">
        <v>4791</v>
      </c>
      <c r="J1168" t="s">
        <v>4792</v>
      </c>
    </row>
    <row r="1169" spans="1:10" x14ac:dyDescent="0.3">
      <c r="A1169" s="2" t="s">
        <v>9908</v>
      </c>
      <c r="B1169" s="2" t="s">
        <v>1027</v>
      </c>
      <c r="C1169" s="2" t="s">
        <v>1028</v>
      </c>
      <c r="D1169" s="3">
        <v>509760</v>
      </c>
      <c r="E1169" s="3">
        <v>509760</v>
      </c>
      <c r="F1169" s="2" t="s">
        <v>16</v>
      </c>
      <c r="G1169">
        <v>3.0499999999999999E-2</v>
      </c>
      <c r="H1169" s="9">
        <f t="shared" si="18"/>
        <v>0</v>
      </c>
      <c r="I1169" t="s">
        <v>1027</v>
      </c>
      <c r="J1169" t="s">
        <v>1028</v>
      </c>
    </row>
    <row r="1170" spans="1:10" x14ac:dyDescent="0.3">
      <c r="A1170" s="2" t="s">
        <v>9917</v>
      </c>
      <c r="B1170" s="2" t="s">
        <v>5357</v>
      </c>
      <c r="C1170" s="2" t="s">
        <v>5358</v>
      </c>
      <c r="D1170" s="3">
        <v>317952</v>
      </c>
      <c r="E1170" s="3">
        <v>317952</v>
      </c>
      <c r="F1170" s="2" t="s">
        <v>16</v>
      </c>
      <c r="G1170">
        <v>4.4999999999999998E-2</v>
      </c>
      <c r="H1170" s="9">
        <f t="shared" si="18"/>
        <v>0</v>
      </c>
      <c r="I1170" t="s">
        <v>5357</v>
      </c>
      <c r="J1170" t="s">
        <v>5358</v>
      </c>
    </row>
    <row r="1171" spans="1:10" x14ac:dyDescent="0.3">
      <c r="A1171" s="2" t="s">
        <v>9930</v>
      </c>
      <c r="B1171" s="2" t="s">
        <v>517</v>
      </c>
      <c r="C1171" s="2" t="s">
        <v>518</v>
      </c>
      <c r="D1171" s="3">
        <v>443520</v>
      </c>
      <c r="E1171" s="3">
        <v>443520</v>
      </c>
      <c r="F1171" s="2" t="s">
        <v>16</v>
      </c>
      <c r="G1171">
        <v>2.6600000000000002E-2</v>
      </c>
      <c r="H1171" s="9">
        <f t="shared" si="18"/>
        <v>0</v>
      </c>
      <c r="I1171" t="s">
        <v>517</v>
      </c>
      <c r="J1171" t="s">
        <v>518</v>
      </c>
    </row>
    <row r="1172" spans="1:10" x14ac:dyDescent="0.3">
      <c r="A1172" s="2" t="s">
        <v>9939</v>
      </c>
      <c r="B1172" s="2" t="s">
        <v>86</v>
      </c>
      <c r="C1172" s="2" t="s">
        <v>87</v>
      </c>
      <c r="D1172" s="5">
        <v>-197</v>
      </c>
      <c r="E1172" s="5">
        <v>-197</v>
      </c>
      <c r="F1172" s="2" t="s">
        <v>23</v>
      </c>
      <c r="G1172">
        <v>7.45E-3</v>
      </c>
      <c r="H1172" s="9">
        <f t="shared" si="18"/>
        <v>-26442.953020134228</v>
      </c>
      <c r="I1172" t="s">
        <v>797</v>
      </c>
      <c r="J1172" t="s">
        <v>798</v>
      </c>
    </row>
    <row r="1173" spans="1:10" x14ac:dyDescent="0.3">
      <c r="A1173" s="2" t="s">
        <v>9939</v>
      </c>
      <c r="B1173" s="2" t="s">
        <v>797</v>
      </c>
      <c r="C1173" s="2" t="s">
        <v>798</v>
      </c>
      <c r="D1173" s="3">
        <v>295300</v>
      </c>
      <c r="E1173" s="3">
        <v>295300</v>
      </c>
      <c r="F1173" s="2" t="s">
        <v>16</v>
      </c>
      <c r="G1173">
        <v>7.45E-3</v>
      </c>
      <c r="H1173" s="9">
        <f t="shared" si="18"/>
        <v>0</v>
      </c>
      <c r="I1173" t="s">
        <v>797</v>
      </c>
      <c r="J1173" t="s">
        <v>798</v>
      </c>
    </row>
    <row r="1174" spans="1:10" x14ac:dyDescent="0.3">
      <c r="A1174" s="2" t="s">
        <v>9948</v>
      </c>
      <c r="B1174" s="2" t="s">
        <v>6182</v>
      </c>
      <c r="C1174" s="2" t="s">
        <v>6183</v>
      </c>
      <c r="D1174" s="3">
        <v>29880</v>
      </c>
      <c r="E1174" s="3">
        <v>29880</v>
      </c>
      <c r="F1174" s="2" t="s">
        <v>16</v>
      </c>
      <c r="G1174">
        <v>7.45E-3</v>
      </c>
      <c r="H1174" s="9">
        <f t="shared" si="18"/>
        <v>0</v>
      </c>
      <c r="I1174" t="s">
        <v>797</v>
      </c>
      <c r="J1174" t="s">
        <v>798</v>
      </c>
    </row>
    <row r="1175" spans="1:10" x14ac:dyDescent="0.3">
      <c r="A1175" s="2" t="s">
        <v>9948</v>
      </c>
      <c r="B1175" s="2" t="s">
        <v>4511</v>
      </c>
      <c r="C1175" s="2" t="s">
        <v>4512</v>
      </c>
      <c r="D1175" s="3">
        <v>239040</v>
      </c>
      <c r="E1175" s="3">
        <v>239040</v>
      </c>
      <c r="F1175" s="2" t="s">
        <v>16</v>
      </c>
      <c r="G1175">
        <v>7.45E-3</v>
      </c>
      <c r="H1175" s="9">
        <f t="shared" si="18"/>
        <v>0</v>
      </c>
      <c r="I1175" t="s">
        <v>797</v>
      </c>
      <c r="J1175" t="s">
        <v>798</v>
      </c>
    </row>
    <row r="1176" spans="1:10" x14ac:dyDescent="0.3">
      <c r="A1176" s="2" t="s">
        <v>9960</v>
      </c>
      <c r="B1176" s="2" t="s">
        <v>86</v>
      </c>
      <c r="C1176" s="2" t="s">
        <v>87</v>
      </c>
      <c r="D1176" s="5">
        <v>-222</v>
      </c>
      <c r="E1176" s="5">
        <v>-222</v>
      </c>
      <c r="F1176" s="2" t="s">
        <v>23</v>
      </c>
      <c r="G1176">
        <v>7.45E-3</v>
      </c>
      <c r="H1176" s="9">
        <f t="shared" si="18"/>
        <v>-29798.657718120805</v>
      </c>
      <c r="I1176" t="s">
        <v>797</v>
      </c>
      <c r="J1176" t="s">
        <v>798</v>
      </c>
    </row>
    <row r="1177" spans="1:10" x14ac:dyDescent="0.3">
      <c r="A1177" s="2" t="s">
        <v>9960</v>
      </c>
      <c r="B1177" s="2" t="s">
        <v>4511</v>
      </c>
      <c r="C1177" s="2" t="s">
        <v>4512</v>
      </c>
      <c r="D1177" s="3">
        <v>717120</v>
      </c>
      <c r="E1177" s="3">
        <v>717120</v>
      </c>
      <c r="F1177" s="2" t="s">
        <v>16</v>
      </c>
      <c r="G1177">
        <v>7.45E-3</v>
      </c>
      <c r="H1177" s="9">
        <f t="shared" si="18"/>
        <v>0</v>
      </c>
      <c r="I1177" t="s">
        <v>797</v>
      </c>
      <c r="J1177" t="s">
        <v>798</v>
      </c>
    </row>
    <row r="1178" spans="1:10" x14ac:dyDescent="0.3">
      <c r="A1178" s="2" t="s">
        <v>9976</v>
      </c>
      <c r="B1178" s="2" t="s">
        <v>9363</v>
      </c>
      <c r="C1178" s="2" t="s">
        <v>9364</v>
      </c>
      <c r="D1178" s="3">
        <v>253800</v>
      </c>
      <c r="E1178" s="3">
        <v>253800</v>
      </c>
      <c r="F1178" s="2" t="s">
        <v>16</v>
      </c>
      <c r="G1178">
        <v>9.4000000000000004E-3</v>
      </c>
      <c r="H1178" s="9">
        <f t="shared" si="18"/>
        <v>0</v>
      </c>
      <c r="I1178" t="s">
        <v>445</v>
      </c>
      <c r="J1178" t="s">
        <v>446</v>
      </c>
    </row>
    <row r="1179" spans="1:10" x14ac:dyDescent="0.3">
      <c r="A1179" s="2" t="s">
        <v>9985</v>
      </c>
      <c r="B1179" s="2" t="s">
        <v>86</v>
      </c>
      <c r="C1179" s="2" t="s">
        <v>87</v>
      </c>
      <c r="D1179" s="5">
        <v>-238</v>
      </c>
      <c r="E1179" s="5">
        <v>-238</v>
      </c>
      <c r="F1179" s="2" t="s">
        <v>23</v>
      </c>
      <c r="G1179">
        <v>9.4000000000000004E-3</v>
      </c>
      <c r="H1179" s="9">
        <f t="shared" si="18"/>
        <v>-25319.148936170212</v>
      </c>
      <c r="I1179" t="s">
        <v>445</v>
      </c>
      <c r="J1179" t="s">
        <v>446</v>
      </c>
    </row>
    <row r="1180" spans="1:10" x14ac:dyDescent="0.3">
      <c r="A1180" s="2" t="s">
        <v>9985</v>
      </c>
      <c r="B1180" s="2" t="s">
        <v>76</v>
      </c>
      <c r="C1180" s="2" t="s">
        <v>77</v>
      </c>
      <c r="D1180" s="3">
        <v>380700</v>
      </c>
      <c r="E1180" s="3">
        <v>380700</v>
      </c>
      <c r="F1180" s="2" t="s">
        <v>16</v>
      </c>
      <c r="G1180">
        <v>9.4000000000000004E-3</v>
      </c>
      <c r="H1180" s="9">
        <f t="shared" si="18"/>
        <v>0</v>
      </c>
      <c r="I1180" t="s">
        <v>445</v>
      </c>
      <c r="J1180" t="s">
        <v>446</v>
      </c>
    </row>
    <row r="1181" spans="1:10" x14ac:dyDescent="0.3">
      <c r="A1181" s="2" t="s">
        <v>9998</v>
      </c>
      <c r="B1181" s="2" t="s">
        <v>3028</v>
      </c>
      <c r="C1181" s="2" t="s">
        <v>3029</v>
      </c>
      <c r="D1181" s="3">
        <v>456840</v>
      </c>
      <c r="E1181" s="3">
        <v>456840</v>
      </c>
      <c r="F1181" s="2" t="s">
        <v>16</v>
      </c>
      <c r="G1181">
        <v>9.4000000000000004E-3</v>
      </c>
      <c r="H1181" s="9">
        <f t="shared" si="18"/>
        <v>0</v>
      </c>
      <c r="I1181" t="s">
        <v>445</v>
      </c>
      <c r="J1181" t="s">
        <v>446</v>
      </c>
    </row>
    <row r="1182" spans="1:10" x14ac:dyDescent="0.3">
      <c r="A1182" s="2" t="s">
        <v>10007</v>
      </c>
      <c r="B1182" s="2" t="s">
        <v>97</v>
      </c>
      <c r="C1182" s="2" t="s">
        <v>98</v>
      </c>
      <c r="D1182" s="3">
        <v>148800</v>
      </c>
      <c r="E1182" s="3">
        <v>148800</v>
      </c>
      <c r="F1182" s="2" t="s">
        <v>16</v>
      </c>
      <c r="G1182">
        <v>5.1999999999999998E-2</v>
      </c>
      <c r="H1182" s="9">
        <f t="shared" si="18"/>
        <v>0</v>
      </c>
      <c r="I1182" t="s">
        <v>97</v>
      </c>
      <c r="J1182" t="s">
        <v>98</v>
      </c>
    </row>
    <row r="1183" spans="1:10" x14ac:dyDescent="0.3">
      <c r="A1183" s="2" t="s">
        <v>10016</v>
      </c>
      <c r="B1183" s="2" t="s">
        <v>65</v>
      </c>
      <c r="C1183" s="2" t="s">
        <v>66</v>
      </c>
      <c r="D1183" s="5">
        <v>-498</v>
      </c>
      <c r="E1183" s="5">
        <v>-498</v>
      </c>
      <c r="F1183" s="2" t="s">
        <v>23</v>
      </c>
      <c r="G1183">
        <v>5.1999999999999998E-2</v>
      </c>
      <c r="H1183" s="9">
        <f t="shared" si="18"/>
        <v>-9576.923076923078</v>
      </c>
      <c r="I1183" t="s">
        <v>1170</v>
      </c>
      <c r="J1183" t="s">
        <v>1171</v>
      </c>
    </row>
    <row r="1184" spans="1:10" x14ac:dyDescent="0.3">
      <c r="A1184" s="2" t="s">
        <v>10016</v>
      </c>
      <c r="B1184" s="2" t="s">
        <v>1170</v>
      </c>
      <c r="C1184" s="2" t="s">
        <v>1171</v>
      </c>
      <c r="D1184" s="3">
        <v>52800</v>
      </c>
      <c r="E1184" s="3">
        <v>52800</v>
      </c>
      <c r="F1184" s="2" t="s">
        <v>16</v>
      </c>
      <c r="G1184">
        <v>5.1999999999999998E-2</v>
      </c>
      <c r="H1184" s="9">
        <f t="shared" si="18"/>
        <v>0</v>
      </c>
      <c r="I1184" t="s">
        <v>1170</v>
      </c>
      <c r="J1184" t="s">
        <v>1171</v>
      </c>
    </row>
    <row r="1185" spans="1:10" x14ac:dyDescent="0.3">
      <c r="A1185" s="2" t="s">
        <v>10025</v>
      </c>
      <c r="B1185" s="2" t="s">
        <v>65</v>
      </c>
      <c r="C1185" s="2" t="s">
        <v>66</v>
      </c>
      <c r="D1185" s="5">
        <v>-228</v>
      </c>
      <c r="E1185" s="5">
        <v>-228</v>
      </c>
      <c r="F1185" s="2" t="s">
        <v>23</v>
      </c>
      <c r="G1185">
        <v>3.5999999999999997E-2</v>
      </c>
      <c r="H1185" s="9">
        <f t="shared" si="18"/>
        <v>-6333.3333333333339</v>
      </c>
      <c r="I1185" t="s">
        <v>70</v>
      </c>
      <c r="J1185" t="s">
        <v>71</v>
      </c>
    </row>
    <row r="1186" spans="1:10" x14ac:dyDescent="0.3">
      <c r="A1186" s="2" t="s">
        <v>10025</v>
      </c>
      <c r="B1186" s="2" t="s">
        <v>70</v>
      </c>
      <c r="C1186" s="2" t="s">
        <v>71</v>
      </c>
      <c r="D1186" s="3">
        <v>57024</v>
      </c>
      <c r="E1186" s="3">
        <v>57024</v>
      </c>
      <c r="F1186" s="2" t="s">
        <v>16</v>
      </c>
      <c r="G1186">
        <v>3.5999999999999997E-2</v>
      </c>
      <c r="H1186" s="9">
        <f t="shared" si="18"/>
        <v>0</v>
      </c>
      <c r="I1186" t="s">
        <v>70</v>
      </c>
      <c r="J1186" t="s">
        <v>71</v>
      </c>
    </row>
    <row r="1187" spans="1:10" x14ac:dyDescent="0.3">
      <c r="A1187" s="2" t="s">
        <v>10034</v>
      </c>
      <c r="B1187" s="2" t="s">
        <v>5357</v>
      </c>
      <c r="C1187" s="2" t="s">
        <v>5358</v>
      </c>
      <c r="D1187" s="3">
        <v>629280</v>
      </c>
      <c r="E1187" s="3">
        <v>629280</v>
      </c>
      <c r="F1187" s="2" t="s">
        <v>16</v>
      </c>
      <c r="G1187">
        <v>4.4999999999999998E-2</v>
      </c>
      <c r="H1187" s="9">
        <f t="shared" si="18"/>
        <v>0</v>
      </c>
      <c r="I1187" t="s">
        <v>5357</v>
      </c>
      <c r="J1187" t="s">
        <v>5358</v>
      </c>
    </row>
    <row r="1188" spans="1:10" x14ac:dyDescent="0.3">
      <c r="A1188" s="2" t="s">
        <v>10050</v>
      </c>
      <c r="B1188" s="2" t="s">
        <v>1027</v>
      </c>
      <c r="C1188" s="2" t="s">
        <v>1028</v>
      </c>
      <c r="D1188" s="3">
        <v>966420</v>
      </c>
      <c r="E1188" s="3">
        <v>966420</v>
      </c>
      <c r="F1188" s="2" t="s">
        <v>16</v>
      </c>
      <c r="G1188">
        <v>3.0499999999999999E-2</v>
      </c>
      <c r="H1188" s="9">
        <f t="shared" si="18"/>
        <v>0</v>
      </c>
      <c r="I1188" t="s">
        <v>1027</v>
      </c>
      <c r="J1188" t="s">
        <v>1028</v>
      </c>
    </row>
    <row r="1189" spans="1:10" x14ac:dyDescent="0.3">
      <c r="A1189" s="2" t="s">
        <v>10062</v>
      </c>
      <c r="B1189" s="2" t="s">
        <v>517</v>
      </c>
      <c r="C1189" s="2" t="s">
        <v>518</v>
      </c>
      <c r="D1189" s="3">
        <v>504000</v>
      </c>
      <c r="E1189" s="3">
        <v>504000</v>
      </c>
      <c r="F1189" s="2" t="s">
        <v>16</v>
      </c>
      <c r="G1189">
        <v>2.6600000000000002E-2</v>
      </c>
      <c r="H1189" s="9">
        <f t="shared" si="18"/>
        <v>0</v>
      </c>
      <c r="I1189" t="s">
        <v>517</v>
      </c>
      <c r="J1189" t="s">
        <v>518</v>
      </c>
    </row>
    <row r="1190" spans="1:10" x14ac:dyDescent="0.3">
      <c r="A1190" s="2" t="s">
        <v>10075</v>
      </c>
      <c r="B1190" s="2" t="s">
        <v>97</v>
      </c>
      <c r="C1190" s="2" t="s">
        <v>98</v>
      </c>
      <c r="D1190" s="3">
        <v>350400</v>
      </c>
      <c r="E1190" s="3">
        <v>350400</v>
      </c>
      <c r="F1190" s="2" t="s">
        <v>16</v>
      </c>
      <c r="G1190">
        <v>5.1999999999999998E-2</v>
      </c>
      <c r="H1190" s="9">
        <f t="shared" si="18"/>
        <v>0</v>
      </c>
      <c r="I1190" t="s">
        <v>97</v>
      </c>
      <c r="J1190" t="s">
        <v>98</v>
      </c>
    </row>
    <row r="1191" spans="1:10" x14ac:dyDescent="0.3">
      <c r="A1191" s="2" t="s">
        <v>10088</v>
      </c>
      <c r="B1191" s="2" t="s">
        <v>70</v>
      </c>
      <c r="C1191" s="2" t="s">
        <v>71</v>
      </c>
      <c r="D1191" s="3">
        <v>25344</v>
      </c>
      <c r="E1191" s="3">
        <v>25344</v>
      </c>
      <c r="F1191" s="2" t="s">
        <v>16</v>
      </c>
      <c r="G1191">
        <v>3.5999999999999997E-2</v>
      </c>
      <c r="H1191" s="9">
        <f t="shared" si="18"/>
        <v>0</v>
      </c>
      <c r="I1191" t="s">
        <v>70</v>
      </c>
      <c r="J1191" t="s">
        <v>71</v>
      </c>
    </row>
    <row r="1192" spans="1:10" x14ac:dyDescent="0.3">
      <c r="A1192" s="2" t="s">
        <v>10097</v>
      </c>
      <c r="B1192" s="2" t="s">
        <v>797</v>
      </c>
      <c r="C1192" s="2" t="s">
        <v>798</v>
      </c>
      <c r="D1192" s="3">
        <v>149400</v>
      </c>
      <c r="E1192" s="3">
        <v>0</v>
      </c>
      <c r="F1192" s="2" t="s">
        <v>16</v>
      </c>
      <c r="G1192">
        <v>7.45E-3</v>
      </c>
      <c r="H1192" s="9">
        <f t="shared" si="18"/>
        <v>0</v>
      </c>
      <c r="I1192" t="s">
        <v>797</v>
      </c>
      <c r="J1192" t="s">
        <v>798</v>
      </c>
    </row>
    <row r="1193" spans="1:10" x14ac:dyDescent="0.3">
      <c r="A1193" s="2" t="s">
        <v>10097</v>
      </c>
      <c r="B1193" s="2" t="s">
        <v>4511</v>
      </c>
      <c r="C1193" s="2" t="s">
        <v>4512</v>
      </c>
      <c r="D1193" s="3">
        <v>179280</v>
      </c>
      <c r="E1193" s="3">
        <v>179280</v>
      </c>
      <c r="F1193" s="2" t="s">
        <v>16</v>
      </c>
      <c r="G1193">
        <v>7.45E-3</v>
      </c>
      <c r="H1193" s="9">
        <f t="shared" si="18"/>
        <v>0</v>
      </c>
      <c r="I1193" t="s">
        <v>797</v>
      </c>
      <c r="J1193" t="s">
        <v>798</v>
      </c>
    </row>
    <row r="1194" spans="1:10" x14ac:dyDescent="0.3">
      <c r="A1194" s="2" t="s">
        <v>10112</v>
      </c>
      <c r="B1194" s="2" t="s">
        <v>76</v>
      </c>
      <c r="C1194" s="2" t="s">
        <v>77</v>
      </c>
      <c r="D1194" s="3">
        <v>152280</v>
      </c>
      <c r="E1194" s="3">
        <v>152280</v>
      </c>
      <c r="F1194" s="2" t="s">
        <v>16</v>
      </c>
      <c r="G1194">
        <v>9.4000000000000004E-3</v>
      </c>
      <c r="H1194" s="9">
        <f t="shared" si="18"/>
        <v>0</v>
      </c>
      <c r="I1194" t="s">
        <v>445</v>
      </c>
      <c r="J1194" t="s">
        <v>446</v>
      </c>
    </row>
    <row r="1195" spans="1:10" x14ac:dyDescent="0.3">
      <c r="A1195" s="2" t="s">
        <v>10117</v>
      </c>
      <c r="B1195" s="2" t="s">
        <v>517</v>
      </c>
      <c r="C1195" s="2" t="s">
        <v>518</v>
      </c>
      <c r="D1195" s="3">
        <v>584640</v>
      </c>
      <c r="E1195" s="3">
        <v>584640</v>
      </c>
      <c r="F1195" s="2" t="s">
        <v>16</v>
      </c>
      <c r="G1195">
        <v>2.6600000000000002E-2</v>
      </c>
      <c r="H1195" s="9">
        <f t="shared" si="18"/>
        <v>0</v>
      </c>
      <c r="I1195" t="s">
        <v>517</v>
      </c>
      <c r="J1195" t="s">
        <v>518</v>
      </c>
    </row>
    <row r="1196" spans="1:10" x14ac:dyDescent="0.3">
      <c r="A1196" s="2" t="s">
        <v>10130</v>
      </c>
      <c r="B1196" s="2" t="s">
        <v>97</v>
      </c>
      <c r="C1196" s="2" t="s">
        <v>98</v>
      </c>
      <c r="D1196" s="3">
        <v>345600</v>
      </c>
      <c r="E1196" s="3">
        <v>345600</v>
      </c>
      <c r="F1196" s="2" t="s">
        <v>16</v>
      </c>
      <c r="G1196">
        <v>5.1999999999999998E-2</v>
      </c>
      <c r="H1196" s="9">
        <f t="shared" si="18"/>
        <v>0</v>
      </c>
      <c r="I1196" t="s">
        <v>97</v>
      </c>
      <c r="J1196" t="s">
        <v>98</v>
      </c>
    </row>
    <row r="1197" spans="1:10" x14ac:dyDescent="0.3">
      <c r="A1197" s="2" t="s">
        <v>10139</v>
      </c>
      <c r="B1197" s="2" t="s">
        <v>4791</v>
      </c>
      <c r="C1197" s="2" t="s">
        <v>4792</v>
      </c>
      <c r="D1197" s="3">
        <v>344448</v>
      </c>
      <c r="E1197" s="3">
        <v>344448</v>
      </c>
      <c r="F1197" s="2" t="s">
        <v>16</v>
      </c>
      <c r="G1197">
        <v>4.4999999999999998E-2</v>
      </c>
      <c r="H1197" s="9">
        <f t="shared" si="18"/>
        <v>0</v>
      </c>
      <c r="I1197" t="s">
        <v>4791</v>
      </c>
      <c r="J1197" t="s">
        <v>4792</v>
      </c>
    </row>
    <row r="1198" spans="1:10" x14ac:dyDescent="0.3">
      <c r="A1198" s="2" t="s">
        <v>10148</v>
      </c>
      <c r="B1198" s="2" t="s">
        <v>1093</v>
      </c>
      <c r="C1198" s="2" t="s">
        <v>1094</v>
      </c>
      <c r="D1198" s="3">
        <v>1920960</v>
      </c>
      <c r="E1198" s="3">
        <v>1920960</v>
      </c>
      <c r="F1198" s="2" t="s">
        <v>16</v>
      </c>
      <c r="G1198">
        <v>1.2500000000000001E-2</v>
      </c>
      <c r="H1198" s="9">
        <f t="shared" si="18"/>
        <v>0</v>
      </c>
      <c r="I1198" t="s">
        <v>1093</v>
      </c>
      <c r="J1198" t="s">
        <v>1094</v>
      </c>
    </row>
    <row r="1199" spans="1:10" x14ac:dyDescent="0.3">
      <c r="A1199" s="2" t="s">
        <v>10157</v>
      </c>
      <c r="B1199" s="2" t="s">
        <v>65</v>
      </c>
      <c r="C1199" s="2" t="s">
        <v>66</v>
      </c>
      <c r="D1199" s="5">
        <v>-304</v>
      </c>
      <c r="E1199" s="5">
        <v>-304</v>
      </c>
      <c r="F1199" s="2" t="s">
        <v>23</v>
      </c>
      <c r="G1199">
        <v>3.5999999999999997E-2</v>
      </c>
      <c r="H1199" s="9">
        <f t="shared" si="18"/>
        <v>-8444.4444444444453</v>
      </c>
      <c r="I1199" t="s">
        <v>2086</v>
      </c>
      <c r="J1199" t="s">
        <v>2087</v>
      </c>
    </row>
    <row r="1200" spans="1:10" x14ac:dyDescent="0.3">
      <c r="A1200" s="2" t="s">
        <v>10157</v>
      </c>
      <c r="B1200" s="2" t="s">
        <v>2086</v>
      </c>
      <c r="C1200" s="2" t="s">
        <v>2087</v>
      </c>
      <c r="D1200" s="3">
        <v>59136</v>
      </c>
      <c r="E1200" s="3">
        <v>59136</v>
      </c>
      <c r="F1200" s="2" t="s">
        <v>16</v>
      </c>
      <c r="G1200">
        <v>3.5999999999999997E-2</v>
      </c>
      <c r="H1200" s="9">
        <f t="shared" si="18"/>
        <v>0</v>
      </c>
      <c r="I1200" t="s">
        <v>2086</v>
      </c>
      <c r="J1200" t="s">
        <v>2087</v>
      </c>
    </row>
    <row r="1201" spans="1:10" x14ac:dyDescent="0.3">
      <c r="A1201" s="2" t="s">
        <v>10170</v>
      </c>
      <c r="B1201" s="2" t="s">
        <v>86</v>
      </c>
      <c r="C1201" s="2" t="s">
        <v>87</v>
      </c>
      <c r="D1201" s="5">
        <v>-140</v>
      </c>
      <c r="E1201" s="5">
        <v>-140</v>
      </c>
      <c r="F1201" s="2" t="s">
        <v>23</v>
      </c>
      <c r="G1201">
        <v>1.2500000000000001E-2</v>
      </c>
      <c r="H1201" s="9">
        <f t="shared" si="18"/>
        <v>-11200</v>
      </c>
      <c r="I1201" t="s">
        <v>6955</v>
      </c>
      <c r="J1201" t="s">
        <v>6956</v>
      </c>
    </row>
    <row r="1202" spans="1:10" x14ac:dyDescent="0.3">
      <c r="A1202" s="2" t="s">
        <v>10170</v>
      </c>
      <c r="B1202" s="2" t="s">
        <v>6955</v>
      </c>
      <c r="C1202" s="2" t="s">
        <v>6956</v>
      </c>
      <c r="D1202" s="3">
        <v>78072</v>
      </c>
      <c r="E1202" s="3">
        <v>78072</v>
      </c>
      <c r="F1202" s="2" t="s">
        <v>16</v>
      </c>
      <c r="G1202">
        <v>1.2500000000000001E-2</v>
      </c>
      <c r="H1202" s="9">
        <f t="shared" si="18"/>
        <v>0</v>
      </c>
      <c r="I1202" t="s">
        <v>6955</v>
      </c>
      <c r="J1202" t="s">
        <v>6956</v>
      </c>
    </row>
    <row r="1203" spans="1:10" x14ac:dyDescent="0.3">
      <c r="A1203" s="2" t="s">
        <v>10186</v>
      </c>
      <c r="B1203" s="2" t="s">
        <v>5357</v>
      </c>
      <c r="C1203" s="2" t="s">
        <v>5358</v>
      </c>
      <c r="D1203" s="3">
        <v>13248</v>
      </c>
      <c r="E1203" s="3">
        <v>13248</v>
      </c>
      <c r="F1203" s="2" t="s">
        <v>16</v>
      </c>
      <c r="G1203">
        <v>4.4999999999999998E-2</v>
      </c>
      <c r="H1203" s="9">
        <f t="shared" si="18"/>
        <v>0</v>
      </c>
      <c r="I1203" t="s">
        <v>5477</v>
      </c>
      <c r="J1203" t="s">
        <v>5478</v>
      </c>
    </row>
    <row r="1204" spans="1:10" x14ac:dyDescent="0.3">
      <c r="A1204" s="2" t="s">
        <v>10191</v>
      </c>
      <c r="B1204" s="2" t="s">
        <v>4791</v>
      </c>
      <c r="C1204" s="2" t="s">
        <v>4792</v>
      </c>
      <c r="D1204" s="3">
        <v>291456</v>
      </c>
      <c r="E1204" s="3">
        <v>291456</v>
      </c>
      <c r="F1204" s="2" t="s">
        <v>16</v>
      </c>
      <c r="G1204">
        <v>4.4999999999999998E-2</v>
      </c>
      <c r="H1204" s="9">
        <f t="shared" si="18"/>
        <v>0</v>
      </c>
      <c r="I1204" t="s">
        <v>4791</v>
      </c>
      <c r="J1204" t="s">
        <v>4792</v>
      </c>
    </row>
    <row r="1205" spans="1:10" x14ac:dyDescent="0.3">
      <c r="A1205" s="2" t="s">
        <v>10200</v>
      </c>
      <c r="B1205" s="2" t="s">
        <v>1093</v>
      </c>
      <c r="C1205" s="2" t="s">
        <v>1094</v>
      </c>
      <c r="D1205" s="3">
        <v>2004480</v>
      </c>
      <c r="E1205" s="3">
        <v>2004480</v>
      </c>
      <c r="F1205" s="2" t="s">
        <v>16</v>
      </c>
      <c r="G1205">
        <v>1.2500000000000001E-2</v>
      </c>
      <c r="H1205" s="9">
        <f t="shared" si="18"/>
        <v>0</v>
      </c>
      <c r="I1205" t="s">
        <v>1093</v>
      </c>
      <c r="J1205" t="s">
        <v>1094</v>
      </c>
    </row>
    <row r="1206" spans="1:10" x14ac:dyDescent="0.3">
      <c r="A1206" s="2" t="s">
        <v>10209</v>
      </c>
      <c r="B1206" s="2" t="s">
        <v>517</v>
      </c>
      <c r="C1206" s="2" t="s">
        <v>518</v>
      </c>
      <c r="D1206" s="3">
        <v>413280</v>
      </c>
      <c r="E1206" s="3">
        <v>413280</v>
      </c>
      <c r="F1206" s="2" t="s">
        <v>16</v>
      </c>
      <c r="G1206">
        <v>2.6600000000000002E-2</v>
      </c>
      <c r="H1206" s="9">
        <f t="shared" si="18"/>
        <v>0</v>
      </c>
      <c r="I1206" t="s">
        <v>517</v>
      </c>
      <c r="J1206" t="s">
        <v>518</v>
      </c>
    </row>
    <row r="1207" spans="1:10" x14ac:dyDescent="0.3">
      <c r="A1207" s="2" t="s">
        <v>10218</v>
      </c>
      <c r="B1207" s="2" t="s">
        <v>1027</v>
      </c>
      <c r="C1207" s="2" t="s">
        <v>1028</v>
      </c>
      <c r="D1207" s="3">
        <v>10620</v>
      </c>
      <c r="E1207" s="3">
        <v>0</v>
      </c>
      <c r="F1207" s="2" t="s">
        <v>16</v>
      </c>
      <c r="G1207">
        <v>3.0499999999999999E-2</v>
      </c>
      <c r="H1207" s="9">
        <f t="shared" si="18"/>
        <v>0</v>
      </c>
      <c r="I1207" t="s">
        <v>1027</v>
      </c>
      <c r="J1207" t="s">
        <v>1028</v>
      </c>
    </row>
    <row r="1208" spans="1:10" x14ac:dyDescent="0.3">
      <c r="A1208" s="2" t="s">
        <v>10218</v>
      </c>
      <c r="B1208" s="2" t="s">
        <v>10227</v>
      </c>
      <c r="C1208" s="2" t="s">
        <v>10228</v>
      </c>
      <c r="D1208" s="3">
        <v>10620</v>
      </c>
      <c r="E1208" s="3">
        <v>10620</v>
      </c>
      <c r="F1208" s="2" t="s">
        <v>16</v>
      </c>
      <c r="G1208">
        <v>3.0499999999999999E-2</v>
      </c>
      <c r="H1208" s="9">
        <f t="shared" si="18"/>
        <v>0</v>
      </c>
      <c r="I1208" t="s">
        <v>1027</v>
      </c>
      <c r="J1208" t="s">
        <v>1028</v>
      </c>
    </row>
    <row r="1209" spans="1:10" x14ac:dyDescent="0.3">
      <c r="A1209" s="2" t="s">
        <v>10231</v>
      </c>
      <c r="B1209" s="2" t="s">
        <v>1512</v>
      </c>
      <c r="C1209" s="2" t="s">
        <v>1513</v>
      </c>
      <c r="D1209" s="3">
        <v>10620</v>
      </c>
      <c r="E1209" s="3">
        <v>10620</v>
      </c>
      <c r="F1209" s="2" t="s">
        <v>16</v>
      </c>
      <c r="G1209">
        <v>3.0499999999999999E-2</v>
      </c>
      <c r="H1209" s="9">
        <f t="shared" si="18"/>
        <v>0</v>
      </c>
      <c r="I1209" t="s">
        <v>1027</v>
      </c>
      <c r="J1209" t="s">
        <v>1028</v>
      </c>
    </row>
    <row r="1210" spans="1:10" x14ac:dyDescent="0.3">
      <c r="A1210" s="2" t="s">
        <v>10240</v>
      </c>
      <c r="B1210" s="2" t="s">
        <v>21</v>
      </c>
      <c r="C1210" s="2" t="s">
        <v>22</v>
      </c>
      <c r="D1210" s="5">
        <v>-323</v>
      </c>
      <c r="E1210" s="5">
        <v>-323</v>
      </c>
      <c r="F1210" s="2" t="s">
        <v>23</v>
      </c>
      <c r="G1210">
        <v>3.0499999999999999E-2</v>
      </c>
      <c r="H1210" s="9">
        <f t="shared" si="18"/>
        <v>-10590.163934426229</v>
      </c>
      <c r="I1210" t="s">
        <v>1027</v>
      </c>
      <c r="J1210" t="s">
        <v>1028</v>
      </c>
    </row>
    <row r="1211" spans="1:10" x14ac:dyDescent="0.3">
      <c r="A1211" s="2" t="s">
        <v>10240</v>
      </c>
      <c r="B1211" s="2" t="s">
        <v>1027</v>
      </c>
      <c r="C1211" s="2" t="s">
        <v>1028</v>
      </c>
      <c r="D1211" s="3">
        <v>84960</v>
      </c>
      <c r="E1211" s="3">
        <v>84960</v>
      </c>
      <c r="F1211" s="2" t="s">
        <v>16</v>
      </c>
      <c r="G1211">
        <v>3.0499999999999999E-2</v>
      </c>
      <c r="H1211" s="9">
        <f t="shared" si="18"/>
        <v>0</v>
      </c>
      <c r="I1211" t="s">
        <v>1027</v>
      </c>
      <c r="J1211" t="s">
        <v>1028</v>
      </c>
    </row>
    <row r="1212" spans="1:10" x14ac:dyDescent="0.3">
      <c r="A1212" s="2" t="s">
        <v>10253</v>
      </c>
      <c r="B1212" s="2" t="s">
        <v>97</v>
      </c>
      <c r="C1212" s="2" t="s">
        <v>98</v>
      </c>
      <c r="D1212" s="3">
        <v>340800</v>
      </c>
      <c r="E1212" s="3">
        <v>340800</v>
      </c>
      <c r="F1212" s="2" t="s">
        <v>16</v>
      </c>
      <c r="G1212">
        <v>5.1999999999999998E-2</v>
      </c>
      <c r="H1212" s="9">
        <f t="shared" si="18"/>
        <v>0</v>
      </c>
      <c r="I1212" t="s">
        <v>97</v>
      </c>
      <c r="J1212" t="s">
        <v>98</v>
      </c>
    </row>
    <row r="1213" spans="1:10" x14ac:dyDescent="0.3">
      <c r="A1213" s="2" t="s">
        <v>10262</v>
      </c>
      <c r="B1213" s="2" t="s">
        <v>65</v>
      </c>
      <c r="C1213" s="2" t="s">
        <v>66</v>
      </c>
      <c r="D1213" s="5">
        <v>-249</v>
      </c>
      <c r="E1213" s="5">
        <v>-249</v>
      </c>
      <c r="F1213" s="2" t="s">
        <v>23</v>
      </c>
      <c r="G1213">
        <v>5.1999999999999998E-2</v>
      </c>
      <c r="H1213" s="9">
        <f t="shared" si="18"/>
        <v>-4788.461538461539</v>
      </c>
      <c r="I1213" t="s">
        <v>1170</v>
      </c>
      <c r="J1213" t="s">
        <v>1171</v>
      </c>
    </row>
    <row r="1214" spans="1:10" x14ac:dyDescent="0.3">
      <c r="A1214" s="2" t="s">
        <v>10262</v>
      </c>
      <c r="B1214" s="2" t="s">
        <v>97</v>
      </c>
      <c r="C1214" s="2" t="s">
        <v>98</v>
      </c>
      <c r="D1214" s="3">
        <v>48000</v>
      </c>
      <c r="E1214" s="3">
        <v>48000</v>
      </c>
      <c r="F1214" s="2" t="s">
        <v>16</v>
      </c>
      <c r="G1214">
        <v>5.1999999999999998E-2</v>
      </c>
      <c r="H1214" s="9">
        <f t="shared" si="18"/>
        <v>0</v>
      </c>
      <c r="I1214" t="s">
        <v>1170</v>
      </c>
      <c r="J1214" t="s">
        <v>1171</v>
      </c>
    </row>
    <row r="1215" spans="1:10" x14ac:dyDescent="0.3">
      <c r="A1215" s="2" t="s">
        <v>10271</v>
      </c>
      <c r="B1215" s="2" t="s">
        <v>97</v>
      </c>
      <c r="C1215" s="2" t="s">
        <v>98</v>
      </c>
      <c r="D1215" s="3">
        <v>28800</v>
      </c>
      <c r="E1215" s="3">
        <v>28800</v>
      </c>
      <c r="F1215" s="2" t="s">
        <v>16</v>
      </c>
      <c r="G1215">
        <v>5.1999999999999998E-2</v>
      </c>
      <c r="H1215" s="9">
        <f t="shared" si="18"/>
        <v>0</v>
      </c>
      <c r="I1215" t="s">
        <v>1170</v>
      </c>
      <c r="J1215" t="s">
        <v>1171</v>
      </c>
    </row>
    <row r="1216" spans="1:10" x14ac:dyDescent="0.3">
      <c r="A1216" s="2" t="s">
        <v>10276</v>
      </c>
      <c r="B1216" s="2" t="s">
        <v>21</v>
      </c>
      <c r="C1216" s="2" t="s">
        <v>22</v>
      </c>
      <c r="D1216" s="5">
        <v>-343</v>
      </c>
      <c r="E1216" s="5">
        <v>-343</v>
      </c>
      <c r="F1216" s="2" t="s">
        <v>23</v>
      </c>
      <c r="G1216">
        <v>2.1000000000000001E-2</v>
      </c>
      <c r="H1216" s="9">
        <f t="shared" si="18"/>
        <v>-16333.333333333332</v>
      </c>
      <c r="I1216" t="s">
        <v>647</v>
      </c>
      <c r="J1216" t="s">
        <v>648</v>
      </c>
    </row>
    <row r="1217" spans="1:10" x14ac:dyDescent="0.3">
      <c r="A1217" s="2" t="s">
        <v>10276</v>
      </c>
      <c r="B1217" s="2" t="s">
        <v>647</v>
      </c>
      <c r="C1217" s="2" t="s">
        <v>648</v>
      </c>
      <c r="D1217" s="3">
        <v>131040</v>
      </c>
      <c r="E1217" s="3">
        <v>131040</v>
      </c>
      <c r="F1217" s="2" t="s">
        <v>16</v>
      </c>
      <c r="G1217">
        <v>2.1000000000000001E-2</v>
      </c>
      <c r="H1217" s="9">
        <f t="shared" si="18"/>
        <v>0</v>
      </c>
      <c r="I1217" t="s">
        <v>647</v>
      </c>
      <c r="J1217" t="s">
        <v>648</v>
      </c>
    </row>
    <row r="1218" spans="1:10" x14ac:dyDescent="0.3">
      <c r="A1218" s="2" t="s">
        <v>10285</v>
      </c>
      <c r="B1218" s="2" t="s">
        <v>1093</v>
      </c>
      <c r="C1218" s="2" t="s">
        <v>1094</v>
      </c>
      <c r="D1218" s="3">
        <v>292320</v>
      </c>
      <c r="E1218" s="3">
        <v>292320</v>
      </c>
      <c r="F1218" s="2" t="s">
        <v>16</v>
      </c>
      <c r="G1218">
        <v>1.2500000000000001E-2</v>
      </c>
      <c r="H1218" s="9">
        <f t="shared" si="18"/>
        <v>0</v>
      </c>
      <c r="I1218" t="s">
        <v>1093</v>
      </c>
      <c r="J1218" t="s">
        <v>1094</v>
      </c>
    </row>
    <row r="1219" spans="1:10" x14ac:dyDescent="0.3">
      <c r="A1219" s="2" t="s">
        <v>10294</v>
      </c>
      <c r="B1219" s="2" t="s">
        <v>97</v>
      </c>
      <c r="C1219" s="2" t="s">
        <v>98</v>
      </c>
      <c r="D1219" s="3">
        <v>62400</v>
      </c>
      <c r="E1219" s="3">
        <v>62400</v>
      </c>
      <c r="F1219" s="2" t="s">
        <v>16</v>
      </c>
      <c r="G1219">
        <v>5.1999999999999998E-2</v>
      </c>
      <c r="H1219" s="9">
        <f t="shared" ref="H1219:H1282" si="19">IFERROR(IF(LEFT(B1219,1)="F",E1219/G1219,0),0)</f>
        <v>0</v>
      </c>
      <c r="I1219" t="s">
        <v>97</v>
      </c>
      <c r="J1219" t="s">
        <v>98</v>
      </c>
    </row>
    <row r="1220" spans="1:10" x14ac:dyDescent="0.3">
      <c r="A1220" s="2" t="s">
        <v>10303</v>
      </c>
      <c r="B1220" s="2" t="s">
        <v>86</v>
      </c>
      <c r="C1220" s="2" t="s">
        <v>87</v>
      </c>
      <c r="D1220" s="5">
        <v>-259</v>
      </c>
      <c r="E1220" s="5">
        <v>-259</v>
      </c>
      <c r="F1220" s="2" t="s">
        <v>23</v>
      </c>
      <c r="G1220">
        <v>1.35E-2</v>
      </c>
      <c r="H1220" s="9">
        <f t="shared" si="19"/>
        <v>-19185.185185185186</v>
      </c>
      <c r="I1220" t="s">
        <v>5507</v>
      </c>
      <c r="J1220" t="s">
        <v>5508</v>
      </c>
    </row>
    <row r="1221" spans="1:10" x14ac:dyDescent="0.3">
      <c r="A1221" s="2" t="s">
        <v>10303</v>
      </c>
      <c r="B1221" s="2" t="s">
        <v>5507</v>
      </c>
      <c r="C1221" s="2" t="s">
        <v>5508</v>
      </c>
      <c r="D1221" s="3">
        <v>211200</v>
      </c>
      <c r="E1221" s="3">
        <v>211200</v>
      </c>
      <c r="F1221" s="2" t="s">
        <v>16</v>
      </c>
      <c r="G1221">
        <v>1.35E-2</v>
      </c>
      <c r="H1221" s="9">
        <f t="shared" si="19"/>
        <v>0</v>
      </c>
      <c r="I1221" t="s">
        <v>5507</v>
      </c>
      <c r="J1221" t="s">
        <v>5508</v>
      </c>
    </row>
    <row r="1222" spans="1:10" x14ac:dyDescent="0.3">
      <c r="A1222" s="2" t="s">
        <v>10316</v>
      </c>
      <c r="B1222" s="2" t="s">
        <v>693</v>
      </c>
      <c r="C1222" s="2" t="s">
        <v>694</v>
      </c>
      <c r="D1222" s="3">
        <v>81900</v>
      </c>
      <c r="E1222" s="3">
        <v>81900</v>
      </c>
      <c r="F1222" s="2" t="s">
        <v>16</v>
      </c>
      <c r="G1222">
        <v>2.1000000000000001E-2</v>
      </c>
      <c r="H1222" s="9">
        <f t="shared" si="19"/>
        <v>0</v>
      </c>
      <c r="I1222" t="s">
        <v>693</v>
      </c>
      <c r="J1222" t="s">
        <v>694</v>
      </c>
    </row>
    <row r="1223" spans="1:10" x14ac:dyDescent="0.3">
      <c r="A1223" s="2" t="s">
        <v>10325</v>
      </c>
      <c r="B1223" s="2" t="s">
        <v>4791</v>
      </c>
      <c r="C1223" s="2" t="s">
        <v>4792</v>
      </c>
      <c r="D1223" s="3">
        <v>317952</v>
      </c>
      <c r="E1223" s="3">
        <v>317952</v>
      </c>
      <c r="F1223" s="2" t="s">
        <v>16</v>
      </c>
      <c r="G1223">
        <v>4.4999999999999998E-2</v>
      </c>
      <c r="H1223" s="9">
        <f t="shared" si="19"/>
        <v>0</v>
      </c>
      <c r="I1223" t="s">
        <v>4791</v>
      </c>
      <c r="J1223" t="s">
        <v>4792</v>
      </c>
    </row>
    <row r="1224" spans="1:10" x14ac:dyDescent="0.3">
      <c r="A1224" s="2" t="s">
        <v>10334</v>
      </c>
      <c r="B1224" s="2" t="s">
        <v>5357</v>
      </c>
      <c r="C1224" s="2" t="s">
        <v>5358</v>
      </c>
      <c r="D1224" s="3">
        <v>92736</v>
      </c>
      <c r="E1224" s="3">
        <v>92736</v>
      </c>
      <c r="F1224" s="2" t="s">
        <v>16</v>
      </c>
      <c r="G1224">
        <v>4.4999999999999998E-2</v>
      </c>
      <c r="H1224" s="9">
        <f t="shared" si="19"/>
        <v>0</v>
      </c>
      <c r="I1224" t="s">
        <v>5357</v>
      </c>
      <c r="J1224" t="s">
        <v>5358</v>
      </c>
    </row>
    <row r="1225" spans="1:10" x14ac:dyDescent="0.3">
      <c r="A1225" s="2" t="s">
        <v>10343</v>
      </c>
      <c r="B1225" s="2" t="s">
        <v>65</v>
      </c>
      <c r="C1225" s="2" t="s">
        <v>66</v>
      </c>
      <c r="D1225" s="5">
        <v>-213</v>
      </c>
      <c r="E1225" s="5">
        <v>-213</v>
      </c>
      <c r="F1225" s="2" t="s">
        <v>23</v>
      </c>
      <c r="G1225">
        <v>1.35E-2</v>
      </c>
      <c r="H1225" s="9">
        <f t="shared" si="19"/>
        <v>-15777.777777777777</v>
      </c>
      <c r="I1225" t="s">
        <v>10352</v>
      </c>
      <c r="J1225" t="s">
        <v>10353</v>
      </c>
    </row>
    <row r="1226" spans="1:10" x14ac:dyDescent="0.3">
      <c r="A1226" s="2" t="s">
        <v>10343</v>
      </c>
      <c r="B1226" s="2" t="s">
        <v>10352</v>
      </c>
      <c r="C1226" s="2" t="s">
        <v>10353</v>
      </c>
      <c r="D1226" s="3">
        <v>73450</v>
      </c>
      <c r="E1226" s="3">
        <v>73450</v>
      </c>
      <c r="F1226" s="2" t="s">
        <v>16</v>
      </c>
      <c r="G1226">
        <v>1.35E-2</v>
      </c>
      <c r="H1226" s="9">
        <f t="shared" si="19"/>
        <v>0</v>
      </c>
      <c r="I1226" t="s">
        <v>10352</v>
      </c>
      <c r="J1226" t="s">
        <v>10353</v>
      </c>
    </row>
    <row r="1227" spans="1:10" x14ac:dyDescent="0.3">
      <c r="A1227" s="2" t="s">
        <v>10357</v>
      </c>
      <c r="B1227" s="2" t="s">
        <v>5357</v>
      </c>
      <c r="C1227" s="2" t="s">
        <v>5358</v>
      </c>
      <c r="D1227" s="3">
        <v>225216</v>
      </c>
      <c r="E1227" s="3">
        <v>225216</v>
      </c>
      <c r="F1227" s="2" t="s">
        <v>16</v>
      </c>
      <c r="G1227">
        <v>4.4999999999999998E-2</v>
      </c>
      <c r="H1227" s="9">
        <f t="shared" si="19"/>
        <v>0</v>
      </c>
      <c r="I1227" t="s">
        <v>5357</v>
      </c>
      <c r="J1227" t="s">
        <v>5358</v>
      </c>
    </row>
    <row r="1228" spans="1:10" x14ac:dyDescent="0.3">
      <c r="A1228" s="2" t="s">
        <v>10366</v>
      </c>
      <c r="B1228" s="2" t="s">
        <v>65</v>
      </c>
      <c r="C1228" s="2" t="s">
        <v>66</v>
      </c>
      <c r="D1228" s="5">
        <v>-264.88799999999998</v>
      </c>
      <c r="E1228" s="5">
        <v>-264.88799999999998</v>
      </c>
      <c r="F1228" s="2" t="s">
        <v>23</v>
      </c>
      <c r="G1228">
        <v>4.4999999999999998E-2</v>
      </c>
      <c r="H1228" s="9">
        <f t="shared" si="19"/>
        <v>-5886.4</v>
      </c>
      <c r="I1228" t="s">
        <v>5347</v>
      </c>
      <c r="J1228" t="s">
        <v>5348</v>
      </c>
    </row>
    <row r="1229" spans="1:10" x14ac:dyDescent="0.3">
      <c r="A1229" s="2" t="s">
        <v>10366</v>
      </c>
      <c r="B1229" s="2" t="s">
        <v>5347</v>
      </c>
      <c r="C1229" s="2" t="s">
        <v>5348</v>
      </c>
      <c r="D1229" s="3">
        <v>59616</v>
      </c>
      <c r="E1229" s="3">
        <v>0</v>
      </c>
      <c r="F1229" s="2" t="s">
        <v>16</v>
      </c>
      <c r="G1229">
        <v>4.4999999999999998E-2</v>
      </c>
      <c r="H1229" s="9">
        <f t="shared" si="19"/>
        <v>0</v>
      </c>
      <c r="I1229" t="s">
        <v>5347</v>
      </c>
      <c r="J1229" t="s">
        <v>5348</v>
      </c>
    </row>
    <row r="1230" spans="1:10" x14ac:dyDescent="0.3">
      <c r="A1230" s="2" t="s">
        <v>10366</v>
      </c>
      <c r="B1230" s="2" t="s">
        <v>4791</v>
      </c>
      <c r="C1230" s="2" t="s">
        <v>4792</v>
      </c>
      <c r="D1230" s="3">
        <v>59616</v>
      </c>
      <c r="E1230" s="3">
        <v>59616</v>
      </c>
      <c r="F1230" s="2" t="s">
        <v>16</v>
      </c>
      <c r="G1230">
        <v>4.4999999999999998E-2</v>
      </c>
      <c r="H1230" s="9">
        <f t="shared" si="19"/>
        <v>0</v>
      </c>
      <c r="I1230" t="s">
        <v>5347</v>
      </c>
      <c r="J1230" t="s">
        <v>5348</v>
      </c>
    </row>
    <row r="1231" spans="1:10" x14ac:dyDescent="0.3">
      <c r="A1231" s="2" t="s">
        <v>10382</v>
      </c>
      <c r="B1231" s="2" t="s">
        <v>5357</v>
      </c>
      <c r="C1231" s="2" t="s">
        <v>5358</v>
      </c>
      <c r="D1231" s="3">
        <v>317952</v>
      </c>
      <c r="E1231" s="3">
        <v>317952</v>
      </c>
      <c r="F1231" s="2" t="s">
        <v>16</v>
      </c>
      <c r="G1231">
        <v>4.4999999999999998E-2</v>
      </c>
      <c r="H1231" s="9">
        <f t="shared" si="19"/>
        <v>0</v>
      </c>
      <c r="I1231" t="s">
        <v>5357</v>
      </c>
      <c r="J1231" t="s">
        <v>5358</v>
      </c>
    </row>
    <row r="1232" spans="1:10" x14ac:dyDescent="0.3">
      <c r="A1232" s="2" t="s">
        <v>10391</v>
      </c>
      <c r="B1232" s="2" t="s">
        <v>1667</v>
      </c>
      <c r="C1232" s="2" t="s">
        <v>1668</v>
      </c>
      <c r="D1232" s="3">
        <v>83520</v>
      </c>
      <c r="E1232" s="3">
        <v>83520</v>
      </c>
      <c r="F1232" s="2" t="s">
        <v>16</v>
      </c>
      <c r="G1232">
        <v>1.15E-2</v>
      </c>
      <c r="H1232" s="9">
        <f t="shared" si="19"/>
        <v>0</v>
      </c>
      <c r="I1232" t="s">
        <v>1667</v>
      </c>
      <c r="J1232" t="s">
        <v>1668</v>
      </c>
    </row>
    <row r="1233" spans="1:10" x14ac:dyDescent="0.3">
      <c r="A1233" s="2" t="s">
        <v>10400</v>
      </c>
      <c r="B1233" s="2" t="s">
        <v>5357</v>
      </c>
      <c r="C1233" s="2" t="s">
        <v>5358</v>
      </c>
      <c r="D1233" s="3">
        <v>6624</v>
      </c>
      <c r="E1233" s="3">
        <v>6624</v>
      </c>
      <c r="F1233" s="2" t="s">
        <v>16</v>
      </c>
      <c r="G1233">
        <v>4.4999999999999998E-2</v>
      </c>
      <c r="H1233" s="9">
        <f t="shared" si="19"/>
        <v>0</v>
      </c>
      <c r="I1233" t="s">
        <v>5477</v>
      </c>
      <c r="J1233" t="s">
        <v>5478</v>
      </c>
    </row>
    <row r="1234" spans="1:10" x14ac:dyDescent="0.3">
      <c r="A1234" s="2" t="s">
        <v>10405</v>
      </c>
      <c r="B1234" s="2" t="s">
        <v>5357</v>
      </c>
      <c r="C1234" s="2" t="s">
        <v>5358</v>
      </c>
      <c r="D1234" s="3">
        <v>6624</v>
      </c>
      <c r="E1234" s="3">
        <v>6624</v>
      </c>
      <c r="F1234" s="2" t="s">
        <v>16</v>
      </c>
      <c r="G1234">
        <v>4.4999999999999998E-2</v>
      </c>
      <c r="H1234" s="9">
        <f t="shared" si="19"/>
        <v>0</v>
      </c>
      <c r="I1234" t="s">
        <v>5477</v>
      </c>
      <c r="J1234" t="s">
        <v>5478</v>
      </c>
    </row>
    <row r="1235" spans="1:10" x14ac:dyDescent="0.3">
      <c r="A1235" s="2" t="s">
        <v>10410</v>
      </c>
      <c r="B1235" s="2" t="s">
        <v>1170</v>
      </c>
      <c r="C1235" s="2" t="s">
        <v>1171</v>
      </c>
      <c r="D1235" s="3">
        <v>24000</v>
      </c>
      <c r="E1235" s="3">
        <v>24000</v>
      </c>
      <c r="F1235" s="2" t="s">
        <v>16</v>
      </c>
      <c r="G1235">
        <v>5.1999999999999998E-2</v>
      </c>
      <c r="H1235" s="9">
        <f t="shared" si="19"/>
        <v>0</v>
      </c>
      <c r="I1235" t="s">
        <v>1170</v>
      </c>
      <c r="J1235" t="s">
        <v>1171</v>
      </c>
    </row>
    <row r="1236" spans="1:10" x14ac:dyDescent="0.3">
      <c r="A1236" s="2" t="s">
        <v>10415</v>
      </c>
      <c r="B1236" s="2" t="s">
        <v>4237</v>
      </c>
      <c r="C1236" s="2" t="s">
        <v>4238</v>
      </c>
      <c r="D1236" s="3">
        <v>12172</v>
      </c>
      <c r="E1236" s="3">
        <v>12172</v>
      </c>
      <c r="F1236" s="2" t="s">
        <v>16</v>
      </c>
      <c r="G1236">
        <v>3.5999999999999997E-2</v>
      </c>
      <c r="H1236" s="9">
        <f t="shared" si="19"/>
        <v>0</v>
      </c>
      <c r="I1236" t="s">
        <v>70</v>
      </c>
      <c r="J1236" t="s">
        <v>71</v>
      </c>
    </row>
    <row r="1237" spans="1:10" x14ac:dyDescent="0.3">
      <c r="A1237" s="2" t="s">
        <v>10420</v>
      </c>
      <c r="B1237" s="2" t="s">
        <v>86</v>
      </c>
      <c r="C1237" s="2" t="s">
        <v>87</v>
      </c>
      <c r="D1237" s="5">
        <v>-222</v>
      </c>
      <c r="E1237" s="5">
        <v>-222</v>
      </c>
      <c r="F1237" s="2" t="s">
        <v>23</v>
      </c>
      <c r="G1237">
        <v>7.45E-3</v>
      </c>
      <c r="H1237" s="9">
        <f t="shared" si="19"/>
        <v>-29798.657718120805</v>
      </c>
      <c r="I1237" t="s">
        <v>797</v>
      </c>
      <c r="J1237" t="s">
        <v>798</v>
      </c>
    </row>
    <row r="1238" spans="1:10" x14ac:dyDescent="0.3">
      <c r="A1238" s="2" t="s">
        <v>10420</v>
      </c>
      <c r="B1238" s="2" t="s">
        <v>797</v>
      </c>
      <c r="C1238" s="2" t="s">
        <v>798</v>
      </c>
      <c r="D1238" s="3">
        <v>119520</v>
      </c>
      <c r="E1238" s="3">
        <v>119520</v>
      </c>
      <c r="F1238" s="2" t="s">
        <v>16</v>
      </c>
      <c r="G1238">
        <v>7.45E-3</v>
      </c>
      <c r="H1238" s="9">
        <f t="shared" si="19"/>
        <v>0</v>
      </c>
      <c r="I1238" t="s">
        <v>797</v>
      </c>
      <c r="J1238" t="s">
        <v>798</v>
      </c>
    </row>
    <row r="1239" spans="1:10" x14ac:dyDescent="0.3">
      <c r="A1239" s="2" t="s">
        <v>10433</v>
      </c>
      <c r="B1239" s="2" t="s">
        <v>5477</v>
      </c>
      <c r="C1239" s="2" t="s">
        <v>5478</v>
      </c>
      <c r="D1239" s="3">
        <v>6624</v>
      </c>
      <c r="E1239" s="3">
        <v>6624</v>
      </c>
      <c r="F1239" s="2" t="s">
        <v>16</v>
      </c>
      <c r="G1239">
        <v>4.4999999999999998E-2</v>
      </c>
      <c r="H1239" s="9">
        <f t="shared" si="19"/>
        <v>0</v>
      </c>
      <c r="I1239" t="s">
        <v>5477</v>
      </c>
      <c r="J1239" t="s">
        <v>5478</v>
      </c>
    </row>
    <row r="1240" spans="1:10" x14ac:dyDescent="0.3">
      <c r="A1240" s="2" t="s">
        <v>10438</v>
      </c>
      <c r="B1240" s="2" t="s">
        <v>3028</v>
      </c>
      <c r="C1240" s="2" t="s">
        <v>3029</v>
      </c>
      <c r="D1240" s="3">
        <v>50760</v>
      </c>
      <c r="E1240" s="3">
        <v>50760</v>
      </c>
      <c r="F1240" s="2" t="s">
        <v>16</v>
      </c>
      <c r="G1240">
        <v>9.4000000000000004E-3</v>
      </c>
      <c r="H1240" s="9">
        <f t="shared" si="19"/>
        <v>0</v>
      </c>
      <c r="I1240" t="s">
        <v>3028</v>
      </c>
      <c r="J1240" t="s">
        <v>3029</v>
      </c>
    </row>
    <row r="1241" spans="1:10" x14ac:dyDescent="0.3">
      <c r="A1241" s="2" t="s">
        <v>10447</v>
      </c>
      <c r="B1241" s="2" t="s">
        <v>86</v>
      </c>
      <c r="C1241" s="2" t="s">
        <v>87</v>
      </c>
      <c r="D1241" s="5">
        <v>-238</v>
      </c>
      <c r="E1241" s="5">
        <v>-238</v>
      </c>
      <c r="F1241" s="2" t="s">
        <v>23</v>
      </c>
      <c r="G1241">
        <v>9.4000000000000004E-3</v>
      </c>
      <c r="H1241" s="9">
        <f t="shared" si="19"/>
        <v>-25319.148936170212</v>
      </c>
      <c r="I1241" t="s">
        <v>3028</v>
      </c>
      <c r="J1241" t="s">
        <v>3029</v>
      </c>
    </row>
    <row r="1242" spans="1:10" x14ac:dyDescent="0.3">
      <c r="A1242" s="2" t="s">
        <v>10447</v>
      </c>
      <c r="B1242" s="2" t="s">
        <v>76</v>
      </c>
      <c r="C1242" s="2" t="s">
        <v>77</v>
      </c>
      <c r="D1242" s="3">
        <v>431460</v>
      </c>
      <c r="E1242" s="3">
        <v>431460</v>
      </c>
      <c r="F1242" s="2" t="s">
        <v>16</v>
      </c>
      <c r="G1242">
        <v>9.4000000000000004E-3</v>
      </c>
      <c r="H1242" s="9">
        <f t="shared" si="19"/>
        <v>0</v>
      </c>
      <c r="I1242" t="s">
        <v>3028</v>
      </c>
      <c r="J1242" t="s">
        <v>3029</v>
      </c>
    </row>
    <row r="1243" spans="1:10" x14ac:dyDescent="0.3">
      <c r="A1243" s="2" t="s">
        <v>10460</v>
      </c>
      <c r="B1243" s="2" t="s">
        <v>6182</v>
      </c>
      <c r="C1243" s="2" t="s">
        <v>6183</v>
      </c>
      <c r="D1243" s="3">
        <v>239040</v>
      </c>
      <c r="E1243" s="3">
        <v>239040</v>
      </c>
      <c r="F1243" s="2" t="s">
        <v>16</v>
      </c>
      <c r="G1243">
        <v>7.45E-3</v>
      </c>
      <c r="H1243" s="9">
        <f t="shared" si="19"/>
        <v>0</v>
      </c>
      <c r="I1243" t="s">
        <v>797</v>
      </c>
      <c r="J1243" t="s">
        <v>798</v>
      </c>
    </row>
    <row r="1244" spans="1:10" x14ac:dyDescent="0.3">
      <c r="A1244" s="2" t="s">
        <v>10469</v>
      </c>
      <c r="B1244" s="2" t="s">
        <v>86</v>
      </c>
      <c r="C1244" s="2" t="s">
        <v>87</v>
      </c>
      <c r="D1244" s="5">
        <v>-252</v>
      </c>
      <c r="E1244" s="5">
        <v>-252</v>
      </c>
      <c r="F1244" s="2" t="s">
        <v>23</v>
      </c>
      <c r="G1244">
        <v>7.45E-3</v>
      </c>
      <c r="H1244" s="9">
        <f t="shared" si="19"/>
        <v>-33825.503355704699</v>
      </c>
      <c r="I1244" t="s">
        <v>797</v>
      </c>
      <c r="J1244" t="s">
        <v>798</v>
      </c>
    </row>
    <row r="1245" spans="1:10" x14ac:dyDescent="0.3">
      <c r="A1245" s="2" t="s">
        <v>10469</v>
      </c>
      <c r="B1245" s="2" t="s">
        <v>4511</v>
      </c>
      <c r="C1245" s="2" t="s">
        <v>4512</v>
      </c>
      <c r="D1245" s="3">
        <v>302800</v>
      </c>
      <c r="E1245" s="3">
        <v>302800</v>
      </c>
      <c r="F1245" s="2" t="s">
        <v>16</v>
      </c>
      <c r="G1245">
        <v>7.45E-3</v>
      </c>
      <c r="H1245" s="9">
        <f t="shared" si="19"/>
        <v>0</v>
      </c>
      <c r="I1245" t="s">
        <v>797</v>
      </c>
      <c r="J1245" t="s">
        <v>798</v>
      </c>
    </row>
    <row r="1246" spans="1:10" x14ac:dyDescent="0.3">
      <c r="A1246" s="2" t="s">
        <v>10482</v>
      </c>
      <c r="B1246" s="2" t="s">
        <v>65</v>
      </c>
      <c r="C1246" s="2" t="s">
        <v>66</v>
      </c>
      <c r="D1246" s="5">
        <v>-499</v>
      </c>
      <c r="E1246" s="5">
        <v>-499</v>
      </c>
      <c r="F1246" s="2" t="s">
        <v>23</v>
      </c>
      <c r="G1246">
        <v>5.1999999999999998E-2</v>
      </c>
      <c r="H1246" s="9">
        <f t="shared" si="19"/>
        <v>-9596.1538461538457</v>
      </c>
      <c r="I1246" t="s">
        <v>1170</v>
      </c>
      <c r="J1246" t="s">
        <v>1171</v>
      </c>
    </row>
    <row r="1247" spans="1:10" x14ac:dyDescent="0.3">
      <c r="A1247" s="2" t="s">
        <v>10482</v>
      </c>
      <c r="B1247" s="2" t="s">
        <v>97</v>
      </c>
      <c r="C1247" s="2" t="s">
        <v>98</v>
      </c>
      <c r="D1247" s="3">
        <v>67200</v>
      </c>
      <c r="E1247" s="3">
        <v>67200</v>
      </c>
      <c r="F1247" s="2" t="s">
        <v>16</v>
      </c>
      <c r="G1247">
        <v>5.1999999999999998E-2</v>
      </c>
      <c r="H1247" s="9">
        <f t="shared" si="19"/>
        <v>0</v>
      </c>
      <c r="I1247" t="s">
        <v>1170</v>
      </c>
      <c r="J1247" t="s">
        <v>1171</v>
      </c>
    </row>
    <row r="1248" spans="1:10" x14ac:dyDescent="0.3">
      <c r="A1248" s="2" t="s">
        <v>10495</v>
      </c>
      <c r="B1248" s="2" t="s">
        <v>1113</v>
      </c>
      <c r="C1248" s="2" t="s">
        <v>1114</v>
      </c>
      <c r="D1248" s="3">
        <v>6624</v>
      </c>
      <c r="E1248" s="3">
        <v>6624</v>
      </c>
      <c r="F1248" s="2" t="s">
        <v>16</v>
      </c>
      <c r="G1248">
        <v>4.4999999999999998E-2</v>
      </c>
      <c r="H1248" s="9">
        <f t="shared" si="19"/>
        <v>0</v>
      </c>
      <c r="I1248" t="s">
        <v>5357</v>
      </c>
      <c r="J1248" t="s">
        <v>5358</v>
      </c>
    </row>
    <row r="1249" spans="1:10" x14ac:dyDescent="0.3">
      <c r="A1249" s="2" t="s">
        <v>10500</v>
      </c>
      <c r="B1249" s="2" t="s">
        <v>1113</v>
      </c>
      <c r="C1249" s="2" t="s">
        <v>1114</v>
      </c>
      <c r="D1249" s="3">
        <v>6624</v>
      </c>
      <c r="E1249" s="3">
        <v>6624</v>
      </c>
      <c r="F1249" s="2" t="s">
        <v>16</v>
      </c>
      <c r="G1249">
        <v>4.4999999999999998E-2</v>
      </c>
      <c r="H1249" s="9">
        <f t="shared" si="19"/>
        <v>0</v>
      </c>
      <c r="I1249" t="s">
        <v>5357</v>
      </c>
      <c r="J1249" t="s">
        <v>5358</v>
      </c>
    </row>
    <row r="1250" spans="1:10" x14ac:dyDescent="0.3">
      <c r="A1250" s="2" t="s">
        <v>10505</v>
      </c>
      <c r="B1250" s="2" t="s">
        <v>10506</v>
      </c>
      <c r="C1250" s="2" t="s">
        <v>10507</v>
      </c>
      <c r="D1250" s="3">
        <v>13248</v>
      </c>
      <c r="E1250" s="3">
        <v>13248</v>
      </c>
      <c r="F1250" s="2" t="s">
        <v>16</v>
      </c>
      <c r="G1250">
        <v>4.4999999999999998E-2</v>
      </c>
      <c r="H1250" s="9">
        <f t="shared" si="19"/>
        <v>0</v>
      </c>
      <c r="I1250" t="s">
        <v>4791</v>
      </c>
      <c r="J1250" t="s">
        <v>4792</v>
      </c>
    </row>
    <row r="1251" spans="1:10" x14ac:dyDescent="0.3">
      <c r="A1251" s="2" t="s">
        <v>10511</v>
      </c>
      <c r="B1251" s="2" t="s">
        <v>740</v>
      </c>
      <c r="C1251" s="2" t="s">
        <v>741</v>
      </c>
      <c r="D1251" s="3">
        <v>1019520</v>
      </c>
      <c r="E1251" s="3">
        <v>1019520</v>
      </c>
      <c r="F1251" s="2" t="s">
        <v>16</v>
      </c>
      <c r="G1251">
        <v>3.0499999999999999E-2</v>
      </c>
      <c r="H1251" s="9">
        <f t="shared" si="19"/>
        <v>0</v>
      </c>
      <c r="I1251" t="s">
        <v>740</v>
      </c>
      <c r="J1251" t="s">
        <v>741</v>
      </c>
    </row>
    <row r="1252" spans="1:10" x14ac:dyDescent="0.3">
      <c r="A1252" s="2" t="s">
        <v>10523</v>
      </c>
      <c r="B1252" s="2" t="s">
        <v>86</v>
      </c>
      <c r="C1252" s="2" t="s">
        <v>87</v>
      </c>
      <c r="D1252" s="5">
        <v>-238</v>
      </c>
      <c r="E1252" s="5">
        <v>-238</v>
      </c>
      <c r="F1252" s="2" t="s">
        <v>23</v>
      </c>
      <c r="G1252">
        <v>9.4000000000000004E-3</v>
      </c>
      <c r="H1252" s="9">
        <f t="shared" si="19"/>
        <v>-25319.148936170212</v>
      </c>
      <c r="I1252" t="s">
        <v>3028</v>
      </c>
      <c r="J1252" t="s">
        <v>3029</v>
      </c>
    </row>
    <row r="1253" spans="1:10" x14ac:dyDescent="0.3">
      <c r="A1253" s="2" t="s">
        <v>10523</v>
      </c>
      <c r="B1253" s="2" t="s">
        <v>76</v>
      </c>
      <c r="C1253" s="2" t="s">
        <v>77</v>
      </c>
      <c r="D1253" s="3">
        <v>329940</v>
      </c>
      <c r="E1253" s="3">
        <v>329940</v>
      </c>
      <c r="F1253" s="2" t="s">
        <v>16</v>
      </c>
      <c r="G1253">
        <v>9.4000000000000004E-3</v>
      </c>
      <c r="H1253" s="9">
        <f t="shared" si="19"/>
        <v>0</v>
      </c>
      <c r="I1253" t="s">
        <v>3028</v>
      </c>
      <c r="J1253" t="s">
        <v>3029</v>
      </c>
    </row>
    <row r="1254" spans="1:10" x14ac:dyDescent="0.3">
      <c r="A1254" s="2" t="s">
        <v>10539</v>
      </c>
      <c r="B1254" s="2" t="s">
        <v>86</v>
      </c>
      <c r="C1254" s="2" t="s">
        <v>87</v>
      </c>
      <c r="D1254" s="5">
        <v>-268</v>
      </c>
      <c r="E1254" s="5">
        <v>-268</v>
      </c>
      <c r="F1254" s="2" t="s">
        <v>23</v>
      </c>
      <c r="G1254">
        <v>2.6600000000000002E-2</v>
      </c>
      <c r="H1254" s="9">
        <f t="shared" si="19"/>
        <v>-10075.187969924811</v>
      </c>
      <c r="I1254" t="s">
        <v>4988</v>
      </c>
      <c r="J1254" t="s">
        <v>4989</v>
      </c>
    </row>
    <row r="1255" spans="1:10" x14ac:dyDescent="0.3">
      <c r="A1255" s="2" t="s">
        <v>10539</v>
      </c>
      <c r="B1255" s="2" t="s">
        <v>2840</v>
      </c>
      <c r="C1255" s="2" t="s">
        <v>2841</v>
      </c>
      <c r="D1255" s="3">
        <v>30240</v>
      </c>
      <c r="E1255" s="3">
        <v>30240</v>
      </c>
      <c r="F1255" s="2" t="s">
        <v>16</v>
      </c>
      <c r="G1255">
        <v>2.6600000000000002E-2</v>
      </c>
      <c r="H1255" s="9">
        <f t="shared" si="19"/>
        <v>0</v>
      </c>
      <c r="I1255" t="s">
        <v>4988</v>
      </c>
      <c r="J1255" t="s">
        <v>4989</v>
      </c>
    </row>
    <row r="1256" spans="1:10" x14ac:dyDescent="0.3">
      <c r="A1256" s="2" t="s">
        <v>10548</v>
      </c>
      <c r="B1256" s="2" t="s">
        <v>4988</v>
      </c>
      <c r="C1256" s="2" t="s">
        <v>4989</v>
      </c>
      <c r="D1256" s="3">
        <v>20160</v>
      </c>
      <c r="E1256" s="3">
        <v>20160</v>
      </c>
      <c r="F1256" s="2" t="s">
        <v>16</v>
      </c>
      <c r="G1256">
        <v>2.6600000000000002E-2</v>
      </c>
      <c r="H1256" s="9">
        <f t="shared" si="19"/>
        <v>0</v>
      </c>
      <c r="I1256" t="s">
        <v>4988</v>
      </c>
      <c r="J1256" t="s">
        <v>4989</v>
      </c>
    </row>
    <row r="1257" spans="1:10" x14ac:dyDescent="0.3">
      <c r="A1257" s="2" t="s">
        <v>10553</v>
      </c>
      <c r="B1257" s="2" t="s">
        <v>65</v>
      </c>
      <c r="C1257" s="2" t="s">
        <v>66</v>
      </c>
      <c r="D1257" s="5">
        <v>-140</v>
      </c>
      <c r="E1257" s="5">
        <v>-140</v>
      </c>
      <c r="F1257" s="2" t="s">
        <v>23</v>
      </c>
      <c r="G1257">
        <v>1.2699999999999999E-2</v>
      </c>
      <c r="H1257" s="9">
        <f t="shared" si="19"/>
        <v>-11023.622047244095</v>
      </c>
      <c r="I1257" t="s">
        <v>2611</v>
      </c>
      <c r="J1257" t="s">
        <v>2612</v>
      </c>
    </row>
    <row r="1258" spans="1:10" x14ac:dyDescent="0.3">
      <c r="A1258" s="2" t="s">
        <v>10553</v>
      </c>
      <c r="B1258" s="2" t="s">
        <v>2611</v>
      </c>
      <c r="C1258" s="2" t="s">
        <v>2612</v>
      </c>
      <c r="D1258" s="3">
        <v>138528</v>
      </c>
      <c r="E1258" s="3">
        <v>138528</v>
      </c>
      <c r="F1258" s="2" t="s">
        <v>16</v>
      </c>
      <c r="G1258">
        <v>1.2699999999999999E-2</v>
      </c>
      <c r="H1258" s="9">
        <f t="shared" si="19"/>
        <v>0</v>
      </c>
      <c r="I1258" t="s">
        <v>2611</v>
      </c>
      <c r="J1258" t="s">
        <v>2612</v>
      </c>
    </row>
    <row r="1259" spans="1:10" x14ac:dyDescent="0.3">
      <c r="A1259" s="2" t="s">
        <v>10566</v>
      </c>
      <c r="B1259" s="2" t="s">
        <v>289</v>
      </c>
      <c r="C1259" s="2" t="s">
        <v>290</v>
      </c>
      <c r="D1259" s="3">
        <v>45000</v>
      </c>
      <c r="E1259" s="3">
        <v>45000</v>
      </c>
      <c r="F1259" s="2" t="s">
        <v>16</v>
      </c>
      <c r="G1259">
        <v>1.55E-2</v>
      </c>
      <c r="H1259" s="9">
        <f t="shared" si="19"/>
        <v>0</v>
      </c>
      <c r="I1259" t="s">
        <v>289</v>
      </c>
      <c r="J1259" t="s">
        <v>290</v>
      </c>
    </row>
    <row r="1260" spans="1:10" x14ac:dyDescent="0.3">
      <c r="A1260" s="2" t="s">
        <v>10571</v>
      </c>
      <c r="B1260" s="2" t="s">
        <v>86</v>
      </c>
      <c r="C1260" s="2" t="s">
        <v>87</v>
      </c>
      <c r="D1260" s="5">
        <v>-140</v>
      </c>
      <c r="E1260" s="5">
        <v>-140</v>
      </c>
      <c r="F1260" s="2" t="s">
        <v>23</v>
      </c>
      <c r="G1260">
        <v>2.6600000000000002E-2</v>
      </c>
      <c r="H1260" s="9">
        <f t="shared" si="19"/>
        <v>-5263.1578947368416</v>
      </c>
      <c r="I1260" t="s">
        <v>2803</v>
      </c>
      <c r="J1260" t="s">
        <v>2804</v>
      </c>
    </row>
    <row r="1261" spans="1:10" x14ac:dyDescent="0.3">
      <c r="A1261" s="2" t="s">
        <v>10571</v>
      </c>
      <c r="B1261" s="2" t="s">
        <v>2803</v>
      </c>
      <c r="C1261" s="2" t="s">
        <v>2804</v>
      </c>
      <c r="D1261" s="3">
        <v>40320</v>
      </c>
      <c r="E1261" s="3">
        <v>40320</v>
      </c>
      <c r="F1261" s="2" t="s">
        <v>16</v>
      </c>
      <c r="G1261">
        <v>2.6600000000000002E-2</v>
      </c>
      <c r="H1261" s="9">
        <f t="shared" si="19"/>
        <v>0</v>
      </c>
      <c r="I1261" t="s">
        <v>2803</v>
      </c>
      <c r="J1261" t="s">
        <v>2804</v>
      </c>
    </row>
    <row r="1262" spans="1:10" x14ac:dyDescent="0.3">
      <c r="A1262" s="2" t="s">
        <v>10580</v>
      </c>
      <c r="B1262" s="2" t="s">
        <v>1027</v>
      </c>
      <c r="C1262" s="2" t="s">
        <v>1028</v>
      </c>
      <c r="D1262" s="3">
        <v>562860</v>
      </c>
      <c r="E1262" s="3">
        <v>562860</v>
      </c>
      <c r="F1262" s="2" t="s">
        <v>16</v>
      </c>
      <c r="G1262">
        <v>3.0499999999999999E-2</v>
      </c>
      <c r="H1262" s="9">
        <f t="shared" si="19"/>
        <v>0</v>
      </c>
      <c r="I1262" t="s">
        <v>1027</v>
      </c>
      <c r="J1262" t="s">
        <v>1028</v>
      </c>
    </row>
    <row r="1263" spans="1:10" x14ac:dyDescent="0.3">
      <c r="A1263" s="2" t="s">
        <v>10589</v>
      </c>
      <c r="B1263" s="2" t="s">
        <v>6182</v>
      </c>
      <c r="C1263" s="2" t="s">
        <v>6183</v>
      </c>
      <c r="D1263" s="3">
        <v>119520</v>
      </c>
      <c r="E1263" s="3">
        <v>119520</v>
      </c>
      <c r="F1263" s="2" t="s">
        <v>16</v>
      </c>
      <c r="G1263">
        <v>7.45E-3</v>
      </c>
      <c r="H1263" s="9">
        <f t="shared" si="19"/>
        <v>0</v>
      </c>
      <c r="I1263" t="s">
        <v>797</v>
      </c>
      <c r="J1263" t="s">
        <v>798</v>
      </c>
    </row>
    <row r="1264" spans="1:10" x14ac:dyDescent="0.3">
      <c r="A1264" s="2" t="s">
        <v>10598</v>
      </c>
      <c r="B1264" s="2" t="s">
        <v>6182</v>
      </c>
      <c r="C1264" s="2" t="s">
        <v>6183</v>
      </c>
      <c r="D1264" s="3">
        <v>119520</v>
      </c>
      <c r="E1264" s="3">
        <v>0</v>
      </c>
      <c r="F1264" s="2" t="s">
        <v>16</v>
      </c>
      <c r="G1264">
        <v>7.45E-3</v>
      </c>
      <c r="H1264" s="9">
        <f t="shared" si="19"/>
        <v>0</v>
      </c>
      <c r="I1264" t="s">
        <v>797</v>
      </c>
      <c r="J1264" t="s">
        <v>798</v>
      </c>
    </row>
    <row r="1265" spans="1:10" x14ac:dyDescent="0.3">
      <c r="A1265" s="2" t="s">
        <v>10598</v>
      </c>
      <c r="B1265" s="2" t="s">
        <v>4511</v>
      </c>
      <c r="C1265" s="2" t="s">
        <v>4512</v>
      </c>
      <c r="D1265" s="3">
        <v>776880</v>
      </c>
      <c r="E1265" s="3">
        <v>776880</v>
      </c>
      <c r="F1265" s="2" t="s">
        <v>16</v>
      </c>
      <c r="G1265">
        <v>7.45E-3</v>
      </c>
      <c r="H1265" s="9">
        <f t="shared" si="19"/>
        <v>0</v>
      </c>
      <c r="I1265" t="s">
        <v>797</v>
      </c>
      <c r="J1265" t="s">
        <v>798</v>
      </c>
    </row>
    <row r="1266" spans="1:10" x14ac:dyDescent="0.3">
      <c r="A1266" s="2" t="s">
        <v>10613</v>
      </c>
      <c r="B1266" s="2" t="s">
        <v>2121</v>
      </c>
      <c r="C1266" s="2" t="s">
        <v>2122</v>
      </c>
      <c r="D1266" s="3">
        <v>99360</v>
      </c>
      <c r="E1266" s="3">
        <v>99360</v>
      </c>
      <c r="F1266" s="2" t="s">
        <v>16</v>
      </c>
      <c r="G1266">
        <v>3.4000000000000002E-2</v>
      </c>
      <c r="H1266" s="9">
        <f t="shared" si="19"/>
        <v>0</v>
      </c>
      <c r="I1266" t="s">
        <v>2121</v>
      </c>
      <c r="J1266" t="s">
        <v>2122</v>
      </c>
    </row>
    <row r="1267" spans="1:10" x14ac:dyDescent="0.3">
      <c r="A1267" s="2" t="s">
        <v>10622</v>
      </c>
      <c r="B1267" s="2" t="s">
        <v>65</v>
      </c>
      <c r="C1267" s="2" t="s">
        <v>66</v>
      </c>
      <c r="D1267" s="5">
        <v>-147</v>
      </c>
      <c r="E1267" s="5">
        <v>-147</v>
      </c>
      <c r="F1267" s="2" t="s">
        <v>23</v>
      </c>
      <c r="G1267">
        <v>1.7999999999999999E-2</v>
      </c>
      <c r="H1267" s="9">
        <f t="shared" si="19"/>
        <v>-8166.666666666667</v>
      </c>
      <c r="I1267" t="s">
        <v>2934</v>
      </c>
      <c r="J1267" t="s">
        <v>2935</v>
      </c>
    </row>
    <row r="1268" spans="1:10" x14ac:dyDescent="0.3">
      <c r="A1268" s="2" t="s">
        <v>10622</v>
      </c>
      <c r="B1268" s="2" t="s">
        <v>2934</v>
      </c>
      <c r="C1268" s="2" t="s">
        <v>2935</v>
      </c>
      <c r="D1268" s="3">
        <v>32832</v>
      </c>
      <c r="E1268" s="3">
        <v>32832</v>
      </c>
      <c r="F1268" s="2" t="s">
        <v>16</v>
      </c>
      <c r="G1268">
        <v>1.7999999999999999E-2</v>
      </c>
      <c r="H1268" s="9">
        <f t="shared" si="19"/>
        <v>0</v>
      </c>
      <c r="I1268" t="s">
        <v>2934</v>
      </c>
      <c r="J1268" t="s">
        <v>2935</v>
      </c>
    </row>
    <row r="1269" spans="1:10" x14ac:dyDescent="0.3">
      <c r="A1269" s="2" t="s">
        <v>10635</v>
      </c>
      <c r="B1269" s="2" t="s">
        <v>4955</v>
      </c>
      <c r="C1269" s="2" t="s">
        <v>4956</v>
      </c>
      <c r="D1269" s="3">
        <v>31968</v>
      </c>
      <c r="E1269" s="3">
        <v>31968</v>
      </c>
      <c r="F1269" s="2" t="s">
        <v>16</v>
      </c>
      <c r="G1269">
        <v>1.35E-2</v>
      </c>
      <c r="H1269" s="9">
        <f t="shared" si="19"/>
        <v>0</v>
      </c>
      <c r="I1269" t="s">
        <v>4955</v>
      </c>
      <c r="J1269" t="s">
        <v>4956</v>
      </c>
    </row>
    <row r="1270" spans="1:10" x14ac:dyDescent="0.3">
      <c r="A1270" s="2" t="s">
        <v>10640</v>
      </c>
      <c r="B1270" s="2" t="s">
        <v>1027</v>
      </c>
      <c r="C1270" s="2" t="s">
        <v>1028</v>
      </c>
      <c r="D1270" s="3">
        <v>1019520</v>
      </c>
      <c r="E1270" s="3">
        <v>1019520</v>
      </c>
      <c r="F1270" s="2" t="s">
        <v>16</v>
      </c>
      <c r="G1270">
        <v>3.0499999999999999E-2</v>
      </c>
      <c r="H1270" s="9">
        <f t="shared" si="19"/>
        <v>0</v>
      </c>
      <c r="I1270" t="s">
        <v>1027</v>
      </c>
      <c r="J1270" t="s">
        <v>1028</v>
      </c>
    </row>
    <row r="1271" spans="1:10" x14ac:dyDescent="0.3">
      <c r="A1271" s="2" t="s">
        <v>10652</v>
      </c>
      <c r="B1271" s="2" t="s">
        <v>76</v>
      </c>
      <c r="C1271" s="2" t="s">
        <v>77</v>
      </c>
      <c r="D1271" s="3">
        <v>152280</v>
      </c>
      <c r="E1271" s="3">
        <v>152280</v>
      </c>
      <c r="F1271" s="2" t="s">
        <v>16</v>
      </c>
      <c r="G1271">
        <v>9.4000000000000004E-3</v>
      </c>
      <c r="H1271" s="9">
        <f t="shared" si="19"/>
        <v>0</v>
      </c>
      <c r="I1271" t="s">
        <v>3028</v>
      </c>
      <c r="J1271" t="s">
        <v>3029</v>
      </c>
    </row>
    <row r="1272" spans="1:10" x14ac:dyDescent="0.3">
      <c r="A1272" s="2" t="s">
        <v>10664</v>
      </c>
      <c r="B1272" s="2" t="s">
        <v>10669</v>
      </c>
      <c r="C1272" s="2" t="s">
        <v>10670</v>
      </c>
      <c r="D1272" s="3">
        <v>354816</v>
      </c>
      <c r="E1272" s="3">
        <v>354816</v>
      </c>
      <c r="F1272" s="2" t="s">
        <v>16</v>
      </c>
      <c r="G1272">
        <v>1.04E-2</v>
      </c>
      <c r="H1272" s="9">
        <f t="shared" si="19"/>
        <v>0</v>
      </c>
      <c r="I1272" t="s">
        <v>783</v>
      </c>
      <c r="J1272" t="s">
        <v>784</v>
      </c>
    </row>
    <row r="1273" spans="1:10" x14ac:dyDescent="0.3">
      <c r="A1273" s="2" t="s">
        <v>10677</v>
      </c>
      <c r="B1273" s="2" t="s">
        <v>308</v>
      </c>
      <c r="C1273" s="2" t="s">
        <v>309</v>
      </c>
      <c r="D1273" s="3">
        <v>162000</v>
      </c>
      <c r="E1273" s="3">
        <v>162000</v>
      </c>
      <c r="F1273" s="2" t="s">
        <v>16</v>
      </c>
      <c r="G1273">
        <v>8.3000000000000001E-3</v>
      </c>
      <c r="H1273" s="9">
        <f t="shared" si="19"/>
        <v>0</v>
      </c>
      <c r="I1273" t="s">
        <v>91</v>
      </c>
      <c r="J1273" t="s">
        <v>92</v>
      </c>
    </row>
    <row r="1274" spans="1:10" x14ac:dyDescent="0.3">
      <c r="A1274" s="2" t="s">
        <v>10686</v>
      </c>
      <c r="B1274" s="2" t="s">
        <v>86</v>
      </c>
      <c r="C1274" s="2" t="s">
        <v>87</v>
      </c>
      <c r="D1274" s="5">
        <v>-224</v>
      </c>
      <c r="E1274" s="5">
        <v>-224</v>
      </c>
      <c r="F1274" s="2" t="s">
        <v>23</v>
      </c>
      <c r="G1274">
        <v>8.3000000000000001E-3</v>
      </c>
      <c r="H1274" s="9">
        <f t="shared" si="19"/>
        <v>-26987.951807228914</v>
      </c>
      <c r="I1274" t="s">
        <v>91</v>
      </c>
      <c r="J1274" t="s">
        <v>92</v>
      </c>
    </row>
    <row r="1275" spans="1:10" x14ac:dyDescent="0.3">
      <c r="A1275" s="2" t="s">
        <v>10686</v>
      </c>
      <c r="B1275" s="2" t="s">
        <v>91</v>
      </c>
      <c r="C1275" s="2" t="s">
        <v>92</v>
      </c>
      <c r="D1275" s="3">
        <v>243000</v>
      </c>
      <c r="E1275" s="3">
        <v>243000</v>
      </c>
      <c r="F1275" s="2" t="s">
        <v>16</v>
      </c>
      <c r="G1275">
        <v>8.3000000000000001E-3</v>
      </c>
      <c r="H1275" s="9">
        <f t="shared" si="19"/>
        <v>0</v>
      </c>
      <c r="I1275" t="s">
        <v>91</v>
      </c>
      <c r="J1275" t="s">
        <v>92</v>
      </c>
    </row>
    <row r="1276" spans="1:10" x14ac:dyDescent="0.3">
      <c r="A1276" s="2" t="s">
        <v>10699</v>
      </c>
      <c r="B1276" s="2" t="s">
        <v>3028</v>
      </c>
      <c r="C1276" s="2" t="s">
        <v>3029</v>
      </c>
      <c r="D1276" s="3">
        <v>25380</v>
      </c>
      <c r="E1276" s="3">
        <v>0</v>
      </c>
      <c r="F1276" s="2" t="s">
        <v>16</v>
      </c>
      <c r="G1276">
        <v>9.4000000000000004E-3</v>
      </c>
      <c r="H1276" s="9">
        <f t="shared" si="19"/>
        <v>0</v>
      </c>
      <c r="I1276" t="e">
        <v>#N/A</v>
      </c>
      <c r="J1276" t="e">
        <v>#N/A</v>
      </c>
    </row>
    <row r="1277" spans="1:10" x14ac:dyDescent="0.3">
      <c r="A1277" s="2" t="s">
        <v>10705</v>
      </c>
      <c r="B1277" s="2" t="s">
        <v>1667</v>
      </c>
      <c r="C1277" s="2" t="s">
        <v>1668</v>
      </c>
      <c r="D1277" s="3">
        <v>62640</v>
      </c>
      <c r="E1277" s="3">
        <v>62640</v>
      </c>
      <c r="F1277" s="2" t="s">
        <v>16</v>
      </c>
      <c r="G1277">
        <v>1.15E-2</v>
      </c>
      <c r="H1277" s="9">
        <f t="shared" si="19"/>
        <v>0</v>
      </c>
      <c r="I1277" t="s">
        <v>1667</v>
      </c>
      <c r="J1277" t="s">
        <v>1668</v>
      </c>
    </row>
    <row r="1278" spans="1:10" x14ac:dyDescent="0.3">
      <c r="A1278" s="2" t="s">
        <v>10714</v>
      </c>
      <c r="B1278" s="2" t="s">
        <v>86</v>
      </c>
      <c r="C1278" s="2" t="s">
        <v>87</v>
      </c>
      <c r="D1278" s="5">
        <v>-240</v>
      </c>
      <c r="E1278" s="5">
        <v>-240</v>
      </c>
      <c r="F1278" s="2" t="s">
        <v>23</v>
      </c>
      <c r="G1278">
        <v>1.15E-2</v>
      </c>
      <c r="H1278" s="9">
        <f t="shared" si="19"/>
        <v>-20869.565217391304</v>
      </c>
      <c r="I1278" t="s">
        <v>10719</v>
      </c>
      <c r="J1278" t="s">
        <v>10720</v>
      </c>
    </row>
    <row r="1279" spans="1:10" x14ac:dyDescent="0.3">
      <c r="A1279" s="2" t="s">
        <v>10714</v>
      </c>
      <c r="B1279" s="2" t="s">
        <v>10719</v>
      </c>
      <c r="C1279" s="2" t="s">
        <v>10720</v>
      </c>
      <c r="D1279" s="3">
        <v>83520</v>
      </c>
      <c r="E1279" s="3">
        <v>83520</v>
      </c>
      <c r="F1279" s="2" t="s">
        <v>16</v>
      </c>
      <c r="G1279">
        <v>1.15E-2</v>
      </c>
      <c r="H1279" s="9">
        <f t="shared" si="19"/>
        <v>0</v>
      </c>
      <c r="I1279" t="s">
        <v>10719</v>
      </c>
      <c r="J1279" t="s">
        <v>10720</v>
      </c>
    </row>
    <row r="1280" spans="1:10" x14ac:dyDescent="0.3">
      <c r="A1280" s="2" t="s">
        <v>10724</v>
      </c>
      <c r="B1280" s="2" t="s">
        <v>693</v>
      </c>
      <c r="C1280" s="2" t="s">
        <v>694</v>
      </c>
      <c r="D1280" s="3">
        <v>32760</v>
      </c>
      <c r="E1280" s="3">
        <v>32760</v>
      </c>
      <c r="F1280" s="2" t="s">
        <v>16</v>
      </c>
      <c r="G1280">
        <v>2.1000000000000001E-2</v>
      </c>
      <c r="H1280" s="9">
        <f t="shared" si="19"/>
        <v>0</v>
      </c>
      <c r="I1280" t="s">
        <v>693</v>
      </c>
      <c r="J1280" t="s">
        <v>694</v>
      </c>
    </row>
    <row r="1281" spans="1:10" x14ac:dyDescent="0.3">
      <c r="A1281" s="2" t="s">
        <v>10729</v>
      </c>
      <c r="B1281" s="2" t="s">
        <v>65</v>
      </c>
      <c r="C1281" s="2" t="s">
        <v>66</v>
      </c>
      <c r="D1281" s="5">
        <v>-323</v>
      </c>
      <c r="E1281" s="5">
        <v>-323</v>
      </c>
      <c r="F1281" s="2" t="s">
        <v>23</v>
      </c>
      <c r="G1281">
        <v>3.0499999999999999E-2</v>
      </c>
      <c r="H1281" s="9">
        <f t="shared" si="19"/>
        <v>-10590.163934426229</v>
      </c>
      <c r="I1281" t="s">
        <v>103</v>
      </c>
      <c r="J1281" t="s">
        <v>104</v>
      </c>
    </row>
    <row r="1282" spans="1:10" x14ac:dyDescent="0.3">
      <c r="A1282" s="2" t="s">
        <v>10729</v>
      </c>
      <c r="B1282" s="2" t="s">
        <v>740</v>
      </c>
      <c r="C1282" s="2" t="s">
        <v>741</v>
      </c>
      <c r="D1282" s="3">
        <v>42480</v>
      </c>
      <c r="E1282" s="3">
        <v>42480</v>
      </c>
      <c r="F1282" s="2" t="s">
        <v>16</v>
      </c>
      <c r="G1282">
        <v>3.0499999999999999E-2</v>
      </c>
      <c r="H1282" s="9">
        <f t="shared" si="19"/>
        <v>0</v>
      </c>
      <c r="I1282" t="s">
        <v>103</v>
      </c>
      <c r="J1282" t="s">
        <v>104</v>
      </c>
    </row>
    <row r="1283" spans="1:10" x14ac:dyDescent="0.3">
      <c r="A1283" s="2" t="s">
        <v>10746</v>
      </c>
      <c r="B1283" s="2" t="s">
        <v>5357</v>
      </c>
      <c r="C1283" s="2" t="s">
        <v>5358</v>
      </c>
      <c r="D1283" s="3">
        <v>6624</v>
      </c>
      <c r="E1283" s="3">
        <v>6624</v>
      </c>
      <c r="F1283" s="2" t="s">
        <v>16</v>
      </c>
      <c r="G1283">
        <v>4.4999999999999998E-2</v>
      </c>
      <c r="H1283" s="9">
        <f t="shared" ref="H1283:H1346" si="20">IFERROR(IF(LEFT(B1283,1)="F",E1283/G1283,0),0)</f>
        <v>0</v>
      </c>
      <c r="I1283" t="s">
        <v>5357</v>
      </c>
      <c r="J1283" t="s">
        <v>5358</v>
      </c>
    </row>
    <row r="1284" spans="1:10" x14ac:dyDescent="0.3">
      <c r="A1284" s="2" t="s">
        <v>10751</v>
      </c>
      <c r="B1284" s="2" t="s">
        <v>5357</v>
      </c>
      <c r="C1284" s="2" t="s">
        <v>5358</v>
      </c>
      <c r="D1284" s="3">
        <v>6624</v>
      </c>
      <c r="E1284" s="3">
        <v>6624</v>
      </c>
      <c r="F1284" s="2" t="s">
        <v>16</v>
      </c>
      <c r="G1284">
        <v>4.4999999999999998E-2</v>
      </c>
      <c r="H1284" s="9">
        <f t="shared" si="20"/>
        <v>0</v>
      </c>
      <c r="I1284" t="s">
        <v>5357</v>
      </c>
      <c r="J1284" t="s">
        <v>5358</v>
      </c>
    </row>
    <row r="1285" spans="1:10" x14ac:dyDescent="0.3">
      <c r="A1285" s="2" t="s">
        <v>10756</v>
      </c>
      <c r="B1285" s="2" t="s">
        <v>2319</v>
      </c>
      <c r="C1285" s="2" t="s">
        <v>2320</v>
      </c>
      <c r="D1285" s="3">
        <v>152064</v>
      </c>
      <c r="E1285" s="3">
        <v>152064</v>
      </c>
      <c r="F1285" s="2" t="s">
        <v>16</v>
      </c>
      <c r="G1285">
        <v>1.04E-2</v>
      </c>
      <c r="H1285" s="9">
        <f t="shared" si="20"/>
        <v>0</v>
      </c>
      <c r="I1285" t="s">
        <v>2305</v>
      </c>
      <c r="J1285" t="s">
        <v>2306</v>
      </c>
    </row>
    <row r="1286" spans="1:10" x14ac:dyDescent="0.3">
      <c r="A1286" s="2" t="s">
        <v>10769</v>
      </c>
      <c r="B1286" s="2" t="s">
        <v>740</v>
      </c>
      <c r="C1286" s="2" t="s">
        <v>741</v>
      </c>
      <c r="D1286" s="3">
        <v>84960</v>
      </c>
      <c r="E1286" s="3">
        <v>0</v>
      </c>
      <c r="F1286" s="2" t="s">
        <v>16</v>
      </c>
      <c r="G1286">
        <v>3.0499999999999999E-2</v>
      </c>
      <c r="H1286" s="9">
        <f t="shared" si="20"/>
        <v>0</v>
      </c>
      <c r="I1286" t="s">
        <v>740</v>
      </c>
      <c r="J1286" t="s">
        <v>741</v>
      </c>
    </row>
    <row r="1287" spans="1:10" x14ac:dyDescent="0.3">
      <c r="A1287" s="2" t="s">
        <v>10774</v>
      </c>
      <c r="B1287" s="2" t="s">
        <v>9405</v>
      </c>
      <c r="C1287" s="2" t="s">
        <v>9406</v>
      </c>
      <c r="D1287" s="3">
        <v>1269000</v>
      </c>
      <c r="E1287" s="3">
        <v>1269000</v>
      </c>
      <c r="F1287" s="2" t="s">
        <v>16</v>
      </c>
      <c r="G1287">
        <v>9.4000000000000004E-3</v>
      </c>
      <c r="H1287" s="9">
        <f t="shared" si="20"/>
        <v>0</v>
      </c>
      <c r="I1287" t="s">
        <v>9405</v>
      </c>
      <c r="J1287" t="s">
        <v>9406</v>
      </c>
    </row>
    <row r="1288" spans="1:10" x14ac:dyDescent="0.3">
      <c r="A1288" s="2" t="s">
        <v>10783</v>
      </c>
      <c r="B1288" s="2" t="s">
        <v>2121</v>
      </c>
      <c r="C1288" s="2" t="s">
        <v>2122</v>
      </c>
      <c r="D1288" s="3">
        <v>19872</v>
      </c>
      <c r="E1288" s="3">
        <v>19872</v>
      </c>
      <c r="F1288" s="2" t="s">
        <v>16</v>
      </c>
      <c r="G1288">
        <v>3.4000000000000002E-2</v>
      </c>
      <c r="H1288" s="9">
        <f t="shared" si="20"/>
        <v>0</v>
      </c>
      <c r="I1288" t="s">
        <v>2121</v>
      </c>
      <c r="J1288" t="s">
        <v>2122</v>
      </c>
    </row>
    <row r="1289" spans="1:10" x14ac:dyDescent="0.3">
      <c r="A1289" s="2" t="s">
        <v>10792</v>
      </c>
      <c r="B1289" s="2" t="s">
        <v>1027</v>
      </c>
      <c r="C1289" s="2" t="s">
        <v>1028</v>
      </c>
      <c r="D1289" s="3">
        <v>84960</v>
      </c>
      <c r="E1289" s="3">
        <v>84960</v>
      </c>
      <c r="F1289" s="2" t="s">
        <v>16</v>
      </c>
      <c r="G1289">
        <v>3.0499999999999999E-2</v>
      </c>
      <c r="H1289" s="9">
        <f t="shared" si="20"/>
        <v>0</v>
      </c>
      <c r="I1289" t="s">
        <v>1027</v>
      </c>
      <c r="J1289" t="s">
        <v>1028</v>
      </c>
    </row>
    <row r="1290" spans="1:10" x14ac:dyDescent="0.3">
      <c r="A1290" s="2" t="s">
        <v>10797</v>
      </c>
      <c r="B1290" s="2" t="s">
        <v>1170</v>
      </c>
      <c r="C1290" s="2" t="s">
        <v>1171</v>
      </c>
      <c r="D1290" s="3">
        <v>292800</v>
      </c>
      <c r="E1290" s="3">
        <v>292800</v>
      </c>
      <c r="F1290" s="2" t="s">
        <v>16</v>
      </c>
      <c r="G1290">
        <v>5.1999999999999998E-2</v>
      </c>
      <c r="H1290" s="9">
        <f t="shared" si="20"/>
        <v>0</v>
      </c>
      <c r="I1290" t="s">
        <v>97</v>
      </c>
      <c r="J1290" t="s">
        <v>98</v>
      </c>
    </row>
    <row r="1291" spans="1:10" x14ac:dyDescent="0.3">
      <c r="A1291" s="2" t="s">
        <v>10818</v>
      </c>
      <c r="B1291" s="2" t="s">
        <v>65</v>
      </c>
      <c r="C1291" s="2" t="s">
        <v>66</v>
      </c>
      <c r="D1291" s="5">
        <v>-238</v>
      </c>
      <c r="E1291" s="5">
        <v>-238</v>
      </c>
      <c r="F1291" s="2" t="s">
        <v>23</v>
      </c>
      <c r="G1291">
        <v>9.4000000000000004E-3</v>
      </c>
      <c r="H1291" s="9">
        <f t="shared" si="20"/>
        <v>-25319.148936170212</v>
      </c>
      <c r="I1291" t="s">
        <v>9405</v>
      </c>
      <c r="J1291" t="s">
        <v>9406</v>
      </c>
    </row>
    <row r="1292" spans="1:10" x14ac:dyDescent="0.3">
      <c r="A1292" s="2" t="s">
        <v>10818</v>
      </c>
      <c r="B1292" s="2" t="s">
        <v>9405</v>
      </c>
      <c r="C1292" s="2" t="s">
        <v>9406</v>
      </c>
      <c r="D1292" s="3">
        <v>1116720</v>
      </c>
      <c r="E1292" s="3">
        <v>1116720</v>
      </c>
      <c r="F1292" s="2" t="s">
        <v>16</v>
      </c>
      <c r="G1292">
        <v>9.4000000000000004E-3</v>
      </c>
      <c r="H1292" s="9">
        <f t="shared" si="20"/>
        <v>0</v>
      </c>
      <c r="I1292" t="s">
        <v>9405</v>
      </c>
      <c r="J1292" t="s">
        <v>9406</v>
      </c>
    </row>
    <row r="1293" spans="1:10" x14ac:dyDescent="0.3">
      <c r="A1293" s="2" t="s">
        <v>10831</v>
      </c>
      <c r="B1293" s="2" t="s">
        <v>1170</v>
      </c>
      <c r="C1293" s="2" t="s">
        <v>1171</v>
      </c>
      <c r="D1293" s="3">
        <v>292800</v>
      </c>
      <c r="E1293" s="3">
        <v>292800</v>
      </c>
      <c r="F1293" s="2" t="s">
        <v>16</v>
      </c>
      <c r="G1293">
        <v>5.1999999999999998E-2</v>
      </c>
      <c r="H1293" s="9">
        <f t="shared" si="20"/>
        <v>0</v>
      </c>
      <c r="I1293" t="s">
        <v>97</v>
      </c>
      <c r="J1293" t="s">
        <v>98</v>
      </c>
    </row>
    <row r="1294" spans="1:10" x14ac:dyDescent="0.3">
      <c r="A1294" s="2" t="s">
        <v>10836</v>
      </c>
      <c r="B1294" s="2" t="s">
        <v>4988</v>
      </c>
      <c r="C1294" s="2" t="s">
        <v>4989</v>
      </c>
      <c r="D1294" s="3">
        <v>60480</v>
      </c>
      <c r="E1294" s="3">
        <v>60480</v>
      </c>
      <c r="F1294" s="2" t="s">
        <v>16</v>
      </c>
      <c r="G1294">
        <v>2.6600000000000002E-2</v>
      </c>
      <c r="H1294" s="9">
        <f t="shared" si="20"/>
        <v>0</v>
      </c>
      <c r="I1294" t="s">
        <v>4988</v>
      </c>
      <c r="J1294" t="s">
        <v>4989</v>
      </c>
    </row>
    <row r="1295" spans="1:10" x14ac:dyDescent="0.3">
      <c r="A1295" s="2" t="s">
        <v>10845</v>
      </c>
      <c r="B1295" s="2" t="s">
        <v>2840</v>
      </c>
      <c r="C1295" s="2" t="s">
        <v>2841</v>
      </c>
      <c r="D1295" s="3">
        <v>30240</v>
      </c>
      <c r="E1295" s="3">
        <v>30240</v>
      </c>
      <c r="F1295" s="2" t="s">
        <v>16</v>
      </c>
      <c r="G1295">
        <v>2.6600000000000002E-2</v>
      </c>
      <c r="H1295" s="9">
        <f t="shared" si="20"/>
        <v>0</v>
      </c>
      <c r="I1295" t="s">
        <v>4988</v>
      </c>
      <c r="J1295" t="s">
        <v>4989</v>
      </c>
    </row>
    <row r="1296" spans="1:10" x14ac:dyDescent="0.3">
      <c r="A1296" s="2" t="s">
        <v>10850</v>
      </c>
      <c r="B1296" s="2" t="s">
        <v>21</v>
      </c>
      <c r="C1296" s="2" t="s">
        <v>22</v>
      </c>
      <c r="D1296" s="5">
        <v>-28</v>
      </c>
      <c r="E1296" s="5">
        <v>-28</v>
      </c>
      <c r="F1296" s="2" t="s">
        <v>23</v>
      </c>
      <c r="G1296">
        <v>1.4E-2</v>
      </c>
      <c r="H1296" s="9">
        <f t="shared" si="20"/>
        <v>-2000</v>
      </c>
      <c r="I1296" t="s">
        <v>2023</v>
      </c>
      <c r="J1296" t="s">
        <v>2024</v>
      </c>
    </row>
    <row r="1297" spans="1:10" x14ac:dyDescent="0.3">
      <c r="A1297" s="2" t="s">
        <v>10850</v>
      </c>
      <c r="B1297" s="2" t="s">
        <v>2023</v>
      </c>
      <c r="C1297" s="2" t="s">
        <v>2024</v>
      </c>
      <c r="D1297" s="3">
        <v>20640</v>
      </c>
      <c r="E1297" s="3">
        <v>20640</v>
      </c>
      <c r="F1297" s="2" t="s">
        <v>16</v>
      </c>
      <c r="G1297">
        <v>1.4E-2</v>
      </c>
      <c r="H1297" s="9">
        <f t="shared" si="20"/>
        <v>0</v>
      </c>
      <c r="I1297" t="s">
        <v>2023</v>
      </c>
      <c r="J1297" t="s">
        <v>2024</v>
      </c>
    </row>
    <row r="1298" spans="1:10" x14ac:dyDescent="0.3">
      <c r="A1298" s="2" t="s">
        <v>10859</v>
      </c>
      <c r="B1298" s="2" t="s">
        <v>293</v>
      </c>
      <c r="C1298" s="2" t="s">
        <v>294</v>
      </c>
      <c r="D1298" s="3">
        <v>10656</v>
      </c>
      <c r="E1298" s="3">
        <v>10656</v>
      </c>
      <c r="F1298" s="2" t="s">
        <v>16</v>
      </c>
      <c r="G1298">
        <v>1.2699999999999999E-2</v>
      </c>
      <c r="H1298" s="9">
        <f t="shared" si="20"/>
        <v>0</v>
      </c>
      <c r="I1298" t="s">
        <v>293</v>
      </c>
      <c r="J1298" t="s">
        <v>294</v>
      </c>
    </row>
    <row r="1299" spans="1:10" x14ac:dyDescent="0.3">
      <c r="A1299" s="2" t="s">
        <v>10864</v>
      </c>
      <c r="B1299" s="2" t="s">
        <v>2086</v>
      </c>
      <c r="C1299" s="2" t="s">
        <v>2087</v>
      </c>
      <c r="D1299" s="3">
        <v>4224</v>
      </c>
      <c r="E1299" s="3">
        <v>4224</v>
      </c>
      <c r="F1299" s="2" t="s">
        <v>16</v>
      </c>
      <c r="G1299">
        <v>3.5999999999999997E-2</v>
      </c>
      <c r="H1299" s="9">
        <f t="shared" si="20"/>
        <v>0</v>
      </c>
      <c r="I1299" t="s">
        <v>2086</v>
      </c>
      <c r="J1299" t="s">
        <v>2087</v>
      </c>
    </row>
    <row r="1300" spans="1:10" x14ac:dyDescent="0.3">
      <c r="A1300" s="2" t="s">
        <v>10873</v>
      </c>
      <c r="B1300" s="2" t="s">
        <v>485</v>
      </c>
      <c r="C1300" s="2" t="s">
        <v>486</v>
      </c>
      <c r="D1300" s="3">
        <v>38400</v>
      </c>
      <c r="E1300" s="3">
        <v>38400</v>
      </c>
      <c r="F1300" s="2" t="s">
        <v>16</v>
      </c>
      <c r="G1300">
        <v>1.4E-2</v>
      </c>
      <c r="H1300" s="9">
        <f t="shared" si="20"/>
        <v>0</v>
      </c>
      <c r="I1300" t="s">
        <v>485</v>
      </c>
      <c r="J1300" t="s">
        <v>486</v>
      </c>
    </row>
    <row r="1301" spans="1:10" x14ac:dyDescent="0.3">
      <c r="A1301" s="2" t="s">
        <v>10882</v>
      </c>
      <c r="B1301" s="2" t="s">
        <v>4424</v>
      </c>
      <c r="C1301" s="2" t="s">
        <v>4425</v>
      </c>
      <c r="D1301" s="3">
        <v>76140</v>
      </c>
      <c r="E1301" s="3">
        <v>76140</v>
      </c>
      <c r="F1301" s="2" t="s">
        <v>16</v>
      </c>
      <c r="G1301">
        <v>9.4000000000000004E-3</v>
      </c>
      <c r="H1301" s="9">
        <f t="shared" si="20"/>
        <v>0</v>
      </c>
      <c r="I1301" t="s">
        <v>9405</v>
      </c>
      <c r="J1301" t="s">
        <v>9406</v>
      </c>
    </row>
    <row r="1302" spans="1:10" x14ac:dyDescent="0.3">
      <c r="A1302" s="2" t="s">
        <v>10891</v>
      </c>
      <c r="B1302" s="2" t="s">
        <v>1170</v>
      </c>
      <c r="C1302" s="2" t="s">
        <v>1171</v>
      </c>
      <c r="D1302" s="3">
        <v>163200</v>
      </c>
      <c r="E1302" s="3">
        <v>163200</v>
      </c>
      <c r="F1302" s="2" t="s">
        <v>16</v>
      </c>
      <c r="G1302">
        <v>5.1999999999999998E-2</v>
      </c>
      <c r="H1302" s="9">
        <f t="shared" si="20"/>
        <v>0</v>
      </c>
      <c r="I1302" t="s">
        <v>97</v>
      </c>
      <c r="J1302" t="s">
        <v>98</v>
      </c>
    </row>
    <row r="1303" spans="1:10" x14ac:dyDescent="0.3">
      <c r="A1303" s="2" t="s">
        <v>10904</v>
      </c>
      <c r="B1303" s="2" t="s">
        <v>517</v>
      </c>
      <c r="C1303" s="2" t="s">
        <v>518</v>
      </c>
      <c r="D1303" s="3">
        <v>574560</v>
      </c>
      <c r="E1303" s="3">
        <v>574560</v>
      </c>
      <c r="F1303" s="2" t="s">
        <v>16</v>
      </c>
      <c r="G1303">
        <v>2.6600000000000002E-2</v>
      </c>
      <c r="H1303" s="9">
        <f t="shared" si="20"/>
        <v>0</v>
      </c>
      <c r="I1303" t="s">
        <v>517</v>
      </c>
      <c r="J1303" t="s">
        <v>518</v>
      </c>
    </row>
    <row r="1304" spans="1:10" x14ac:dyDescent="0.3">
      <c r="A1304" s="2" t="s">
        <v>10913</v>
      </c>
      <c r="B1304" s="2" t="s">
        <v>6955</v>
      </c>
      <c r="C1304" s="2" t="s">
        <v>6956</v>
      </c>
      <c r="D1304" s="3">
        <v>41760</v>
      </c>
      <c r="E1304" s="3">
        <v>41770</v>
      </c>
      <c r="F1304" s="2" t="s">
        <v>16</v>
      </c>
      <c r="G1304">
        <v>1.2500000000000001E-2</v>
      </c>
      <c r="H1304" s="9">
        <f t="shared" si="20"/>
        <v>0</v>
      </c>
      <c r="I1304" t="s">
        <v>6955</v>
      </c>
      <c r="J1304" t="s">
        <v>6956</v>
      </c>
    </row>
    <row r="1305" spans="1:10" x14ac:dyDescent="0.3">
      <c r="A1305" s="2" t="s">
        <v>10926</v>
      </c>
      <c r="B1305" s="2" t="s">
        <v>86</v>
      </c>
      <c r="C1305" s="2" t="s">
        <v>87</v>
      </c>
      <c r="D1305" s="5">
        <v>-222</v>
      </c>
      <c r="E1305" s="5">
        <v>-222</v>
      </c>
      <c r="F1305" s="2" t="s">
        <v>23</v>
      </c>
      <c r="G1305">
        <v>7.45E-3</v>
      </c>
      <c r="H1305" s="9">
        <f t="shared" si="20"/>
        <v>-29798.657718120805</v>
      </c>
      <c r="I1305" t="s">
        <v>797</v>
      </c>
      <c r="J1305" t="s">
        <v>798</v>
      </c>
    </row>
    <row r="1306" spans="1:10" x14ac:dyDescent="0.3">
      <c r="A1306" s="2" t="s">
        <v>10926</v>
      </c>
      <c r="B1306" s="2" t="s">
        <v>4511</v>
      </c>
      <c r="C1306" s="2" t="s">
        <v>4512</v>
      </c>
      <c r="D1306" s="3">
        <v>537840</v>
      </c>
      <c r="E1306" s="3">
        <v>537840</v>
      </c>
      <c r="F1306" s="2" t="s">
        <v>16</v>
      </c>
      <c r="G1306">
        <v>7.45E-3</v>
      </c>
      <c r="H1306" s="9">
        <f t="shared" si="20"/>
        <v>0</v>
      </c>
      <c r="I1306" t="s">
        <v>797</v>
      </c>
      <c r="J1306" t="s">
        <v>798</v>
      </c>
    </row>
    <row r="1307" spans="1:10" x14ac:dyDescent="0.3">
      <c r="A1307" s="2" t="s">
        <v>10947</v>
      </c>
      <c r="B1307" s="2" t="s">
        <v>3759</v>
      </c>
      <c r="C1307" s="2" t="s">
        <v>3760</v>
      </c>
      <c r="D1307" s="3">
        <v>179280</v>
      </c>
      <c r="E1307" s="3">
        <v>179280</v>
      </c>
      <c r="F1307" s="2" t="s">
        <v>16</v>
      </c>
      <c r="G1307">
        <v>7.45E-3</v>
      </c>
      <c r="H1307" s="9">
        <f t="shared" si="20"/>
        <v>0</v>
      </c>
      <c r="I1307" t="s">
        <v>797</v>
      </c>
      <c r="J1307" t="s">
        <v>798</v>
      </c>
    </row>
    <row r="1308" spans="1:10" x14ac:dyDescent="0.3">
      <c r="A1308" s="2" t="s">
        <v>10960</v>
      </c>
      <c r="B1308" s="2" t="s">
        <v>517</v>
      </c>
      <c r="C1308" s="2" t="s">
        <v>518</v>
      </c>
      <c r="D1308" s="3">
        <v>504000</v>
      </c>
      <c r="E1308" s="3">
        <v>504000</v>
      </c>
      <c r="F1308" s="2" t="s">
        <v>16</v>
      </c>
      <c r="G1308">
        <v>2.6600000000000002E-2</v>
      </c>
      <c r="H1308" s="9">
        <f t="shared" si="20"/>
        <v>0</v>
      </c>
      <c r="I1308" t="s">
        <v>517</v>
      </c>
      <c r="J1308" t="s">
        <v>518</v>
      </c>
    </row>
    <row r="1309" spans="1:10" x14ac:dyDescent="0.3">
      <c r="A1309" s="2" t="s">
        <v>10972</v>
      </c>
      <c r="B1309" s="2" t="s">
        <v>65</v>
      </c>
      <c r="C1309" s="2" t="s">
        <v>66</v>
      </c>
      <c r="D1309" s="5">
        <v>-526</v>
      </c>
      <c r="E1309" s="5">
        <v>-526</v>
      </c>
      <c r="F1309" s="2" t="s">
        <v>23</v>
      </c>
      <c r="G1309">
        <v>1.04E-2</v>
      </c>
      <c r="H1309" s="9">
        <f t="shared" si="20"/>
        <v>-50576.923076923078</v>
      </c>
      <c r="I1309" t="s">
        <v>2305</v>
      </c>
      <c r="J1309" t="s">
        <v>2306</v>
      </c>
    </row>
    <row r="1310" spans="1:10" x14ac:dyDescent="0.3">
      <c r="A1310" s="2" t="s">
        <v>10972</v>
      </c>
      <c r="B1310" s="2" t="s">
        <v>2305</v>
      </c>
      <c r="C1310" s="2" t="s">
        <v>2306</v>
      </c>
      <c r="D1310" s="3">
        <v>329472</v>
      </c>
      <c r="E1310" s="3">
        <v>329472</v>
      </c>
      <c r="F1310" s="2" t="s">
        <v>16</v>
      </c>
      <c r="G1310">
        <v>1.04E-2</v>
      </c>
      <c r="H1310" s="9">
        <f t="shared" si="20"/>
        <v>0</v>
      </c>
      <c r="I1310" t="s">
        <v>2305</v>
      </c>
      <c r="J1310" t="s">
        <v>2306</v>
      </c>
    </row>
    <row r="1311" spans="1:10" x14ac:dyDescent="0.3">
      <c r="A1311" s="2" t="s">
        <v>10989</v>
      </c>
      <c r="B1311" s="2" t="s">
        <v>1170</v>
      </c>
      <c r="C1311" s="2" t="s">
        <v>1171</v>
      </c>
      <c r="D1311" s="3">
        <v>172800</v>
      </c>
      <c r="E1311" s="3">
        <v>172800</v>
      </c>
      <c r="F1311" s="2" t="s">
        <v>16</v>
      </c>
      <c r="G1311">
        <v>5.1999999999999998E-2</v>
      </c>
      <c r="H1311" s="9">
        <f t="shared" si="20"/>
        <v>0</v>
      </c>
      <c r="I1311" t="s">
        <v>97</v>
      </c>
      <c r="J1311" t="s">
        <v>98</v>
      </c>
    </row>
    <row r="1312" spans="1:10" x14ac:dyDescent="0.3">
      <c r="A1312" s="2" t="s">
        <v>10998</v>
      </c>
      <c r="B1312" s="2" t="s">
        <v>2086</v>
      </c>
      <c r="C1312" s="2" t="s">
        <v>2087</v>
      </c>
      <c r="D1312" s="3">
        <v>38016</v>
      </c>
      <c r="E1312" s="3">
        <v>38016</v>
      </c>
      <c r="F1312" s="2" t="s">
        <v>16</v>
      </c>
      <c r="G1312">
        <v>3.5999999999999997E-2</v>
      </c>
      <c r="H1312" s="9">
        <f t="shared" si="20"/>
        <v>0</v>
      </c>
      <c r="I1312" t="s">
        <v>2086</v>
      </c>
      <c r="J1312" t="s">
        <v>2087</v>
      </c>
    </row>
    <row r="1313" spans="1:10" x14ac:dyDescent="0.3">
      <c r="A1313" s="2" t="s">
        <v>11007</v>
      </c>
      <c r="B1313" s="2" t="s">
        <v>103</v>
      </c>
      <c r="C1313" s="2" t="s">
        <v>104</v>
      </c>
      <c r="D1313" s="3">
        <v>10620</v>
      </c>
      <c r="E1313" s="3">
        <v>0</v>
      </c>
      <c r="F1313" s="2" t="s">
        <v>16</v>
      </c>
      <c r="G1313">
        <v>3.0499999999999999E-2</v>
      </c>
      <c r="H1313" s="9">
        <f t="shared" si="20"/>
        <v>0</v>
      </c>
      <c r="I1313" t="s">
        <v>11040</v>
      </c>
      <c r="J1313" t="s">
        <v>11041</v>
      </c>
    </row>
    <row r="1314" spans="1:10" x14ac:dyDescent="0.3">
      <c r="A1314" s="2" t="s">
        <v>11011</v>
      </c>
      <c r="B1314" s="2" t="s">
        <v>103</v>
      </c>
      <c r="C1314" s="2" t="s">
        <v>104</v>
      </c>
      <c r="D1314" s="3">
        <v>10620</v>
      </c>
      <c r="E1314" s="3">
        <v>0</v>
      </c>
      <c r="F1314" s="2" t="s">
        <v>16</v>
      </c>
      <c r="G1314">
        <v>3.0499999999999999E-2</v>
      </c>
      <c r="H1314" s="9">
        <f t="shared" si="20"/>
        <v>0</v>
      </c>
      <c r="I1314" t="s">
        <v>11068</v>
      </c>
      <c r="J1314" t="s">
        <v>11069</v>
      </c>
    </row>
    <row r="1315" spans="1:10" x14ac:dyDescent="0.3">
      <c r="A1315" s="2" t="s">
        <v>11015</v>
      </c>
      <c r="B1315" s="2" t="s">
        <v>5357</v>
      </c>
      <c r="C1315" s="2" t="s">
        <v>5358</v>
      </c>
      <c r="D1315" s="3">
        <v>13248</v>
      </c>
      <c r="E1315" s="3">
        <v>0</v>
      </c>
      <c r="F1315" s="2" t="s">
        <v>16</v>
      </c>
      <c r="G1315">
        <v>4.4999999999999998E-2</v>
      </c>
      <c r="H1315" s="9">
        <f t="shared" si="20"/>
        <v>0</v>
      </c>
      <c r="I1315" t="s">
        <v>11054</v>
      </c>
      <c r="J1315" t="s">
        <v>11055</v>
      </c>
    </row>
    <row r="1316" spans="1:10" x14ac:dyDescent="0.3">
      <c r="A1316" s="2" t="s">
        <v>11019</v>
      </c>
      <c r="B1316" s="2" t="s">
        <v>5357</v>
      </c>
      <c r="C1316" s="2" t="s">
        <v>5358</v>
      </c>
      <c r="D1316" s="3">
        <v>6624</v>
      </c>
      <c r="E1316" s="3">
        <v>0</v>
      </c>
      <c r="F1316" s="2" t="s">
        <v>16</v>
      </c>
      <c r="G1316">
        <v>4.4999999999999998E-2</v>
      </c>
      <c r="H1316" s="9">
        <f t="shared" si="20"/>
        <v>0</v>
      </c>
      <c r="I1316" t="s">
        <v>11082</v>
      </c>
      <c r="J1316" t="s">
        <v>11083</v>
      </c>
    </row>
    <row r="1317" spans="1:10" x14ac:dyDescent="0.3">
      <c r="A1317" s="2" t="s">
        <v>11023</v>
      </c>
      <c r="B1317" s="2" t="s">
        <v>5357</v>
      </c>
      <c r="C1317" s="2" t="s">
        <v>5358</v>
      </c>
      <c r="D1317" s="3">
        <v>6624</v>
      </c>
      <c r="E1317" s="3">
        <v>0</v>
      </c>
      <c r="F1317" s="2" t="s">
        <v>16</v>
      </c>
      <c r="G1317">
        <v>4.4999999999999998E-2</v>
      </c>
      <c r="H1317" s="9">
        <f t="shared" si="20"/>
        <v>0</v>
      </c>
      <c r="I1317" t="s">
        <v>18423</v>
      </c>
      <c r="J1317" t="s">
        <v>18424</v>
      </c>
    </row>
    <row r="1318" spans="1:10" x14ac:dyDescent="0.3">
      <c r="A1318" s="2" t="s">
        <v>11027</v>
      </c>
      <c r="B1318" s="2" t="s">
        <v>5357</v>
      </c>
      <c r="C1318" s="2" t="s">
        <v>5358</v>
      </c>
      <c r="D1318" s="3">
        <v>6624</v>
      </c>
      <c r="E1318" s="3">
        <v>0</v>
      </c>
      <c r="F1318" s="2" t="s">
        <v>16</v>
      </c>
      <c r="G1318">
        <v>4.4999999999999998E-2</v>
      </c>
      <c r="H1318" s="9">
        <f t="shared" si="20"/>
        <v>0</v>
      </c>
      <c r="I1318" t="s">
        <v>11531</v>
      </c>
      <c r="J1318" t="s">
        <v>11532</v>
      </c>
    </row>
    <row r="1319" spans="1:10" x14ac:dyDescent="0.3">
      <c r="A1319" s="2" t="s">
        <v>11031</v>
      </c>
      <c r="B1319" s="2" t="s">
        <v>65</v>
      </c>
      <c r="C1319" s="2" t="s">
        <v>66</v>
      </c>
      <c r="D1319" s="5">
        <v>-85</v>
      </c>
      <c r="E1319" s="5">
        <v>-85</v>
      </c>
      <c r="F1319" s="2" t="s">
        <v>23</v>
      </c>
      <c r="G1319">
        <v>3.0499999999999999E-2</v>
      </c>
      <c r="H1319" s="9">
        <f t="shared" si="20"/>
        <v>-2786.8852459016393</v>
      </c>
      <c r="I1319" t="s">
        <v>11040</v>
      </c>
      <c r="J1319" t="s">
        <v>11041</v>
      </c>
    </row>
    <row r="1320" spans="1:10" x14ac:dyDescent="0.3">
      <c r="A1320" s="2" t="s">
        <v>11031</v>
      </c>
      <c r="B1320" s="2" t="s">
        <v>11040</v>
      </c>
      <c r="C1320" s="2" t="s">
        <v>11041</v>
      </c>
      <c r="D1320" s="3">
        <v>108970</v>
      </c>
      <c r="E1320" s="3">
        <v>108970</v>
      </c>
      <c r="F1320" s="2" t="s">
        <v>16</v>
      </c>
      <c r="G1320">
        <v>3.0499999999999999E-2</v>
      </c>
      <c r="H1320" s="9">
        <f t="shared" si="20"/>
        <v>0</v>
      </c>
      <c r="I1320" t="s">
        <v>11040</v>
      </c>
      <c r="J1320" t="s">
        <v>11041</v>
      </c>
    </row>
    <row r="1321" spans="1:10" x14ac:dyDescent="0.3">
      <c r="A1321" s="2" t="s">
        <v>11045</v>
      </c>
      <c r="B1321" s="2" t="s">
        <v>11054</v>
      </c>
      <c r="C1321" s="2" t="s">
        <v>11055</v>
      </c>
      <c r="D1321" s="3">
        <v>59616</v>
      </c>
      <c r="E1321" s="3">
        <v>59616</v>
      </c>
      <c r="F1321" s="2" t="s">
        <v>16</v>
      </c>
      <c r="G1321">
        <v>4.4999999999999998E-2</v>
      </c>
      <c r="H1321" s="9">
        <f t="shared" si="20"/>
        <v>0</v>
      </c>
      <c r="I1321" t="s">
        <v>11054</v>
      </c>
      <c r="J1321" t="s">
        <v>11055</v>
      </c>
    </row>
    <row r="1322" spans="1:10" x14ac:dyDescent="0.3">
      <c r="A1322" s="2" t="s">
        <v>11059</v>
      </c>
      <c r="B1322" s="2" t="s">
        <v>21</v>
      </c>
      <c r="C1322" s="2" t="s">
        <v>22</v>
      </c>
      <c r="D1322" s="5">
        <v>-83</v>
      </c>
      <c r="E1322" s="5">
        <v>-83</v>
      </c>
      <c r="F1322" s="2" t="s">
        <v>23</v>
      </c>
      <c r="G1322">
        <v>3.0499999999999999E-2</v>
      </c>
      <c r="H1322" s="9">
        <f t="shared" si="20"/>
        <v>-2721.311475409836</v>
      </c>
      <c r="I1322" t="s">
        <v>11068</v>
      </c>
      <c r="J1322" t="s">
        <v>11069</v>
      </c>
    </row>
    <row r="1323" spans="1:10" x14ac:dyDescent="0.3">
      <c r="A1323" s="2" t="s">
        <v>11059</v>
      </c>
      <c r="B1323" s="2" t="s">
        <v>11068</v>
      </c>
      <c r="C1323" s="2" t="s">
        <v>11069</v>
      </c>
      <c r="D1323" s="3">
        <v>87715</v>
      </c>
      <c r="E1323" s="3">
        <v>87715</v>
      </c>
      <c r="F1323" s="2" t="s">
        <v>16</v>
      </c>
      <c r="G1323">
        <v>3.0499999999999999E-2</v>
      </c>
      <c r="H1323" s="9">
        <f t="shared" si="20"/>
        <v>0</v>
      </c>
      <c r="I1323" t="s">
        <v>11068</v>
      </c>
      <c r="J1323" t="s">
        <v>11069</v>
      </c>
    </row>
    <row r="1324" spans="1:10" x14ac:dyDescent="0.3">
      <c r="A1324" s="2" t="s">
        <v>11073</v>
      </c>
      <c r="B1324" s="2" t="s">
        <v>21</v>
      </c>
      <c r="C1324" s="2" t="s">
        <v>22</v>
      </c>
      <c r="D1324" s="5">
        <v>-99</v>
      </c>
      <c r="E1324" s="5">
        <v>-99</v>
      </c>
      <c r="F1324" s="2" t="s">
        <v>23</v>
      </c>
      <c r="G1324">
        <v>4.4999999999999998E-2</v>
      </c>
      <c r="H1324" s="9">
        <f t="shared" si="20"/>
        <v>-2200</v>
      </c>
      <c r="I1324" t="s">
        <v>11082</v>
      </c>
      <c r="J1324" t="s">
        <v>11083</v>
      </c>
    </row>
    <row r="1325" spans="1:10" x14ac:dyDescent="0.3">
      <c r="A1325" s="2" t="s">
        <v>11073</v>
      </c>
      <c r="B1325" s="2" t="s">
        <v>11082</v>
      </c>
      <c r="C1325" s="2" t="s">
        <v>11083</v>
      </c>
      <c r="D1325" s="3">
        <v>68440</v>
      </c>
      <c r="E1325" s="3">
        <v>68440</v>
      </c>
      <c r="F1325" s="2" t="s">
        <v>16</v>
      </c>
      <c r="G1325">
        <v>4.4999999999999998E-2</v>
      </c>
      <c r="H1325" s="9">
        <f t="shared" si="20"/>
        <v>0</v>
      </c>
      <c r="I1325" t="s">
        <v>11082</v>
      </c>
      <c r="J1325" t="s">
        <v>11083</v>
      </c>
    </row>
    <row r="1326" spans="1:10" x14ac:dyDescent="0.3">
      <c r="A1326" s="2" t="s">
        <v>11087</v>
      </c>
      <c r="B1326" s="2" t="s">
        <v>4511</v>
      </c>
      <c r="C1326" s="2" t="s">
        <v>4512</v>
      </c>
      <c r="D1326" s="3">
        <v>29880</v>
      </c>
      <c r="E1326" s="3">
        <v>0</v>
      </c>
      <c r="F1326" s="2" t="s">
        <v>16</v>
      </c>
      <c r="G1326">
        <v>7.45E-3</v>
      </c>
      <c r="H1326" s="9">
        <f t="shared" si="20"/>
        <v>0</v>
      </c>
      <c r="I1326" t="s">
        <v>4511</v>
      </c>
      <c r="J1326" t="s">
        <v>4512</v>
      </c>
    </row>
    <row r="1327" spans="1:10" x14ac:dyDescent="0.3">
      <c r="A1327" s="2" t="s">
        <v>11096</v>
      </c>
      <c r="B1327" s="2" t="s">
        <v>6156</v>
      </c>
      <c r="C1327" s="2" t="s">
        <v>6157</v>
      </c>
      <c r="D1327" s="3">
        <v>609408</v>
      </c>
      <c r="E1327" s="3">
        <v>609408</v>
      </c>
      <c r="F1327" s="2" t="s">
        <v>16</v>
      </c>
      <c r="G1327">
        <v>4.7500000000000001E-2</v>
      </c>
      <c r="H1327" s="9">
        <f t="shared" si="20"/>
        <v>0</v>
      </c>
      <c r="I1327" t="s">
        <v>6156</v>
      </c>
      <c r="J1327" t="s">
        <v>6157</v>
      </c>
    </row>
    <row r="1328" spans="1:10" x14ac:dyDescent="0.3">
      <c r="A1328" s="2" t="s">
        <v>11105</v>
      </c>
      <c r="B1328" s="2" t="s">
        <v>517</v>
      </c>
      <c r="C1328" s="2" t="s">
        <v>518</v>
      </c>
      <c r="D1328" s="3">
        <v>352800</v>
      </c>
      <c r="E1328" s="3">
        <v>352800</v>
      </c>
      <c r="F1328" s="2" t="s">
        <v>16</v>
      </c>
      <c r="G1328">
        <v>2.6600000000000002E-2</v>
      </c>
      <c r="H1328" s="9">
        <f t="shared" si="20"/>
        <v>0</v>
      </c>
      <c r="I1328" t="s">
        <v>517</v>
      </c>
      <c r="J1328" t="s">
        <v>518</v>
      </c>
    </row>
    <row r="1329" spans="1:10" x14ac:dyDescent="0.3">
      <c r="A1329" s="2" t="s">
        <v>11118</v>
      </c>
      <c r="B1329" s="2" t="s">
        <v>65</v>
      </c>
      <c r="C1329" s="2" t="s">
        <v>66</v>
      </c>
      <c r="D1329" s="5">
        <v>-710</v>
      </c>
      <c r="E1329" s="3">
        <v>0</v>
      </c>
      <c r="F1329" s="2" t="s">
        <v>23</v>
      </c>
      <c r="G1329">
        <v>5.1999999999999998E-2</v>
      </c>
      <c r="H1329" s="9">
        <f t="shared" si="20"/>
        <v>0</v>
      </c>
      <c r="I1329" t="s">
        <v>97</v>
      </c>
      <c r="J1329" t="s">
        <v>98</v>
      </c>
    </row>
    <row r="1330" spans="1:10" x14ac:dyDescent="0.3">
      <c r="A1330" s="2" t="s">
        <v>11118</v>
      </c>
      <c r="B1330" s="2" t="s">
        <v>1170</v>
      </c>
      <c r="C1330" s="2" t="s">
        <v>1171</v>
      </c>
      <c r="D1330" s="3">
        <v>96000</v>
      </c>
      <c r="E1330" s="3">
        <v>0</v>
      </c>
      <c r="F1330" s="2" t="s">
        <v>16</v>
      </c>
      <c r="G1330">
        <v>5.1999999999999998E-2</v>
      </c>
      <c r="H1330" s="9">
        <f t="shared" si="20"/>
        <v>0</v>
      </c>
      <c r="I1330" t="s">
        <v>97</v>
      </c>
      <c r="J1330" t="s">
        <v>98</v>
      </c>
    </row>
    <row r="1331" spans="1:10" x14ac:dyDescent="0.3">
      <c r="A1331" s="2" t="s">
        <v>11127</v>
      </c>
      <c r="B1331" s="2" t="s">
        <v>517</v>
      </c>
      <c r="C1331" s="2" t="s">
        <v>518</v>
      </c>
      <c r="D1331" s="3">
        <v>40320</v>
      </c>
      <c r="E1331" s="3">
        <v>40320</v>
      </c>
      <c r="F1331" s="2" t="s">
        <v>16</v>
      </c>
      <c r="G1331">
        <v>2.6600000000000002E-2</v>
      </c>
      <c r="H1331" s="9">
        <f t="shared" si="20"/>
        <v>0</v>
      </c>
      <c r="I1331" t="s">
        <v>517</v>
      </c>
      <c r="J1331" t="s">
        <v>518</v>
      </c>
    </row>
    <row r="1332" spans="1:10" x14ac:dyDescent="0.3">
      <c r="A1332" s="2" t="s">
        <v>11132</v>
      </c>
      <c r="B1332" s="2" t="s">
        <v>65</v>
      </c>
      <c r="C1332" s="2" t="s">
        <v>66</v>
      </c>
      <c r="D1332" s="5">
        <v>-748</v>
      </c>
      <c r="E1332" s="5">
        <v>-748</v>
      </c>
      <c r="F1332" s="2" t="s">
        <v>23</v>
      </c>
      <c r="G1332">
        <v>5.1999999999999998E-2</v>
      </c>
      <c r="H1332" s="9">
        <f t="shared" si="20"/>
        <v>-14384.615384615385</v>
      </c>
      <c r="I1332" t="s">
        <v>1170</v>
      </c>
      <c r="J1332" t="s">
        <v>1171</v>
      </c>
    </row>
    <row r="1333" spans="1:10" x14ac:dyDescent="0.3">
      <c r="A1333" s="2" t="s">
        <v>11132</v>
      </c>
      <c r="B1333" s="2" t="s">
        <v>1170</v>
      </c>
      <c r="C1333" s="2" t="s">
        <v>1171</v>
      </c>
      <c r="D1333" s="3">
        <v>96000</v>
      </c>
      <c r="E1333" s="3">
        <v>96000</v>
      </c>
      <c r="F1333" s="2" t="s">
        <v>16</v>
      </c>
      <c r="G1333">
        <v>5.1999999999999998E-2</v>
      </c>
      <c r="H1333" s="9">
        <f t="shared" si="20"/>
        <v>0</v>
      </c>
      <c r="I1333" t="s">
        <v>1170</v>
      </c>
      <c r="J1333" t="s">
        <v>1171</v>
      </c>
    </row>
    <row r="1334" spans="1:10" x14ac:dyDescent="0.3">
      <c r="A1334" s="2" t="s">
        <v>11141</v>
      </c>
      <c r="B1334" s="2" t="s">
        <v>11054</v>
      </c>
      <c r="C1334" s="2" t="s">
        <v>11055</v>
      </c>
      <c r="D1334" s="3">
        <v>94569</v>
      </c>
      <c r="E1334" s="3">
        <v>94569</v>
      </c>
      <c r="F1334" s="2" t="s">
        <v>16</v>
      </c>
      <c r="G1334">
        <v>4.4999999999999998E-2</v>
      </c>
      <c r="H1334" s="9">
        <f t="shared" si="20"/>
        <v>0</v>
      </c>
      <c r="I1334" t="s">
        <v>11531</v>
      </c>
      <c r="J1334" t="s">
        <v>11532</v>
      </c>
    </row>
    <row r="1335" spans="1:10" x14ac:dyDescent="0.3">
      <c r="A1335" s="2" t="s">
        <v>11145</v>
      </c>
      <c r="B1335" s="2" t="s">
        <v>6156</v>
      </c>
      <c r="C1335" s="2" t="s">
        <v>6157</v>
      </c>
      <c r="D1335" s="3">
        <v>563040</v>
      </c>
      <c r="E1335" s="3">
        <v>563040</v>
      </c>
      <c r="F1335" s="2" t="s">
        <v>16</v>
      </c>
      <c r="G1335">
        <v>4.7500000000000001E-2</v>
      </c>
      <c r="H1335" s="9">
        <f t="shared" si="20"/>
        <v>0</v>
      </c>
      <c r="I1335" t="s">
        <v>6156</v>
      </c>
      <c r="J1335" t="s">
        <v>6157</v>
      </c>
    </row>
    <row r="1336" spans="1:10" x14ac:dyDescent="0.3">
      <c r="A1336" s="2" t="s">
        <v>11158</v>
      </c>
      <c r="B1336" s="2" t="s">
        <v>21</v>
      </c>
      <c r="C1336" s="2" t="s">
        <v>22</v>
      </c>
      <c r="D1336" s="5">
        <v>-140</v>
      </c>
      <c r="E1336" s="5">
        <v>-140</v>
      </c>
      <c r="F1336" s="2" t="s">
        <v>23</v>
      </c>
      <c r="G1336">
        <v>4.7500000000000001E-2</v>
      </c>
      <c r="H1336" s="9">
        <f t="shared" si="20"/>
        <v>-2947.3684210526317</v>
      </c>
      <c r="I1336" t="s">
        <v>6156</v>
      </c>
      <c r="J1336" t="s">
        <v>6157</v>
      </c>
    </row>
    <row r="1337" spans="1:10" x14ac:dyDescent="0.3">
      <c r="A1337" s="2" t="s">
        <v>11158</v>
      </c>
      <c r="B1337" s="2" t="s">
        <v>6156</v>
      </c>
      <c r="C1337" s="2" t="s">
        <v>6157</v>
      </c>
      <c r="D1337" s="3">
        <v>86112</v>
      </c>
      <c r="E1337" s="3">
        <v>86112</v>
      </c>
      <c r="F1337" s="2" t="s">
        <v>16</v>
      </c>
      <c r="G1337">
        <v>4.7500000000000001E-2</v>
      </c>
      <c r="H1337" s="9">
        <f t="shared" si="20"/>
        <v>0</v>
      </c>
      <c r="I1337" t="s">
        <v>6156</v>
      </c>
      <c r="J1337" t="s">
        <v>6157</v>
      </c>
    </row>
    <row r="1338" spans="1:10" x14ac:dyDescent="0.3">
      <c r="A1338" s="2" t="s">
        <v>11171</v>
      </c>
      <c r="B1338" s="2" t="s">
        <v>65</v>
      </c>
      <c r="C1338" s="2" t="s">
        <v>66</v>
      </c>
      <c r="D1338" s="5">
        <v>-45</v>
      </c>
      <c r="E1338" s="5">
        <v>-45</v>
      </c>
      <c r="F1338" s="2" t="s">
        <v>23</v>
      </c>
      <c r="G1338">
        <v>3.0499999999999999E-2</v>
      </c>
      <c r="H1338" s="9">
        <f t="shared" si="20"/>
        <v>-1475.4098360655737</v>
      </c>
      <c r="I1338" t="s">
        <v>13810</v>
      </c>
      <c r="J1338" t="s">
        <v>13811</v>
      </c>
    </row>
    <row r="1339" spans="1:10" x14ac:dyDescent="0.3">
      <c r="A1339" s="2" t="s">
        <v>11171</v>
      </c>
      <c r="B1339" s="2" t="s">
        <v>11040</v>
      </c>
      <c r="C1339" s="2" t="s">
        <v>11041</v>
      </c>
      <c r="D1339" s="3">
        <v>139542</v>
      </c>
      <c r="E1339" s="3">
        <v>139542</v>
      </c>
      <c r="F1339" s="2" t="s">
        <v>16</v>
      </c>
      <c r="G1339">
        <v>3.0499999999999999E-2</v>
      </c>
      <c r="H1339" s="9">
        <f t="shared" si="20"/>
        <v>0</v>
      </c>
      <c r="I1339" t="s">
        <v>13810</v>
      </c>
      <c r="J1339" t="s">
        <v>13811</v>
      </c>
    </row>
    <row r="1340" spans="1:10" x14ac:dyDescent="0.3">
      <c r="A1340" s="2" t="s">
        <v>11188</v>
      </c>
      <c r="B1340" s="2" t="s">
        <v>4791</v>
      </c>
      <c r="C1340" s="2" t="s">
        <v>4792</v>
      </c>
      <c r="D1340" s="3">
        <v>635904</v>
      </c>
      <c r="E1340" s="3">
        <v>635904</v>
      </c>
      <c r="F1340" s="2" t="s">
        <v>16</v>
      </c>
      <c r="G1340">
        <v>4.4999999999999998E-2</v>
      </c>
      <c r="H1340" s="9">
        <f t="shared" si="20"/>
        <v>0</v>
      </c>
      <c r="I1340" t="s">
        <v>4791</v>
      </c>
      <c r="J1340" t="s">
        <v>4792</v>
      </c>
    </row>
    <row r="1341" spans="1:10" x14ac:dyDescent="0.3">
      <c r="A1341" s="2" t="s">
        <v>11201</v>
      </c>
      <c r="B1341" s="2" t="s">
        <v>86</v>
      </c>
      <c r="C1341" s="2" t="s">
        <v>87</v>
      </c>
      <c r="D1341" s="5">
        <v>-268</v>
      </c>
      <c r="E1341" s="5">
        <v>-268</v>
      </c>
      <c r="F1341" s="2" t="s">
        <v>23</v>
      </c>
      <c r="G1341">
        <v>2.6600000000000002E-2</v>
      </c>
      <c r="H1341" s="9">
        <f t="shared" si="20"/>
        <v>-10075.187969924811</v>
      </c>
      <c r="I1341" t="s">
        <v>11210</v>
      </c>
      <c r="J1341" t="s">
        <v>11211</v>
      </c>
    </row>
    <row r="1342" spans="1:10" x14ac:dyDescent="0.3">
      <c r="A1342" s="2" t="s">
        <v>11201</v>
      </c>
      <c r="B1342" s="2" t="s">
        <v>11210</v>
      </c>
      <c r="C1342" s="2" t="s">
        <v>11211</v>
      </c>
      <c r="D1342" s="3">
        <v>100800</v>
      </c>
      <c r="E1342" s="3">
        <v>100800</v>
      </c>
      <c r="F1342" s="2" t="s">
        <v>16</v>
      </c>
      <c r="G1342">
        <v>2.6600000000000002E-2</v>
      </c>
      <c r="H1342" s="9">
        <f t="shared" si="20"/>
        <v>0</v>
      </c>
      <c r="I1342" t="s">
        <v>11210</v>
      </c>
      <c r="J1342" t="s">
        <v>11211</v>
      </c>
    </row>
    <row r="1343" spans="1:10" x14ac:dyDescent="0.3">
      <c r="A1343" s="2" t="s">
        <v>11215</v>
      </c>
      <c r="B1343" s="2" t="s">
        <v>86</v>
      </c>
      <c r="C1343" s="2" t="s">
        <v>87</v>
      </c>
      <c r="D1343" s="5">
        <v>-238</v>
      </c>
      <c r="E1343" s="5">
        <v>-238</v>
      </c>
      <c r="F1343" s="2" t="s">
        <v>23</v>
      </c>
      <c r="G1343">
        <v>9.4000000000000004E-3</v>
      </c>
      <c r="H1343" s="9">
        <f t="shared" si="20"/>
        <v>-25319.148936170212</v>
      </c>
      <c r="I1343" t="s">
        <v>3028</v>
      </c>
      <c r="J1343" t="s">
        <v>3029</v>
      </c>
    </row>
    <row r="1344" spans="1:10" x14ac:dyDescent="0.3">
      <c r="A1344" s="2" t="s">
        <v>11215</v>
      </c>
      <c r="B1344" s="2" t="s">
        <v>76</v>
      </c>
      <c r="C1344" s="2" t="s">
        <v>77</v>
      </c>
      <c r="D1344" s="3">
        <v>279180</v>
      </c>
      <c r="E1344" s="3">
        <v>279180</v>
      </c>
      <c r="F1344" s="2" t="s">
        <v>16</v>
      </c>
      <c r="G1344">
        <v>9.4000000000000004E-3</v>
      </c>
      <c r="H1344" s="9">
        <f t="shared" si="20"/>
        <v>0</v>
      </c>
      <c r="I1344" t="s">
        <v>3028</v>
      </c>
      <c r="J1344" t="s">
        <v>3029</v>
      </c>
    </row>
    <row r="1345" spans="1:10" x14ac:dyDescent="0.3">
      <c r="A1345" s="2" t="s">
        <v>11232</v>
      </c>
      <c r="B1345" s="2" t="s">
        <v>11241</v>
      </c>
      <c r="C1345" s="2" t="s">
        <v>11242</v>
      </c>
      <c r="D1345" s="3">
        <v>50760</v>
      </c>
      <c r="E1345" s="3">
        <v>50760</v>
      </c>
      <c r="F1345" s="2" t="s">
        <v>16</v>
      </c>
      <c r="G1345">
        <v>9.4000000000000004E-3</v>
      </c>
      <c r="H1345" s="9">
        <f t="shared" si="20"/>
        <v>0</v>
      </c>
      <c r="I1345" t="s">
        <v>3028</v>
      </c>
      <c r="J1345" t="s">
        <v>3029</v>
      </c>
    </row>
    <row r="1346" spans="1:10" x14ac:dyDescent="0.3">
      <c r="A1346" s="2" t="s">
        <v>11246</v>
      </c>
      <c r="B1346" s="2" t="s">
        <v>517</v>
      </c>
      <c r="C1346" s="2" t="s">
        <v>518</v>
      </c>
      <c r="D1346" s="3">
        <v>10080</v>
      </c>
      <c r="E1346" s="3">
        <v>10080</v>
      </c>
      <c r="F1346" s="2" t="s">
        <v>16</v>
      </c>
      <c r="G1346">
        <v>2.6600000000000002E-2</v>
      </c>
      <c r="H1346" s="9">
        <f t="shared" si="20"/>
        <v>0</v>
      </c>
      <c r="I1346" t="s">
        <v>517</v>
      </c>
      <c r="J1346" t="s">
        <v>518</v>
      </c>
    </row>
    <row r="1347" spans="1:10" x14ac:dyDescent="0.3">
      <c r="A1347" s="2" t="s">
        <v>11251</v>
      </c>
      <c r="B1347" s="2" t="s">
        <v>517</v>
      </c>
      <c r="C1347" s="2" t="s">
        <v>518</v>
      </c>
      <c r="D1347" s="3">
        <v>10080</v>
      </c>
      <c r="E1347" s="3">
        <v>10080</v>
      </c>
      <c r="F1347" s="2" t="s">
        <v>16</v>
      </c>
      <c r="G1347">
        <v>2.6600000000000002E-2</v>
      </c>
      <c r="H1347" s="9">
        <f t="shared" ref="H1347:H1410" si="21">IFERROR(IF(LEFT(B1347,1)="F",E1347/G1347,0),0)</f>
        <v>0</v>
      </c>
      <c r="I1347" t="s">
        <v>517</v>
      </c>
      <c r="J1347" t="s">
        <v>518</v>
      </c>
    </row>
    <row r="1348" spans="1:10" x14ac:dyDescent="0.3">
      <c r="A1348" s="2" t="s">
        <v>11256</v>
      </c>
      <c r="B1348" s="2" t="s">
        <v>11257</v>
      </c>
      <c r="C1348" s="2" t="s">
        <v>11258</v>
      </c>
      <c r="D1348" s="3">
        <v>138060</v>
      </c>
      <c r="E1348" s="3">
        <v>0</v>
      </c>
      <c r="F1348" s="2" t="s">
        <v>16</v>
      </c>
      <c r="G1348">
        <v>3.0499999999999999E-2</v>
      </c>
      <c r="H1348" s="9">
        <f t="shared" si="21"/>
        <v>0</v>
      </c>
      <c r="I1348" t="s">
        <v>11257</v>
      </c>
      <c r="J1348" t="s">
        <v>11258</v>
      </c>
    </row>
    <row r="1349" spans="1:10" x14ac:dyDescent="0.3">
      <c r="A1349" s="2" t="s">
        <v>11256</v>
      </c>
      <c r="B1349" s="2" t="s">
        <v>11068</v>
      </c>
      <c r="C1349" s="2" t="s">
        <v>11069</v>
      </c>
      <c r="D1349" s="3">
        <v>138060</v>
      </c>
      <c r="E1349" s="3">
        <v>138060</v>
      </c>
      <c r="F1349" s="2" t="s">
        <v>16</v>
      </c>
      <c r="G1349">
        <v>3.0499999999999999E-2</v>
      </c>
      <c r="H1349" s="9">
        <f t="shared" si="21"/>
        <v>0</v>
      </c>
      <c r="I1349" t="s">
        <v>11257</v>
      </c>
      <c r="J1349" t="s">
        <v>11258</v>
      </c>
    </row>
    <row r="1350" spans="1:10" x14ac:dyDescent="0.3">
      <c r="A1350" s="2" t="s">
        <v>11265</v>
      </c>
      <c r="B1350" s="2" t="s">
        <v>740</v>
      </c>
      <c r="C1350" s="2" t="s">
        <v>741</v>
      </c>
      <c r="D1350" s="3">
        <v>1040760</v>
      </c>
      <c r="E1350" s="3">
        <v>1040760</v>
      </c>
      <c r="F1350" s="2" t="s">
        <v>16</v>
      </c>
      <c r="G1350">
        <v>3.0499999999999999E-2</v>
      </c>
      <c r="H1350" s="9">
        <f t="shared" si="21"/>
        <v>0</v>
      </c>
      <c r="I1350" t="s">
        <v>740</v>
      </c>
      <c r="J1350" t="s">
        <v>741</v>
      </c>
    </row>
    <row r="1351" spans="1:10" x14ac:dyDescent="0.3">
      <c r="A1351" s="2" t="s">
        <v>11274</v>
      </c>
      <c r="B1351" s="2" t="s">
        <v>4791</v>
      </c>
      <c r="C1351" s="2" t="s">
        <v>4792</v>
      </c>
      <c r="D1351" s="3">
        <v>317952</v>
      </c>
      <c r="E1351" s="3">
        <v>317952</v>
      </c>
      <c r="F1351" s="2" t="s">
        <v>16</v>
      </c>
      <c r="G1351">
        <v>4.4999999999999998E-2</v>
      </c>
      <c r="H1351" s="9">
        <f t="shared" si="21"/>
        <v>0</v>
      </c>
      <c r="I1351" t="s">
        <v>4791</v>
      </c>
      <c r="J1351" t="s">
        <v>4792</v>
      </c>
    </row>
    <row r="1352" spans="1:10" x14ac:dyDescent="0.3">
      <c r="A1352" s="2" t="s">
        <v>11283</v>
      </c>
      <c r="B1352" s="2" t="s">
        <v>11241</v>
      </c>
      <c r="C1352" s="2" t="s">
        <v>11242</v>
      </c>
      <c r="D1352" s="3">
        <v>329940</v>
      </c>
      <c r="E1352" s="3">
        <v>329940</v>
      </c>
      <c r="F1352" s="2" t="s">
        <v>16</v>
      </c>
      <c r="G1352">
        <v>9.4000000000000004E-3</v>
      </c>
      <c r="H1352" s="9">
        <f t="shared" si="21"/>
        <v>0</v>
      </c>
      <c r="I1352" t="s">
        <v>3028</v>
      </c>
      <c r="J1352" t="s">
        <v>3029</v>
      </c>
    </row>
    <row r="1353" spans="1:10" x14ac:dyDescent="0.3">
      <c r="A1353" s="2" t="s">
        <v>11296</v>
      </c>
      <c r="B1353" s="2" t="s">
        <v>6182</v>
      </c>
      <c r="C1353" s="2" t="s">
        <v>6183</v>
      </c>
      <c r="D1353" s="3">
        <v>209160</v>
      </c>
      <c r="E1353" s="3">
        <v>209160</v>
      </c>
      <c r="F1353" s="2" t="s">
        <v>16</v>
      </c>
      <c r="G1353">
        <v>7.45E-3</v>
      </c>
      <c r="H1353" s="9">
        <f t="shared" si="21"/>
        <v>0</v>
      </c>
      <c r="I1353" t="s">
        <v>4511</v>
      </c>
      <c r="J1353" t="s">
        <v>4512</v>
      </c>
    </row>
    <row r="1354" spans="1:10" x14ac:dyDescent="0.3">
      <c r="A1354" s="2" t="s">
        <v>11301</v>
      </c>
      <c r="B1354" s="2" t="s">
        <v>97</v>
      </c>
      <c r="C1354" s="2" t="s">
        <v>98</v>
      </c>
      <c r="D1354" s="3">
        <v>158400</v>
      </c>
      <c r="E1354" s="3">
        <v>158400</v>
      </c>
      <c r="F1354" s="2" t="s">
        <v>16</v>
      </c>
      <c r="G1354">
        <v>5.1999999999999998E-2</v>
      </c>
      <c r="H1354" s="9">
        <f t="shared" si="21"/>
        <v>0</v>
      </c>
      <c r="I1354" t="s">
        <v>97</v>
      </c>
      <c r="J1354" t="s">
        <v>98</v>
      </c>
    </row>
    <row r="1355" spans="1:10" x14ac:dyDescent="0.3">
      <c r="A1355" s="2" t="s">
        <v>11310</v>
      </c>
      <c r="B1355" s="2" t="s">
        <v>11082</v>
      </c>
      <c r="C1355" s="2" t="s">
        <v>11083</v>
      </c>
      <c r="D1355" s="3">
        <v>26496</v>
      </c>
      <c r="E1355" s="3">
        <v>26496</v>
      </c>
      <c r="F1355" s="2" t="s">
        <v>16</v>
      </c>
      <c r="G1355">
        <v>4.4999999999999998E-2</v>
      </c>
      <c r="H1355" s="9">
        <f t="shared" si="21"/>
        <v>0</v>
      </c>
      <c r="I1355" t="s">
        <v>18423</v>
      </c>
      <c r="J1355" t="s">
        <v>18424</v>
      </c>
    </row>
    <row r="1356" spans="1:10" x14ac:dyDescent="0.3">
      <c r="A1356" s="2" t="s">
        <v>11314</v>
      </c>
      <c r="B1356" s="2" t="s">
        <v>97</v>
      </c>
      <c r="C1356" s="2" t="s">
        <v>98</v>
      </c>
      <c r="D1356" s="3">
        <v>398400</v>
      </c>
      <c r="E1356" s="3">
        <v>398400</v>
      </c>
      <c r="F1356" s="2" t="s">
        <v>16</v>
      </c>
      <c r="G1356">
        <v>5.1999999999999998E-2</v>
      </c>
      <c r="H1356" s="9">
        <f t="shared" si="21"/>
        <v>0</v>
      </c>
      <c r="I1356" t="s">
        <v>97</v>
      </c>
      <c r="J1356" t="s">
        <v>98</v>
      </c>
    </row>
    <row r="1357" spans="1:10" x14ac:dyDescent="0.3">
      <c r="A1357" s="2" t="s">
        <v>11323</v>
      </c>
      <c r="B1357" s="2" t="s">
        <v>86</v>
      </c>
      <c r="C1357" s="2" t="s">
        <v>87</v>
      </c>
      <c r="D1357" s="5">
        <v>-261</v>
      </c>
      <c r="E1357" s="5">
        <v>-261</v>
      </c>
      <c r="F1357" s="2" t="s">
        <v>23</v>
      </c>
      <c r="G1357">
        <v>1.2500000000000001E-2</v>
      </c>
      <c r="H1357" s="9">
        <f t="shared" si="21"/>
        <v>-20880</v>
      </c>
      <c r="I1357" t="s">
        <v>11332</v>
      </c>
      <c r="J1357" t="s">
        <v>11333</v>
      </c>
    </row>
    <row r="1358" spans="1:10" x14ac:dyDescent="0.3">
      <c r="A1358" s="2" t="s">
        <v>11323</v>
      </c>
      <c r="B1358" s="2" t="s">
        <v>11332</v>
      </c>
      <c r="C1358" s="2" t="s">
        <v>11333</v>
      </c>
      <c r="D1358" s="3">
        <v>167040</v>
      </c>
      <c r="E1358" s="3">
        <v>167040</v>
      </c>
      <c r="F1358" s="2" t="s">
        <v>16</v>
      </c>
      <c r="G1358">
        <v>1.2500000000000001E-2</v>
      </c>
      <c r="H1358" s="9">
        <f t="shared" si="21"/>
        <v>0</v>
      </c>
      <c r="I1358" t="s">
        <v>11332</v>
      </c>
      <c r="J1358" t="s">
        <v>11333</v>
      </c>
    </row>
    <row r="1359" spans="1:10" x14ac:dyDescent="0.3">
      <c r="A1359" s="2" t="s">
        <v>11337</v>
      </c>
      <c r="B1359" s="2" t="s">
        <v>2100</v>
      </c>
      <c r="C1359" s="2" t="s">
        <v>2101</v>
      </c>
      <c r="D1359" s="3">
        <v>53100</v>
      </c>
      <c r="E1359" s="3">
        <v>53100</v>
      </c>
      <c r="F1359" s="2" t="s">
        <v>16</v>
      </c>
      <c r="G1359">
        <v>3.0499999999999999E-2</v>
      </c>
      <c r="H1359" s="9">
        <f t="shared" si="21"/>
        <v>0</v>
      </c>
      <c r="I1359" t="s">
        <v>740</v>
      </c>
      <c r="J1359" t="s">
        <v>741</v>
      </c>
    </row>
    <row r="1360" spans="1:10" x14ac:dyDescent="0.3">
      <c r="A1360" s="2" t="s">
        <v>11346</v>
      </c>
      <c r="B1360" s="2" t="s">
        <v>103</v>
      </c>
      <c r="C1360" s="2" t="s">
        <v>104</v>
      </c>
      <c r="D1360" s="3">
        <v>10620</v>
      </c>
      <c r="E1360" s="3">
        <v>10620</v>
      </c>
      <c r="F1360" s="2" t="s">
        <v>16</v>
      </c>
      <c r="G1360">
        <v>3.0499999999999999E-2</v>
      </c>
      <c r="H1360" s="9">
        <f t="shared" si="21"/>
        <v>0</v>
      </c>
      <c r="I1360" t="s">
        <v>740</v>
      </c>
      <c r="J1360" t="s">
        <v>741</v>
      </c>
    </row>
    <row r="1361" spans="1:10" x14ac:dyDescent="0.3">
      <c r="A1361" s="2" t="s">
        <v>11351</v>
      </c>
      <c r="B1361" s="2" t="s">
        <v>740</v>
      </c>
      <c r="C1361" s="2" t="s">
        <v>741</v>
      </c>
      <c r="D1361" s="3">
        <v>10620</v>
      </c>
      <c r="E1361" s="3">
        <v>10620</v>
      </c>
      <c r="F1361" s="2" t="s">
        <v>16</v>
      </c>
      <c r="G1361">
        <v>3.0499999999999999E-2</v>
      </c>
      <c r="H1361" s="9">
        <f t="shared" si="21"/>
        <v>0</v>
      </c>
      <c r="I1361" t="s">
        <v>740</v>
      </c>
      <c r="J1361" t="s">
        <v>741</v>
      </c>
    </row>
    <row r="1362" spans="1:10" x14ac:dyDescent="0.3">
      <c r="A1362" s="2" t="s">
        <v>11356</v>
      </c>
      <c r="B1362" s="2" t="s">
        <v>65</v>
      </c>
      <c r="C1362" s="2" t="s">
        <v>66</v>
      </c>
      <c r="D1362" s="5">
        <v>-249</v>
      </c>
      <c r="E1362" s="5">
        <v>-249</v>
      </c>
      <c r="F1362" s="2" t="s">
        <v>23</v>
      </c>
      <c r="G1362">
        <v>5.1999999999999998E-2</v>
      </c>
      <c r="H1362" s="9">
        <f t="shared" si="21"/>
        <v>-4788.461538461539</v>
      </c>
      <c r="I1362" t="s">
        <v>1170</v>
      </c>
      <c r="J1362" t="s">
        <v>1171</v>
      </c>
    </row>
    <row r="1363" spans="1:10" x14ac:dyDescent="0.3">
      <c r="A1363" s="2" t="s">
        <v>11356</v>
      </c>
      <c r="B1363" s="2" t="s">
        <v>97</v>
      </c>
      <c r="C1363" s="2" t="s">
        <v>98</v>
      </c>
      <c r="D1363" s="3">
        <v>38400</v>
      </c>
      <c r="E1363" s="3">
        <v>38400</v>
      </c>
      <c r="F1363" s="2" t="s">
        <v>16</v>
      </c>
      <c r="G1363">
        <v>5.1999999999999998E-2</v>
      </c>
      <c r="H1363" s="9">
        <f t="shared" si="21"/>
        <v>0</v>
      </c>
      <c r="I1363" t="s">
        <v>1170</v>
      </c>
      <c r="J1363" t="s">
        <v>1171</v>
      </c>
    </row>
    <row r="1364" spans="1:10" x14ac:dyDescent="0.3">
      <c r="A1364" s="2" t="s">
        <v>11369</v>
      </c>
      <c r="B1364" s="2" t="s">
        <v>9405</v>
      </c>
      <c r="C1364" s="2" t="s">
        <v>9406</v>
      </c>
      <c r="D1364" s="3">
        <v>1218240</v>
      </c>
      <c r="E1364" s="3">
        <v>1218240</v>
      </c>
      <c r="F1364" s="2" t="s">
        <v>16</v>
      </c>
      <c r="G1364">
        <v>9.4000000000000004E-3</v>
      </c>
      <c r="H1364" s="9">
        <f t="shared" si="21"/>
        <v>0</v>
      </c>
      <c r="I1364" t="s">
        <v>9405</v>
      </c>
      <c r="J1364" t="s">
        <v>9406</v>
      </c>
    </row>
    <row r="1365" spans="1:10" x14ac:dyDescent="0.3">
      <c r="A1365" s="2" t="s">
        <v>11378</v>
      </c>
      <c r="B1365" s="2" t="s">
        <v>4791</v>
      </c>
      <c r="C1365" s="2" t="s">
        <v>4792</v>
      </c>
      <c r="D1365" s="3">
        <v>19872</v>
      </c>
      <c r="E1365" s="3">
        <v>19872</v>
      </c>
      <c r="F1365" s="2" t="s">
        <v>16</v>
      </c>
      <c r="G1365">
        <v>4.4999999999999998E-2</v>
      </c>
      <c r="H1365" s="9">
        <f t="shared" si="21"/>
        <v>0</v>
      </c>
      <c r="I1365" t="s">
        <v>5347</v>
      </c>
      <c r="J1365" t="s">
        <v>5348</v>
      </c>
    </row>
    <row r="1366" spans="1:10" x14ac:dyDescent="0.3">
      <c r="A1366" s="2" t="s">
        <v>11387</v>
      </c>
      <c r="B1366" s="2" t="s">
        <v>5347</v>
      </c>
      <c r="C1366" s="2" t="s">
        <v>5348</v>
      </c>
      <c r="D1366" s="3">
        <v>6624</v>
      </c>
      <c r="E1366" s="3">
        <v>6624</v>
      </c>
      <c r="F1366" s="2" t="s">
        <v>16</v>
      </c>
      <c r="G1366">
        <v>4.4999999999999998E-2</v>
      </c>
      <c r="H1366" s="9">
        <f t="shared" si="21"/>
        <v>0</v>
      </c>
      <c r="I1366" t="s">
        <v>5347</v>
      </c>
      <c r="J1366" t="s">
        <v>5348</v>
      </c>
    </row>
    <row r="1367" spans="1:10" x14ac:dyDescent="0.3">
      <c r="A1367" s="2" t="s">
        <v>11392</v>
      </c>
      <c r="B1367" s="2" t="s">
        <v>5347</v>
      </c>
      <c r="C1367" s="2" t="s">
        <v>5348</v>
      </c>
      <c r="D1367" s="3">
        <v>6624</v>
      </c>
      <c r="E1367" s="3">
        <v>6624</v>
      </c>
      <c r="F1367" s="2" t="s">
        <v>16</v>
      </c>
      <c r="G1367">
        <v>4.4999999999999998E-2</v>
      </c>
      <c r="H1367" s="9">
        <f t="shared" si="21"/>
        <v>0</v>
      </c>
      <c r="I1367" t="s">
        <v>5347</v>
      </c>
      <c r="J1367" t="s">
        <v>5348</v>
      </c>
    </row>
    <row r="1368" spans="1:10" x14ac:dyDescent="0.3">
      <c r="A1368" s="2" t="s">
        <v>11397</v>
      </c>
      <c r="B1368" s="2" t="s">
        <v>5347</v>
      </c>
      <c r="C1368" s="2" t="s">
        <v>5348</v>
      </c>
      <c r="D1368" s="3">
        <v>6624</v>
      </c>
      <c r="E1368" s="3">
        <v>6624</v>
      </c>
      <c r="F1368" s="2" t="s">
        <v>16</v>
      </c>
      <c r="G1368">
        <v>4.4999999999999998E-2</v>
      </c>
      <c r="H1368" s="9">
        <f t="shared" si="21"/>
        <v>0</v>
      </c>
      <c r="I1368" t="s">
        <v>5347</v>
      </c>
      <c r="J1368" t="s">
        <v>5348</v>
      </c>
    </row>
    <row r="1369" spans="1:10" x14ac:dyDescent="0.3">
      <c r="A1369" s="2" t="s">
        <v>11402</v>
      </c>
      <c r="B1369" s="2" t="s">
        <v>97</v>
      </c>
      <c r="C1369" s="2" t="s">
        <v>98</v>
      </c>
      <c r="D1369" s="3">
        <v>388800</v>
      </c>
      <c r="E1369" s="3">
        <v>388800</v>
      </c>
      <c r="F1369" s="2" t="s">
        <v>16</v>
      </c>
      <c r="G1369">
        <v>5.1999999999999998E-2</v>
      </c>
      <c r="H1369" s="9">
        <f t="shared" si="21"/>
        <v>0</v>
      </c>
      <c r="I1369" t="s">
        <v>97</v>
      </c>
      <c r="J1369" t="s">
        <v>98</v>
      </c>
    </row>
    <row r="1370" spans="1:10" x14ac:dyDescent="0.3">
      <c r="A1370" s="2" t="s">
        <v>11415</v>
      </c>
      <c r="B1370" s="2" t="s">
        <v>86</v>
      </c>
      <c r="C1370" s="2" t="s">
        <v>87</v>
      </c>
      <c r="D1370" s="5">
        <v>-1200</v>
      </c>
      <c r="E1370" s="5">
        <v>-1200</v>
      </c>
      <c r="F1370" s="2" t="s">
        <v>23</v>
      </c>
      <c r="G1370">
        <v>1.15E-2</v>
      </c>
      <c r="H1370" s="9">
        <f t="shared" si="21"/>
        <v>-104347.82608695653</v>
      </c>
      <c r="I1370" t="s">
        <v>10719</v>
      </c>
      <c r="J1370" t="s">
        <v>10720</v>
      </c>
    </row>
    <row r="1371" spans="1:10" x14ac:dyDescent="0.3">
      <c r="A1371" s="2" t="s">
        <v>11415</v>
      </c>
      <c r="B1371" s="2" t="s">
        <v>10719</v>
      </c>
      <c r="C1371" s="2" t="s">
        <v>10720</v>
      </c>
      <c r="D1371" s="3">
        <v>250560</v>
      </c>
      <c r="E1371" s="3">
        <v>250560</v>
      </c>
      <c r="F1371" s="2" t="s">
        <v>16</v>
      </c>
      <c r="G1371">
        <v>1.15E-2</v>
      </c>
      <c r="H1371" s="9">
        <f t="shared" si="21"/>
        <v>0</v>
      </c>
      <c r="I1371" t="s">
        <v>10719</v>
      </c>
      <c r="J1371" t="s">
        <v>10720</v>
      </c>
    </row>
    <row r="1372" spans="1:10" x14ac:dyDescent="0.3">
      <c r="A1372" s="2" t="s">
        <v>11428</v>
      </c>
      <c r="B1372" s="2" t="s">
        <v>9405</v>
      </c>
      <c r="C1372" s="2" t="s">
        <v>9406</v>
      </c>
      <c r="D1372" s="3">
        <v>2436480</v>
      </c>
      <c r="E1372" s="3">
        <v>2436480</v>
      </c>
      <c r="F1372" s="2" t="s">
        <v>16</v>
      </c>
      <c r="G1372">
        <v>9.4000000000000004E-3</v>
      </c>
      <c r="H1372" s="9">
        <f t="shared" si="21"/>
        <v>0</v>
      </c>
      <c r="I1372" t="s">
        <v>9405</v>
      </c>
      <c r="J1372" t="s">
        <v>9406</v>
      </c>
    </row>
    <row r="1373" spans="1:10" x14ac:dyDescent="0.3">
      <c r="A1373" s="2" t="s">
        <v>11441</v>
      </c>
      <c r="B1373" s="2" t="s">
        <v>11241</v>
      </c>
      <c r="C1373" s="2" t="s">
        <v>11242</v>
      </c>
      <c r="D1373" s="3">
        <v>50760</v>
      </c>
      <c r="E1373" s="3">
        <v>50760</v>
      </c>
      <c r="F1373" s="2" t="s">
        <v>16</v>
      </c>
      <c r="G1373">
        <v>9.4000000000000004E-3</v>
      </c>
      <c r="H1373" s="9">
        <f t="shared" si="21"/>
        <v>0</v>
      </c>
      <c r="I1373" t="s">
        <v>3028</v>
      </c>
      <c r="J1373" t="s">
        <v>3029</v>
      </c>
    </row>
    <row r="1374" spans="1:10" x14ac:dyDescent="0.3">
      <c r="A1374" s="2" t="s">
        <v>11446</v>
      </c>
      <c r="B1374" s="2" t="s">
        <v>65</v>
      </c>
      <c r="C1374" s="2" t="s">
        <v>66</v>
      </c>
      <c r="D1374" s="5">
        <v>-140</v>
      </c>
      <c r="E1374" s="5">
        <v>-140</v>
      </c>
      <c r="F1374" s="2" t="s">
        <v>23</v>
      </c>
      <c r="G1374">
        <v>5.0999999999999997E-2</v>
      </c>
      <c r="H1374" s="9">
        <f t="shared" si="21"/>
        <v>-2745.0980392156866</v>
      </c>
      <c r="I1374" t="s">
        <v>2115</v>
      </c>
      <c r="J1374" t="s">
        <v>2116</v>
      </c>
    </row>
    <row r="1375" spans="1:10" x14ac:dyDescent="0.3">
      <c r="A1375" s="2" t="s">
        <v>11446</v>
      </c>
      <c r="B1375" s="2" t="s">
        <v>2115</v>
      </c>
      <c r="C1375" s="2" t="s">
        <v>2116</v>
      </c>
      <c r="D1375" s="3">
        <v>7200</v>
      </c>
      <c r="E1375" s="3">
        <v>7200</v>
      </c>
      <c r="F1375" s="2" t="s">
        <v>16</v>
      </c>
      <c r="G1375">
        <v>5.0999999999999997E-2</v>
      </c>
      <c r="H1375" s="9">
        <f t="shared" si="21"/>
        <v>0</v>
      </c>
      <c r="I1375" t="s">
        <v>2115</v>
      </c>
      <c r="J1375" t="s">
        <v>2116</v>
      </c>
    </row>
    <row r="1376" spans="1:10" x14ac:dyDescent="0.3">
      <c r="A1376" s="2" t="s">
        <v>11455</v>
      </c>
      <c r="B1376" s="2" t="s">
        <v>97</v>
      </c>
      <c r="C1376" s="2" t="s">
        <v>98</v>
      </c>
      <c r="D1376" s="3">
        <v>72000</v>
      </c>
      <c r="E1376" s="3">
        <v>72000</v>
      </c>
      <c r="F1376" s="2" t="s">
        <v>16</v>
      </c>
      <c r="G1376">
        <v>5.1999999999999998E-2</v>
      </c>
      <c r="H1376" s="9">
        <f t="shared" si="21"/>
        <v>0</v>
      </c>
      <c r="I1376" t="s">
        <v>97</v>
      </c>
      <c r="J1376" t="s">
        <v>98</v>
      </c>
    </row>
    <row r="1377" spans="1:10" x14ac:dyDescent="0.3">
      <c r="A1377" s="2" t="s">
        <v>11464</v>
      </c>
      <c r="B1377" s="2" t="s">
        <v>86</v>
      </c>
      <c r="C1377" s="2" t="s">
        <v>87</v>
      </c>
      <c r="D1377" s="5">
        <v>-259</v>
      </c>
      <c r="E1377" s="5">
        <v>-259</v>
      </c>
      <c r="F1377" s="2" t="s">
        <v>23</v>
      </c>
      <c r="G1377">
        <v>1.35E-2</v>
      </c>
      <c r="H1377" s="9">
        <f t="shared" si="21"/>
        <v>-19185.185185185186</v>
      </c>
      <c r="I1377" t="s">
        <v>5507</v>
      </c>
      <c r="J1377" t="s">
        <v>5508</v>
      </c>
    </row>
    <row r="1378" spans="1:10" x14ac:dyDescent="0.3">
      <c r="A1378" s="2" t="s">
        <v>11464</v>
      </c>
      <c r="B1378" s="2" t="s">
        <v>5507</v>
      </c>
      <c r="C1378" s="2" t="s">
        <v>5508</v>
      </c>
      <c r="D1378" s="3">
        <v>134400</v>
      </c>
      <c r="E1378" s="3">
        <v>134400</v>
      </c>
      <c r="F1378" s="2" t="s">
        <v>16</v>
      </c>
      <c r="G1378">
        <v>1.35E-2</v>
      </c>
      <c r="H1378" s="9">
        <f t="shared" si="21"/>
        <v>0</v>
      </c>
      <c r="I1378" t="s">
        <v>5507</v>
      </c>
      <c r="J1378" t="s">
        <v>5508</v>
      </c>
    </row>
    <row r="1379" spans="1:10" x14ac:dyDescent="0.3">
      <c r="A1379" s="2" t="s">
        <v>11477</v>
      </c>
      <c r="B1379" s="2" t="s">
        <v>65</v>
      </c>
      <c r="C1379" s="2" t="s">
        <v>66</v>
      </c>
      <c r="D1379" s="5">
        <v>-249</v>
      </c>
      <c r="E1379" s="5">
        <v>-249</v>
      </c>
      <c r="F1379" s="2" t="s">
        <v>23</v>
      </c>
      <c r="G1379">
        <v>5.1999999999999998E-2</v>
      </c>
      <c r="H1379" s="9">
        <f t="shared" si="21"/>
        <v>-4788.461538461539</v>
      </c>
      <c r="I1379" t="s">
        <v>1170</v>
      </c>
      <c r="J1379" t="s">
        <v>1171</v>
      </c>
    </row>
    <row r="1380" spans="1:10" x14ac:dyDescent="0.3">
      <c r="A1380" s="2" t="s">
        <v>11477</v>
      </c>
      <c r="B1380" s="2" t="s">
        <v>97</v>
      </c>
      <c r="C1380" s="2" t="s">
        <v>98</v>
      </c>
      <c r="D1380" s="3">
        <v>48000</v>
      </c>
      <c r="E1380" s="3">
        <v>48000</v>
      </c>
      <c r="F1380" s="2" t="s">
        <v>16</v>
      </c>
      <c r="G1380">
        <v>5.1999999999999998E-2</v>
      </c>
      <c r="H1380" s="9">
        <f t="shared" si="21"/>
        <v>0</v>
      </c>
      <c r="I1380" t="s">
        <v>1170</v>
      </c>
      <c r="J1380" t="s">
        <v>1171</v>
      </c>
    </row>
    <row r="1381" spans="1:10" x14ac:dyDescent="0.3">
      <c r="A1381" s="2" t="s">
        <v>11490</v>
      </c>
      <c r="B1381" s="2" t="s">
        <v>2803</v>
      </c>
      <c r="C1381" s="2" t="s">
        <v>2804</v>
      </c>
      <c r="D1381" s="3">
        <v>80640</v>
      </c>
      <c r="E1381" s="3">
        <v>80640</v>
      </c>
      <c r="F1381" s="2" t="s">
        <v>16</v>
      </c>
      <c r="G1381">
        <v>2.6600000000000002E-2</v>
      </c>
      <c r="H1381" s="9">
        <f t="shared" si="21"/>
        <v>0</v>
      </c>
      <c r="I1381" t="s">
        <v>2803</v>
      </c>
      <c r="J1381" t="s">
        <v>2804</v>
      </c>
    </row>
    <row r="1382" spans="1:10" x14ac:dyDescent="0.3">
      <c r="A1382" s="2" t="s">
        <v>11499</v>
      </c>
      <c r="B1382" s="2" t="s">
        <v>445</v>
      </c>
      <c r="C1382" s="2" t="s">
        <v>446</v>
      </c>
      <c r="D1382" s="3">
        <v>50760</v>
      </c>
      <c r="E1382" s="3">
        <v>50760</v>
      </c>
      <c r="F1382" s="2" t="s">
        <v>16</v>
      </c>
      <c r="G1382">
        <v>9.4000000000000004E-3</v>
      </c>
      <c r="H1382" s="9">
        <f t="shared" si="21"/>
        <v>0</v>
      </c>
      <c r="I1382" t="s">
        <v>3028</v>
      </c>
      <c r="J1382" t="s">
        <v>3029</v>
      </c>
    </row>
    <row r="1383" spans="1:10" x14ac:dyDescent="0.3">
      <c r="A1383" s="2" t="s">
        <v>11504</v>
      </c>
      <c r="B1383" s="2" t="s">
        <v>3113</v>
      </c>
      <c r="C1383" s="2" t="s">
        <v>3114</v>
      </c>
      <c r="D1383" s="3">
        <v>41760</v>
      </c>
      <c r="E1383" s="3">
        <v>41760</v>
      </c>
      <c r="F1383" s="2" t="s">
        <v>16</v>
      </c>
      <c r="G1383">
        <v>1.15E-2</v>
      </c>
      <c r="H1383" s="9">
        <f t="shared" si="21"/>
        <v>0</v>
      </c>
      <c r="I1383" t="s">
        <v>3113</v>
      </c>
      <c r="J1383" t="s">
        <v>3114</v>
      </c>
    </row>
    <row r="1384" spans="1:10" x14ac:dyDescent="0.3">
      <c r="A1384" s="2" t="s">
        <v>11509</v>
      </c>
      <c r="B1384" s="2" t="s">
        <v>3759</v>
      </c>
      <c r="C1384" s="2" t="s">
        <v>3760</v>
      </c>
      <c r="D1384" s="3">
        <v>149400</v>
      </c>
      <c r="E1384" s="3">
        <v>149400</v>
      </c>
      <c r="F1384" s="2" t="s">
        <v>16</v>
      </c>
      <c r="G1384">
        <v>7.45E-3</v>
      </c>
      <c r="H1384" s="9">
        <f t="shared" si="21"/>
        <v>0</v>
      </c>
      <c r="I1384" t="s">
        <v>797</v>
      </c>
      <c r="J1384" t="s">
        <v>798</v>
      </c>
    </row>
    <row r="1385" spans="1:10" x14ac:dyDescent="0.3">
      <c r="A1385" s="2" t="s">
        <v>11514</v>
      </c>
      <c r="B1385" s="2" t="s">
        <v>4511</v>
      </c>
      <c r="C1385" s="2" t="s">
        <v>4512</v>
      </c>
      <c r="D1385" s="3">
        <v>89640</v>
      </c>
      <c r="E1385" s="3">
        <v>89640</v>
      </c>
      <c r="F1385" s="2" t="s">
        <v>16</v>
      </c>
      <c r="G1385">
        <v>7.45E-3</v>
      </c>
      <c r="H1385" s="9">
        <f t="shared" si="21"/>
        <v>0</v>
      </c>
      <c r="I1385" t="s">
        <v>797</v>
      </c>
      <c r="J1385" t="s">
        <v>798</v>
      </c>
    </row>
    <row r="1386" spans="1:10" x14ac:dyDescent="0.3">
      <c r="A1386" s="2" t="s">
        <v>11527</v>
      </c>
      <c r="B1386" s="2" t="s">
        <v>11054</v>
      </c>
      <c r="C1386" s="2" t="s">
        <v>11055</v>
      </c>
      <c r="D1386" s="3">
        <v>4791</v>
      </c>
      <c r="E1386" s="3">
        <v>4791</v>
      </c>
      <c r="F1386" s="2" t="s">
        <v>16</v>
      </c>
      <c r="G1386">
        <v>4.4999999999999998E-2</v>
      </c>
      <c r="H1386" s="9">
        <f t="shared" si="21"/>
        <v>0</v>
      </c>
      <c r="I1386" t="s">
        <v>11531</v>
      </c>
      <c r="J1386" t="s">
        <v>11532</v>
      </c>
    </row>
    <row r="1387" spans="1:10" x14ac:dyDescent="0.3">
      <c r="A1387" s="2" t="s">
        <v>11527</v>
      </c>
      <c r="B1387" s="2" t="s">
        <v>11531</v>
      </c>
      <c r="C1387" s="2" t="s">
        <v>11532</v>
      </c>
      <c r="D1387" s="3">
        <v>8457</v>
      </c>
      <c r="E1387" s="3">
        <v>8456</v>
      </c>
      <c r="F1387" s="2" t="s">
        <v>16</v>
      </c>
      <c r="G1387">
        <v>4.4999999999999998E-2</v>
      </c>
      <c r="H1387" s="9">
        <f t="shared" si="21"/>
        <v>0</v>
      </c>
      <c r="I1387" t="s">
        <v>11531</v>
      </c>
      <c r="J1387" t="s">
        <v>11532</v>
      </c>
    </row>
    <row r="1388" spans="1:10" x14ac:dyDescent="0.3">
      <c r="A1388" s="2" t="s">
        <v>11534</v>
      </c>
      <c r="B1388" s="2" t="s">
        <v>11082</v>
      </c>
      <c r="C1388" s="2" t="s">
        <v>11083</v>
      </c>
      <c r="D1388" s="3">
        <v>13248</v>
      </c>
      <c r="E1388" s="3">
        <v>13248</v>
      </c>
      <c r="F1388" s="2" t="s">
        <v>16</v>
      </c>
      <c r="G1388">
        <v>4.4999999999999998E-2</v>
      </c>
      <c r="H1388" s="9">
        <f t="shared" si="21"/>
        <v>0</v>
      </c>
      <c r="I1388" t="s">
        <v>18423</v>
      </c>
      <c r="J1388" t="s">
        <v>18424</v>
      </c>
    </row>
    <row r="1389" spans="1:10" x14ac:dyDescent="0.3">
      <c r="A1389" s="2" t="s">
        <v>11538</v>
      </c>
      <c r="B1389" s="2" t="s">
        <v>70</v>
      </c>
      <c r="C1389" s="2" t="s">
        <v>71</v>
      </c>
      <c r="D1389" s="3">
        <v>82368</v>
      </c>
      <c r="E1389" s="3">
        <v>82368</v>
      </c>
      <c r="F1389" s="2" t="s">
        <v>16</v>
      </c>
      <c r="G1389">
        <v>3.5999999999999997E-2</v>
      </c>
      <c r="H1389" s="9">
        <f t="shared" si="21"/>
        <v>0</v>
      </c>
      <c r="I1389" t="s">
        <v>70</v>
      </c>
      <c r="J1389" t="s">
        <v>71</v>
      </c>
    </row>
    <row r="1390" spans="1:10" x14ac:dyDescent="0.3">
      <c r="A1390" s="2" t="s">
        <v>11538</v>
      </c>
      <c r="B1390" s="2" t="s">
        <v>65</v>
      </c>
      <c r="C1390" s="2" t="s">
        <v>66</v>
      </c>
      <c r="D1390" s="5">
        <v>-10.462</v>
      </c>
      <c r="E1390" s="3">
        <v>0</v>
      </c>
      <c r="F1390" s="2" t="s">
        <v>23</v>
      </c>
      <c r="G1390">
        <v>3.5999999999999997E-2</v>
      </c>
      <c r="H1390" s="9">
        <f t="shared" si="21"/>
        <v>0</v>
      </c>
      <c r="I1390" t="s">
        <v>70</v>
      </c>
      <c r="J1390" t="s">
        <v>71</v>
      </c>
    </row>
    <row r="1391" spans="1:10" x14ac:dyDescent="0.3">
      <c r="A1391" s="2" t="s">
        <v>11563</v>
      </c>
      <c r="B1391" s="2" t="s">
        <v>4791</v>
      </c>
      <c r="C1391" s="2" t="s">
        <v>4792</v>
      </c>
      <c r="D1391" s="3">
        <v>317952</v>
      </c>
      <c r="E1391" s="3">
        <v>317952</v>
      </c>
      <c r="F1391" s="2" t="s">
        <v>16</v>
      </c>
      <c r="G1391">
        <v>4.4999999999999998E-2</v>
      </c>
      <c r="H1391" s="9">
        <f t="shared" si="21"/>
        <v>0</v>
      </c>
      <c r="I1391" t="s">
        <v>4791</v>
      </c>
      <c r="J1391" t="s">
        <v>4792</v>
      </c>
    </row>
    <row r="1392" spans="1:10" x14ac:dyDescent="0.3">
      <c r="A1392" s="2" t="s">
        <v>11568</v>
      </c>
      <c r="B1392" s="2" t="s">
        <v>9405</v>
      </c>
      <c r="C1392" s="2" t="s">
        <v>9406</v>
      </c>
      <c r="D1392" s="3">
        <v>1218240</v>
      </c>
      <c r="E1392" s="3">
        <v>1218240</v>
      </c>
      <c r="F1392" s="2" t="s">
        <v>16</v>
      </c>
      <c r="G1392">
        <v>9.4000000000000004E-3</v>
      </c>
      <c r="H1392" s="9">
        <f t="shared" si="21"/>
        <v>0</v>
      </c>
      <c r="I1392" t="s">
        <v>9405</v>
      </c>
      <c r="J1392" t="s">
        <v>9406</v>
      </c>
    </row>
    <row r="1393" spans="1:10" x14ac:dyDescent="0.3">
      <c r="A1393" s="2" t="s">
        <v>11573</v>
      </c>
      <c r="B1393" s="2" t="s">
        <v>2127</v>
      </c>
      <c r="C1393" s="2" t="s">
        <v>2128</v>
      </c>
      <c r="D1393" s="3">
        <v>54648</v>
      </c>
      <c r="E1393" s="3">
        <v>54648</v>
      </c>
      <c r="F1393" s="2" t="s">
        <v>16</v>
      </c>
      <c r="G1393">
        <v>3.4000000000000002E-2</v>
      </c>
      <c r="H1393" s="9">
        <f t="shared" si="21"/>
        <v>0</v>
      </c>
      <c r="I1393" t="s">
        <v>2127</v>
      </c>
      <c r="J1393" t="s">
        <v>2128</v>
      </c>
    </row>
    <row r="1394" spans="1:10" x14ac:dyDescent="0.3">
      <c r="A1394" s="2" t="s">
        <v>11573</v>
      </c>
      <c r="B1394" s="2" t="s">
        <v>65</v>
      </c>
      <c r="C1394" s="2" t="s">
        <v>66</v>
      </c>
      <c r="D1394" s="5">
        <v>-507</v>
      </c>
      <c r="E1394" s="5">
        <v>-507</v>
      </c>
      <c r="F1394" s="2" t="s">
        <v>23</v>
      </c>
      <c r="G1394">
        <v>3.4000000000000002E-2</v>
      </c>
      <c r="H1394" s="9">
        <f t="shared" si="21"/>
        <v>-14911.764705882351</v>
      </c>
      <c r="I1394" t="s">
        <v>2127</v>
      </c>
      <c r="J1394" t="s">
        <v>2128</v>
      </c>
    </row>
    <row r="1395" spans="1:10" x14ac:dyDescent="0.3">
      <c r="A1395" s="2" t="s">
        <v>11598</v>
      </c>
      <c r="B1395" s="2" t="s">
        <v>11241</v>
      </c>
      <c r="C1395" s="2" t="s">
        <v>11242</v>
      </c>
      <c r="D1395" s="3">
        <v>50760</v>
      </c>
      <c r="E1395" s="3">
        <v>50760</v>
      </c>
      <c r="F1395" s="2" t="s">
        <v>16</v>
      </c>
      <c r="G1395">
        <v>9.4000000000000004E-3</v>
      </c>
      <c r="H1395" s="9">
        <f t="shared" si="21"/>
        <v>0</v>
      </c>
      <c r="I1395" t="s">
        <v>3028</v>
      </c>
      <c r="J1395" t="s">
        <v>3029</v>
      </c>
    </row>
    <row r="1396" spans="1:10" x14ac:dyDescent="0.3">
      <c r="A1396" s="2" t="s">
        <v>11623</v>
      </c>
      <c r="B1396" s="2" t="s">
        <v>11210</v>
      </c>
      <c r="C1396" s="2" t="s">
        <v>11211</v>
      </c>
      <c r="D1396" s="3">
        <v>30240</v>
      </c>
      <c r="E1396" s="3">
        <v>30240</v>
      </c>
      <c r="F1396" s="2" t="s">
        <v>16</v>
      </c>
      <c r="G1396">
        <v>2.6600000000000002E-2</v>
      </c>
      <c r="H1396" s="9">
        <f t="shared" si="21"/>
        <v>0</v>
      </c>
      <c r="I1396" t="s">
        <v>11210</v>
      </c>
      <c r="J1396" t="s">
        <v>11211</v>
      </c>
    </row>
    <row r="1397" spans="1:10" x14ac:dyDescent="0.3">
      <c r="A1397" s="2" t="s">
        <v>11644</v>
      </c>
      <c r="B1397" s="2" t="s">
        <v>2934</v>
      </c>
      <c r="C1397" s="2" t="s">
        <v>2935</v>
      </c>
      <c r="D1397" s="3">
        <v>90288</v>
      </c>
      <c r="E1397" s="3">
        <v>90288</v>
      </c>
      <c r="F1397" s="2" t="s">
        <v>16</v>
      </c>
      <c r="G1397">
        <v>1.7999999999999999E-2</v>
      </c>
      <c r="H1397" s="9">
        <f t="shared" si="21"/>
        <v>0</v>
      </c>
      <c r="I1397" t="s">
        <v>2934</v>
      </c>
      <c r="J1397" t="s">
        <v>2935</v>
      </c>
    </row>
    <row r="1398" spans="1:10" x14ac:dyDescent="0.3">
      <c r="A1398" s="2" t="s">
        <v>11644</v>
      </c>
      <c r="B1398" s="2" t="s">
        <v>65</v>
      </c>
      <c r="C1398" s="2" t="s">
        <v>66</v>
      </c>
      <c r="D1398" s="5">
        <v>-441</v>
      </c>
      <c r="E1398" s="5">
        <v>-441</v>
      </c>
      <c r="F1398" s="2" t="s">
        <v>23</v>
      </c>
      <c r="G1398">
        <v>1.7999999999999999E-2</v>
      </c>
      <c r="H1398" s="9">
        <f t="shared" si="21"/>
        <v>-24500.000000000004</v>
      </c>
      <c r="I1398" t="s">
        <v>2934</v>
      </c>
      <c r="J1398" t="s">
        <v>2935</v>
      </c>
    </row>
    <row r="1399" spans="1:10" x14ac:dyDescent="0.3">
      <c r="A1399" s="2" t="s">
        <v>11669</v>
      </c>
      <c r="B1399" s="2" t="s">
        <v>1027</v>
      </c>
      <c r="C1399" s="2" t="s">
        <v>1028</v>
      </c>
      <c r="D1399" s="3">
        <v>509760</v>
      </c>
      <c r="E1399" s="3">
        <v>509760</v>
      </c>
      <c r="F1399" s="2" t="s">
        <v>16</v>
      </c>
      <c r="G1399">
        <v>3.0499999999999999E-2</v>
      </c>
      <c r="H1399" s="9">
        <f t="shared" si="21"/>
        <v>0</v>
      </c>
      <c r="I1399" t="s">
        <v>1027</v>
      </c>
      <c r="J1399" t="s">
        <v>1028</v>
      </c>
    </row>
    <row r="1400" spans="1:10" x14ac:dyDescent="0.3">
      <c r="A1400" s="2" t="s">
        <v>11674</v>
      </c>
      <c r="B1400" s="2" t="s">
        <v>9405</v>
      </c>
      <c r="C1400" s="2" t="s">
        <v>9406</v>
      </c>
      <c r="D1400" s="3">
        <v>1218240</v>
      </c>
      <c r="E1400" s="3">
        <v>1218240</v>
      </c>
      <c r="F1400" s="2" t="s">
        <v>16</v>
      </c>
      <c r="G1400">
        <v>9.4000000000000004E-3</v>
      </c>
      <c r="H1400" s="9">
        <f t="shared" si="21"/>
        <v>0</v>
      </c>
      <c r="I1400" t="s">
        <v>9405</v>
      </c>
      <c r="J1400" t="s">
        <v>9406</v>
      </c>
    </row>
    <row r="1401" spans="1:10" x14ac:dyDescent="0.3">
      <c r="A1401" s="2" t="s">
        <v>11679</v>
      </c>
      <c r="B1401" s="2" t="s">
        <v>4791</v>
      </c>
      <c r="C1401" s="2" t="s">
        <v>4792</v>
      </c>
      <c r="D1401" s="3">
        <v>635904</v>
      </c>
      <c r="E1401" s="3">
        <v>635904</v>
      </c>
      <c r="F1401" s="2" t="s">
        <v>16</v>
      </c>
      <c r="G1401">
        <v>4.4999999999999998E-2</v>
      </c>
      <c r="H1401" s="9">
        <f t="shared" si="21"/>
        <v>0</v>
      </c>
      <c r="I1401" t="s">
        <v>4791</v>
      </c>
      <c r="J1401" t="s">
        <v>4792</v>
      </c>
    </row>
    <row r="1402" spans="1:10" x14ac:dyDescent="0.3">
      <c r="A1402" s="2" t="s">
        <v>11684</v>
      </c>
      <c r="B1402" s="2" t="s">
        <v>5357</v>
      </c>
      <c r="C1402" s="2" t="s">
        <v>5358</v>
      </c>
      <c r="D1402" s="3">
        <v>304704</v>
      </c>
      <c r="E1402" s="3">
        <v>304704</v>
      </c>
      <c r="F1402" s="2" t="s">
        <v>16</v>
      </c>
      <c r="G1402">
        <v>4.4999999999999998E-2</v>
      </c>
      <c r="H1402" s="9">
        <f t="shared" si="21"/>
        <v>0</v>
      </c>
      <c r="I1402" t="s">
        <v>5357</v>
      </c>
      <c r="J1402" t="s">
        <v>5358</v>
      </c>
    </row>
    <row r="1403" spans="1:10" x14ac:dyDescent="0.3">
      <c r="A1403" s="2" t="s">
        <v>11701</v>
      </c>
      <c r="B1403" s="2" t="s">
        <v>740</v>
      </c>
      <c r="C1403" s="2" t="s">
        <v>741</v>
      </c>
      <c r="D1403" s="3">
        <v>817740</v>
      </c>
      <c r="E1403" s="3">
        <v>817740</v>
      </c>
      <c r="F1403" s="2" t="s">
        <v>16</v>
      </c>
      <c r="G1403">
        <v>3.0499999999999999E-2</v>
      </c>
      <c r="H1403" s="9">
        <f t="shared" si="21"/>
        <v>0</v>
      </c>
      <c r="I1403" t="s">
        <v>740</v>
      </c>
      <c r="J1403" t="s">
        <v>741</v>
      </c>
    </row>
    <row r="1404" spans="1:10" x14ac:dyDescent="0.3">
      <c r="A1404" s="2" t="s">
        <v>11710</v>
      </c>
      <c r="B1404" s="2" t="s">
        <v>308</v>
      </c>
      <c r="C1404" s="2" t="s">
        <v>309</v>
      </c>
      <c r="D1404" s="3">
        <v>81000</v>
      </c>
      <c r="E1404" s="3">
        <v>81000</v>
      </c>
      <c r="F1404" s="2" t="s">
        <v>16</v>
      </c>
      <c r="G1404">
        <v>8.3000000000000001E-3</v>
      </c>
      <c r="H1404" s="9">
        <f t="shared" si="21"/>
        <v>0</v>
      </c>
      <c r="I1404" t="s">
        <v>91</v>
      </c>
      <c r="J1404" t="s">
        <v>92</v>
      </c>
    </row>
    <row r="1405" spans="1:10" x14ac:dyDescent="0.3">
      <c r="A1405" s="2" t="s">
        <v>11715</v>
      </c>
      <c r="B1405" s="2" t="s">
        <v>1027</v>
      </c>
      <c r="C1405" s="2" t="s">
        <v>1028</v>
      </c>
      <c r="D1405" s="3">
        <v>21240</v>
      </c>
      <c r="E1405" s="3">
        <v>21240</v>
      </c>
      <c r="F1405" s="2" t="s">
        <v>16</v>
      </c>
      <c r="G1405">
        <v>3.0499999999999999E-2</v>
      </c>
      <c r="H1405" s="9">
        <f t="shared" si="21"/>
        <v>0</v>
      </c>
      <c r="I1405" t="s">
        <v>1027</v>
      </c>
      <c r="J1405" t="s">
        <v>1028</v>
      </c>
    </row>
    <row r="1406" spans="1:10" x14ac:dyDescent="0.3">
      <c r="A1406" s="2" t="s">
        <v>11720</v>
      </c>
      <c r="B1406" s="2" t="s">
        <v>21</v>
      </c>
      <c r="C1406" s="2" t="s">
        <v>22</v>
      </c>
      <c r="D1406" s="5">
        <v>-31</v>
      </c>
      <c r="E1406" s="5">
        <v>-31</v>
      </c>
      <c r="F1406" s="2" t="s">
        <v>23</v>
      </c>
      <c r="G1406">
        <v>3.0499999999999999E-2</v>
      </c>
      <c r="H1406" s="9">
        <f t="shared" si="21"/>
        <v>-1016.3934426229508</v>
      </c>
      <c r="I1406" t="s">
        <v>1027</v>
      </c>
      <c r="J1406" t="s">
        <v>1028</v>
      </c>
    </row>
    <row r="1407" spans="1:10" x14ac:dyDescent="0.3">
      <c r="A1407" s="2" t="s">
        <v>11720</v>
      </c>
      <c r="B1407" s="2" t="s">
        <v>2168</v>
      </c>
      <c r="C1407" s="2" t="s">
        <v>2169</v>
      </c>
      <c r="D1407" s="3">
        <v>22260</v>
      </c>
      <c r="E1407" s="3">
        <v>22260</v>
      </c>
      <c r="F1407" s="2" t="s">
        <v>16</v>
      </c>
      <c r="G1407">
        <v>3.0499999999999999E-2</v>
      </c>
      <c r="H1407" s="9">
        <f t="shared" si="21"/>
        <v>0</v>
      </c>
      <c r="I1407" t="s">
        <v>1027</v>
      </c>
      <c r="J1407" t="s">
        <v>1028</v>
      </c>
    </row>
    <row r="1408" spans="1:10" x14ac:dyDescent="0.3">
      <c r="A1408" s="2" t="s">
        <v>11729</v>
      </c>
      <c r="B1408" s="2" t="s">
        <v>103</v>
      </c>
      <c r="C1408" s="2" t="s">
        <v>104</v>
      </c>
      <c r="D1408" s="3">
        <v>21240</v>
      </c>
      <c r="E1408" s="3">
        <v>21240</v>
      </c>
      <c r="F1408" s="2" t="s">
        <v>16</v>
      </c>
      <c r="G1408">
        <v>3.0499999999999999E-2</v>
      </c>
      <c r="H1408" s="9">
        <f t="shared" si="21"/>
        <v>0</v>
      </c>
      <c r="I1408" t="s">
        <v>740</v>
      </c>
      <c r="J1408" t="s">
        <v>741</v>
      </c>
    </row>
    <row r="1409" spans="1:10" x14ac:dyDescent="0.3">
      <c r="A1409" s="2" t="s">
        <v>11734</v>
      </c>
      <c r="B1409" s="2" t="s">
        <v>11241</v>
      </c>
      <c r="C1409" s="2" t="s">
        <v>11242</v>
      </c>
      <c r="D1409" s="3">
        <v>126900</v>
      </c>
      <c r="E1409" s="3">
        <v>126900</v>
      </c>
      <c r="F1409" s="2" t="s">
        <v>16</v>
      </c>
      <c r="G1409">
        <v>9.4000000000000004E-3</v>
      </c>
      <c r="H1409" s="9">
        <f t="shared" si="21"/>
        <v>0</v>
      </c>
      <c r="I1409" t="s">
        <v>3028</v>
      </c>
      <c r="J1409" t="s">
        <v>3029</v>
      </c>
    </row>
    <row r="1410" spans="1:10" x14ac:dyDescent="0.3">
      <c r="A1410" s="2" t="s">
        <v>11743</v>
      </c>
      <c r="B1410" s="2" t="s">
        <v>4791</v>
      </c>
      <c r="C1410" s="2" t="s">
        <v>4792</v>
      </c>
      <c r="D1410" s="3">
        <v>33120</v>
      </c>
      <c r="E1410" s="3">
        <v>33120</v>
      </c>
      <c r="F1410" s="2" t="s">
        <v>16</v>
      </c>
      <c r="G1410">
        <v>4.4999999999999998E-2</v>
      </c>
      <c r="H1410" s="9">
        <f t="shared" si="21"/>
        <v>0</v>
      </c>
      <c r="I1410" t="s">
        <v>5347</v>
      </c>
      <c r="J1410" t="s">
        <v>5348</v>
      </c>
    </row>
    <row r="1411" spans="1:10" x14ac:dyDescent="0.3">
      <c r="A1411" s="2" t="s">
        <v>11748</v>
      </c>
      <c r="B1411" s="2" t="s">
        <v>5347</v>
      </c>
      <c r="C1411" s="2" t="s">
        <v>5348</v>
      </c>
      <c r="D1411" s="3">
        <v>6624</v>
      </c>
      <c r="E1411" s="3">
        <v>6624</v>
      </c>
      <c r="F1411" s="2" t="s">
        <v>16</v>
      </c>
      <c r="G1411">
        <v>4.4999999999999998E-2</v>
      </c>
      <c r="H1411" s="9">
        <f t="shared" ref="H1411:H1474" si="22">IFERROR(IF(LEFT(B1411,1)="F",E1411/G1411,0),0)</f>
        <v>0</v>
      </c>
      <c r="I1411" t="s">
        <v>5347</v>
      </c>
      <c r="J1411" t="s">
        <v>5348</v>
      </c>
    </row>
    <row r="1412" spans="1:10" x14ac:dyDescent="0.3">
      <c r="A1412" s="2" t="s">
        <v>11753</v>
      </c>
      <c r="B1412" s="2" t="s">
        <v>3759</v>
      </c>
      <c r="C1412" s="2" t="s">
        <v>3760</v>
      </c>
      <c r="D1412" s="3">
        <v>119520</v>
      </c>
      <c r="E1412" s="3">
        <v>119520</v>
      </c>
      <c r="F1412" s="2" t="s">
        <v>16</v>
      </c>
      <c r="G1412">
        <v>7.45E-3</v>
      </c>
      <c r="H1412" s="9">
        <f t="shared" si="22"/>
        <v>0</v>
      </c>
      <c r="I1412" t="s">
        <v>797</v>
      </c>
      <c r="J1412" t="s">
        <v>798</v>
      </c>
    </row>
    <row r="1413" spans="1:10" x14ac:dyDescent="0.3">
      <c r="A1413" s="2" t="s">
        <v>11758</v>
      </c>
      <c r="B1413" s="2" t="s">
        <v>797</v>
      </c>
      <c r="C1413" s="2" t="s">
        <v>798</v>
      </c>
      <c r="D1413" s="3">
        <v>59760</v>
      </c>
      <c r="E1413" s="3">
        <v>59760</v>
      </c>
      <c r="F1413" s="2" t="s">
        <v>16</v>
      </c>
      <c r="G1413">
        <v>7.45E-3</v>
      </c>
      <c r="H1413" s="9">
        <f t="shared" si="22"/>
        <v>0</v>
      </c>
      <c r="I1413" t="s">
        <v>797</v>
      </c>
      <c r="J1413" t="s">
        <v>798</v>
      </c>
    </row>
    <row r="1414" spans="1:10" x14ac:dyDescent="0.3">
      <c r="A1414" s="2" t="s">
        <v>11763</v>
      </c>
      <c r="B1414" s="2" t="s">
        <v>5357</v>
      </c>
      <c r="C1414" s="2" t="s">
        <v>5358</v>
      </c>
      <c r="D1414" s="3">
        <v>238464</v>
      </c>
      <c r="E1414" s="3">
        <v>238464</v>
      </c>
      <c r="F1414" s="2" t="s">
        <v>16</v>
      </c>
      <c r="G1414">
        <v>4.4999999999999998E-2</v>
      </c>
      <c r="H1414" s="9">
        <f t="shared" si="22"/>
        <v>0</v>
      </c>
      <c r="I1414" t="s">
        <v>5357</v>
      </c>
      <c r="J1414" t="s">
        <v>5358</v>
      </c>
    </row>
    <row r="1415" spans="1:10" x14ac:dyDescent="0.3">
      <c r="A1415" s="2" t="s">
        <v>11772</v>
      </c>
      <c r="B1415" s="2" t="s">
        <v>740</v>
      </c>
      <c r="C1415" s="2" t="s">
        <v>741</v>
      </c>
      <c r="D1415" s="3">
        <v>382320</v>
      </c>
      <c r="E1415" s="3">
        <v>382320</v>
      </c>
      <c r="F1415" s="2" t="s">
        <v>16</v>
      </c>
      <c r="G1415">
        <v>3.0499999999999999E-2</v>
      </c>
      <c r="H1415" s="9">
        <f t="shared" si="22"/>
        <v>0</v>
      </c>
      <c r="I1415" t="s">
        <v>740</v>
      </c>
      <c r="J1415" t="s">
        <v>741</v>
      </c>
    </row>
    <row r="1416" spans="1:10" x14ac:dyDescent="0.3">
      <c r="A1416" s="2" t="s">
        <v>11777</v>
      </c>
      <c r="B1416" s="2" t="s">
        <v>797</v>
      </c>
      <c r="C1416" s="2" t="s">
        <v>798</v>
      </c>
      <c r="D1416" s="3">
        <v>59760</v>
      </c>
      <c r="E1416" s="3">
        <v>59760</v>
      </c>
      <c r="F1416" s="2" t="s">
        <v>16</v>
      </c>
      <c r="G1416">
        <v>7.45E-3</v>
      </c>
      <c r="H1416" s="9">
        <f t="shared" si="22"/>
        <v>0</v>
      </c>
      <c r="I1416" t="s">
        <v>797</v>
      </c>
      <c r="J1416" t="s">
        <v>798</v>
      </c>
    </row>
    <row r="1417" spans="1:10" x14ac:dyDescent="0.3">
      <c r="A1417" s="2" t="s">
        <v>11782</v>
      </c>
      <c r="B1417" s="2" t="s">
        <v>3759</v>
      </c>
      <c r="C1417" s="2" t="s">
        <v>3760</v>
      </c>
      <c r="D1417" s="3">
        <v>59760</v>
      </c>
      <c r="E1417" s="3">
        <v>59760</v>
      </c>
      <c r="F1417" s="2" t="s">
        <v>16</v>
      </c>
      <c r="G1417">
        <v>7.45E-3</v>
      </c>
      <c r="H1417" s="9">
        <f t="shared" si="22"/>
        <v>0</v>
      </c>
      <c r="I1417" t="s">
        <v>797</v>
      </c>
      <c r="J1417" t="s">
        <v>798</v>
      </c>
    </row>
    <row r="1418" spans="1:10" x14ac:dyDescent="0.3">
      <c r="A1418" s="2" t="s">
        <v>11787</v>
      </c>
      <c r="B1418" s="2" t="s">
        <v>11210</v>
      </c>
      <c r="C1418" s="2" t="s">
        <v>11211</v>
      </c>
      <c r="D1418" s="3">
        <v>40320</v>
      </c>
      <c r="E1418" s="3">
        <v>40320</v>
      </c>
      <c r="F1418" s="2" t="s">
        <v>16</v>
      </c>
      <c r="G1418">
        <v>2.6600000000000002E-2</v>
      </c>
      <c r="H1418" s="9">
        <f t="shared" si="22"/>
        <v>0</v>
      </c>
      <c r="I1418" t="s">
        <v>11210</v>
      </c>
      <c r="J1418" t="s">
        <v>11211</v>
      </c>
    </row>
    <row r="1419" spans="1:10" x14ac:dyDescent="0.3">
      <c r="A1419" s="2" t="s">
        <v>11796</v>
      </c>
      <c r="B1419" s="2" t="s">
        <v>11241</v>
      </c>
      <c r="C1419" s="2" t="s">
        <v>11242</v>
      </c>
      <c r="D1419" s="3">
        <v>76140</v>
      </c>
      <c r="E1419" s="3">
        <v>76140</v>
      </c>
      <c r="F1419" s="2" t="s">
        <v>16</v>
      </c>
      <c r="G1419">
        <v>9.4000000000000004E-3</v>
      </c>
      <c r="H1419" s="9">
        <f t="shared" si="22"/>
        <v>0</v>
      </c>
      <c r="I1419" t="s">
        <v>3028</v>
      </c>
      <c r="J1419" t="s">
        <v>3029</v>
      </c>
    </row>
    <row r="1420" spans="1:10" x14ac:dyDescent="0.3">
      <c r="A1420" s="2" t="s">
        <v>11809</v>
      </c>
      <c r="B1420" s="2" t="s">
        <v>2086</v>
      </c>
      <c r="C1420" s="2" t="s">
        <v>2087</v>
      </c>
      <c r="D1420" s="3">
        <v>33792</v>
      </c>
      <c r="E1420" s="3">
        <v>33792</v>
      </c>
      <c r="F1420" s="2" t="s">
        <v>16</v>
      </c>
      <c r="G1420">
        <v>3.5999999999999997E-2</v>
      </c>
      <c r="H1420" s="9">
        <f t="shared" si="22"/>
        <v>0</v>
      </c>
      <c r="I1420" t="s">
        <v>2086</v>
      </c>
      <c r="J1420" t="s">
        <v>2087</v>
      </c>
    </row>
    <row r="1421" spans="1:10" x14ac:dyDescent="0.3">
      <c r="A1421" s="2" t="s">
        <v>11818</v>
      </c>
      <c r="B1421" s="2" t="s">
        <v>2611</v>
      </c>
      <c r="C1421" s="2" t="s">
        <v>2612</v>
      </c>
      <c r="D1421" s="3">
        <v>42624</v>
      </c>
      <c r="E1421" s="3">
        <v>42624</v>
      </c>
      <c r="F1421" s="2" t="s">
        <v>16</v>
      </c>
      <c r="G1421">
        <v>1.2699999999999999E-2</v>
      </c>
      <c r="H1421" s="9">
        <f t="shared" si="22"/>
        <v>0</v>
      </c>
      <c r="I1421" t="s">
        <v>2611</v>
      </c>
      <c r="J1421" t="s">
        <v>2612</v>
      </c>
    </row>
    <row r="1422" spans="1:10" x14ac:dyDescent="0.3">
      <c r="A1422" s="2" t="s">
        <v>11827</v>
      </c>
      <c r="B1422" s="2" t="s">
        <v>5347</v>
      </c>
      <c r="C1422" s="2" t="s">
        <v>5348</v>
      </c>
      <c r="D1422" s="3">
        <v>6624</v>
      </c>
      <c r="E1422" s="3">
        <v>6624</v>
      </c>
      <c r="F1422" s="2" t="s">
        <v>16</v>
      </c>
      <c r="G1422">
        <v>4.4999999999999998E-2</v>
      </c>
      <c r="H1422" s="9">
        <f t="shared" si="22"/>
        <v>0</v>
      </c>
      <c r="I1422" t="s">
        <v>5347</v>
      </c>
      <c r="J1422" t="s">
        <v>5348</v>
      </c>
    </row>
    <row r="1423" spans="1:10" x14ac:dyDescent="0.3">
      <c r="A1423" s="2" t="s">
        <v>11832</v>
      </c>
      <c r="B1423" s="2" t="s">
        <v>740</v>
      </c>
      <c r="C1423" s="2" t="s">
        <v>741</v>
      </c>
      <c r="D1423" s="3">
        <v>127440</v>
      </c>
      <c r="E1423" s="3">
        <v>0</v>
      </c>
      <c r="F1423" s="2" t="s">
        <v>16</v>
      </c>
      <c r="G1423">
        <v>3.0499999999999999E-2</v>
      </c>
      <c r="H1423" s="9">
        <f t="shared" si="22"/>
        <v>0</v>
      </c>
      <c r="I1423" t="s">
        <v>740</v>
      </c>
      <c r="J1423" t="s">
        <v>741</v>
      </c>
    </row>
    <row r="1424" spans="1:10" x14ac:dyDescent="0.3">
      <c r="A1424" s="2" t="s">
        <v>11837</v>
      </c>
      <c r="B1424" s="2" t="s">
        <v>3759</v>
      </c>
      <c r="C1424" s="2" t="s">
        <v>3760</v>
      </c>
      <c r="D1424" s="3">
        <v>152280</v>
      </c>
      <c r="E1424" s="3">
        <v>0</v>
      </c>
      <c r="F1424" s="2" t="s">
        <v>16</v>
      </c>
      <c r="G1424">
        <v>7.4000000000000003E-3</v>
      </c>
      <c r="H1424" s="9">
        <f t="shared" si="22"/>
        <v>0</v>
      </c>
      <c r="I1424" t="e">
        <v>#N/A</v>
      </c>
      <c r="J1424" t="e">
        <v>#N/A</v>
      </c>
    </row>
    <row r="1425" spans="1:10" x14ac:dyDescent="0.3">
      <c r="A1425" s="2" t="s">
        <v>11837</v>
      </c>
      <c r="B1425" s="2" t="s">
        <v>86</v>
      </c>
      <c r="C1425" s="2" t="s">
        <v>87</v>
      </c>
      <c r="D1425" s="5">
        <v>-21.5</v>
      </c>
      <c r="E1425" s="3">
        <v>0</v>
      </c>
      <c r="F1425" s="2" t="s">
        <v>23</v>
      </c>
      <c r="G1425">
        <f>7.45/1000</f>
        <v>7.45E-3</v>
      </c>
      <c r="H1425" s="9">
        <f t="shared" si="22"/>
        <v>0</v>
      </c>
      <c r="I1425" t="e">
        <v>#N/A</v>
      </c>
      <c r="J1425" t="e">
        <v>#N/A</v>
      </c>
    </row>
    <row r="1426" spans="1:10" x14ac:dyDescent="0.3">
      <c r="A1426" s="2" t="s">
        <v>11863</v>
      </c>
      <c r="B1426" s="2" t="s">
        <v>97</v>
      </c>
      <c r="C1426" s="2" t="s">
        <v>98</v>
      </c>
      <c r="D1426" s="3">
        <v>1</v>
      </c>
      <c r="E1426" s="3">
        <v>0</v>
      </c>
      <c r="F1426" s="2" t="s">
        <v>16</v>
      </c>
      <c r="G1426">
        <v>5.1999999999999998E-2</v>
      </c>
      <c r="H1426" s="9">
        <f t="shared" si="22"/>
        <v>0</v>
      </c>
      <c r="I1426" t="s">
        <v>97</v>
      </c>
      <c r="J1426" t="s">
        <v>98</v>
      </c>
    </row>
    <row r="1427" spans="1:10" x14ac:dyDescent="0.3">
      <c r="A1427" s="2" t="s">
        <v>11880</v>
      </c>
      <c r="B1427" s="2" t="s">
        <v>97</v>
      </c>
      <c r="C1427" s="2" t="s">
        <v>98</v>
      </c>
      <c r="D1427" s="3">
        <v>355200</v>
      </c>
      <c r="E1427" s="3">
        <v>355200</v>
      </c>
      <c r="F1427" s="2" t="s">
        <v>16</v>
      </c>
      <c r="G1427">
        <v>5.1999999999999998E-2</v>
      </c>
      <c r="H1427" s="9">
        <f t="shared" si="22"/>
        <v>0</v>
      </c>
      <c r="I1427" t="s">
        <v>97</v>
      </c>
      <c r="J1427" t="s">
        <v>98</v>
      </c>
    </row>
    <row r="1428" spans="1:10" x14ac:dyDescent="0.3">
      <c r="A1428" s="2" t="s">
        <v>11889</v>
      </c>
      <c r="B1428" s="2" t="s">
        <v>86</v>
      </c>
      <c r="C1428" s="2" t="s">
        <v>87</v>
      </c>
      <c r="D1428" s="5">
        <v>-22</v>
      </c>
      <c r="E1428" s="5">
        <v>-22</v>
      </c>
      <c r="F1428" s="2" t="s">
        <v>23</v>
      </c>
      <c r="G1428">
        <v>7.45E-3</v>
      </c>
      <c r="H1428" s="9">
        <f t="shared" si="22"/>
        <v>-2953.020134228188</v>
      </c>
      <c r="I1428" t="s">
        <v>797</v>
      </c>
      <c r="J1428" t="s">
        <v>798</v>
      </c>
    </row>
    <row r="1429" spans="1:10" x14ac:dyDescent="0.3">
      <c r="A1429" s="2" t="s">
        <v>11889</v>
      </c>
      <c r="B1429" s="2" t="s">
        <v>3759</v>
      </c>
      <c r="C1429" s="2" t="s">
        <v>3760</v>
      </c>
      <c r="D1429" s="3">
        <v>152280</v>
      </c>
      <c r="E1429" s="3">
        <v>152280</v>
      </c>
      <c r="F1429" s="2" t="s">
        <v>16</v>
      </c>
      <c r="G1429">
        <v>7.45E-3</v>
      </c>
      <c r="H1429" s="9">
        <f t="shared" si="22"/>
        <v>0</v>
      </c>
      <c r="I1429" t="s">
        <v>797</v>
      </c>
      <c r="J1429" t="s">
        <v>798</v>
      </c>
    </row>
    <row r="1430" spans="1:10" x14ac:dyDescent="0.3">
      <c r="A1430" s="2" t="s">
        <v>11902</v>
      </c>
      <c r="B1430" s="2" t="s">
        <v>740</v>
      </c>
      <c r="C1430" s="2" t="s">
        <v>741</v>
      </c>
      <c r="D1430" s="3">
        <v>127440</v>
      </c>
      <c r="E1430" s="3">
        <v>127440</v>
      </c>
      <c r="F1430" s="2" t="s">
        <v>16</v>
      </c>
      <c r="G1430">
        <v>3.0499999999999999E-2</v>
      </c>
      <c r="H1430" s="9">
        <f t="shared" si="22"/>
        <v>0</v>
      </c>
      <c r="I1430" t="s">
        <v>740</v>
      </c>
      <c r="J1430" t="s">
        <v>741</v>
      </c>
    </row>
    <row r="1431" spans="1:10" x14ac:dyDescent="0.3">
      <c r="A1431" s="2" t="s">
        <v>11907</v>
      </c>
      <c r="B1431" s="2" t="s">
        <v>86</v>
      </c>
      <c r="C1431" s="2" t="s">
        <v>87</v>
      </c>
      <c r="D1431" s="5">
        <v>-536</v>
      </c>
      <c r="E1431" s="5">
        <v>-536</v>
      </c>
      <c r="F1431" s="2" t="s">
        <v>23</v>
      </c>
      <c r="G1431">
        <v>2.6600000000000002E-2</v>
      </c>
      <c r="H1431" s="9">
        <f t="shared" si="22"/>
        <v>-20150.375939849622</v>
      </c>
      <c r="I1431" t="s">
        <v>11210</v>
      </c>
      <c r="J1431" t="s">
        <v>11211</v>
      </c>
    </row>
    <row r="1432" spans="1:10" x14ac:dyDescent="0.3">
      <c r="A1432" s="2" t="s">
        <v>11907</v>
      </c>
      <c r="B1432" s="2" t="s">
        <v>11210</v>
      </c>
      <c r="C1432" s="2" t="s">
        <v>11211</v>
      </c>
      <c r="D1432" s="3">
        <v>80640</v>
      </c>
      <c r="E1432" s="3">
        <v>80640</v>
      </c>
      <c r="F1432" s="2" t="s">
        <v>16</v>
      </c>
      <c r="G1432">
        <v>2.6600000000000002E-2</v>
      </c>
      <c r="H1432" s="9">
        <f t="shared" si="22"/>
        <v>0</v>
      </c>
      <c r="I1432" t="s">
        <v>11210</v>
      </c>
      <c r="J1432" t="s">
        <v>11211</v>
      </c>
    </row>
    <row r="1433" spans="1:10" x14ac:dyDescent="0.3">
      <c r="A1433" s="2" t="s">
        <v>11920</v>
      </c>
      <c r="B1433" s="2" t="s">
        <v>97</v>
      </c>
      <c r="C1433" s="2" t="s">
        <v>98</v>
      </c>
      <c r="D1433" s="3">
        <v>268800</v>
      </c>
      <c r="E1433" s="3">
        <v>268800</v>
      </c>
      <c r="F1433" s="2" t="s">
        <v>16</v>
      </c>
      <c r="G1433">
        <v>5.1999999999999998E-2</v>
      </c>
      <c r="H1433" s="9">
        <f t="shared" si="22"/>
        <v>0</v>
      </c>
      <c r="I1433" t="s">
        <v>97</v>
      </c>
      <c r="J1433" t="s">
        <v>98</v>
      </c>
    </row>
    <row r="1434" spans="1:10" x14ac:dyDescent="0.3">
      <c r="A1434" s="2" t="s">
        <v>11929</v>
      </c>
      <c r="B1434" s="2" t="s">
        <v>1027</v>
      </c>
      <c r="C1434" s="2" t="s">
        <v>1028</v>
      </c>
      <c r="D1434" s="3">
        <v>382320</v>
      </c>
      <c r="E1434" s="3">
        <v>382320</v>
      </c>
      <c r="F1434" s="2" t="s">
        <v>16</v>
      </c>
      <c r="G1434">
        <v>3.0499999999999999E-2</v>
      </c>
      <c r="H1434" s="9">
        <f t="shared" si="22"/>
        <v>0</v>
      </c>
      <c r="I1434" t="s">
        <v>1027</v>
      </c>
      <c r="J1434" t="s">
        <v>1028</v>
      </c>
    </row>
    <row r="1435" spans="1:10" x14ac:dyDescent="0.3">
      <c r="A1435" s="2" t="s">
        <v>11938</v>
      </c>
      <c r="B1435" s="2" t="s">
        <v>2086</v>
      </c>
      <c r="C1435" s="2" t="s">
        <v>2087</v>
      </c>
      <c r="D1435" s="3">
        <v>8448</v>
      </c>
      <c r="E1435" s="3">
        <v>8448</v>
      </c>
      <c r="F1435" s="2" t="s">
        <v>16</v>
      </c>
      <c r="G1435">
        <v>3.5999999999999997E-2</v>
      </c>
      <c r="H1435" s="9">
        <f t="shared" si="22"/>
        <v>0</v>
      </c>
      <c r="I1435" t="s">
        <v>2086</v>
      </c>
      <c r="J1435" t="s">
        <v>2087</v>
      </c>
    </row>
    <row r="1436" spans="1:10" x14ac:dyDescent="0.3">
      <c r="A1436" s="2" t="s">
        <v>11943</v>
      </c>
      <c r="B1436" s="2" t="s">
        <v>517</v>
      </c>
      <c r="C1436" s="2" t="s">
        <v>518</v>
      </c>
      <c r="D1436" s="3">
        <v>463680</v>
      </c>
      <c r="E1436" s="3">
        <v>463680</v>
      </c>
      <c r="F1436" s="2" t="s">
        <v>16</v>
      </c>
      <c r="G1436">
        <v>2.6600000000000002E-2</v>
      </c>
      <c r="H1436" s="9">
        <f t="shared" si="22"/>
        <v>0</v>
      </c>
      <c r="I1436" t="s">
        <v>517</v>
      </c>
      <c r="J1436" t="s">
        <v>518</v>
      </c>
    </row>
    <row r="1437" spans="1:10" x14ac:dyDescent="0.3">
      <c r="A1437" s="2" t="s">
        <v>11948</v>
      </c>
      <c r="B1437" s="2" t="s">
        <v>97</v>
      </c>
      <c r="C1437" s="2" t="s">
        <v>98</v>
      </c>
      <c r="D1437" s="3">
        <v>379200</v>
      </c>
      <c r="E1437" s="3">
        <v>379200</v>
      </c>
      <c r="F1437" s="2" t="s">
        <v>16</v>
      </c>
      <c r="G1437">
        <v>5.1999999999999998E-2</v>
      </c>
      <c r="H1437" s="9">
        <f t="shared" si="22"/>
        <v>0</v>
      </c>
      <c r="I1437" t="s">
        <v>97</v>
      </c>
      <c r="J1437" t="s">
        <v>98</v>
      </c>
    </row>
    <row r="1438" spans="1:10" x14ac:dyDescent="0.3">
      <c r="A1438" s="2" t="s">
        <v>11957</v>
      </c>
      <c r="B1438" s="2" t="s">
        <v>1027</v>
      </c>
      <c r="C1438" s="2" t="s">
        <v>1028</v>
      </c>
      <c r="D1438" s="3">
        <v>637200</v>
      </c>
      <c r="E1438" s="3">
        <v>637200</v>
      </c>
      <c r="F1438" s="2" t="s">
        <v>16</v>
      </c>
      <c r="G1438">
        <v>3.0499999999999999E-2</v>
      </c>
      <c r="H1438" s="9">
        <f t="shared" si="22"/>
        <v>0</v>
      </c>
      <c r="I1438" t="s">
        <v>1027</v>
      </c>
      <c r="J1438" t="s">
        <v>1028</v>
      </c>
    </row>
    <row r="1439" spans="1:10" x14ac:dyDescent="0.3">
      <c r="A1439" s="2" t="s">
        <v>11966</v>
      </c>
      <c r="B1439" s="2" t="s">
        <v>517</v>
      </c>
      <c r="C1439" s="2" t="s">
        <v>518</v>
      </c>
      <c r="D1439" s="3">
        <v>282240</v>
      </c>
      <c r="E1439" s="3">
        <v>282240</v>
      </c>
      <c r="F1439" s="2" t="s">
        <v>16</v>
      </c>
      <c r="G1439">
        <v>2.6600000000000002E-2</v>
      </c>
      <c r="H1439" s="9">
        <f t="shared" si="22"/>
        <v>0</v>
      </c>
      <c r="I1439" t="s">
        <v>517</v>
      </c>
      <c r="J1439" t="s">
        <v>518</v>
      </c>
    </row>
    <row r="1440" spans="1:10" x14ac:dyDescent="0.3">
      <c r="A1440" s="2" t="s">
        <v>11971</v>
      </c>
      <c r="B1440" s="2" t="s">
        <v>11332</v>
      </c>
      <c r="C1440" s="2" t="s">
        <v>11333</v>
      </c>
      <c r="D1440" s="3">
        <v>516000</v>
      </c>
      <c r="E1440" s="3">
        <v>516000</v>
      </c>
      <c r="F1440" s="2" t="s">
        <v>16</v>
      </c>
      <c r="G1440">
        <v>1.2500000000000001E-2</v>
      </c>
      <c r="H1440" s="9">
        <f t="shared" si="22"/>
        <v>0</v>
      </c>
      <c r="I1440" t="s">
        <v>11332</v>
      </c>
      <c r="J1440" t="s">
        <v>11333</v>
      </c>
    </row>
    <row r="1441" spans="1:10" x14ac:dyDescent="0.3">
      <c r="A1441" s="2" t="s">
        <v>11971</v>
      </c>
      <c r="B1441" s="2" t="s">
        <v>11332</v>
      </c>
      <c r="C1441" s="2" t="s">
        <v>11333</v>
      </c>
      <c r="D1441" s="3">
        <v>6000</v>
      </c>
      <c r="E1441" s="3">
        <v>6000</v>
      </c>
      <c r="F1441" s="2" t="s">
        <v>16</v>
      </c>
      <c r="G1441">
        <v>1.2500000000000001E-2</v>
      </c>
      <c r="H1441" s="9">
        <f t="shared" si="22"/>
        <v>0</v>
      </c>
      <c r="I1441" t="s">
        <v>11332</v>
      </c>
      <c r="J1441" t="s">
        <v>11333</v>
      </c>
    </row>
    <row r="1442" spans="1:10" x14ac:dyDescent="0.3">
      <c r="A1442" s="2" t="s">
        <v>11971</v>
      </c>
      <c r="B1442" s="2" t="s">
        <v>86</v>
      </c>
      <c r="C1442" s="2" t="s">
        <v>87</v>
      </c>
      <c r="D1442" s="5">
        <v>-230</v>
      </c>
      <c r="E1442" s="5">
        <v>-230</v>
      </c>
      <c r="F1442" s="2" t="s">
        <v>23</v>
      </c>
      <c r="G1442">
        <v>1.2500000000000001E-2</v>
      </c>
      <c r="H1442" s="9">
        <f t="shared" si="22"/>
        <v>-18400</v>
      </c>
      <c r="I1442" t="s">
        <v>11332</v>
      </c>
      <c r="J1442" t="s">
        <v>11333</v>
      </c>
    </row>
    <row r="1443" spans="1:10" x14ac:dyDescent="0.3">
      <c r="A1443" s="2" t="s">
        <v>11971</v>
      </c>
      <c r="B1443" s="2" t="s">
        <v>86</v>
      </c>
      <c r="C1443" s="2" t="s">
        <v>87</v>
      </c>
      <c r="D1443" s="5">
        <v>-230</v>
      </c>
      <c r="E1443" s="5">
        <v>-230</v>
      </c>
      <c r="F1443" s="2" t="s">
        <v>23</v>
      </c>
      <c r="G1443">
        <v>1.2500000000000001E-2</v>
      </c>
      <c r="H1443" s="9">
        <f t="shared" si="22"/>
        <v>-18400</v>
      </c>
      <c r="I1443" t="s">
        <v>11332</v>
      </c>
      <c r="J1443" t="s">
        <v>11333</v>
      </c>
    </row>
    <row r="1444" spans="1:10" x14ac:dyDescent="0.3">
      <c r="A1444" s="2" t="s">
        <v>11989</v>
      </c>
      <c r="B1444" s="2" t="s">
        <v>5357</v>
      </c>
      <c r="C1444" s="2" t="s">
        <v>5358</v>
      </c>
      <c r="D1444" s="3">
        <v>404064</v>
      </c>
      <c r="E1444" s="3">
        <v>404064</v>
      </c>
      <c r="F1444" s="2" t="s">
        <v>16</v>
      </c>
      <c r="G1444">
        <v>4.4999999999999998E-2</v>
      </c>
      <c r="H1444" s="9">
        <f t="shared" si="22"/>
        <v>0</v>
      </c>
      <c r="I1444" t="s">
        <v>5357</v>
      </c>
      <c r="J1444" t="s">
        <v>5358</v>
      </c>
    </row>
    <row r="1445" spans="1:10" x14ac:dyDescent="0.3">
      <c r="A1445" s="2" t="s">
        <v>11998</v>
      </c>
      <c r="B1445" s="2" t="s">
        <v>517</v>
      </c>
      <c r="C1445" s="2" t="s">
        <v>518</v>
      </c>
      <c r="D1445" s="3">
        <v>201600</v>
      </c>
      <c r="E1445" s="3">
        <v>201600</v>
      </c>
      <c r="F1445" s="2" t="s">
        <v>16</v>
      </c>
      <c r="G1445">
        <v>2.6600000000000002E-2</v>
      </c>
      <c r="H1445" s="9">
        <f t="shared" si="22"/>
        <v>0</v>
      </c>
      <c r="I1445" t="s">
        <v>517</v>
      </c>
      <c r="J1445" t="s">
        <v>518</v>
      </c>
    </row>
    <row r="1446" spans="1:10" x14ac:dyDescent="0.3">
      <c r="A1446" s="2" t="s">
        <v>12003</v>
      </c>
      <c r="B1446" s="2" t="s">
        <v>97</v>
      </c>
      <c r="C1446" s="2" t="s">
        <v>98</v>
      </c>
      <c r="D1446" s="3">
        <v>153600</v>
      </c>
      <c r="E1446" s="3">
        <v>153600</v>
      </c>
      <c r="F1446" s="2" t="s">
        <v>16</v>
      </c>
      <c r="G1446">
        <v>5.1999999999999998E-2</v>
      </c>
      <c r="H1446" s="9">
        <f t="shared" si="22"/>
        <v>0</v>
      </c>
      <c r="I1446" t="s">
        <v>97</v>
      </c>
      <c r="J1446" t="s">
        <v>98</v>
      </c>
    </row>
    <row r="1447" spans="1:10" x14ac:dyDescent="0.3">
      <c r="A1447" s="2" t="s">
        <v>12012</v>
      </c>
      <c r="B1447" s="2" t="s">
        <v>517</v>
      </c>
      <c r="C1447" s="2" t="s">
        <v>518</v>
      </c>
      <c r="D1447" s="3">
        <v>20160</v>
      </c>
      <c r="E1447" s="3">
        <v>20160</v>
      </c>
      <c r="F1447" s="2" t="s">
        <v>16</v>
      </c>
      <c r="G1447">
        <v>2.6600000000000002E-2</v>
      </c>
      <c r="H1447" s="9">
        <f t="shared" si="22"/>
        <v>0</v>
      </c>
      <c r="I1447" t="s">
        <v>517</v>
      </c>
      <c r="J1447" t="s">
        <v>518</v>
      </c>
    </row>
    <row r="1448" spans="1:10" x14ac:dyDescent="0.3">
      <c r="A1448" s="2" t="s">
        <v>12017</v>
      </c>
      <c r="B1448" s="2" t="s">
        <v>11241</v>
      </c>
      <c r="C1448" s="2" t="s">
        <v>11242</v>
      </c>
      <c r="D1448" s="3">
        <v>406080</v>
      </c>
      <c r="E1448" s="3">
        <v>406080</v>
      </c>
      <c r="F1448" s="2" t="s">
        <v>16</v>
      </c>
      <c r="G1448">
        <v>9.4000000000000004E-3</v>
      </c>
      <c r="H1448" s="9">
        <f t="shared" si="22"/>
        <v>0</v>
      </c>
      <c r="I1448" t="s">
        <v>3028</v>
      </c>
      <c r="J1448" t="s">
        <v>3029</v>
      </c>
    </row>
    <row r="1449" spans="1:10" x14ac:dyDescent="0.3">
      <c r="A1449" s="2" t="s">
        <v>12030</v>
      </c>
      <c r="B1449" s="2" t="s">
        <v>65</v>
      </c>
      <c r="C1449" s="2" t="s">
        <v>66</v>
      </c>
      <c r="D1449" s="5">
        <v>-285</v>
      </c>
      <c r="E1449" s="5">
        <v>-285</v>
      </c>
      <c r="F1449" s="2" t="s">
        <v>23</v>
      </c>
      <c r="G1449">
        <v>1.67E-2</v>
      </c>
      <c r="H1449" s="9">
        <f t="shared" si="22"/>
        <v>-17065.868263473054</v>
      </c>
      <c r="I1449" t="s">
        <v>6250</v>
      </c>
      <c r="J1449" t="s">
        <v>6251</v>
      </c>
    </row>
    <row r="1450" spans="1:10" x14ac:dyDescent="0.3">
      <c r="A1450" s="2" t="s">
        <v>12030</v>
      </c>
      <c r="B1450" s="2" t="s">
        <v>6250</v>
      </c>
      <c r="C1450" s="2" t="s">
        <v>6251</v>
      </c>
      <c r="D1450" s="3">
        <v>148992</v>
      </c>
      <c r="E1450" s="3">
        <v>148992</v>
      </c>
      <c r="F1450" s="2" t="s">
        <v>16</v>
      </c>
      <c r="G1450">
        <v>1.67E-2</v>
      </c>
      <c r="H1450" s="9">
        <f t="shared" si="22"/>
        <v>0</v>
      </c>
      <c r="I1450" t="s">
        <v>6250</v>
      </c>
      <c r="J1450" t="s">
        <v>6251</v>
      </c>
    </row>
    <row r="1451" spans="1:10" x14ac:dyDescent="0.3">
      <c r="A1451" s="2" t="s">
        <v>12043</v>
      </c>
      <c r="B1451" s="2" t="s">
        <v>97</v>
      </c>
      <c r="C1451" s="2" t="s">
        <v>98</v>
      </c>
      <c r="D1451" s="3">
        <v>19200</v>
      </c>
      <c r="E1451" s="3">
        <v>19200</v>
      </c>
      <c r="F1451" s="2" t="s">
        <v>16</v>
      </c>
      <c r="G1451">
        <v>5.1999999999999998E-2</v>
      </c>
      <c r="H1451" s="9">
        <f t="shared" si="22"/>
        <v>0</v>
      </c>
      <c r="I1451" t="s">
        <v>1170</v>
      </c>
      <c r="J1451" t="s">
        <v>1171</v>
      </c>
    </row>
    <row r="1452" spans="1:10" x14ac:dyDescent="0.3">
      <c r="A1452" s="2" t="s">
        <v>12052</v>
      </c>
      <c r="B1452" s="2" t="s">
        <v>5357</v>
      </c>
      <c r="C1452" s="2" t="s">
        <v>5358</v>
      </c>
      <c r="D1452" s="3">
        <v>231840</v>
      </c>
      <c r="E1452" s="3">
        <v>231840</v>
      </c>
      <c r="F1452" s="2" t="s">
        <v>16</v>
      </c>
      <c r="G1452">
        <v>4.4999999999999998E-2</v>
      </c>
      <c r="H1452" s="9">
        <f t="shared" si="22"/>
        <v>0</v>
      </c>
      <c r="I1452" t="s">
        <v>5357</v>
      </c>
      <c r="J1452" t="s">
        <v>5358</v>
      </c>
    </row>
    <row r="1453" spans="1:10" x14ac:dyDescent="0.3">
      <c r="A1453" s="2" t="s">
        <v>12057</v>
      </c>
      <c r="B1453" s="2" t="s">
        <v>65</v>
      </c>
      <c r="C1453" s="2" t="s">
        <v>66</v>
      </c>
      <c r="D1453" s="5">
        <v>-249</v>
      </c>
      <c r="E1453" s="5">
        <v>-249</v>
      </c>
      <c r="F1453" s="2" t="s">
        <v>23</v>
      </c>
      <c r="G1453">
        <v>5.1999999999999998E-2</v>
      </c>
      <c r="H1453" s="9">
        <f t="shared" si="22"/>
        <v>-4788.461538461539</v>
      </c>
      <c r="I1453" t="s">
        <v>1170</v>
      </c>
      <c r="J1453" t="s">
        <v>1171</v>
      </c>
    </row>
    <row r="1454" spans="1:10" x14ac:dyDescent="0.3">
      <c r="A1454" s="2" t="s">
        <v>12057</v>
      </c>
      <c r="B1454" s="2" t="s">
        <v>97</v>
      </c>
      <c r="C1454" s="2" t="s">
        <v>98</v>
      </c>
      <c r="D1454" s="3">
        <v>72000</v>
      </c>
      <c r="E1454" s="3">
        <v>72000</v>
      </c>
      <c r="F1454" s="2" t="s">
        <v>16</v>
      </c>
      <c r="G1454">
        <v>5.1999999999999998E-2</v>
      </c>
      <c r="H1454" s="9">
        <f t="shared" si="22"/>
        <v>0</v>
      </c>
      <c r="I1454" t="s">
        <v>1170</v>
      </c>
      <c r="J1454" t="s">
        <v>1171</v>
      </c>
    </row>
    <row r="1455" spans="1:10" x14ac:dyDescent="0.3">
      <c r="A1455" s="2" t="s">
        <v>12070</v>
      </c>
      <c r="B1455" s="2" t="s">
        <v>86</v>
      </c>
      <c r="C1455" s="2" t="s">
        <v>87</v>
      </c>
      <c r="D1455" s="5">
        <v>-40</v>
      </c>
      <c r="E1455" s="5">
        <v>-40</v>
      </c>
      <c r="F1455" s="2" t="s">
        <v>23</v>
      </c>
      <c r="G1455">
        <v>8.3000000000000001E-3</v>
      </c>
      <c r="H1455" s="9">
        <f t="shared" si="22"/>
        <v>-4819.2771084337346</v>
      </c>
      <c r="I1455" t="s">
        <v>91</v>
      </c>
      <c r="J1455" t="s">
        <v>92</v>
      </c>
    </row>
    <row r="1456" spans="1:10" x14ac:dyDescent="0.3">
      <c r="A1456" s="2" t="s">
        <v>12070</v>
      </c>
      <c r="B1456" s="2" t="s">
        <v>91</v>
      </c>
      <c r="C1456" s="2" t="s">
        <v>92</v>
      </c>
      <c r="D1456" s="3">
        <v>194100</v>
      </c>
      <c r="E1456" s="3">
        <v>194100</v>
      </c>
      <c r="F1456" s="2" t="s">
        <v>16</v>
      </c>
      <c r="G1456">
        <v>8.3000000000000001E-3</v>
      </c>
      <c r="H1456" s="9">
        <f t="shared" si="22"/>
        <v>0</v>
      </c>
      <c r="I1456" t="s">
        <v>91</v>
      </c>
      <c r="J1456" t="s">
        <v>92</v>
      </c>
    </row>
    <row r="1457" spans="1:10" x14ac:dyDescent="0.3">
      <c r="A1457" s="2" t="s">
        <v>12083</v>
      </c>
      <c r="B1457" s="2" t="s">
        <v>5357</v>
      </c>
      <c r="C1457" s="2" t="s">
        <v>5358</v>
      </c>
      <c r="D1457" s="3">
        <v>708768</v>
      </c>
      <c r="E1457" s="3">
        <v>708768</v>
      </c>
      <c r="F1457" s="2" t="s">
        <v>16</v>
      </c>
      <c r="G1457">
        <v>4.4999999999999998E-2</v>
      </c>
      <c r="H1457" s="9">
        <f t="shared" si="22"/>
        <v>0</v>
      </c>
      <c r="I1457" t="s">
        <v>5357</v>
      </c>
      <c r="J1457" t="s">
        <v>5358</v>
      </c>
    </row>
    <row r="1458" spans="1:10" x14ac:dyDescent="0.3">
      <c r="A1458" s="2" t="s">
        <v>12088</v>
      </c>
      <c r="B1458" s="2" t="s">
        <v>1170</v>
      </c>
      <c r="C1458" s="2" t="s">
        <v>1171</v>
      </c>
      <c r="D1458" s="3">
        <v>19200</v>
      </c>
      <c r="E1458" s="3">
        <v>19200</v>
      </c>
      <c r="F1458" s="2" t="s">
        <v>16</v>
      </c>
      <c r="G1458">
        <v>5.1999999999999998E-2</v>
      </c>
      <c r="H1458" s="9">
        <f t="shared" si="22"/>
        <v>0</v>
      </c>
      <c r="I1458" t="s">
        <v>1170</v>
      </c>
      <c r="J1458" t="s">
        <v>1171</v>
      </c>
    </row>
    <row r="1459" spans="1:10" x14ac:dyDescent="0.3">
      <c r="A1459" s="2" t="s">
        <v>12097</v>
      </c>
      <c r="B1459" s="2" t="s">
        <v>2127</v>
      </c>
      <c r="C1459" s="2" t="s">
        <v>2128</v>
      </c>
      <c r="D1459" s="3">
        <v>14904</v>
      </c>
      <c r="E1459" s="3">
        <v>14904</v>
      </c>
      <c r="F1459" s="2" t="s">
        <v>16</v>
      </c>
      <c r="G1459">
        <v>3.4000000000000002E-2</v>
      </c>
      <c r="H1459" s="9">
        <f t="shared" si="22"/>
        <v>0</v>
      </c>
      <c r="I1459" t="s">
        <v>2127</v>
      </c>
      <c r="J1459" t="s">
        <v>2128</v>
      </c>
    </row>
    <row r="1460" spans="1:10" x14ac:dyDescent="0.3">
      <c r="A1460" s="2" t="s">
        <v>12106</v>
      </c>
      <c r="B1460" s="2" t="s">
        <v>2121</v>
      </c>
      <c r="C1460" s="2" t="s">
        <v>2122</v>
      </c>
      <c r="D1460" s="3">
        <v>34776</v>
      </c>
      <c r="E1460" s="3">
        <v>34776</v>
      </c>
      <c r="F1460" s="2" t="s">
        <v>16</v>
      </c>
      <c r="G1460">
        <v>3.4000000000000002E-2</v>
      </c>
      <c r="H1460" s="9">
        <f t="shared" si="22"/>
        <v>0</v>
      </c>
      <c r="I1460" t="s">
        <v>2121</v>
      </c>
      <c r="J1460" t="s">
        <v>2122</v>
      </c>
    </row>
    <row r="1461" spans="1:10" x14ac:dyDescent="0.3">
      <c r="A1461" s="2" t="s">
        <v>12115</v>
      </c>
      <c r="B1461" s="2" t="s">
        <v>797</v>
      </c>
      <c r="C1461" s="2" t="s">
        <v>798</v>
      </c>
      <c r="D1461" s="3">
        <v>89640</v>
      </c>
      <c r="E1461" s="3">
        <v>89640</v>
      </c>
      <c r="F1461" s="2" t="s">
        <v>16</v>
      </c>
      <c r="G1461">
        <v>7.4000000000000003E-3</v>
      </c>
      <c r="H1461" s="9">
        <f t="shared" si="22"/>
        <v>0</v>
      </c>
      <c r="I1461" t="e">
        <v>#N/A</v>
      </c>
      <c r="J1461" t="e">
        <v>#N/A</v>
      </c>
    </row>
    <row r="1462" spans="1:10" x14ac:dyDescent="0.3">
      <c r="A1462" s="2" t="s">
        <v>12120</v>
      </c>
      <c r="B1462" s="2" t="s">
        <v>65</v>
      </c>
      <c r="C1462" s="2" t="s">
        <v>66</v>
      </c>
      <c r="D1462" s="5">
        <v>-285</v>
      </c>
      <c r="E1462" s="5">
        <v>-285</v>
      </c>
      <c r="F1462" s="2" t="s">
        <v>23</v>
      </c>
      <c r="G1462">
        <v>1.67E-2</v>
      </c>
      <c r="H1462" s="9">
        <f t="shared" si="22"/>
        <v>-17065.868263473054</v>
      </c>
      <c r="I1462" t="s">
        <v>6250</v>
      </c>
      <c r="J1462" t="s">
        <v>6251</v>
      </c>
    </row>
    <row r="1463" spans="1:10" x14ac:dyDescent="0.3">
      <c r="A1463" s="2" t="s">
        <v>12120</v>
      </c>
      <c r="B1463" s="2" t="s">
        <v>6250</v>
      </c>
      <c r="C1463" s="2" t="s">
        <v>6251</v>
      </c>
      <c r="D1463" s="3">
        <v>91620</v>
      </c>
      <c r="E1463" s="3">
        <v>91620</v>
      </c>
      <c r="F1463" s="2" t="s">
        <v>16</v>
      </c>
      <c r="G1463">
        <v>1.67E-2</v>
      </c>
      <c r="H1463" s="9">
        <f t="shared" si="22"/>
        <v>0</v>
      </c>
      <c r="I1463" t="s">
        <v>6250</v>
      </c>
      <c r="J1463" t="s">
        <v>6251</v>
      </c>
    </row>
    <row r="1464" spans="1:10" x14ac:dyDescent="0.3">
      <c r="A1464" s="2" t="s">
        <v>12133</v>
      </c>
      <c r="B1464" s="2" t="s">
        <v>5357</v>
      </c>
      <c r="C1464" s="2" t="s">
        <v>5358</v>
      </c>
      <c r="D1464" s="3">
        <v>205344</v>
      </c>
      <c r="E1464" s="3">
        <v>205344</v>
      </c>
      <c r="F1464" s="2" t="s">
        <v>16</v>
      </c>
      <c r="G1464">
        <v>4.4999999999999998E-2</v>
      </c>
      <c r="H1464" s="9">
        <f t="shared" si="22"/>
        <v>0</v>
      </c>
      <c r="I1464" t="s">
        <v>5357</v>
      </c>
      <c r="J1464" t="s">
        <v>5358</v>
      </c>
    </row>
    <row r="1465" spans="1:10" x14ac:dyDescent="0.3">
      <c r="A1465" s="2" t="s">
        <v>12142</v>
      </c>
      <c r="B1465" s="2" t="s">
        <v>2121</v>
      </c>
      <c r="C1465" s="2" t="s">
        <v>2122</v>
      </c>
      <c r="D1465" s="3">
        <v>19872</v>
      </c>
      <c r="E1465" s="3">
        <v>19872</v>
      </c>
      <c r="F1465" s="2" t="s">
        <v>16</v>
      </c>
      <c r="G1465">
        <v>3.4000000000000002E-2</v>
      </c>
      <c r="H1465" s="9">
        <f t="shared" si="22"/>
        <v>0</v>
      </c>
      <c r="I1465" t="s">
        <v>2121</v>
      </c>
      <c r="J1465" t="s">
        <v>2122</v>
      </c>
    </row>
    <row r="1466" spans="1:10" x14ac:dyDescent="0.3">
      <c r="A1466" s="2" t="s">
        <v>12151</v>
      </c>
      <c r="B1466" s="2" t="s">
        <v>65</v>
      </c>
      <c r="C1466" s="2" t="s">
        <v>66</v>
      </c>
      <c r="D1466" s="5">
        <v>-366</v>
      </c>
      <c r="E1466" s="5">
        <v>-366</v>
      </c>
      <c r="F1466" s="2" t="s">
        <v>23</v>
      </c>
      <c r="G1466">
        <v>5.0999999999999997E-2</v>
      </c>
      <c r="H1466" s="9">
        <f t="shared" si="22"/>
        <v>-7176.4705882352946</v>
      </c>
      <c r="I1466" t="s">
        <v>2115</v>
      </c>
      <c r="J1466" t="s">
        <v>2116</v>
      </c>
    </row>
    <row r="1467" spans="1:10" x14ac:dyDescent="0.3">
      <c r="A1467" s="2" t="s">
        <v>12151</v>
      </c>
      <c r="B1467" s="2" t="s">
        <v>2115</v>
      </c>
      <c r="C1467" s="2" t="s">
        <v>2116</v>
      </c>
      <c r="D1467" s="3">
        <v>25200</v>
      </c>
      <c r="E1467" s="3">
        <v>25200</v>
      </c>
      <c r="F1467" s="2" t="s">
        <v>16</v>
      </c>
      <c r="G1467">
        <v>5.0999999999999997E-2</v>
      </c>
      <c r="H1467" s="9">
        <f t="shared" si="22"/>
        <v>0</v>
      </c>
      <c r="I1467" t="s">
        <v>2115</v>
      </c>
      <c r="J1467" t="s">
        <v>2116</v>
      </c>
    </row>
    <row r="1468" spans="1:10" x14ac:dyDescent="0.3">
      <c r="A1468" s="2" t="s">
        <v>12160</v>
      </c>
      <c r="B1468" s="2" t="s">
        <v>4511</v>
      </c>
      <c r="C1468" s="2" t="s">
        <v>4512</v>
      </c>
      <c r="D1468" s="3">
        <v>59760</v>
      </c>
      <c r="E1468" s="3">
        <v>59760</v>
      </c>
      <c r="F1468" s="2" t="s">
        <v>16</v>
      </c>
      <c r="G1468">
        <v>7.45E-3</v>
      </c>
      <c r="H1468" s="9">
        <f t="shared" si="22"/>
        <v>0</v>
      </c>
      <c r="I1468" t="s">
        <v>797</v>
      </c>
      <c r="J1468" t="s">
        <v>798</v>
      </c>
    </row>
    <row r="1469" spans="1:10" x14ac:dyDescent="0.3">
      <c r="A1469" s="2" t="s">
        <v>12173</v>
      </c>
      <c r="B1469" s="2" t="s">
        <v>6182</v>
      </c>
      <c r="C1469" s="2" t="s">
        <v>6183</v>
      </c>
      <c r="D1469" s="3">
        <v>89640</v>
      </c>
      <c r="E1469" s="3">
        <v>89640</v>
      </c>
      <c r="F1469" s="2" t="s">
        <v>16</v>
      </c>
      <c r="G1469">
        <v>7.45E-3</v>
      </c>
      <c r="H1469" s="9">
        <f t="shared" si="22"/>
        <v>0</v>
      </c>
      <c r="I1469" t="s">
        <v>797</v>
      </c>
      <c r="J1469" t="s">
        <v>798</v>
      </c>
    </row>
    <row r="1470" spans="1:10" x14ac:dyDescent="0.3">
      <c r="A1470" s="2" t="s">
        <v>12178</v>
      </c>
      <c r="B1470" s="2" t="s">
        <v>6182</v>
      </c>
      <c r="C1470" s="2" t="s">
        <v>6183</v>
      </c>
      <c r="D1470" s="3">
        <v>27000</v>
      </c>
      <c r="E1470" s="3">
        <v>0</v>
      </c>
      <c r="F1470" s="2" t="s">
        <v>16</v>
      </c>
      <c r="G1470">
        <v>7.45E-3</v>
      </c>
      <c r="H1470" s="9">
        <f t="shared" si="22"/>
        <v>0</v>
      </c>
      <c r="I1470" t="s">
        <v>797</v>
      </c>
      <c r="J1470" t="s">
        <v>798</v>
      </c>
    </row>
    <row r="1471" spans="1:10" x14ac:dyDescent="0.3">
      <c r="A1471" s="2" t="s">
        <v>12178</v>
      </c>
      <c r="B1471" s="2" t="s">
        <v>3759</v>
      </c>
      <c r="C1471" s="2" t="s">
        <v>3760</v>
      </c>
      <c r="D1471" s="3">
        <v>27000</v>
      </c>
      <c r="E1471" s="3">
        <v>27000</v>
      </c>
      <c r="F1471" s="2" t="s">
        <v>16</v>
      </c>
      <c r="G1471">
        <v>7.45E-3</v>
      </c>
      <c r="H1471" s="9">
        <f t="shared" si="22"/>
        <v>0</v>
      </c>
      <c r="I1471" t="s">
        <v>797</v>
      </c>
      <c r="J1471" t="s">
        <v>798</v>
      </c>
    </row>
    <row r="1472" spans="1:10" x14ac:dyDescent="0.3">
      <c r="A1472" s="2" t="s">
        <v>12186</v>
      </c>
      <c r="B1472" s="2" t="s">
        <v>86</v>
      </c>
      <c r="C1472" s="2" t="s">
        <v>87</v>
      </c>
      <c r="D1472" s="5">
        <v>-63</v>
      </c>
      <c r="E1472" s="5">
        <v>-63</v>
      </c>
      <c r="F1472" s="2" t="s">
        <v>23</v>
      </c>
      <c r="G1472">
        <v>4.4999999999999998E-2</v>
      </c>
      <c r="H1472" s="9">
        <f t="shared" si="22"/>
        <v>-1400</v>
      </c>
      <c r="I1472" t="s">
        <v>5357</v>
      </c>
      <c r="J1472" t="s">
        <v>5358</v>
      </c>
    </row>
    <row r="1473" spans="1:10" x14ac:dyDescent="0.3">
      <c r="A1473" s="2" t="s">
        <v>12186</v>
      </c>
      <c r="B1473" s="2" t="s">
        <v>5357</v>
      </c>
      <c r="C1473" s="2" t="s">
        <v>5358</v>
      </c>
      <c r="D1473" s="3">
        <v>14662</v>
      </c>
      <c r="E1473" s="3">
        <v>14662</v>
      </c>
      <c r="F1473" s="2" t="s">
        <v>16</v>
      </c>
      <c r="G1473">
        <v>4.4999999999999998E-2</v>
      </c>
      <c r="H1473" s="9">
        <f t="shared" si="22"/>
        <v>0</v>
      </c>
      <c r="I1473" t="s">
        <v>5357</v>
      </c>
      <c r="J1473" t="s">
        <v>5358</v>
      </c>
    </row>
    <row r="1474" spans="1:10" x14ac:dyDescent="0.3">
      <c r="A1474" s="2" t="s">
        <v>12195</v>
      </c>
      <c r="B1474" s="2" t="s">
        <v>5477</v>
      </c>
      <c r="C1474" s="2" t="s">
        <v>5478</v>
      </c>
      <c r="D1474" s="3">
        <v>6624</v>
      </c>
      <c r="E1474" s="3">
        <v>6624</v>
      </c>
      <c r="F1474" s="2" t="s">
        <v>16</v>
      </c>
      <c r="G1474">
        <v>4.4999999999999998E-2</v>
      </c>
      <c r="H1474" s="9">
        <f t="shared" si="22"/>
        <v>0</v>
      </c>
      <c r="I1474" t="s">
        <v>5357</v>
      </c>
      <c r="J1474" t="s">
        <v>5358</v>
      </c>
    </row>
    <row r="1475" spans="1:10" x14ac:dyDescent="0.3">
      <c r="A1475" s="2" t="s">
        <v>12200</v>
      </c>
      <c r="B1475" s="2" t="s">
        <v>86</v>
      </c>
      <c r="C1475" s="2" t="s">
        <v>87</v>
      </c>
      <c r="D1475" s="5">
        <v>-268</v>
      </c>
      <c r="E1475" s="5">
        <v>-268</v>
      </c>
      <c r="F1475" s="2" t="s">
        <v>23</v>
      </c>
      <c r="G1475">
        <v>2.6600000000000002E-2</v>
      </c>
      <c r="H1475" s="9">
        <f t="shared" ref="H1475:H1538" si="23">IFERROR(IF(LEFT(B1475,1)="F",E1475/G1475,0),0)</f>
        <v>-10075.187969924811</v>
      </c>
      <c r="I1475" t="s">
        <v>2803</v>
      </c>
      <c r="J1475" t="s">
        <v>2804</v>
      </c>
    </row>
    <row r="1476" spans="1:10" x14ac:dyDescent="0.3">
      <c r="A1476" s="2" t="s">
        <v>12200</v>
      </c>
      <c r="B1476" s="2" t="s">
        <v>2803</v>
      </c>
      <c r="C1476" s="2" t="s">
        <v>2804</v>
      </c>
      <c r="D1476" s="3">
        <v>50400</v>
      </c>
      <c r="E1476" s="3">
        <v>50400</v>
      </c>
      <c r="F1476" s="2" t="s">
        <v>16</v>
      </c>
      <c r="G1476">
        <v>2.6600000000000002E-2</v>
      </c>
      <c r="H1476" s="9">
        <f t="shared" si="23"/>
        <v>0</v>
      </c>
      <c r="I1476" t="s">
        <v>2803</v>
      </c>
      <c r="J1476" t="s">
        <v>2804</v>
      </c>
    </row>
    <row r="1477" spans="1:10" x14ac:dyDescent="0.3">
      <c r="A1477" s="2" t="s">
        <v>12213</v>
      </c>
      <c r="B1477" s="2" t="s">
        <v>1512</v>
      </c>
      <c r="C1477" s="2" t="s">
        <v>1513</v>
      </c>
      <c r="D1477" s="3">
        <v>31860</v>
      </c>
      <c r="E1477" s="3">
        <v>31860</v>
      </c>
      <c r="F1477" s="2" t="s">
        <v>16</v>
      </c>
      <c r="G1477">
        <v>3.0499999999999999E-2</v>
      </c>
      <c r="H1477" s="9">
        <f t="shared" si="23"/>
        <v>0</v>
      </c>
      <c r="I1477" t="s">
        <v>1027</v>
      </c>
      <c r="J1477" t="s">
        <v>1028</v>
      </c>
    </row>
    <row r="1478" spans="1:10" x14ac:dyDescent="0.3">
      <c r="A1478" s="2" t="s">
        <v>12222</v>
      </c>
      <c r="B1478" s="2" t="s">
        <v>1027</v>
      </c>
      <c r="C1478" s="2" t="s">
        <v>1028</v>
      </c>
      <c r="D1478" s="3">
        <v>42480</v>
      </c>
      <c r="E1478" s="3">
        <v>42480</v>
      </c>
      <c r="F1478" s="2" t="s">
        <v>16</v>
      </c>
      <c r="G1478">
        <v>3.0499999999999999E-2</v>
      </c>
      <c r="H1478" s="9">
        <f t="shared" si="23"/>
        <v>0</v>
      </c>
      <c r="I1478" t="s">
        <v>1027</v>
      </c>
      <c r="J1478" t="s">
        <v>1028</v>
      </c>
    </row>
    <row r="1479" spans="1:10" x14ac:dyDescent="0.3">
      <c r="A1479" s="2" t="s">
        <v>12231</v>
      </c>
      <c r="B1479" s="2" t="s">
        <v>797</v>
      </c>
      <c r="C1479" s="2" t="s">
        <v>798</v>
      </c>
      <c r="D1479" s="3">
        <v>1000</v>
      </c>
      <c r="E1479" s="3">
        <v>500</v>
      </c>
      <c r="F1479" s="2" t="s">
        <v>16</v>
      </c>
      <c r="G1479">
        <v>7.45E-3</v>
      </c>
      <c r="H1479" s="9">
        <f t="shared" si="23"/>
        <v>0</v>
      </c>
      <c r="I1479" t="s">
        <v>797</v>
      </c>
      <c r="J1479" t="s">
        <v>798</v>
      </c>
    </row>
    <row r="1480" spans="1:10" x14ac:dyDescent="0.3">
      <c r="A1480" s="2" t="s">
        <v>12244</v>
      </c>
      <c r="B1480" s="2" t="s">
        <v>797</v>
      </c>
      <c r="C1480" s="2" t="s">
        <v>798</v>
      </c>
      <c r="D1480" s="3">
        <v>1000</v>
      </c>
      <c r="E1480" s="3">
        <v>1000</v>
      </c>
      <c r="F1480" s="2" t="s">
        <v>16</v>
      </c>
      <c r="G1480">
        <v>7.45E-3</v>
      </c>
      <c r="H1480" s="9">
        <f t="shared" si="23"/>
        <v>0</v>
      </c>
      <c r="I1480" t="s">
        <v>797</v>
      </c>
      <c r="J1480" t="s">
        <v>798</v>
      </c>
    </row>
    <row r="1481" spans="1:10" x14ac:dyDescent="0.3">
      <c r="A1481" s="2" t="s">
        <v>12257</v>
      </c>
      <c r="B1481" s="2" t="s">
        <v>740</v>
      </c>
      <c r="C1481" s="2" t="s">
        <v>741</v>
      </c>
      <c r="D1481" s="3">
        <v>21240</v>
      </c>
      <c r="E1481" s="3">
        <v>21240</v>
      </c>
      <c r="F1481" s="2" t="s">
        <v>16</v>
      </c>
      <c r="G1481">
        <v>3.0499999999999999E-2</v>
      </c>
      <c r="H1481" s="9">
        <f t="shared" si="23"/>
        <v>0</v>
      </c>
      <c r="I1481" t="s">
        <v>740</v>
      </c>
      <c r="J1481" t="s">
        <v>741</v>
      </c>
    </row>
    <row r="1482" spans="1:10" x14ac:dyDescent="0.3">
      <c r="A1482" s="2" t="s">
        <v>12266</v>
      </c>
      <c r="B1482" s="2" t="s">
        <v>517</v>
      </c>
      <c r="C1482" s="2" t="s">
        <v>518</v>
      </c>
      <c r="D1482" s="3">
        <v>10080</v>
      </c>
      <c r="E1482" s="3">
        <v>10080</v>
      </c>
      <c r="F1482" s="2" t="s">
        <v>16</v>
      </c>
      <c r="G1482">
        <v>2.6600000000000002E-2</v>
      </c>
      <c r="H1482" s="9">
        <f t="shared" si="23"/>
        <v>0</v>
      </c>
      <c r="I1482" t="s">
        <v>517</v>
      </c>
      <c r="J1482" t="s">
        <v>518</v>
      </c>
    </row>
    <row r="1483" spans="1:10" x14ac:dyDescent="0.3">
      <c r="A1483" s="2" t="s">
        <v>12271</v>
      </c>
      <c r="B1483" s="2" t="s">
        <v>70</v>
      </c>
      <c r="C1483" s="2" t="s">
        <v>71</v>
      </c>
      <c r="D1483" s="3">
        <v>6336</v>
      </c>
      <c r="E1483" s="3">
        <v>6336</v>
      </c>
      <c r="F1483" s="2" t="s">
        <v>16</v>
      </c>
      <c r="G1483">
        <v>3.5999999999999997E-2</v>
      </c>
      <c r="H1483" s="9">
        <f t="shared" si="23"/>
        <v>0</v>
      </c>
      <c r="I1483" t="s">
        <v>70</v>
      </c>
      <c r="J1483" t="s">
        <v>71</v>
      </c>
    </row>
    <row r="1484" spans="1:10" x14ac:dyDescent="0.3">
      <c r="A1484" s="2" t="s">
        <v>12276</v>
      </c>
      <c r="B1484" s="2" t="s">
        <v>11210</v>
      </c>
      <c r="C1484" s="2" t="s">
        <v>11211</v>
      </c>
      <c r="D1484" s="3">
        <v>20160</v>
      </c>
      <c r="E1484" s="3">
        <v>20160</v>
      </c>
      <c r="F1484" s="2" t="s">
        <v>16</v>
      </c>
      <c r="G1484">
        <v>2.6600000000000002E-2</v>
      </c>
      <c r="H1484" s="9">
        <f t="shared" si="23"/>
        <v>0</v>
      </c>
      <c r="I1484" t="s">
        <v>11210</v>
      </c>
      <c r="J1484" t="s">
        <v>11211</v>
      </c>
    </row>
    <row r="1485" spans="1:10" x14ac:dyDescent="0.3">
      <c r="A1485" s="2" t="s">
        <v>12285</v>
      </c>
      <c r="B1485" s="2" t="s">
        <v>1093</v>
      </c>
      <c r="C1485" s="2" t="s">
        <v>1094</v>
      </c>
      <c r="D1485" s="3">
        <v>20880</v>
      </c>
      <c r="E1485" s="3">
        <v>20880</v>
      </c>
      <c r="F1485" s="2" t="s">
        <v>16</v>
      </c>
      <c r="G1485">
        <v>1.2500000000000001E-2</v>
      </c>
      <c r="H1485" s="9">
        <f t="shared" si="23"/>
        <v>0</v>
      </c>
      <c r="I1485" t="s">
        <v>1093</v>
      </c>
      <c r="J1485" t="s">
        <v>1094</v>
      </c>
    </row>
    <row r="1486" spans="1:10" x14ac:dyDescent="0.3">
      <c r="A1486" s="2" t="s">
        <v>12290</v>
      </c>
      <c r="B1486" s="2" t="s">
        <v>86</v>
      </c>
      <c r="C1486" s="2" t="s">
        <v>87</v>
      </c>
      <c r="D1486" s="5">
        <v>-41</v>
      </c>
      <c r="E1486" s="5">
        <v>-41</v>
      </c>
      <c r="F1486" s="2" t="s">
        <v>23</v>
      </c>
      <c r="G1486">
        <v>1.2500000000000001E-2</v>
      </c>
      <c r="H1486" s="9">
        <f t="shared" si="23"/>
        <v>-3280</v>
      </c>
      <c r="I1486" t="s">
        <v>11332</v>
      </c>
      <c r="J1486" t="s">
        <v>11333</v>
      </c>
    </row>
    <row r="1487" spans="1:10" x14ac:dyDescent="0.3">
      <c r="A1487" s="2" t="s">
        <v>12290</v>
      </c>
      <c r="B1487" s="2" t="s">
        <v>11332</v>
      </c>
      <c r="C1487" s="2" t="s">
        <v>11333</v>
      </c>
      <c r="D1487" s="3">
        <v>107714</v>
      </c>
      <c r="E1487" s="3">
        <v>107714</v>
      </c>
      <c r="F1487" s="2" t="s">
        <v>16</v>
      </c>
      <c r="G1487">
        <v>1.2500000000000001E-2</v>
      </c>
      <c r="H1487" s="9">
        <f t="shared" si="23"/>
        <v>0</v>
      </c>
      <c r="I1487" t="s">
        <v>11332</v>
      </c>
      <c r="J1487" t="s">
        <v>11333</v>
      </c>
    </row>
    <row r="1488" spans="1:10" x14ac:dyDescent="0.3">
      <c r="A1488" s="2" t="s">
        <v>12303</v>
      </c>
      <c r="B1488" s="2" t="s">
        <v>12304</v>
      </c>
      <c r="C1488" s="2" t="s">
        <v>12305</v>
      </c>
      <c r="D1488" s="3">
        <v>160704</v>
      </c>
      <c r="E1488" s="3">
        <v>160704</v>
      </c>
      <c r="F1488" s="2" t="s">
        <v>16</v>
      </c>
      <c r="G1488">
        <v>1.35E-2</v>
      </c>
      <c r="H1488" s="9">
        <f t="shared" si="23"/>
        <v>0</v>
      </c>
      <c r="I1488" t="s">
        <v>12304</v>
      </c>
      <c r="J1488" t="s">
        <v>12305</v>
      </c>
    </row>
    <row r="1489" spans="1:10" x14ac:dyDescent="0.3">
      <c r="A1489" s="2" t="s">
        <v>12309</v>
      </c>
      <c r="B1489" s="2" t="s">
        <v>9267</v>
      </c>
      <c r="C1489" s="2" t="s">
        <v>9268</v>
      </c>
      <c r="D1489" s="3">
        <v>4000000</v>
      </c>
      <c r="E1489" s="3">
        <v>4000000</v>
      </c>
      <c r="F1489" s="2" t="s">
        <v>16</v>
      </c>
      <c r="G1489">
        <v>2.9000000000000001E-2</v>
      </c>
      <c r="H1489" s="9">
        <f t="shared" si="23"/>
        <v>0</v>
      </c>
      <c r="I1489" t="s">
        <v>9267</v>
      </c>
      <c r="J1489" t="s">
        <v>9268</v>
      </c>
    </row>
    <row r="1490" spans="1:10" x14ac:dyDescent="0.3">
      <c r="A1490" s="2" t="s">
        <v>12350</v>
      </c>
      <c r="B1490" s="2" t="s">
        <v>11210</v>
      </c>
      <c r="C1490" s="2" t="s">
        <v>11211</v>
      </c>
      <c r="D1490" s="3">
        <v>30240</v>
      </c>
      <c r="E1490" s="3">
        <v>30240</v>
      </c>
      <c r="F1490" s="2" t="s">
        <v>16</v>
      </c>
      <c r="G1490">
        <v>2.6600000000000002E-2</v>
      </c>
      <c r="H1490" s="9">
        <f t="shared" si="23"/>
        <v>0</v>
      </c>
      <c r="I1490" t="s">
        <v>11210</v>
      </c>
      <c r="J1490" t="s">
        <v>11211</v>
      </c>
    </row>
    <row r="1491" spans="1:10" x14ac:dyDescent="0.3">
      <c r="A1491" s="2" t="s">
        <v>12359</v>
      </c>
      <c r="B1491" s="2" t="s">
        <v>12368</v>
      </c>
      <c r="C1491" s="2" t="s">
        <v>12369</v>
      </c>
      <c r="D1491" s="3">
        <v>142848</v>
      </c>
      <c r="E1491" s="3">
        <v>160704</v>
      </c>
      <c r="F1491" s="2" t="s">
        <v>16</v>
      </c>
      <c r="G1491">
        <v>1.35E-2</v>
      </c>
      <c r="H1491" s="9">
        <f t="shared" si="23"/>
        <v>0</v>
      </c>
      <c r="I1491" t="s">
        <v>12368</v>
      </c>
      <c r="J1491" t="s">
        <v>12369</v>
      </c>
    </row>
    <row r="1492" spans="1:10" x14ac:dyDescent="0.3">
      <c r="A1492" s="2" t="s">
        <v>12373</v>
      </c>
      <c r="B1492" s="2" t="s">
        <v>12378</v>
      </c>
      <c r="C1492" s="2" t="s">
        <v>12379</v>
      </c>
      <c r="D1492" s="3">
        <v>71424</v>
      </c>
      <c r="E1492" s="3">
        <v>71424</v>
      </c>
      <c r="F1492" s="2" t="s">
        <v>16</v>
      </c>
      <c r="G1492">
        <v>1.35E-2</v>
      </c>
      <c r="H1492" s="9">
        <f t="shared" si="23"/>
        <v>0</v>
      </c>
      <c r="I1492" t="s">
        <v>12378</v>
      </c>
      <c r="J1492" t="s">
        <v>12379</v>
      </c>
    </row>
    <row r="1493" spans="1:10" x14ac:dyDescent="0.3">
      <c r="A1493" s="2" t="s">
        <v>12383</v>
      </c>
      <c r="B1493" s="2" t="s">
        <v>11332</v>
      </c>
      <c r="C1493" s="2" t="s">
        <v>11333</v>
      </c>
      <c r="D1493" s="3">
        <v>17566</v>
      </c>
      <c r="E1493" s="3">
        <v>17566</v>
      </c>
      <c r="F1493" s="2" t="s">
        <v>16</v>
      </c>
      <c r="G1493">
        <v>1.2500000000000001E-2</v>
      </c>
      <c r="H1493" s="9">
        <f t="shared" si="23"/>
        <v>0</v>
      </c>
      <c r="I1493" t="s">
        <v>11332</v>
      </c>
      <c r="J1493" t="s">
        <v>11333</v>
      </c>
    </row>
    <row r="1494" spans="1:10" x14ac:dyDescent="0.3">
      <c r="A1494" s="2" t="s">
        <v>12388</v>
      </c>
      <c r="B1494" s="2" t="s">
        <v>11241</v>
      </c>
      <c r="C1494" s="2" t="s">
        <v>11242</v>
      </c>
      <c r="D1494" s="3">
        <v>101520</v>
      </c>
      <c r="E1494" s="3">
        <v>101520</v>
      </c>
      <c r="F1494" s="2" t="s">
        <v>16</v>
      </c>
      <c r="G1494">
        <v>9.4000000000000004E-3</v>
      </c>
      <c r="H1494" s="9">
        <f t="shared" si="23"/>
        <v>0</v>
      </c>
      <c r="I1494" t="s">
        <v>3028</v>
      </c>
      <c r="J1494" t="s">
        <v>3029</v>
      </c>
    </row>
    <row r="1495" spans="1:10" x14ac:dyDescent="0.3">
      <c r="A1495" s="2" t="s">
        <v>12401</v>
      </c>
      <c r="B1495" s="2" t="s">
        <v>65</v>
      </c>
      <c r="C1495" s="2" t="s">
        <v>66</v>
      </c>
      <c r="D1495" s="5">
        <v>-288</v>
      </c>
      <c r="E1495" s="5">
        <v>-288</v>
      </c>
      <c r="F1495" s="2" t="s">
        <v>23</v>
      </c>
      <c r="G1495">
        <v>1.55E-2</v>
      </c>
      <c r="H1495" s="9">
        <f t="shared" si="23"/>
        <v>-18580.645161290322</v>
      </c>
      <c r="I1495" t="s">
        <v>12410</v>
      </c>
      <c r="J1495" t="s">
        <v>12411</v>
      </c>
    </row>
    <row r="1496" spans="1:10" x14ac:dyDescent="0.3">
      <c r="A1496" s="2" t="s">
        <v>12401</v>
      </c>
      <c r="B1496" s="2" t="s">
        <v>12410</v>
      </c>
      <c r="C1496" s="2" t="s">
        <v>12411</v>
      </c>
      <c r="D1496" s="3">
        <v>130368</v>
      </c>
      <c r="E1496" s="3">
        <v>130368</v>
      </c>
      <c r="F1496" s="2" t="s">
        <v>16</v>
      </c>
      <c r="G1496">
        <v>1.55E-2</v>
      </c>
      <c r="H1496" s="9">
        <f t="shared" si="23"/>
        <v>0</v>
      </c>
      <c r="I1496" t="s">
        <v>12410</v>
      </c>
      <c r="J1496" t="s">
        <v>12411</v>
      </c>
    </row>
    <row r="1497" spans="1:10" x14ac:dyDescent="0.3">
      <c r="A1497" s="2" t="s">
        <v>12415</v>
      </c>
      <c r="B1497" s="2" t="s">
        <v>12410</v>
      </c>
      <c r="C1497" s="2" t="s">
        <v>12411</v>
      </c>
      <c r="D1497" s="3">
        <v>18624</v>
      </c>
      <c r="E1497" s="3">
        <v>18624</v>
      </c>
      <c r="F1497" s="2" t="s">
        <v>16</v>
      </c>
      <c r="G1497">
        <v>1.55E-2</v>
      </c>
      <c r="H1497" s="9">
        <f t="shared" si="23"/>
        <v>0</v>
      </c>
      <c r="I1497" t="s">
        <v>18425</v>
      </c>
      <c r="J1497" t="s">
        <v>18426</v>
      </c>
    </row>
    <row r="1498" spans="1:10" x14ac:dyDescent="0.3">
      <c r="A1498" s="2" t="s">
        <v>12420</v>
      </c>
      <c r="B1498" s="2" t="s">
        <v>65</v>
      </c>
      <c r="C1498" s="2" t="s">
        <v>66</v>
      </c>
      <c r="D1498" s="5">
        <v>-241</v>
      </c>
      <c r="E1498" s="5">
        <v>-241</v>
      </c>
      <c r="F1498" s="2" t="s">
        <v>23</v>
      </c>
      <c r="G1498">
        <v>1.35E-2</v>
      </c>
      <c r="H1498" s="9">
        <f t="shared" si="23"/>
        <v>-17851.85185185185</v>
      </c>
      <c r="I1498" t="s">
        <v>1989</v>
      </c>
      <c r="J1498" t="s">
        <v>1990</v>
      </c>
    </row>
    <row r="1499" spans="1:10" x14ac:dyDescent="0.3">
      <c r="A1499" s="2" t="s">
        <v>12420</v>
      </c>
      <c r="B1499" s="2" t="s">
        <v>1989</v>
      </c>
      <c r="C1499" s="2" t="s">
        <v>1990</v>
      </c>
      <c r="D1499" s="3">
        <v>214272</v>
      </c>
      <c r="E1499" s="3">
        <v>214272</v>
      </c>
      <c r="F1499" s="2" t="s">
        <v>16</v>
      </c>
      <c r="G1499">
        <v>1.35E-2</v>
      </c>
      <c r="H1499" s="9">
        <f t="shared" si="23"/>
        <v>0</v>
      </c>
      <c r="I1499" t="s">
        <v>1989</v>
      </c>
      <c r="J1499" t="s">
        <v>1990</v>
      </c>
    </row>
    <row r="1500" spans="1:10" x14ac:dyDescent="0.3">
      <c r="A1500" s="2" t="s">
        <v>12433</v>
      </c>
      <c r="B1500" s="2" t="s">
        <v>293</v>
      </c>
      <c r="C1500" s="2" t="s">
        <v>294</v>
      </c>
      <c r="D1500" s="3">
        <v>21312</v>
      </c>
      <c r="E1500" s="3">
        <v>21312</v>
      </c>
      <c r="F1500" s="2" t="s">
        <v>16</v>
      </c>
      <c r="G1500">
        <v>1.2699999999999999E-2</v>
      </c>
      <c r="H1500" s="9">
        <f t="shared" si="23"/>
        <v>0</v>
      </c>
      <c r="I1500" t="s">
        <v>293</v>
      </c>
      <c r="J1500" t="s">
        <v>294</v>
      </c>
    </row>
    <row r="1501" spans="1:10" x14ac:dyDescent="0.3">
      <c r="A1501" s="2" t="s">
        <v>12442</v>
      </c>
      <c r="B1501" s="2" t="s">
        <v>9267</v>
      </c>
      <c r="C1501" s="2" t="s">
        <v>9268</v>
      </c>
      <c r="D1501" s="3">
        <v>3504000</v>
      </c>
      <c r="E1501" s="3">
        <v>3504000</v>
      </c>
      <c r="F1501" s="2" t="s">
        <v>16</v>
      </c>
      <c r="G1501">
        <v>2.9000000000000001E-2</v>
      </c>
      <c r="H1501" s="9">
        <f t="shared" si="23"/>
        <v>0</v>
      </c>
      <c r="I1501" t="s">
        <v>9267</v>
      </c>
      <c r="J1501" t="s">
        <v>9268</v>
      </c>
    </row>
    <row r="1502" spans="1:10" x14ac:dyDescent="0.3">
      <c r="A1502" s="2" t="s">
        <v>12483</v>
      </c>
      <c r="B1502" s="2" t="s">
        <v>11241</v>
      </c>
      <c r="C1502" s="2" t="s">
        <v>11242</v>
      </c>
      <c r="D1502" s="3">
        <v>50760</v>
      </c>
      <c r="E1502" s="3">
        <v>50760</v>
      </c>
      <c r="F1502" s="2" t="s">
        <v>16</v>
      </c>
      <c r="G1502">
        <v>9.4000000000000004E-3</v>
      </c>
      <c r="H1502" s="9">
        <f t="shared" si="23"/>
        <v>0</v>
      </c>
      <c r="I1502" t="s">
        <v>3028</v>
      </c>
      <c r="J1502" t="s">
        <v>3029</v>
      </c>
    </row>
    <row r="1503" spans="1:10" x14ac:dyDescent="0.3">
      <c r="A1503" s="2" t="s">
        <v>12496</v>
      </c>
      <c r="B1503" s="2" t="s">
        <v>293</v>
      </c>
      <c r="C1503" s="2" t="s">
        <v>294</v>
      </c>
      <c r="D1503" s="3">
        <v>10656</v>
      </c>
      <c r="E1503" s="3">
        <v>10656</v>
      </c>
      <c r="F1503" s="2" t="s">
        <v>16</v>
      </c>
      <c r="G1503">
        <v>1.2699999999999999E-2</v>
      </c>
      <c r="H1503" s="9">
        <f t="shared" si="23"/>
        <v>0</v>
      </c>
      <c r="I1503" t="s">
        <v>293</v>
      </c>
      <c r="J1503" t="s">
        <v>294</v>
      </c>
    </row>
    <row r="1504" spans="1:10" x14ac:dyDescent="0.3">
      <c r="A1504" s="2" t="s">
        <v>12501</v>
      </c>
      <c r="B1504" s="2" t="s">
        <v>2611</v>
      </c>
      <c r="C1504" s="2" t="s">
        <v>2612</v>
      </c>
      <c r="D1504" s="3">
        <v>127872</v>
      </c>
      <c r="E1504" s="3">
        <v>127872</v>
      </c>
      <c r="F1504" s="2" t="s">
        <v>16</v>
      </c>
      <c r="G1504">
        <v>1.2699999999999999E-2</v>
      </c>
      <c r="H1504" s="9">
        <f t="shared" si="23"/>
        <v>0</v>
      </c>
      <c r="I1504" t="s">
        <v>2611</v>
      </c>
      <c r="J1504" t="s">
        <v>2612</v>
      </c>
    </row>
    <row r="1505" spans="1:10" x14ac:dyDescent="0.3">
      <c r="A1505" s="2" t="s">
        <v>12510</v>
      </c>
      <c r="B1505" s="2" t="s">
        <v>11082</v>
      </c>
      <c r="C1505" s="2" t="s">
        <v>11083</v>
      </c>
      <c r="D1505" s="3">
        <v>26496</v>
      </c>
      <c r="E1505" s="3">
        <v>26496</v>
      </c>
      <c r="F1505" s="2" t="s">
        <v>16</v>
      </c>
      <c r="G1505">
        <v>4.4999999999999998E-2</v>
      </c>
      <c r="H1505" s="9">
        <f t="shared" si="23"/>
        <v>0</v>
      </c>
      <c r="I1505" t="s">
        <v>18423</v>
      </c>
      <c r="J1505" t="s">
        <v>18424</v>
      </c>
    </row>
    <row r="1506" spans="1:10" x14ac:dyDescent="0.3">
      <c r="A1506" s="2" t="s">
        <v>12514</v>
      </c>
      <c r="B1506" s="2" t="s">
        <v>11082</v>
      </c>
      <c r="C1506" s="2" t="s">
        <v>11083</v>
      </c>
      <c r="D1506" s="3">
        <v>26496</v>
      </c>
      <c r="E1506" s="3">
        <v>26496</v>
      </c>
      <c r="F1506" s="2" t="s">
        <v>16</v>
      </c>
      <c r="G1506">
        <v>4.4999999999999998E-2</v>
      </c>
      <c r="H1506" s="9">
        <f t="shared" si="23"/>
        <v>0</v>
      </c>
      <c r="I1506" t="s">
        <v>18423</v>
      </c>
      <c r="J1506" t="s">
        <v>18424</v>
      </c>
    </row>
    <row r="1507" spans="1:10" x14ac:dyDescent="0.3">
      <c r="A1507" s="2" t="s">
        <v>12518</v>
      </c>
      <c r="B1507" s="2" t="s">
        <v>2934</v>
      </c>
      <c r="C1507" s="2" t="s">
        <v>2935</v>
      </c>
      <c r="D1507" s="3">
        <v>32832</v>
      </c>
      <c r="E1507" s="3">
        <v>32832</v>
      </c>
      <c r="F1507" s="2" t="s">
        <v>16</v>
      </c>
      <c r="G1507">
        <v>1.7999999999999999E-2</v>
      </c>
      <c r="H1507" s="9">
        <f t="shared" si="23"/>
        <v>0</v>
      </c>
      <c r="I1507" t="s">
        <v>2934</v>
      </c>
      <c r="J1507" t="s">
        <v>2935</v>
      </c>
    </row>
    <row r="1508" spans="1:10" x14ac:dyDescent="0.3">
      <c r="A1508" s="2" t="s">
        <v>12527</v>
      </c>
      <c r="B1508" s="2" t="s">
        <v>11241</v>
      </c>
      <c r="C1508" s="2" t="s">
        <v>11242</v>
      </c>
      <c r="D1508" s="3">
        <v>177660</v>
      </c>
      <c r="E1508" s="3">
        <v>177660</v>
      </c>
      <c r="F1508" s="2" t="s">
        <v>16</v>
      </c>
      <c r="G1508">
        <v>9.4000000000000004E-3</v>
      </c>
      <c r="H1508" s="9">
        <f t="shared" si="23"/>
        <v>0</v>
      </c>
      <c r="I1508" t="s">
        <v>3028</v>
      </c>
      <c r="J1508" t="s">
        <v>3029</v>
      </c>
    </row>
    <row r="1509" spans="1:10" x14ac:dyDescent="0.3">
      <c r="A1509" s="2" t="s">
        <v>12540</v>
      </c>
      <c r="B1509" s="2" t="s">
        <v>2611</v>
      </c>
      <c r="C1509" s="2" t="s">
        <v>2612</v>
      </c>
      <c r="D1509" s="3">
        <v>31968</v>
      </c>
      <c r="E1509" s="3">
        <v>31968</v>
      </c>
      <c r="F1509" s="2" t="s">
        <v>16</v>
      </c>
      <c r="G1509">
        <v>1.2699999999999999E-2</v>
      </c>
      <c r="H1509" s="9">
        <f t="shared" si="23"/>
        <v>0</v>
      </c>
      <c r="I1509" t="s">
        <v>2611</v>
      </c>
      <c r="J1509" t="s">
        <v>2612</v>
      </c>
    </row>
    <row r="1510" spans="1:10" x14ac:dyDescent="0.3">
      <c r="A1510" s="2" t="s">
        <v>12549</v>
      </c>
      <c r="B1510" s="2" t="s">
        <v>6250</v>
      </c>
      <c r="C1510" s="2" t="s">
        <v>6251</v>
      </c>
      <c r="D1510" s="3">
        <v>18624</v>
      </c>
      <c r="E1510" s="3">
        <v>18624</v>
      </c>
      <c r="F1510" s="2" t="s">
        <v>16</v>
      </c>
      <c r="G1510">
        <v>1.67E-2</v>
      </c>
      <c r="H1510" s="9">
        <f t="shared" si="23"/>
        <v>0</v>
      </c>
      <c r="I1510" t="s">
        <v>6250</v>
      </c>
      <c r="J1510" t="s">
        <v>6251</v>
      </c>
    </row>
    <row r="1511" spans="1:10" x14ac:dyDescent="0.3">
      <c r="A1511" s="2" t="s">
        <v>12554</v>
      </c>
      <c r="B1511" s="2" t="s">
        <v>11210</v>
      </c>
      <c r="C1511" s="2" t="s">
        <v>11211</v>
      </c>
      <c r="D1511" s="3">
        <v>40320</v>
      </c>
      <c r="E1511" s="3">
        <v>40320</v>
      </c>
      <c r="F1511" s="2" t="s">
        <v>16</v>
      </c>
      <c r="G1511">
        <v>2.6600000000000002E-2</v>
      </c>
      <c r="H1511" s="9">
        <f t="shared" si="23"/>
        <v>0</v>
      </c>
      <c r="I1511" t="s">
        <v>11210</v>
      </c>
      <c r="J1511" t="s">
        <v>11211</v>
      </c>
    </row>
    <row r="1512" spans="1:10" x14ac:dyDescent="0.3">
      <c r="A1512" s="2" t="s">
        <v>12563</v>
      </c>
      <c r="B1512" s="2" t="s">
        <v>11241</v>
      </c>
      <c r="C1512" s="2" t="s">
        <v>11242</v>
      </c>
      <c r="D1512" s="3">
        <v>76140</v>
      </c>
      <c r="E1512" s="3">
        <v>76140</v>
      </c>
      <c r="F1512" s="2" t="s">
        <v>16</v>
      </c>
      <c r="G1512">
        <v>9.4000000000000004E-3</v>
      </c>
      <c r="H1512" s="9">
        <f t="shared" si="23"/>
        <v>0</v>
      </c>
      <c r="I1512" t="s">
        <v>3028</v>
      </c>
      <c r="J1512" t="s">
        <v>3029</v>
      </c>
    </row>
    <row r="1513" spans="1:10" x14ac:dyDescent="0.3">
      <c r="A1513" s="2" t="s">
        <v>12576</v>
      </c>
      <c r="B1513" s="2" t="s">
        <v>65</v>
      </c>
      <c r="C1513" s="2" t="s">
        <v>66</v>
      </c>
      <c r="D1513" s="5">
        <v>-323</v>
      </c>
      <c r="E1513" s="5">
        <v>-323</v>
      </c>
      <c r="F1513" s="2" t="s">
        <v>23</v>
      </c>
      <c r="G1513">
        <v>3.0499999999999999E-2</v>
      </c>
      <c r="H1513" s="9">
        <f t="shared" si="23"/>
        <v>-10590.163934426229</v>
      </c>
      <c r="I1513" t="s">
        <v>103</v>
      </c>
      <c r="J1513" t="s">
        <v>104</v>
      </c>
    </row>
    <row r="1514" spans="1:10" x14ac:dyDescent="0.3">
      <c r="A1514" s="2" t="s">
        <v>12576</v>
      </c>
      <c r="B1514" s="2" t="s">
        <v>103</v>
      </c>
      <c r="C1514" s="2" t="s">
        <v>104</v>
      </c>
      <c r="D1514" s="3">
        <v>95580</v>
      </c>
      <c r="E1514" s="3">
        <v>95580</v>
      </c>
      <c r="F1514" s="2" t="s">
        <v>16</v>
      </c>
      <c r="G1514">
        <v>3.0499999999999999E-2</v>
      </c>
      <c r="H1514" s="9">
        <f t="shared" si="23"/>
        <v>0</v>
      </c>
      <c r="I1514" t="s">
        <v>103</v>
      </c>
      <c r="J1514" t="s">
        <v>104</v>
      </c>
    </row>
    <row r="1515" spans="1:10" x14ac:dyDescent="0.3">
      <c r="A1515" s="2" t="s">
        <v>12589</v>
      </c>
      <c r="B1515" s="2" t="s">
        <v>11210</v>
      </c>
      <c r="C1515" s="2" t="s">
        <v>11211</v>
      </c>
      <c r="D1515" s="3">
        <v>20160</v>
      </c>
      <c r="E1515" s="3">
        <v>20160</v>
      </c>
      <c r="F1515" s="2" t="s">
        <v>16</v>
      </c>
      <c r="G1515">
        <v>2.6600000000000002E-2</v>
      </c>
      <c r="H1515" s="9">
        <f t="shared" si="23"/>
        <v>0</v>
      </c>
      <c r="I1515" t="s">
        <v>11210</v>
      </c>
      <c r="J1515" t="s">
        <v>11211</v>
      </c>
    </row>
    <row r="1516" spans="1:10" x14ac:dyDescent="0.3">
      <c r="A1516" s="2" t="s">
        <v>12594</v>
      </c>
      <c r="B1516" s="2" t="s">
        <v>5357</v>
      </c>
      <c r="C1516" s="2" t="s">
        <v>5358</v>
      </c>
      <c r="D1516" s="3">
        <v>298080</v>
      </c>
      <c r="E1516" s="3">
        <v>298080</v>
      </c>
      <c r="F1516" s="2" t="s">
        <v>16</v>
      </c>
      <c r="G1516">
        <v>4.4999999999999998E-2</v>
      </c>
      <c r="H1516" s="9">
        <f t="shared" si="23"/>
        <v>0</v>
      </c>
      <c r="I1516" t="s">
        <v>5357</v>
      </c>
      <c r="J1516" t="s">
        <v>5358</v>
      </c>
    </row>
    <row r="1517" spans="1:10" x14ac:dyDescent="0.3">
      <c r="A1517" s="2" t="s">
        <v>12599</v>
      </c>
      <c r="B1517" s="2" t="s">
        <v>740</v>
      </c>
      <c r="C1517" s="2" t="s">
        <v>741</v>
      </c>
      <c r="D1517" s="3">
        <v>10620</v>
      </c>
      <c r="E1517" s="3">
        <v>10620</v>
      </c>
      <c r="F1517" s="2" t="s">
        <v>16</v>
      </c>
      <c r="G1517">
        <v>3.0499999999999999E-2</v>
      </c>
      <c r="H1517" s="9">
        <f t="shared" si="23"/>
        <v>0</v>
      </c>
      <c r="I1517" t="s">
        <v>740</v>
      </c>
      <c r="J1517" t="s">
        <v>741</v>
      </c>
    </row>
    <row r="1518" spans="1:10" x14ac:dyDescent="0.3">
      <c r="A1518" s="2" t="s">
        <v>12604</v>
      </c>
      <c r="B1518" s="2" t="s">
        <v>740</v>
      </c>
      <c r="C1518" s="2" t="s">
        <v>741</v>
      </c>
      <c r="D1518" s="3">
        <v>10620</v>
      </c>
      <c r="E1518" s="3">
        <v>10620</v>
      </c>
      <c r="F1518" s="2" t="s">
        <v>16</v>
      </c>
      <c r="G1518">
        <v>3.0499999999999999E-2</v>
      </c>
      <c r="H1518" s="9">
        <f t="shared" si="23"/>
        <v>0</v>
      </c>
      <c r="I1518" t="s">
        <v>740</v>
      </c>
      <c r="J1518" t="s">
        <v>741</v>
      </c>
    </row>
    <row r="1519" spans="1:10" x14ac:dyDescent="0.3">
      <c r="A1519" s="2" t="s">
        <v>12609</v>
      </c>
      <c r="B1519" s="2" t="s">
        <v>517</v>
      </c>
      <c r="C1519" s="2" t="s">
        <v>518</v>
      </c>
      <c r="D1519" s="3">
        <v>30240</v>
      </c>
      <c r="E1519" s="3">
        <v>30240</v>
      </c>
      <c r="F1519" s="2" t="s">
        <v>16</v>
      </c>
      <c r="G1519">
        <v>2.6600000000000002E-2</v>
      </c>
      <c r="H1519" s="9">
        <f t="shared" si="23"/>
        <v>0</v>
      </c>
      <c r="I1519" t="s">
        <v>517</v>
      </c>
      <c r="J1519" t="s">
        <v>518</v>
      </c>
    </row>
    <row r="1520" spans="1:10" x14ac:dyDescent="0.3">
      <c r="A1520" s="2" t="s">
        <v>12618</v>
      </c>
      <c r="B1520" s="2" t="s">
        <v>2008</v>
      </c>
      <c r="C1520" s="2" t="s">
        <v>2009</v>
      </c>
      <c r="D1520" s="3">
        <v>30240</v>
      </c>
      <c r="E1520" s="3">
        <v>30240</v>
      </c>
      <c r="F1520" s="2" t="s">
        <v>16</v>
      </c>
      <c r="G1520">
        <v>2.6600000000000002E-2</v>
      </c>
      <c r="H1520" s="9">
        <f t="shared" si="23"/>
        <v>0</v>
      </c>
      <c r="I1520" t="s">
        <v>517</v>
      </c>
      <c r="J1520" t="s">
        <v>518</v>
      </c>
    </row>
    <row r="1521" spans="1:10" x14ac:dyDescent="0.3">
      <c r="A1521" s="2" t="s">
        <v>12627</v>
      </c>
      <c r="B1521" s="2" t="s">
        <v>5357</v>
      </c>
      <c r="C1521" s="2" t="s">
        <v>5358</v>
      </c>
      <c r="D1521" s="3">
        <v>337824</v>
      </c>
      <c r="E1521" s="3">
        <v>337824</v>
      </c>
      <c r="F1521" s="2" t="s">
        <v>16</v>
      </c>
      <c r="G1521">
        <v>4.4999999999999998E-2</v>
      </c>
      <c r="H1521" s="9">
        <f t="shared" si="23"/>
        <v>0</v>
      </c>
      <c r="I1521" t="s">
        <v>5357</v>
      </c>
      <c r="J1521" t="s">
        <v>5358</v>
      </c>
    </row>
    <row r="1522" spans="1:10" x14ac:dyDescent="0.3">
      <c r="A1522" s="2" t="s">
        <v>12636</v>
      </c>
      <c r="B1522" s="2" t="s">
        <v>5477</v>
      </c>
      <c r="C1522" s="2" t="s">
        <v>5478</v>
      </c>
      <c r="D1522" s="3">
        <v>317952</v>
      </c>
      <c r="E1522" s="3">
        <v>317952</v>
      </c>
      <c r="F1522" s="2" t="s">
        <v>16</v>
      </c>
      <c r="G1522">
        <v>4.4999999999999998E-2</v>
      </c>
      <c r="H1522" s="9">
        <f t="shared" si="23"/>
        <v>0</v>
      </c>
      <c r="I1522" t="s">
        <v>5357</v>
      </c>
      <c r="J1522" t="s">
        <v>5358</v>
      </c>
    </row>
    <row r="1523" spans="1:10" x14ac:dyDescent="0.3">
      <c r="A1523" s="2" t="s">
        <v>12649</v>
      </c>
      <c r="B1523" s="2" t="s">
        <v>97</v>
      </c>
      <c r="C1523" s="2" t="s">
        <v>98</v>
      </c>
      <c r="D1523" s="3">
        <v>211200</v>
      </c>
      <c r="E1523" s="3">
        <v>211200</v>
      </c>
      <c r="F1523" s="2" t="s">
        <v>16</v>
      </c>
      <c r="G1523">
        <v>5.1999999999999998E-2</v>
      </c>
      <c r="H1523" s="9">
        <f t="shared" si="23"/>
        <v>0</v>
      </c>
      <c r="I1523" t="s">
        <v>97</v>
      </c>
      <c r="J1523" t="s">
        <v>98</v>
      </c>
    </row>
    <row r="1524" spans="1:10" x14ac:dyDescent="0.3">
      <c r="A1524" s="2" t="s">
        <v>12658</v>
      </c>
      <c r="B1524" s="2" t="s">
        <v>1170</v>
      </c>
      <c r="C1524" s="2" t="s">
        <v>1171</v>
      </c>
      <c r="D1524" s="3">
        <v>0</v>
      </c>
      <c r="E1524" s="3">
        <v>0</v>
      </c>
      <c r="F1524" s="2" t="s">
        <v>16</v>
      </c>
      <c r="G1524">
        <v>5.1999999999999998E-2</v>
      </c>
      <c r="H1524" s="9">
        <f t="shared" si="23"/>
        <v>0</v>
      </c>
      <c r="I1524" t="s">
        <v>1170</v>
      </c>
      <c r="J1524" t="s">
        <v>1171</v>
      </c>
    </row>
    <row r="1525" spans="1:10" x14ac:dyDescent="0.3">
      <c r="A1525" s="2" t="s">
        <v>12658</v>
      </c>
      <c r="B1525" s="2" t="s">
        <v>65</v>
      </c>
      <c r="C1525" s="2" t="s">
        <v>66</v>
      </c>
      <c r="D1525" s="5">
        <v>-249</v>
      </c>
      <c r="E1525" s="5">
        <v>-249</v>
      </c>
      <c r="F1525" s="2" t="s">
        <v>23</v>
      </c>
      <c r="G1525">
        <v>5.1999999999999998E-2</v>
      </c>
      <c r="H1525" s="9">
        <f t="shared" si="23"/>
        <v>-4788.461538461539</v>
      </c>
      <c r="I1525" t="s">
        <v>1170</v>
      </c>
      <c r="J1525" t="s">
        <v>1171</v>
      </c>
    </row>
    <row r="1526" spans="1:10" x14ac:dyDescent="0.3">
      <c r="A1526" s="2" t="s">
        <v>12658</v>
      </c>
      <c r="B1526" s="2" t="s">
        <v>1170</v>
      </c>
      <c r="C1526" s="2" t="s">
        <v>1171</v>
      </c>
      <c r="D1526" s="3">
        <v>19200</v>
      </c>
      <c r="E1526" s="3">
        <v>19200</v>
      </c>
      <c r="F1526" s="2" t="s">
        <v>16</v>
      </c>
      <c r="G1526">
        <v>5.1999999999999998E-2</v>
      </c>
      <c r="H1526" s="9">
        <f t="shared" si="23"/>
        <v>0</v>
      </c>
      <c r="I1526" t="s">
        <v>1170</v>
      </c>
      <c r="J1526" t="s">
        <v>1171</v>
      </c>
    </row>
    <row r="1527" spans="1:10" x14ac:dyDescent="0.3">
      <c r="A1527" s="2" t="s">
        <v>12669</v>
      </c>
      <c r="B1527" s="2" t="s">
        <v>103</v>
      </c>
      <c r="C1527" s="2" t="s">
        <v>104</v>
      </c>
      <c r="D1527" s="3">
        <v>10620</v>
      </c>
      <c r="E1527" s="3">
        <v>10620</v>
      </c>
      <c r="F1527" s="2" t="s">
        <v>16</v>
      </c>
      <c r="G1527">
        <v>3.0499999999999999E-2</v>
      </c>
      <c r="H1527" s="9">
        <f t="shared" si="23"/>
        <v>0</v>
      </c>
      <c r="I1527" t="s">
        <v>103</v>
      </c>
      <c r="J1527" t="s">
        <v>104</v>
      </c>
    </row>
    <row r="1528" spans="1:10" x14ac:dyDescent="0.3">
      <c r="A1528" s="2" t="s">
        <v>12674</v>
      </c>
      <c r="B1528" s="2" t="s">
        <v>103</v>
      </c>
      <c r="C1528" s="2" t="s">
        <v>104</v>
      </c>
      <c r="D1528" s="3">
        <v>10620</v>
      </c>
      <c r="E1528" s="3">
        <v>10620</v>
      </c>
      <c r="F1528" s="2" t="s">
        <v>16</v>
      </c>
      <c r="G1528">
        <v>3.0499999999999999E-2</v>
      </c>
      <c r="H1528" s="9">
        <f t="shared" si="23"/>
        <v>0</v>
      </c>
      <c r="I1528" t="s">
        <v>103</v>
      </c>
      <c r="J1528" t="s">
        <v>104</v>
      </c>
    </row>
    <row r="1529" spans="1:10" x14ac:dyDescent="0.3">
      <c r="A1529" s="2" t="s">
        <v>12679</v>
      </c>
      <c r="B1529" s="2" t="s">
        <v>5357</v>
      </c>
      <c r="C1529" s="2" t="s">
        <v>5358</v>
      </c>
      <c r="D1529" s="3">
        <v>390816</v>
      </c>
      <c r="E1529" s="3">
        <v>390816</v>
      </c>
      <c r="F1529" s="2" t="s">
        <v>16</v>
      </c>
      <c r="G1529">
        <v>4.4999999999999998E-2</v>
      </c>
      <c r="H1529" s="9">
        <f t="shared" si="23"/>
        <v>0</v>
      </c>
      <c r="I1529" t="s">
        <v>5357</v>
      </c>
      <c r="J1529" t="s">
        <v>5358</v>
      </c>
    </row>
    <row r="1530" spans="1:10" x14ac:dyDescent="0.3">
      <c r="A1530" s="2" t="s">
        <v>12688</v>
      </c>
      <c r="B1530" s="2" t="s">
        <v>97</v>
      </c>
      <c r="C1530" s="2" t="s">
        <v>98</v>
      </c>
      <c r="D1530" s="3">
        <v>187200</v>
      </c>
      <c r="E1530" s="3">
        <v>187200</v>
      </c>
      <c r="F1530" s="2" t="s">
        <v>16</v>
      </c>
      <c r="G1530">
        <v>5.1999999999999998E-2</v>
      </c>
      <c r="H1530" s="9">
        <f t="shared" si="23"/>
        <v>0</v>
      </c>
      <c r="I1530" t="s">
        <v>97</v>
      </c>
      <c r="J1530" t="s">
        <v>98</v>
      </c>
    </row>
    <row r="1531" spans="1:10" x14ac:dyDescent="0.3">
      <c r="A1531" s="2" t="s">
        <v>12697</v>
      </c>
      <c r="B1531" s="2" t="s">
        <v>97</v>
      </c>
      <c r="C1531" s="2" t="s">
        <v>98</v>
      </c>
      <c r="D1531" s="3">
        <v>38400</v>
      </c>
      <c r="E1531" s="3">
        <v>38400</v>
      </c>
      <c r="F1531" s="2" t="s">
        <v>16</v>
      </c>
      <c r="G1531">
        <v>5.1999999999999998E-2</v>
      </c>
      <c r="H1531" s="9">
        <f t="shared" si="23"/>
        <v>0</v>
      </c>
      <c r="I1531" t="s">
        <v>1170</v>
      </c>
      <c r="J1531" t="s">
        <v>1171</v>
      </c>
    </row>
    <row r="1532" spans="1:10" x14ac:dyDescent="0.3">
      <c r="A1532" s="2" t="s">
        <v>12706</v>
      </c>
      <c r="B1532" s="2" t="s">
        <v>5357</v>
      </c>
      <c r="C1532" s="2" t="s">
        <v>5358</v>
      </c>
      <c r="D1532" s="3">
        <v>2000</v>
      </c>
      <c r="E1532" s="3">
        <v>2000</v>
      </c>
      <c r="F1532" s="2" t="s">
        <v>16</v>
      </c>
      <c r="G1532">
        <v>4.4999999999999998E-2</v>
      </c>
      <c r="H1532" s="9">
        <f t="shared" si="23"/>
        <v>0</v>
      </c>
      <c r="I1532" t="s">
        <v>5357</v>
      </c>
      <c r="J1532" t="s">
        <v>5358</v>
      </c>
    </row>
    <row r="1533" spans="1:10" x14ac:dyDescent="0.3">
      <c r="A1533" s="2" t="s">
        <v>12719</v>
      </c>
      <c r="B1533" s="2" t="s">
        <v>2840</v>
      </c>
      <c r="C1533" s="2" t="s">
        <v>2841</v>
      </c>
      <c r="D1533" s="3">
        <v>30240</v>
      </c>
      <c r="E1533" s="3">
        <v>30240</v>
      </c>
      <c r="F1533" s="2" t="s">
        <v>16</v>
      </c>
      <c r="G1533">
        <v>2.6600000000000002E-2</v>
      </c>
      <c r="H1533" s="9">
        <f t="shared" si="23"/>
        <v>0</v>
      </c>
      <c r="I1533" t="s">
        <v>2840</v>
      </c>
      <c r="J1533" t="s">
        <v>2841</v>
      </c>
    </row>
    <row r="1534" spans="1:10" x14ac:dyDescent="0.3">
      <c r="A1534" s="2" t="s">
        <v>12724</v>
      </c>
      <c r="B1534" s="2" t="s">
        <v>5477</v>
      </c>
      <c r="C1534" s="2" t="s">
        <v>5478</v>
      </c>
      <c r="D1534" s="3">
        <v>6624</v>
      </c>
      <c r="E1534" s="3">
        <v>6624</v>
      </c>
      <c r="F1534" s="2" t="s">
        <v>16</v>
      </c>
      <c r="G1534">
        <v>0</v>
      </c>
      <c r="H1534" s="9">
        <f t="shared" si="23"/>
        <v>0</v>
      </c>
      <c r="I1534" t="s">
        <v>21</v>
      </c>
      <c r="J1534" t="s">
        <v>22</v>
      </c>
    </row>
    <row r="1535" spans="1:10" x14ac:dyDescent="0.3">
      <c r="A1535" s="2" t="s">
        <v>12728</v>
      </c>
      <c r="B1535" s="2" t="s">
        <v>91</v>
      </c>
      <c r="C1535" s="2" t="s">
        <v>92</v>
      </c>
      <c r="D1535" s="3">
        <v>1255500</v>
      </c>
      <c r="E1535" s="3">
        <v>1255500</v>
      </c>
      <c r="F1535" s="2" t="s">
        <v>16</v>
      </c>
      <c r="G1535">
        <v>8.3000000000000001E-3</v>
      </c>
      <c r="H1535" s="9">
        <f t="shared" si="23"/>
        <v>0</v>
      </c>
      <c r="I1535" t="s">
        <v>91</v>
      </c>
      <c r="J1535" t="s">
        <v>92</v>
      </c>
    </row>
    <row r="1536" spans="1:10" x14ac:dyDescent="0.3">
      <c r="A1536" s="2" t="s">
        <v>12728</v>
      </c>
      <c r="B1536" s="2" t="s">
        <v>86</v>
      </c>
      <c r="C1536" s="2" t="s">
        <v>87</v>
      </c>
      <c r="D1536" s="5">
        <v>-336</v>
      </c>
      <c r="E1536" s="5">
        <v>-336</v>
      </c>
      <c r="F1536" s="2" t="s">
        <v>23</v>
      </c>
      <c r="G1536">
        <v>8.3000000000000001E-3</v>
      </c>
      <c r="H1536" s="9">
        <f t="shared" si="23"/>
        <v>-40481.927710843374</v>
      </c>
      <c r="I1536" t="s">
        <v>91</v>
      </c>
      <c r="J1536" t="s">
        <v>92</v>
      </c>
    </row>
    <row r="1537" spans="1:10" x14ac:dyDescent="0.3">
      <c r="A1537" s="2" t="s">
        <v>12767</v>
      </c>
      <c r="B1537" s="2" t="s">
        <v>5357</v>
      </c>
      <c r="C1537" s="2" t="s">
        <v>5358</v>
      </c>
      <c r="D1537" s="3">
        <v>56202</v>
      </c>
      <c r="E1537" s="3">
        <v>56202</v>
      </c>
      <c r="F1537" s="2" t="s">
        <v>16</v>
      </c>
      <c r="G1537">
        <v>4.4999999999999998E-2</v>
      </c>
      <c r="H1537" s="9">
        <f t="shared" si="23"/>
        <v>0</v>
      </c>
      <c r="I1537" t="s">
        <v>5357</v>
      </c>
      <c r="J1537" t="s">
        <v>5358</v>
      </c>
    </row>
    <row r="1538" spans="1:10" x14ac:dyDescent="0.3">
      <c r="A1538" s="2" t="s">
        <v>12767</v>
      </c>
      <c r="B1538" s="2" t="s">
        <v>21</v>
      </c>
      <c r="C1538" s="2" t="s">
        <v>22</v>
      </c>
      <c r="D1538" s="5">
        <v>-144</v>
      </c>
      <c r="E1538" s="5">
        <v>-144</v>
      </c>
      <c r="F1538" s="2" t="s">
        <v>23</v>
      </c>
      <c r="G1538">
        <v>4.4999999999999998E-2</v>
      </c>
      <c r="H1538" s="9">
        <f t="shared" si="23"/>
        <v>-3200</v>
      </c>
      <c r="I1538" t="s">
        <v>5357</v>
      </c>
      <c r="J1538" t="s">
        <v>5358</v>
      </c>
    </row>
    <row r="1539" spans="1:10" x14ac:dyDescent="0.3">
      <c r="A1539" s="2" t="s">
        <v>12788</v>
      </c>
      <c r="B1539" s="2" t="s">
        <v>5477</v>
      </c>
      <c r="C1539" s="2" t="s">
        <v>5478</v>
      </c>
      <c r="D1539" s="3">
        <v>26496</v>
      </c>
      <c r="E1539" s="3">
        <v>26496</v>
      </c>
      <c r="F1539" s="2" t="s">
        <v>16</v>
      </c>
      <c r="G1539">
        <v>4.4999999999999998E-2</v>
      </c>
      <c r="H1539" s="9">
        <f t="shared" ref="H1539:H1602" si="24">IFERROR(IF(LEFT(B1539,1)="F",E1539/G1539,0),0)</f>
        <v>0</v>
      </c>
      <c r="I1539" t="s">
        <v>5357</v>
      </c>
      <c r="J1539" t="s">
        <v>5358</v>
      </c>
    </row>
    <row r="1540" spans="1:10" x14ac:dyDescent="0.3">
      <c r="A1540" s="2" t="s">
        <v>12805</v>
      </c>
      <c r="B1540" s="2" t="s">
        <v>103</v>
      </c>
      <c r="C1540" s="2" t="s">
        <v>104</v>
      </c>
      <c r="D1540" s="3">
        <v>31860</v>
      </c>
      <c r="E1540" s="3">
        <v>31860</v>
      </c>
      <c r="F1540" s="2" t="s">
        <v>16</v>
      </c>
      <c r="G1540">
        <v>3.0499999999999999E-2</v>
      </c>
      <c r="H1540" s="9">
        <f t="shared" si="24"/>
        <v>0</v>
      </c>
      <c r="I1540" t="s">
        <v>740</v>
      </c>
      <c r="J1540" t="s">
        <v>741</v>
      </c>
    </row>
    <row r="1541" spans="1:10" x14ac:dyDescent="0.3">
      <c r="A1541" s="2" t="s">
        <v>12822</v>
      </c>
      <c r="B1541" s="2" t="s">
        <v>740</v>
      </c>
      <c r="C1541" s="2" t="s">
        <v>741</v>
      </c>
      <c r="D1541" s="3">
        <v>21240</v>
      </c>
      <c r="E1541" s="3">
        <v>21240</v>
      </c>
      <c r="F1541" s="2" t="s">
        <v>16</v>
      </c>
      <c r="G1541">
        <v>3.0499999999999999E-2</v>
      </c>
      <c r="H1541" s="9">
        <f t="shared" si="24"/>
        <v>0</v>
      </c>
      <c r="I1541" t="s">
        <v>740</v>
      </c>
      <c r="J1541" t="s">
        <v>741</v>
      </c>
    </row>
    <row r="1542" spans="1:10" x14ac:dyDescent="0.3">
      <c r="A1542" s="2" t="s">
        <v>12827</v>
      </c>
      <c r="B1542" s="2" t="s">
        <v>2100</v>
      </c>
      <c r="C1542" s="2" t="s">
        <v>2101</v>
      </c>
      <c r="D1542" s="3">
        <v>53100</v>
      </c>
      <c r="E1542" s="3">
        <v>53100</v>
      </c>
      <c r="F1542" s="2" t="s">
        <v>16</v>
      </c>
      <c r="G1542">
        <v>3.0499999999999999E-2</v>
      </c>
      <c r="H1542" s="9">
        <f t="shared" si="24"/>
        <v>0</v>
      </c>
      <c r="I1542" t="s">
        <v>740</v>
      </c>
      <c r="J1542" t="s">
        <v>741</v>
      </c>
    </row>
    <row r="1543" spans="1:10" x14ac:dyDescent="0.3">
      <c r="A1543" s="2" t="s">
        <v>12827</v>
      </c>
      <c r="B1543" s="2" t="s">
        <v>65</v>
      </c>
      <c r="C1543" s="2" t="s">
        <v>66</v>
      </c>
      <c r="D1543" s="5">
        <v>-323</v>
      </c>
      <c r="E1543" s="5">
        <v>-323</v>
      </c>
      <c r="F1543" s="2" t="s">
        <v>23</v>
      </c>
      <c r="G1543">
        <v>3.0499999999999999E-2</v>
      </c>
      <c r="H1543" s="9">
        <f t="shared" si="24"/>
        <v>-10590.163934426229</v>
      </c>
      <c r="I1543" t="s">
        <v>740</v>
      </c>
      <c r="J1543" t="s">
        <v>741</v>
      </c>
    </row>
    <row r="1544" spans="1:10" x14ac:dyDescent="0.3">
      <c r="A1544" s="2" t="s">
        <v>12848</v>
      </c>
      <c r="B1544" s="2" t="s">
        <v>517</v>
      </c>
      <c r="C1544" s="2" t="s">
        <v>518</v>
      </c>
      <c r="D1544" s="3">
        <v>493920</v>
      </c>
      <c r="E1544" s="3">
        <v>493920</v>
      </c>
      <c r="F1544" s="2" t="s">
        <v>16</v>
      </c>
      <c r="G1544">
        <v>2.6600000000000002E-2</v>
      </c>
      <c r="H1544" s="9">
        <f t="shared" si="24"/>
        <v>0</v>
      </c>
      <c r="I1544" t="s">
        <v>517</v>
      </c>
      <c r="J1544" t="s">
        <v>518</v>
      </c>
    </row>
    <row r="1545" spans="1:10" x14ac:dyDescent="0.3">
      <c r="A1545" s="2" t="s">
        <v>12853</v>
      </c>
      <c r="B1545" s="2" t="s">
        <v>91</v>
      </c>
      <c r="C1545" s="2" t="s">
        <v>92</v>
      </c>
      <c r="D1545" s="3">
        <v>102900</v>
      </c>
      <c r="E1545" s="3">
        <v>102900</v>
      </c>
      <c r="F1545" s="2" t="s">
        <v>16</v>
      </c>
      <c r="G1545">
        <v>8.3000000000000001E-3</v>
      </c>
      <c r="H1545" s="9">
        <f t="shared" si="24"/>
        <v>0</v>
      </c>
      <c r="I1545" t="s">
        <v>91</v>
      </c>
      <c r="J1545" t="s">
        <v>92</v>
      </c>
    </row>
    <row r="1546" spans="1:10" x14ac:dyDescent="0.3">
      <c r="A1546" s="2" t="s">
        <v>12853</v>
      </c>
      <c r="B1546" s="2" t="s">
        <v>86</v>
      </c>
      <c r="C1546" s="2" t="s">
        <v>87</v>
      </c>
      <c r="D1546" s="5">
        <v>-181</v>
      </c>
      <c r="E1546" s="5">
        <v>-181</v>
      </c>
      <c r="F1546" s="2" t="s">
        <v>23</v>
      </c>
      <c r="G1546">
        <v>8.3000000000000001E-3</v>
      </c>
      <c r="H1546" s="9">
        <f t="shared" si="24"/>
        <v>-21807.22891566265</v>
      </c>
      <c r="I1546" t="s">
        <v>91</v>
      </c>
      <c r="J1546" t="s">
        <v>92</v>
      </c>
    </row>
    <row r="1547" spans="1:10" x14ac:dyDescent="0.3">
      <c r="A1547" s="2" t="s">
        <v>12862</v>
      </c>
      <c r="B1547" s="2" t="s">
        <v>2840</v>
      </c>
      <c r="C1547" s="2" t="s">
        <v>2841</v>
      </c>
      <c r="D1547" s="3">
        <v>10080</v>
      </c>
      <c r="E1547" s="3">
        <v>10080</v>
      </c>
      <c r="F1547" s="2" t="s">
        <v>16</v>
      </c>
      <c r="G1547">
        <v>2.6600000000000002E-2</v>
      </c>
      <c r="H1547" s="9">
        <f t="shared" si="24"/>
        <v>0</v>
      </c>
      <c r="I1547" t="s">
        <v>2840</v>
      </c>
      <c r="J1547" t="s">
        <v>2841</v>
      </c>
    </row>
    <row r="1548" spans="1:10" x14ac:dyDescent="0.3">
      <c r="A1548" s="2" t="s">
        <v>12867</v>
      </c>
      <c r="B1548" s="2" t="s">
        <v>11210</v>
      </c>
      <c r="C1548" s="2" t="s">
        <v>11211</v>
      </c>
      <c r="D1548" s="3">
        <v>30240</v>
      </c>
      <c r="E1548" s="3">
        <v>30240</v>
      </c>
      <c r="F1548" s="2" t="s">
        <v>16</v>
      </c>
      <c r="G1548">
        <v>2.6600000000000002E-2</v>
      </c>
      <c r="H1548" s="9">
        <f t="shared" si="24"/>
        <v>0</v>
      </c>
      <c r="I1548" t="s">
        <v>11210</v>
      </c>
      <c r="J1548" t="s">
        <v>11211</v>
      </c>
    </row>
    <row r="1549" spans="1:10" x14ac:dyDescent="0.3">
      <c r="A1549" s="2" t="s">
        <v>12876</v>
      </c>
      <c r="B1549" s="2" t="s">
        <v>517</v>
      </c>
      <c r="C1549" s="2" t="s">
        <v>518</v>
      </c>
      <c r="D1549" s="3">
        <v>493920</v>
      </c>
      <c r="E1549" s="3">
        <v>493920</v>
      </c>
      <c r="F1549" s="2" t="s">
        <v>16</v>
      </c>
      <c r="G1549">
        <v>2.6600000000000002E-2</v>
      </c>
      <c r="H1549" s="9">
        <f t="shared" si="24"/>
        <v>0</v>
      </c>
      <c r="I1549" t="s">
        <v>517</v>
      </c>
      <c r="J1549" t="s">
        <v>518</v>
      </c>
    </row>
    <row r="1550" spans="1:10" x14ac:dyDescent="0.3">
      <c r="A1550" s="2" t="s">
        <v>12881</v>
      </c>
      <c r="B1550" s="2" t="s">
        <v>1667</v>
      </c>
      <c r="C1550" s="2" t="s">
        <v>1668</v>
      </c>
      <c r="D1550" s="3">
        <v>41760</v>
      </c>
      <c r="E1550" s="3">
        <v>41760</v>
      </c>
      <c r="F1550" s="2" t="s">
        <v>16</v>
      </c>
      <c r="G1550">
        <v>1.15E-2</v>
      </c>
      <c r="H1550" s="9">
        <f t="shared" si="24"/>
        <v>0</v>
      </c>
      <c r="I1550" t="s">
        <v>1667</v>
      </c>
      <c r="J1550" t="s">
        <v>1668</v>
      </c>
    </row>
    <row r="1551" spans="1:10" x14ac:dyDescent="0.3">
      <c r="A1551" s="2" t="s">
        <v>12898</v>
      </c>
      <c r="B1551" s="2" t="s">
        <v>11241</v>
      </c>
      <c r="C1551" s="2" t="s">
        <v>11242</v>
      </c>
      <c r="D1551" s="3">
        <v>355320</v>
      </c>
      <c r="E1551" s="3">
        <v>355320</v>
      </c>
      <c r="F1551" s="2" t="s">
        <v>16</v>
      </c>
      <c r="G1551">
        <v>9.4000000000000004E-3</v>
      </c>
      <c r="H1551" s="9">
        <f t="shared" si="24"/>
        <v>0</v>
      </c>
      <c r="I1551" t="s">
        <v>3028</v>
      </c>
      <c r="J1551" t="s">
        <v>3029</v>
      </c>
    </row>
    <row r="1552" spans="1:10" x14ac:dyDescent="0.3">
      <c r="A1552" s="2" t="s">
        <v>12898</v>
      </c>
      <c r="B1552" s="2" t="s">
        <v>86</v>
      </c>
      <c r="C1552" s="2" t="s">
        <v>87</v>
      </c>
      <c r="D1552" s="5">
        <v>-238</v>
      </c>
      <c r="E1552" s="5">
        <v>-238</v>
      </c>
      <c r="F1552" s="2" t="s">
        <v>23</v>
      </c>
      <c r="G1552">
        <v>9.4000000000000004E-3</v>
      </c>
      <c r="H1552" s="9">
        <f t="shared" si="24"/>
        <v>-25319.148936170212</v>
      </c>
      <c r="I1552" t="s">
        <v>3028</v>
      </c>
      <c r="J1552" t="s">
        <v>3029</v>
      </c>
    </row>
    <row r="1553" spans="1:10" x14ac:dyDescent="0.3">
      <c r="A1553" s="2" t="s">
        <v>12919</v>
      </c>
      <c r="B1553" s="2" t="s">
        <v>11210</v>
      </c>
      <c r="C1553" s="2" t="s">
        <v>11211</v>
      </c>
      <c r="D1553" s="3">
        <v>30240</v>
      </c>
      <c r="E1553" s="3">
        <v>30240</v>
      </c>
      <c r="F1553" s="2" t="s">
        <v>16</v>
      </c>
      <c r="G1553">
        <v>2.6600000000000002E-2</v>
      </c>
      <c r="H1553" s="9">
        <f t="shared" si="24"/>
        <v>0</v>
      </c>
      <c r="I1553" t="s">
        <v>11210</v>
      </c>
      <c r="J1553" t="s">
        <v>11211</v>
      </c>
    </row>
    <row r="1554" spans="1:10" x14ac:dyDescent="0.3">
      <c r="A1554" s="2" t="s">
        <v>12936</v>
      </c>
      <c r="B1554" s="2" t="s">
        <v>1512</v>
      </c>
      <c r="C1554" s="2" t="s">
        <v>1513</v>
      </c>
      <c r="D1554" s="3">
        <v>31860</v>
      </c>
      <c r="E1554" s="3">
        <v>31860</v>
      </c>
      <c r="F1554" s="2" t="s">
        <v>16</v>
      </c>
      <c r="G1554">
        <v>3.0499999999999999E-2</v>
      </c>
      <c r="H1554" s="9">
        <f t="shared" si="24"/>
        <v>0</v>
      </c>
      <c r="I1554" t="s">
        <v>1027</v>
      </c>
      <c r="J1554" t="s">
        <v>1028</v>
      </c>
    </row>
    <row r="1555" spans="1:10" x14ac:dyDescent="0.3">
      <c r="A1555" s="2" t="s">
        <v>12953</v>
      </c>
      <c r="B1555" s="2" t="s">
        <v>10227</v>
      </c>
      <c r="C1555" s="2" t="s">
        <v>10228</v>
      </c>
      <c r="D1555" s="3">
        <v>42480</v>
      </c>
      <c r="E1555" s="3">
        <v>42480</v>
      </c>
      <c r="F1555" s="2" t="s">
        <v>16</v>
      </c>
      <c r="G1555">
        <v>3.0499999999999999E-2</v>
      </c>
      <c r="H1555" s="9">
        <f t="shared" si="24"/>
        <v>0</v>
      </c>
      <c r="I1555" t="s">
        <v>1027</v>
      </c>
      <c r="J1555" t="s">
        <v>1028</v>
      </c>
    </row>
    <row r="1556" spans="1:10" x14ac:dyDescent="0.3">
      <c r="A1556" s="2" t="s">
        <v>12970</v>
      </c>
      <c r="B1556" s="2" t="s">
        <v>1027</v>
      </c>
      <c r="C1556" s="2" t="s">
        <v>1028</v>
      </c>
      <c r="D1556" s="3">
        <v>116820</v>
      </c>
      <c r="E1556" s="3">
        <v>116820</v>
      </c>
      <c r="F1556" s="2" t="s">
        <v>16</v>
      </c>
      <c r="G1556">
        <v>3.0499999999999999E-2</v>
      </c>
      <c r="H1556" s="9">
        <f t="shared" si="24"/>
        <v>0</v>
      </c>
      <c r="I1556" t="s">
        <v>1027</v>
      </c>
      <c r="J1556" t="s">
        <v>1028</v>
      </c>
    </row>
    <row r="1557" spans="1:10" x14ac:dyDescent="0.3">
      <c r="A1557" s="2" t="s">
        <v>12987</v>
      </c>
      <c r="B1557" s="2" t="s">
        <v>2086</v>
      </c>
      <c r="C1557" s="2" t="s">
        <v>2087</v>
      </c>
      <c r="D1557" s="3">
        <v>54912</v>
      </c>
      <c r="E1557" s="3">
        <v>54912</v>
      </c>
      <c r="F1557" s="2" t="s">
        <v>16</v>
      </c>
      <c r="G1557">
        <v>3.5999999999999997E-2</v>
      </c>
      <c r="H1557" s="9">
        <f t="shared" si="24"/>
        <v>0</v>
      </c>
      <c r="I1557" t="s">
        <v>2086</v>
      </c>
      <c r="J1557" t="s">
        <v>2087</v>
      </c>
    </row>
    <row r="1558" spans="1:10" x14ac:dyDescent="0.3">
      <c r="A1558" s="2" t="s">
        <v>13004</v>
      </c>
      <c r="B1558" s="2" t="s">
        <v>86</v>
      </c>
      <c r="C1558" s="2" t="s">
        <v>87</v>
      </c>
      <c r="D1558" s="5">
        <v>-238</v>
      </c>
      <c r="E1558" s="5">
        <v>-238</v>
      </c>
      <c r="F1558" s="2" t="s">
        <v>23</v>
      </c>
      <c r="G1558">
        <v>9.4000000000000004E-3</v>
      </c>
      <c r="H1558" s="9">
        <f t="shared" si="24"/>
        <v>-25319.148936170212</v>
      </c>
      <c r="I1558" t="s">
        <v>3028</v>
      </c>
      <c r="J1558" t="s">
        <v>3029</v>
      </c>
    </row>
    <row r="1559" spans="1:10" x14ac:dyDescent="0.3">
      <c r="A1559" s="2" t="s">
        <v>13004</v>
      </c>
      <c r="B1559" s="2" t="s">
        <v>11241</v>
      </c>
      <c r="C1559" s="2" t="s">
        <v>11242</v>
      </c>
      <c r="D1559" s="3">
        <v>253800</v>
      </c>
      <c r="E1559" s="3">
        <v>253800</v>
      </c>
      <c r="F1559" s="2" t="s">
        <v>16</v>
      </c>
      <c r="G1559">
        <v>9.4000000000000004E-3</v>
      </c>
      <c r="H1559" s="9">
        <f t="shared" si="24"/>
        <v>0</v>
      </c>
      <c r="I1559" t="s">
        <v>3028</v>
      </c>
      <c r="J1559" t="s">
        <v>3029</v>
      </c>
    </row>
    <row r="1560" spans="1:10" x14ac:dyDescent="0.3">
      <c r="A1560" s="2" t="s">
        <v>13021</v>
      </c>
      <c r="B1560" s="2" t="s">
        <v>65</v>
      </c>
      <c r="C1560" s="2" t="s">
        <v>66</v>
      </c>
      <c r="D1560" s="5">
        <v>-304</v>
      </c>
      <c r="E1560" s="5">
        <v>-304</v>
      </c>
      <c r="F1560" s="2" t="s">
        <v>23</v>
      </c>
      <c r="G1560">
        <v>3.5999999999999997E-2</v>
      </c>
      <c r="H1560" s="9">
        <f t="shared" si="24"/>
        <v>-8444.4444444444453</v>
      </c>
      <c r="I1560" t="s">
        <v>2086</v>
      </c>
      <c r="J1560" t="s">
        <v>2087</v>
      </c>
    </row>
    <row r="1561" spans="1:10" x14ac:dyDescent="0.3">
      <c r="A1561" s="2" t="s">
        <v>13021</v>
      </c>
      <c r="B1561" s="2" t="s">
        <v>2086</v>
      </c>
      <c r="C1561" s="2" t="s">
        <v>2087</v>
      </c>
      <c r="D1561" s="3">
        <v>25344</v>
      </c>
      <c r="E1561" s="3">
        <v>25344</v>
      </c>
      <c r="F1561" s="2" t="s">
        <v>16</v>
      </c>
      <c r="G1561">
        <v>3.5999999999999997E-2</v>
      </c>
      <c r="H1561" s="9">
        <f t="shared" si="24"/>
        <v>0</v>
      </c>
      <c r="I1561" t="s">
        <v>2086</v>
      </c>
      <c r="J1561" t="s">
        <v>2087</v>
      </c>
    </row>
    <row r="1562" spans="1:10" x14ac:dyDescent="0.3">
      <c r="A1562" s="2" t="s">
        <v>13034</v>
      </c>
      <c r="B1562" s="2" t="s">
        <v>11210</v>
      </c>
      <c r="C1562" s="2" t="s">
        <v>11211</v>
      </c>
      <c r="D1562" s="3">
        <v>10080</v>
      </c>
      <c r="E1562" s="3">
        <v>10080</v>
      </c>
      <c r="F1562" s="2" t="s">
        <v>16</v>
      </c>
      <c r="G1562">
        <v>2.6600000000000002E-2</v>
      </c>
      <c r="H1562" s="9">
        <f t="shared" si="24"/>
        <v>0</v>
      </c>
      <c r="I1562" t="s">
        <v>11210</v>
      </c>
      <c r="J1562" t="s">
        <v>11211</v>
      </c>
    </row>
    <row r="1563" spans="1:10" x14ac:dyDescent="0.3">
      <c r="A1563" s="2" t="s">
        <v>13043</v>
      </c>
      <c r="B1563" s="2" t="s">
        <v>5357</v>
      </c>
      <c r="C1563" s="2" t="s">
        <v>5358</v>
      </c>
      <c r="D1563" s="3">
        <v>145728</v>
      </c>
      <c r="E1563" s="3">
        <v>145728</v>
      </c>
      <c r="F1563" s="2" t="s">
        <v>16</v>
      </c>
      <c r="G1563">
        <v>4.4999999999999998E-2</v>
      </c>
      <c r="H1563" s="9">
        <f t="shared" si="24"/>
        <v>0</v>
      </c>
      <c r="I1563" t="s">
        <v>5357</v>
      </c>
      <c r="J1563" t="s">
        <v>5358</v>
      </c>
    </row>
    <row r="1564" spans="1:10" x14ac:dyDescent="0.3">
      <c r="A1564" s="2" t="s">
        <v>13052</v>
      </c>
      <c r="B1564" s="2" t="s">
        <v>91</v>
      </c>
      <c r="C1564" s="2" t="s">
        <v>92</v>
      </c>
      <c r="D1564" s="3">
        <v>81000</v>
      </c>
      <c r="E1564" s="3">
        <v>81000</v>
      </c>
      <c r="F1564" s="2" t="s">
        <v>16</v>
      </c>
      <c r="G1564">
        <v>8.3000000000000001E-3</v>
      </c>
      <c r="H1564" s="9">
        <f t="shared" si="24"/>
        <v>0</v>
      </c>
      <c r="I1564" t="s">
        <v>91</v>
      </c>
      <c r="J1564" t="s">
        <v>92</v>
      </c>
    </row>
    <row r="1565" spans="1:10" x14ac:dyDescent="0.3">
      <c r="A1565" s="2" t="s">
        <v>13061</v>
      </c>
      <c r="B1565" s="2" t="s">
        <v>5357</v>
      </c>
      <c r="C1565" s="2" t="s">
        <v>5358</v>
      </c>
      <c r="D1565" s="3">
        <v>708768</v>
      </c>
      <c r="E1565" s="3">
        <v>708768</v>
      </c>
      <c r="F1565" s="2" t="s">
        <v>16</v>
      </c>
      <c r="G1565">
        <v>4.4999999999999998E-2</v>
      </c>
      <c r="H1565" s="9">
        <f t="shared" si="24"/>
        <v>0</v>
      </c>
      <c r="I1565" t="s">
        <v>5357</v>
      </c>
      <c r="J1565" t="s">
        <v>5358</v>
      </c>
    </row>
    <row r="1566" spans="1:10" x14ac:dyDescent="0.3">
      <c r="A1566" s="2" t="s">
        <v>13070</v>
      </c>
      <c r="B1566" s="2" t="s">
        <v>86</v>
      </c>
      <c r="C1566" s="2" t="s">
        <v>87</v>
      </c>
      <c r="D1566" s="5">
        <v>-238</v>
      </c>
      <c r="E1566" s="5">
        <v>-238</v>
      </c>
      <c r="F1566" s="2" t="s">
        <v>23</v>
      </c>
      <c r="G1566">
        <v>9.4000000000000004E-3</v>
      </c>
      <c r="H1566" s="9">
        <f t="shared" si="24"/>
        <v>-25319.148936170212</v>
      </c>
      <c r="I1566" t="s">
        <v>3028</v>
      </c>
      <c r="J1566" t="s">
        <v>3029</v>
      </c>
    </row>
    <row r="1567" spans="1:10" x14ac:dyDescent="0.3">
      <c r="A1567" s="2" t="s">
        <v>13070</v>
      </c>
      <c r="B1567" s="2" t="s">
        <v>11241</v>
      </c>
      <c r="C1567" s="2" t="s">
        <v>11242</v>
      </c>
      <c r="D1567" s="3">
        <v>101520</v>
      </c>
      <c r="E1567" s="3">
        <v>101520</v>
      </c>
      <c r="F1567" s="2" t="s">
        <v>16</v>
      </c>
      <c r="G1567">
        <v>9.4000000000000004E-3</v>
      </c>
      <c r="H1567" s="9">
        <f t="shared" si="24"/>
        <v>0</v>
      </c>
      <c r="I1567" t="s">
        <v>3028</v>
      </c>
      <c r="J1567" t="s">
        <v>3029</v>
      </c>
    </row>
    <row r="1568" spans="1:10" x14ac:dyDescent="0.3">
      <c r="A1568" s="2" t="s">
        <v>13087</v>
      </c>
      <c r="B1568" s="2" t="s">
        <v>103</v>
      </c>
      <c r="C1568" s="2" t="s">
        <v>104</v>
      </c>
      <c r="D1568" s="3">
        <v>42840</v>
      </c>
      <c r="E1568" s="3">
        <v>42840</v>
      </c>
      <c r="F1568" s="2" t="s">
        <v>16</v>
      </c>
      <c r="G1568">
        <v>3.0499999999999999E-2</v>
      </c>
      <c r="H1568" s="9">
        <f t="shared" si="24"/>
        <v>0</v>
      </c>
      <c r="I1568" t="s">
        <v>103</v>
      </c>
      <c r="J1568" t="s">
        <v>104</v>
      </c>
    </row>
    <row r="1569" spans="1:10" x14ac:dyDescent="0.3">
      <c r="A1569" s="2" t="s">
        <v>13092</v>
      </c>
      <c r="B1569" s="2" t="s">
        <v>13096</v>
      </c>
      <c r="C1569" s="2" t="s">
        <v>13097</v>
      </c>
      <c r="D1569" s="3">
        <v>2000</v>
      </c>
      <c r="E1569" s="3">
        <v>2000</v>
      </c>
      <c r="F1569" s="2" t="s">
        <v>16</v>
      </c>
      <c r="G1569">
        <v>2.23E-2</v>
      </c>
      <c r="H1569" s="9">
        <f t="shared" si="24"/>
        <v>0</v>
      </c>
      <c r="I1569" t="s">
        <v>1017</v>
      </c>
      <c r="J1569" t="s">
        <v>1018</v>
      </c>
    </row>
    <row r="1570" spans="1:10" x14ac:dyDescent="0.3">
      <c r="A1570" s="2" t="s">
        <v>13100</v>
      </c>
      <c r="B1570" s="2" t="s">
        <v>5357</v>
      </c>
      <c r="C1570" s="2" t="s">
        <v>5358</v>
      </c>
      <c r="D1570" s="3">
        <v>755136</v>
      </c>
      <c r="E1570" s="3">
        <v>755136</v>
      </c>
      <c r="F1570" s="2" t="s">
        <v>16</v>
      </c>
      <c r="G1570">
        <v>4.4999999999999998E-2</v>
      </c>
      <c r="H1570" s="9">
        <f t="shared" si="24"/>
        <v>0</v>
      </c>
      <c r="I1570" t="s">
        <v>5357</v>
      </c>
      <c r="J1570" t="s">
        <v>5358</v>
      </c>
    </row>
    <row r="1571" spans="1:10" x14ac:dyDescent="0.3">
      <c r="A1571" s="2" t="s">
        <v>13109</v>
      </c>
      <c r="B1571" s="2" t="s">
        <v>740</v>
      </c>
      <c r="C1571" s="2" t="s">
        <v>741</v>
      </c>
      <c r="D1571" s="3">
        <v>509760</v>
      </c>
      <c r="E1571" s="3">
        <v>509760</v>
      </c>
      <c r="F1571" s="2" t="s">
        <v>16</v>
      </c>
      <c r="G1571">
        <v>3.0499999999999999E-2</v>
      </c>
      <c r="H1571" s="9">
        <f t="shared" si="24"/>
        <v>0</v>
      </c>
      <c r="I1571" t="s">
        <v>740</v>
      </c>
      <c r="J1571" t="s">
        <v>741</v>
      </c>
    </row>
    <row r="1572" spans="1:10" x14ac:dyDescent="0.3">
      <c r="A1572" s="2" t="s">
        <v>13118</v>
      </c>
      <c r="B1572" s="2" t="s">
        <v>2803</v>
      </c>
      <c r="C1572" s="2" t="s">
        <v>2804</v>
      </c>
      <c r="D1572" s="3">
        <v>40320</v>
      </c>
      <c r="E1572" s="3">
        <v>40320</v>
      </c>
      <c r="F1572" s="2" t="s">
        <v>16</v>
      </c>
      <c r="G1572">
        <v>2.6600000000000002E-2</v>
      </c>
      <c r="H1572" s="9">
        <f t="shared" si="24"/>
        <v>0</v>
      </c>
      <c r="I1572" t="s">
        <v>2803</v>
      </c>
      <c r="J1572" t="s">
        <v>2804</v>
      </c>
    </row>
    <row r="1573" spans="1:10" x14ac:dyDescent="0.3">
      <c r="A1573" s="2" t="s">
        <v>13123</v>
      </c>
      <c r="B1573" s="2" t="s">
        <v>103</v>
      </c>
      <c r="C1573" s="2" t="s">
        <v>104</v>
      </c>
      <c r="D1573" s="3">
        <v>10620</v>
      </c>
      <c r="E1573" s="3">
        <v>10260</v>
      </c>
      <c r="F1573" s="2" t="s">
        <v>16</v>
      </c>
      <c r="G1573">
        <v>3.0499999999999999E-2</v>
      </c>
      <c r="H1573" s="9">
        <f t="shared" si="24"/>
        <v>0</v>
      </c>
      <c r="I1573" t="s">
        <v>103</v>
      </c>
      <c r="J1573" t="s">
        <v>104</v>
      </c>
    </row>
    <row r="1574" spans="1:10" x14ac:dyDescent="0.3">
      <c r="A1574" s="2" t="s">
        <v>13128</v>
      </c>
      <c r="B1574" s="2" t="s">
        <v>103</v>
      </c>
      <c r="C1574" s="2" t="s">
        <v>104</v>
      </c>
      <c r="D1574" s="3">
        <v>10620</v>
      </c>
      <c r="E1574" s="3">
        <v>10620</v>
      </c>
      <c r="F1574" s="2" t="s">
        <v>16</v>
      </c>
      <c r="G1574">
        <v>3.0499999999999999E-2</v>
      </c>
      <c r="H1574" s="9">
        <f t="shared" si="24"/>
        <v>0</v>
      </c>
      <c r="I1574" t="s">
        <v>103</v>
      </c>
      <c r="J1574" t="s">
        <v>104</v>
      </c>
    </row>
    <row r="1575" spans="1:10" x14ac:dyDescent="0.3">
      <c r="A1575" s="2" t="s">
        <v>13133</v>
      </c>
      <c r="B1575" s="2" t="s">
        <v>5357</v>
      </c>
      <c r="C1575" s="2" t="s">
        <v>5358</v>
      </c>
      <c r="D1575" s="3">
        <v>139104</v>
      </c>
      <c r="E1575" s="3">
        <v>139104</v>
      </c>
      <c r="F1575" s="2" t="s">
        <v>16</v>
      </c>
      <c r="G1575">
        <v>4.4999999999999998E-2</v>
      </c>
      <c r="H1575" s="9">
        <f t="shared" si="24"/>
        <v>0</v>
      </c>
      <c r="I1575" t="s">
        <v>5357</v>
      </c>
      <c r="J1575" t="s">
        <v>5358</v>
      </c>
    </row>
    <row r="1576" spans="1:10" x14ac:dyDescent="0.3">
      <c r="A1576" s="2" t="s">
        <v>13138</v>
      </c>
      <c r="B1576" s="2" t="s">
        <v>797</v>
      </c>
      <c r="C1576" s="2" t="s">
        <v>798</v>
      </c>
      <c r="D1576" s="3">
        <v>149400</v>
      </c>
      <c r="E1576" s="3">
        <v>149400</v>
      </c>
      <c r="F1576" s="2" t="s">
        <v>16</v>
      </c>
      <c r="G1576">
        <v>7.45E-3</v>
      </c>
      <c r="H1576" s="9">
        <f t="shared" si="24"/>
        <v>0</v>
      </c>
      <c r="I1576" t="s">
        <v>797</v>
      </c>
      <c r="J1576" t="s">
        <v>798</v>
      </c>
    </row>
    <row r="1577" spans="1:10" x14ac:dyDescent="0.3">
      <c r="A1577" s="2" t="s">
        <v>13147</v>
      </c>
      <c r="B1577" s="2" t="s">
        <v>1170</v>
      </c>
      <c r="C1577" s="2" t="s">
        <v>1171</v>
      </c>
      <c r="D1577" s="3">
        <v>19200</v>
      </c>
      <c r="E1577" s="3">
        <v>19200</v>
      </c>
      <c r="F1577" s="2" t="s">
        <v>16</v>
      </c>
      <c r="G1577">
        <v>5.1999999999999998E-2</v>
      </c>
      <c r="H1577" s="9">
        <f t="shared" si="24"/>
        <v>0</v>
      </c>
      <c r="I1577" t="s">
        <v>1170</v>
      </c>
      <c r="J1577" t="s">
        <v>1171</v>
      </c>
    </row>
    <row r="1578" spans="1:10" x14ac:dyDescent="0.3">
      <c r="A1578" s="2" t="s">
        <v>13152</v>
      </c>
      <c r="B1578" s="2" t="s">
        <v>1027</v>
      </c>
      <c r="C1578" s="2" t="s">
        <v>1028</v>
      </c>
      <c r="D1578" s="3">
        <v>509760</v>
      </c>
      <c r="E1578" s="3">
        <v>509760</v>
      </c>
      <c r="F1578" s="2" t="s">
        <v>16</v>
      </c>
      <c r="G1578">
        <v>3.0499999999999999E-2</v>
      </c>
      <c r="H1578" s="9">
        <f t="shared" si="24"/>
        <v>0</v>
      </c>
      <c r="I1578" t="s">
        <v>1027</v>
      </c>
      <c r="J1578" t="s">
        <v>1028</v>
      </c>
    </row>
    <row r="1579" spans="1:10" x14ac:dyDescent="0.3">
      <c r="A1579" s="2" t="s">
        <v>13161</v>
      </c>
      <c r="B1579" s="2" t="s">
        <v>517</v>
      </c>
      <c r="C1579" s="2" t="s">
        <v>518</v>
      </c>
      <c r="D1579" s="3">
        <v>463680</v>
      </c>
      <c r="E1579" s="3">
        <v>463680</v>
      </c>
      <c r="F1579" s="2" t="s">
        <v>16</v>
      </c>
      <c r="G1579">
        <v>2.6600000000000002E-2</v>
      </c>
      <c r="H1579" s="9">
        <f t="shared" si="24"/>
        <v>0</v>
      </c>
      <c r="I1579" t="s">
        <v>517</v>
      </c>
      <c r="J1579" t="s">
        <v>518</v>
      </c>
    </row>
    <row r="1580" spans="1:10" x14ac:dyDescent="0.3">
      <c r="A1580" s="2" t="s">
        <v>13170</v>
      </c>
      <c r="B1580" s="2" t="s">
        <v>1170</v>
      </c>
      <c r="C1580" s="2" t="s">
        <v>1171</v>
      </c>
      <c r="D1580" s="3">
        <v>19200</v>
      </c>
      <c r="E1580" s="3">
        <v>19200</v>
      </c>
      <c r="F1580" s="2" t="s">
        <v>16</v>
      </c>
      <c r="G1580">
        <v>5.1999999999999998E-2</v>
      </c>
      <c r="H1580" s="9">
        <f t="shared" si="24"/>
        <v>0</v>
      </c>
      <c r="I1580" t="s">
        <v>1170</v>
      </c>
      <c r="J1580" t="s">
        <v>1171</v>
      </c>
    </row>
    <row r="1581" spans="1:10" x14ac:dyDescent="0.3">
      <c r="A1581" s="2" t="s">
        <v>13175</v>
      </c>
      <c r="B1581" s="2" t="s">
        <v>1667</v>
      </c>
      <c r="C1581" s="2" t="s">
        <v>1668</v>
      </c>
      <c r="D1581" s="3">
        <v>62640</v>
      </c>
      <c r="E1581" s="3">
        <v>62640</v>
      </c>
      <c r="F1581" s="2" t="s">
        <v>16</v>
      </c>
      <c r="G1581">
        <v>1.15E-2</v>
      </c>
      <c r="H1581" s="9">
        <f t="shared" si="24"/>
        <v>0</v>
      </c>
      <c r="I1581" t="s">
        <v>1667</v>
      </c>
      <c r="J1581" t="s">
        <v>1668</v>
      </c>
    </row>
    <row r="1582" spans="1:10" x14ac:dyDescent="0.3">
      <c r="A1582" s="2" t="s">
        <v>13180</v>
      </c>
      <c r="B1582" s="2" t="s">
        <v>4511</v>
      </c>
      <c r="C1582" s="2" t="s">
        <v>4512</v>
      </c>
      <c r="D1582" s="3">
        <v>89640</v>
      </c>
      <c r="E1582" s="3">
        <v>89640</v>
      </c>
      <c r="F1582" s="2" t="s">
        <v>16</v>
      </c>
      <c r="G1582">
        <v>7.45E-3</v>
      </c>
      <c r="H1582" s="9">
        <f t="shared" si="24"/>
        <v>0</v>
      </c>
      <c r="I1582" t="s">
        <v>4511</v>
      </c>
      <c r="J1582" t="s">
        <v>4512</v>
      </c>
    </row>
    <row r="1583" spans="1:10" x14ac:dyDescent="0.3">
      <c r="A1583" s="2" t="s">
        <v>13185</v>
      </c>
      <c r="B1583" s="2" t="s">
        <v>1027</v>
      </c>
      <c r="C1583" s="2" t="s">
        <v>1028</v>
      </c>
      <c r="D1583" s="3">
        <v>10620</v>
      </c>
      <c r="E1583" s="3">
        <v>10620</v>
      </c>
      <c r="F1583" s="2" t="s">
        <v>16</v>
      </c>
      <c r="G1583">
        <v>3.0499999999999999E-2</v>
      </c>
      <c r="H1583" s="9">
        <f t="shared" si="24"/>
        <v>0</v>
      </c>
      <c r="I1583" t="s">
        <v>1027</v>
      </c>
      <c r="J1583" t="s">
        <v>1028</v>
      </c>
    </row>
    <row r="1584" spans="1:10" x14ac:dyDescent="0.3">
      <c r="A1584" s="2" t="s">
        <v>13190</v>
      </c>
      <c r="B1584" s="2" t="s">
        <v>517</v>
      </c>
      <c r="C1584" s="2" t="s">
        <v>518</v>
      </c>
      <c r="D1584" s="3">
        <v>483840</v>
      </c>
      <c r="E1584" s="3">
        <v>483840</v>
      </c>
      <c r="F1584" s="2" t="s">
        <v>16</v>
      </c>
      <c r="G1584">
        <v>2.6600000000000002E-2</v>
      </c>
      <c r="H1584" s="9">
        <f t="shared" si="24"/>
        <v>0</v>
      </c>
      <c r="I1584" t="s">
        <v>517</v>
      </c>
      <c r="J1584" t="s">
        <v>518</v>
      </c>
    </row>
    <row r="1585" spans="1:10" x14ac:dyDescent="0.3">
      <c r="A1585" s="2" t="s">
        <v>13199</v>
      </c>
      <c r="B1585" s="2" t="s">
        <v>11068</v>
      </c>
      <c r="C1585" s="2" t="s">
        <v>11069</v>
      </c>
      <c r="D1585" s="3">
        <v>1019520</v>
      </c>
      <c r="E1585" s="3">
        <v>1019520</v>
      </c>
      <c r="F1585" s="2" t="s">
        <v>16</v>
      </c>
      <c r="G1585">
        <v>3.0499999999999999E-2</v>
      </c>
      <c r="H1585" s="9">
        <f t="shared" si="24"/>
        <v>0</v>
      </c>
      <c r="I1585" t="s">
        <v>11068</v>
      </c>
      <c r="J1585" t="s">
        <v>11069</v>
      </c>
    </row>
    <row r="1586" spans="1:10" x14ac:dyDescent="0.3">
      <c r="A1586" s="2" t="s">
        <v>13208</v>
      </c>
      <c r="B1586" s="2" t="s">
        <v>97</v>
      </c>
      <c r="C1586" s="2" t="s">
        <v>98</v>
      </c>
      <c r="D1586" s="3">
        <v>273600</v>
      </c>
      <c r="E1586" s="3">
        <v>273600</v>
      </c>
      <c r="F1586" s="2" t="s">
        <v>16</v>
      </c>
      <c r="G1586">
        <v>5.1999999999999998E-2</v>
      </c>
      <c r="H1586" s="9">
        <f t="shared" si="24"/>
        <v>0</v>
      </c>
      <c r="I1586" t="s">
        <v>97</v>
      </c>
      <c r="J1586" t="s">
        <v>98</v>
      </c>
    </row>
    <row r="1587" spans="1:10" x14ac:dyDescent="0.3">
      <c r="A1587" s="2" t="s">
        <v>13225</v>
      </c>
      <c r="B1587" s="2" t="s">
        <v>91</v>
      </c>
      <c r="C1587" s="2" t="s">
        <v>92</v>
      </c>
      <c r="D1587" s="3">
        <v>108000</v>
      </c>
      <c r="E1587" s="3">
        <v>108000</v>
      </c>
      <c r="F1587" s="2" t="s">
        <v>16</v>
      </c>
      <c r="G1587">
        <v>8.3000000000000001E-3</v>
      </c>
      <c r="H1587" s="9">
        <f t="shared" si="24"/>
        <v>0</v>
      </c>
      <c r="I1587" t="s">
        <v>91</v>
      </c>
      <c r="J1587" t="s">
        <v>92</v>
      </c>
    </row>
    <row r="1588" spans="1:10" x14ac:dyDescent="0.3">
      <c r="A1588" s="2" t="s">
        <v>13242</v>
      </c>
      <c r="B1588" s="2" t="s">
        <v>5357</v>
      </c>
      <c r="C1588" s="2" t="s">
        <v>5358</v>
      </c>
      <c r="D1588" s="3">
        <v>635904</v>
      </c>
      <c r="E1588" s="3">
        <v>635904</v>
      </c>
      <c r="F1588" s="2" t="s">
        <v>16</v>
      </c>
      <c r="G1588">
        <v>4.4999999999999998E-2</v>
      </c>
      <c r="H1588" s="9">
        <f t="shared" si="24"/>
        <v>0</v>
      </c>
      <c r="I1588" t="s">
        <v>5357</v>
      </c>
      <c r="J1588" t="s">
        <v>5358</v>
      </c>
    </row>
    <row r="1589" spans="1:10" x14ac:dyDescent="0.3">
      <c r="A1589" s="2" t="s">
        <v>13247</v>
      </c>
      <c r="B1589" s="2" t="s">
        <v>11068</v>
      </c>
      <c r="C1589" s="2" t="s">
        <v>11069</v>
      </c>
      <c r="D1589" s="3">
        <v>307980</v>
      </c>
      <c r="E1589" s="3">
        <v>307980</v>
      </c>
      <c r="F1589" s="2" t="s">
        <v>16</v>
      </c>
      <c r="G1589">
        <v>3.0499999999999999E-2</v>
      </c>
      <c r="H1589" s="9">
        <f t="shared" si="24"/>
        <v>0</v>
      </c>
      <c r="I1589" t="s">
        <v>11068</v>
      </c>
      <c r="J1589" t="s">
        <v>11069</v>
      </c>
    </row>
    <row r="1590" spans="1:10" x14ac:dyDescent="0.3">
      <c r="A1590" s="2" t="s">
        <v>13264</v>
      </c>
      <c r="B1590" s="2" t="s">
        <v>308</v>
      </c>
      <c r="C1590" s="2" t="s">
        <v>309</v>
      </c>
      <c r="D1590" s="3">
        <v>27000</v>
      </c>
      <c r="E1590" s="3">
        <v>27000</v>
      </c>
      <c r="F1590" s="2" t="s">
        <v>16</v>
      </c>
      <c r="G1590">
        <v>8.3000000000000001E-3</v>
      </c>
      <c r="H1590" s="9">
        <f t="shared" si="24"/>
        <v>0</v>
      </c>
      <c r="I1590" t="s">
        <v>91</v>
      </c>
      <c r="J1590" t="s">
        <v>92</v>
      </c>
    </row>
    <row r="1591" spans="1:10" x14ac:dyDescent="0.3">
      <c r="A1591" s="2" t="s">
        <v>13269</v>
      </c>
      <c r="B1591" s="2" t="s">
        <v>4796</v>
      </c>
      <c r="C1591" s="2" t="s">
        <v>4797</v>
      </c>
      <c r="D1591" s="3">
        <v>14592</v>
      </c>
      <c r="E1591" s="3">
        <v>14592</v>
      </c>
      <c r="F1591" s="2" t="s">
        <v>16</v>
      </c>
      <c r="G1591">
        <v>4.8000000000000001E-2</v>
      </c>
      <c r="H1591" s="9">
        <f t="shared" si="24"/>
        <v>0</v>
      </c>
      <c r="I1591" t="s">
        <v>4796</v>
      </c>
      <c r="J1591" t="s">
        <v>4797</v>
      </c>
    </row>
    <row r="1592" spans="1:10" x14ac:dyDescent="0.3">
      <c r="A1592" s="2" t="s">
        <v>13269</v>
      </c>
      <c r="B1592" s="2" t="s">
        <v>65</v>
      </c>
      <c r="C1592" s="2" t="s">
        <v>66</v>
      </c>
      <c r="D1592" s="5">
        <v>-233</v>
      </c>
      <c r="E1592" s="5">
        <v>-233</v>
      </c>
      <c r="F1592" s="2" t="s">
        <v>23</v>
      </c>
      <c r="G1592">
        <v>4.8000000000000001E-2</v>
      </c>
      <c r="H1592" s="9">
        <f t="shared" si="24"/>
        <v>-4854.166666666667</v>
      </c>
      <c r="I1592" t="s">
        <v>4796</v>
      </c>
      <c r="J1592" t="s">
        <v>4797</v>
      </c>
    </row>
    <row r="1593" spans="1:10" x14ac:dyDescent="0.3">
      <c r="A1593" s="2" t="s">
        <v>13278</v>
      </c>
      <c r="B1593" s="2" t="s">
        <v>11068</v>
      </c>
      <c r="C1593" s="2" t="s">
        <v>11069</v>
      </c>
      <c r="D1593" s="3">
        <v>477900</v>
      </c>
      <c r="E1593" s="3">
        <v>477900</v>
      </c>
      <c r="F1593" s="2" t="s">
        <v>16</v>
      </c>
      <c r="G1593">
        <v>3.0499999999999999E-2</v>
      </c>
      <c r="H1593" s="9">
        <f t="shared" si="24"/>
        <v>0</v>
      </c>
      <c r="I1593" t="s">
        <v>11068</v>
      </c>
      <c r="J1593" t="s">
        <v>11069</v>
      </c>
    </row>
    <row r="1594" spans="1:10" x14ac:dyDescent="0.3">
      <c r="A1594" s="2" t="s">
        <v>13287</v>
      </c>
      <c r="B1594" s="2" t="s">
        <v>97</v>
      </c>
      <c r="C1594" s="2" t="s">
        <v>98</v>
      </c>
      <c r="D1594" s="3">
        <v>340800</v>
      </c>
      <c r="E1594" s="3">
        <v>340800</v>
      </c>
      <c r="F1594" s="2" t="s">
        <v>16</v>
      </c>
      <c r="G1594">
        <v>5.1999999999999998E-2</v>
      </c>
      <c r="H1594" s="9">
        <f t="shared" si="24"/>
        <v>0</v>
      </c>
      <c r="I1594" t="s">
        <v>97</v>
      </c>
      <c r="J1594" t="s">
        <v>98</v>
      </c>
    </row>
    <row r="1595" spans="1:10" x14ac:dyDescent="0.3">
      <c r="A1595" s="2" t="s">
        <v>13296</v>
      </c>
      <c r="B1595" s="2" t="s">
        <v>2086</v>
      </c>
      <c r="C1595" s="2" t="s">
        <v>2087</v>
      </c>
      <c r="D1595" s="3">
        <v>16896</v>
      </c>
      <c r="E1595" s="3">
        <v>16896</v>
      </c>
      <c r="F1595" s="2" t="s">
        <v>16</v>
      </c>
      <c r="G1595">
        <v>3.5999999999999997E-2</v>
      </c>
      <c r="H1595" s="9">
        <f t="shared" si="24"/>
        <v>0</v>
      </c>
      <c r="I1595" t="s">
        <v>2086</v>
      </c>
      <c r="J1595" t="s">
        <v>2087</v>
      </c>
    </row>
    <row r="1596" spans="1:10" x14ac:dyDescent="0.3">
      <c r="A1596" s="2" t="s">
        <v>13301</v>
      </c>
      <c r="B1596" s="2" t="s">
        <v>97</v>
      </c>
      <c r="C1596" s="2" t="s">
        <v>98</v>
      </c>
      <c r="D1596" s="3">
        <v>360000</v>
      </c>
      <c r="E1596" s="3">
        <v>360000</v>
      </c>
      <c r="F1596" s="2" t="s">
        <v>16</v>
      </c>
      <c r="G1596">
        <v>5.1999999999999998E-2</v>
      </c>
      <c r="H1596" s="9">
        <f t="shared" si="24"/>
        <v>0</v>
      </c>
      <c r="I1596" t="s">
        <v>97</v>
      </c>
      <c r="J1596" t="s">
        <v>98</v>
      </c>
    </row>
    <row r="1597" spans="1:10" x14ac:dyDescent="0.3">
      <c r="A1597" s="2" t="s">
        <v>13310</v>
      </c>
      <c r="B1597" s="2" t="s">
        <v>11068</v>
      </c>
      <c r="C1597" s="2" t="s">
        <v>11069</v>
      </c>
      <c r="D1597" s="3">
        <v>283985</v>
      </c>
      <c r="E1597" s="3">
        <v>283985</v>
      </c>
      <c r="F1597" s="2" t="s">
        <v>16</v>
      </c>
      <c r="G1597">
        <v>3.0499999999999999E-2</v>
      </c>
      <c r="H1597" s="9">
        <f t="shared" si="24"/>
        <v>0</v>
      </c>
      <c r="I1597" t="s">
        <v>11068</v>
      </c>
      <c r="J1597" t="s">
        <v>11069</v>
      </c>
    </row>
    <row r="1598" spans="1:10" x14ac:dyDescent="0.3">
      <c r="A1598" s="2" t="s">
        <v>13319</v>
      </c>
      <c r="B1598" s="2" t="s">
        <v>97</v>
      </c>
      <c r="C1598" s="2" t="s">
        <v>98</v>
      </c>
      <c r="D1598" s="3">
        <v>43200</v>
      </c>
      <c r="E1598" s="3">
        <v>43200</v>
      </c>
      <c r="F1598" s="2" t="s">
        <v>16</v>
      </c>
      <c r="G1598">
        <v>5.1999999999999998E-2</v>
      </c>
      <c r="H1598" s="9">
        <f t="shared" si="24"/>
        <v>0</v>
      </c>
      <c r="I1598" t="s">
        <v>1170</v>
      </c>
      <c r="J1598" t="s">
        <v>1171</v>
      </c>
    </row>
    <row r="1599" spans="1:10" x14ac:dyDescent="0.3">
      <c r="A1599" s="2" t="s">
        <v>13328</v>
      </c>
      <c r="B1599" s="2" t="s">
        <v>97</v>
      </c>
      <c r="C1599" s="2" t="s">
        <v>98</v>
      </c>
      <c r="D1599" s="3">
        <v>57600</v>
      </c>
      <c r="E1599" s="3">
        <v>57600</v>
      </c>
      <c r="F1599" s="2" t="s">
        <v>16</v>
      </c>
      <c r="G1599">
        <v>5.1999999999999998E-2</v>
      </c>
      <c r="H1599" s="9">
        <f t="shared" si="24"/>
        <v>0</v>
      </c>
      <c r="I1599" t="s">
        <v>97</v>
      </c>
      <c r="J1599" t="s">
        <v>98</v>
      </c>
    </row>
    <row r="1600" spans="1:10" x14ac:dyDescent="0.3">
      <c r="A1600" s="2" t="s">
        <v>13337</v>
      </c>
      <c r="B1600" s="2" t="s">
        <v>97</v>
      </c>
      <c r="C1600" s="2" t="s">
        <v>98</v>
      </c>
      <c r="D1600" s="3">
        <v>19200</v>
      </c>
      <c r="E1600" s="3">
        <v>0</v>
      </c>
      <c r="F1600" s="2" t="s">
        <v>16</v>
      </c>
      <c r="G1600">
        <v>5.1999999999999998E-2</v>
      </c>
      <c r="H1600" s="9">
        <f t="shared" si="24"/>
        <v>0</v>
      </c>
      <c r="I1600" t="s">
        <v>1170</v>
      </c>
      <c r="J1600" t="s">
        <v>1171</v>
      </c>
    </row>
    <row r="1601" spans="1:10" x14ac:dyDescent="0.3">
      <c r="A1601" s="2" t="s">
        <v>13337</v>
      </c>
      <c r="B1601" s="2" t="s">
        <v>65</v>
      </c>
      <c r="C1601" s="2" t="s">
        <v>66</v>
      </c>
      <c r="D1601" s="5">
        <v>-249</v>
      </c>
      <c r="E1601" s="5">
        <v>-249</v>
      </c>
      <c r="F1601" s="2" t="s">
        <v>23</v>
      </c>
      <c r="G1601">
        <v>5.1999999999999998E-2</v>
      </c>
      <c r="H1601" s="9">
        <f t="shared" si="24"/>
        <v>-4788.461538461539</v>
      </c>
      <c r="I1601" t="s">
        <v>1170</v>
      </c>
      <c r="J1601" t="s">
        <v>1171</v>
      </c>
    </row>
    <row r="1602" spans="1:10" x14ac:dyDescent="0.3">
      <c r="A1602" s="2" t="s">
        <v>13337</v>
      </c>
      <c r="B1602" s="2" t="s">
        <v>97</v>
      </c>
      <c r="C1602" s="2" t="s">
        <v>98</v>
      </c>
      <c r="D1602" s="3">
        <v>19200</v>
      </c>
      <c r="E1602" s="3">
        <v>19200</v>
      </c>
      <c r="F1602" s="2" t="s">
        <v>16</v>
      </c>
      <c r="G1602">
        <v>5.1999999999999998E-2</v>
      </c>
      <c r="H1602" s="9">
        <f t="shared" si="24"/>
        <v>0</v>
      </c>
      <c r="I1602" t="s">
        <v>1170</v>
      </c>
      <c r="J1602" t="s">
        <v>1171</v>
      </c>
    </row>
    <row r="1603" spans="1:10" x14ac:dyDescent="0.3">
      <c r="A1603" s="2" t="s">
        <v>13352</v>
      </c>
      <c r="B1603" s="2" t="s">
        <v>5357</v>
      </c>
      <c r="C1603" s="2" t="s">
        <v>5358</v>
      </c>
      <c r="D1603" s="3">
        <v>688896</v>
      </c>
      <c r="E1603" s="3">
        <v>688896</v>
      </c>
      <c r="F1603" s="2" t="s">
        <v>16</v>
      </c>
      <c r="G1603">
        <v>4.4999999999999998E-2</v>
      </c>
      <c r="H1603" s="9">
        <f t="shared" ref="H1603:H1666" si="25">IFERROR(IF(LEFT(B1603,1)="F",E1603/G1603,0),0)</f>
        <v>0</v>
      </c>
      <c r="I1603" t="s">
        <v>5357</v>
      </c>
      <c r="J1603" t="s">
        <v>5358</v>
      </c>
    </row>
    <row r="1604" spans="1:10" x14ac:dyDescent="0.3">
      <c r="A1604" s="2" t="s">
        <v>13361</v>
      </c>
      <c r="B1604" s="2" t="s">
        <v>517</v>
      </c>
      <c r="C1604" s="2" t="s">
        <v>518</v>
      </c>
      <c r="D1604" s="3">
        <v>483840</v>
      </c>
      <c r="E1604" s="3">
        <v>483840</v>
      </c>
      <c r="F1604" s="2" t="s">
        <v>16</v>
      </c>
      <c r="G1604">
        <v>2.6600000000000002E-2</v>
      </c>
      <c r="H1604" s="9">
        <f t="shared" si="25"/>
        <v>0</v>
      </c>
      <c r="I1604" t="s">
        <v>517</v>
      </c>
      <c r="J1604" t="s">
        <v>518</v>
      </c>
    </row>
    <row r="1605" spans="1:10" x14ac:dyDescent="0.3">
      <c r="A1605" s="2" t="s">
        <v>13370</v>
      </c>
      <c r="B1605" s="2" t="s">
        <v>11040</v>
      </c>
      <c r="C1605" s="2" t="s">
        <v>11041</v>
      </c>
      <c r="D1605" s="3">
        <v>509760</v>
      </c>
      <c r="E1605" s="3">
        <v>509760</v>
      </c>
      <c r="F1605" s="2" t="s">
        <v>16</v>
      </c>
      <c r="G1605">
        <v>3.0499999999999999E-2</v>
      </c>
      <c r="H1605" s="9">
        <f t="shared" si="25"/>
        <v>0</v>
      </c>
      <c r="I1605" t="s">
        <v>11040</v>
      </c>
      <c r="J1605" t="s">
        <v>11041</v>
      </c>
    </row>
    <row r="1606" spans="1:10" x14ac:dyDescent="0.3">
      <c r="A1606" s="2" t="s">
        <v>13379</v>
      </c>
      <c r="B1606" s="2" t="s">
        <v>11241</v>
      </c>
      <c r="C1606" s="2" t="s">
        <v>11242</v>
      </c>
      <c r="D1606" s="3">
        <v>558360</v>
      </c>
      <c r="E1606" s="3">
        <v>558360</v>
      </c>
      <c r="F1606" s="2" t="s">
        <v>16</v>
      </c>
      <c r="G1606">
        <v>9.4000000000000004E-3</v>
      </c>
      <c r="H1606" s="9">
        <f t="shared" si="25"/>
        <v>0</v>
      </c>
      <c r="I1606" t="s">
        <v>11241</v>
      </c>
      <c r="J1606" t="s">
        <v>11242</v>
      </c>
    </row>
    <row r="1607" spans="1:10" x14ac:dyDescent="0.3">
      <c r="A1607" s="2" t="s">
        <v>13388</v>
      </c>
      <c r="B1607" s="2" t="s">
        <v>5357</v>
      </c>
      <c r="C1607" s="2" t="s">
        <v>5358</v>
      </c>
      <c r="D1607" s="3">
        <v>264960</v>
      </c>
      <c r="E1607" s="3">
        <v>264960</v>
      </c>
      <c r="F1607" s="2" t="s">
        <v>16</v>
      </c>
      <c r="G1607">
        <v>4.4999999999999998E-2</v>
      </c>
      <c r="H1607" s="9">
        <f t="shared" si="25"/>
        <v>0</v>
      </c>
      <c r="I1607" t="s">
        <v>5357</v>
      </c>
      <c r="J1607" t="s">
        <v>5358</v>
      </c>
    </row>
    <row r="1608" spans="1:10" x14ac:dyDescent="0.3">
      <c r="A1608" s="2" t="s">
        <v>13397</v>
      </c>
      <c r="B1608" s="2" t="s">
        <v>11040</v>
      </c>
      <c r="C1608" s="2" t="s">
        <v>11041</v>
      </c>
      <c r="D1608" s="3">
        <v>509760</v>
      </c>
      <c r="E1608" s="3">
        <v>509760</v>
      </c>
      <c r="F1608" s="2" t="s">
        <v>16</v>
      </c>
      <c r="G1608">
        <v>3.0499999999999999E-2</v>
      </c>
      <c r="H1608" s="9">
        <f t="shared" si="25"/>
        <v>0</v>
      </c>
      <c r="I1608" t="s">
        <v>11040</v>
      </c>
      <c r="J1608" t="s">
        <v>11041</v>
      </c>
    </row>
    <row r="1609" spans="1:10" x14ac:dyDescent="0.3">
      <c r="A1609" s="2" t="s">
        <v>13406</v>
      </c>
      <c r="B1609" s="2" t="s">
        <v>11241</v>
      </c>
      <c r="C1609" s="2" t="s">
        <v>11242</v>
      </c>
      <c r="D1609" s="3">
        <v>558360</v>
      </c>
      <c r="E1609" s="3">
        <v>558360</v>
      </c>
      <c r="F1609" s="2" t="s">
        <v>16</v>
      </c>
      <c r="G1609">
        <v>9.4000000000000004E-3</v>
      </c>
      <c r="H1609" s="9">
        <f t="shared" si="25"/>
        <v>0</v>
      </c>
      <c r="I1609" t="s">
        <v>11241</v>
      </c>
      <c r="J1609" t="s">
        <v>11242</v>
      </c>
    </row>
    <row r="1610" spans="1:10" x14ac:dyDescent="0.3">
      <c r="A1610" s="2" t="s">
        <v>13415</v>
      </c>
      <c r="B1610" s="2" t="s">
        <v>97</v>
      </c>
      <c r="C1610" s="2" t="s">
        <v>98</v>
      </c>
      <c r="D1610" s="3">
        <v>33600</v>
      </c>
      <c r="E1610" s="3">
        <v>33600</v>
      </c>
      <c r="F1610" s="2" t="s">
        <v>16</v>
      </c>
      <c r="G1610">
        <v>5.1999999999999998E-2</v>
      </c>
      <c r="H1610" s="9">
        <f t="shared" si="25"/>
        <v>0</v>
      </c>
      <c r="I1610" t="s">
        <v>1170</v>
      </c>
      <c r="J1610" t="s">
        <v>1171</v>
      </c>
    </row>
    <row r="1611" spans="1:10" x14ac:dyDescent="0.3">
      <c r="A1611" s="2" t="s">
        <v>13424</v>
      </c>
      <c r="B1611" s="2" t="s">
        <v>4796</v>
      </c>
      <c r="C1611" s="2" t="s">
        <v>4797</v>
      </c>
      <c r="D1611" s="3">
        <v>4864</v>
      </c>
      <c r="E1611" s="3">
        <v>0</v>
      </c>
      <c r="F1611" s="2" t="s">
        <v>16</v>
      </c>
      <c r="G1611">
        <v>5.1999999999999998E-2</v>
      </c>
      <c r="H1611" s="9">
        <f t="shared" si="25"/>
        <v>0</v>
      </c>
      <c r="I1611" t="s">
        <v>8256</v>
      </c>
      <c r="J1611" t="s">
        <v>8257</v>
      </c>
    </row>
    <row r="1612" spans="1:10" x14ac:dyDescent="0.3">
      <c r="A1612" s="2" t="s">
        <v>13429</v>
      </c>
      <c r="B1612" s="2" t="s">
        <v>4791</v>
      </c>
      <c r="C1612" s="2" t="s">
        <v>4792</v>
      </c>
      <c r="D1612" s="3">
        <v>423936</v>
      </c>
      <c r="E1612" s="3">
        <v>423936</v>
      </c>
      <c r="F1612" s="2" t="s">
        <v>16</v>
      </c>
      <c r="G1612">
        <v>4.4999999999999998E-2</v>
      </c>
      <c r="H1612" s="9">
        <f t="shared" si="25"/>
        <v>0</v>
      </c>
      <c r="I1612" t="s">
        <v>4791</v>
      </c>
      <c r="J1612" t="s">
        <v>4792</v>
      </c>
    </row>
    <row r="1613" spans="1:10" x14ac:dyDescent="0.3">
      <c r="A1613" s="2" t="s">
        <v>13438</v>
      </c>
      <c r="B1613" s="2" t="s">
        <v>11040</v>
      </c>
      <c r="C1613" s="2" t="s">
        <v>11041</v>
      </c>
      <c r="D1613" s="3">
        <v>637200</v>
      </c>
      <c r="E1613" s="3">
        <v>637200</v>
      </c>
      <c r="F1613" s="2" t="s">
        <v>16</v>
      </c>
      <c r="G1613">
        <v>3.0499999999999999E-2</v>
      </c>
      <c r="H1613" s="9">
        <f t="shared" si="25"/>
        <v>0</v>
      </c>
      <c r="I1613" t="s">
        <v>11040</v>
      </c>
      <c r="J1613" t="s">
        <v>11041</v>
      </c>
    </row>
    <row r="1614" spans="1:10" x14ac:dyDescent="0.3">
      <c r="A1614" s="2" t="s">
        <v>13447</v>
      </c>
      <c r="B1614" s="2" t="s">
        <v>4791</v>
      </c>
      <c r="C1614" s="2" t="s">
        <v>4792</v>
      </c>
      <c r="D1614" s="3">
        <v>536544</v>
      </c>
      <c r="E1614" s="3">
        <v>536544</v>
      </c>
      <c r="F1614" s="2" t="s">
        <v>16</v>
      </c>
      <c r="G1614">
        <v>4.4999999999999998E-2</v>
      </c>
      <c r="H1614" s="9">
        <f t="shared" si="25"/>
        <v>0</v>
      </c>
      <c r="I1614" t="s">
        <v>4791</v>
      </c>
      <c r="J1614" t="s">
        <v>4792</v>
      </c>
    </row>
    <row r="1615" spans="1:10" x14ac:dyDescent="0.3">
      <c r="A1615" s="2" t="s">
        <v>13456</v>
      </c>
      <c r="B1615" s="2" t="s">
        <v>86</v>
      </c>
      <c r="C1615" s="2" t="s">
        <v>87</v>
      </c>
      <c r="D1615" s="5">
        <v>-476</v>
      </c>
      <c r="E1615" s="5">
        <v>-476</v>
      </c>
      <c r="F1615" s="2" t="s">
        <v>23</v>
      </c>
      <c r="G1615">
        <v>9.4000000000000004E-3</v>
      </c>
      <c r="H1615" s="9">
        <f t="shared" si="25"/>
        <v>-50638.297872340423</v>
      </c>
      <c r="I1615" t="s">
        <v>3028</v>
      </c>
      <c r="J1615" t="s">
        <v>3029</v>
      </c>
    </row>
    <row r="1616" spans="1:10" x14ac:dyDescent="0.3">
      <c r="A1616" s="2" t="s">
        <v>13456</v>
      </c>
      <c r="B1616" s="2" t="s">
        <v>11241</v>
      </c>
      <c r="C1616" s="2" t="s">
        <v>11242</v>
      </c>
      <c r="D1616" s="3">
        <v>380700</v>
      </c>
      <c r="E1616" s="3">
        <v>380700</v>
      </c>
      <c r="F1616" s="2" t="s">
        <v>16</v>
      </c>
      <c r="G1616">
        <v>9.4000000000000004E-3</v>
      </c>
      <c r="H1616" s="9">
        <f t="shared" si="25"/>
        <v>0</v>
      </c>
      <c r="I1616" t="s">
        <v>3028</v>
      </c>
      <c r="J1616" t="s">
        <v>3029</v>
      </c>
    </row>
    <row r="1617" spans="1:10" x14ac:dyDescent="0.3">
      <c r="A1617" s="2" t="s">
        <v>13473</v>
      </c>
      <c r="B1617" s="2" t="s">
        <v>4796</v>
      </c>
      <c r="C1617" s="2" t="s">
        <v>4797</v>
      </c>
      <c r="D1617" s="3">
        <v>4864</v>
      </c>
      <c r="E1617" s="3">
        <v>4864</v>
      </c>
      <c r="F1617" s="2" t="s">
        <v>16</v>
      </c>
      <c r="G1617">
        <v>4.8000000000000001E-2</v>
      </c>
      <c r="H1617" s="9">
        <f t="shared" si="25"/>
        <v>0</v>
      </c>
      <c r="I1617" t="s">
        <v>4796</v>
      </c>
      <c r="J1617" t="s">
        <v>4797</v>
      </c>
    </row>
    <row r="1618" spans="1:10" x14ac:dyDescent="0.3">
      <c r="A1618" s="2" t="s">
        <v>13478</v>
      </c>
      <c r="B1618" s="2" t="s">
        <v>11040</v>
      </c>
      <c r="C1618" s="2" t="s">
        <v>11041</v>
      </c>
      <c r="D1618" s="3">
        <v>552240</v>
      </c>
      <c r="E1618" s="3">
        <v>552240</v>
      </c>
      <c r="F1618" s="2" t="s">
        <v>16</v>
      </c>
      <c r="G1618">
        <v>3.0499999999999999E-2</v>
      </c>
      <c r="H1618" s="9">
        <f t="shared" si="25"/>
        <v>0</v>
      </c>
      <c r="I1618" t="s">
        <v>11040</v>
      </c>
      <c r="J1618" t="s">
        <v>11041</v>
      </c>
    </row>
    <row r="1619" spans="1:10" x14ac:dyDescent="0.3">
      <c r="A1619" s="2" t="s">
        <v>13487</v>
      </c>
      <c r="B1619" s="2" t="s">
        <v>21</v>
      </c>
      <c r="C1619" s="2" t="s">
        <v>22</v>
      </c>
      <c r="D1619" s="5">
        <v>-178</v>
      </c>
      <c r="E1619" s="5">
        <v>-178</v>
      </c>
      <c r="F1619" s="2" t="s">
        <v>23</v>
      </c>
      <c r="G1619">
        <v>4.4999999999999998E-2</v>
      </c>
      <c r="H1619" s="9">
        <f t="shared" si="25"/>
        <v>-3955.5555555555557</v>
      </c>
      <c r="I1619" t="s">
        <v>5477</v>
      </c>
      <c r="J1619" t="s">
        <v>5478</v>
      </c>
    </row>
    <row r="1620" spans="1:10" x14ac:dyDescent="0.3">
      <c r="A1620" s="2" t="s">
        <v>13487</v>
      </c>
      <c r="B1620" s="2" t="s">
        <v>5357</v>
      </c>
      <c r="C1620" s="2" t="s">
        <v>5358</v>
      </c>
      <c r="D1620" s="3">
        <v>37074</v>
      </c>
      <c r="E1620" s="3">
        <v>39744</v>
      </c>
      <c r="F1620" s="2" t="s">
        <v>16</v>
      </c>
      <c r="G1620">
        <v>4.4999999999999998E-2</v>
      </c>
      <c r="H1620" s="9">
        <f t="shared" si="25"/>
        <v>0</v>
      </c>
      <c r="I1620" t="s">
        <v>5477</v>
      </c>
      <c r="J1620" t="s">
        <v>5478</v>
      </c>
    </row>
    <row r="1621" spans="1:10" x14ac:dyDescent="0.3">
      <c r="A1621" s="2" t="s">
        <v>13500</v>
      </c>
      <c r="B1621" s="2" t="s">
        <v>65</v>
      </c>
      <c r="C1621" s="2" t="s">
        <v>66</v>
      </c>
      <c r="D1621" s="5">
        <v>-409</v>
      </c>
      <c r="E1621" s="5">
        <v>-409</v>
      </c>
      <c r="F1621" s="2" t="s">
        <v>23</v>
      </c>
      <c r="G1621">
        <v>5.0099999999999999E-2</v>
      </c>
      <c r="H1621" s="9">
        <f t="shared" si="25"/>
        <v>-8163.6726546906193</v>
      </c>
      <c r="I1621" t="s">
        <v>3142</v>
      </c>
      <c r="J1621" t="s">
        <v>3143</v>
      </c>
    </row>
    <row r="1622" spans="1:10" x14ac:dyDescent="0.3">
      <c r="A1622" s="2" t="s">
        <v>13500</v>
      </c>
      <c r="B1622" s="2" t="s">
        <v>3142</v>
      </c>
      <c r="C1622" s="2" t="s">
        <v>3143</v>
      </c>
      <c r="D1622" s="3">
        <v>87668</v>
      </c>
      <c r="E1622" s="3">
        <v>87668</v>
      </c>
      <c r="F1622" s="2" t="s">
        <v>16</v>
      </c>
      <c r="G1622">
        <v>5.0099999999999999E-2</v>
      </c>
      <c r="H1622" s="9">
        <f t="shared" si="25"/>
        <v>0</v>
      </c>
      <c r="I1622" t="s">
        <v>3142</v>
      </c>
      <c r="J1622" t="s">
        <v>3143</v>
      </c>
    </row>
    <row r="1623" spans="1:10" x14ac:dyDescent="0.3">
      <c r="A1623" s="2" t="s">
        <v>13513</v>
      </c>
      <c r="B1623" s="2" t="s">
        <v>97</v>
      </c>
      <c r="C1623" s="2" t="s">
        <v>98</v>
      </c>
      <c r="D1623" s="3">
        <v>216000</v>
      </c>
      <c r="E1623" s="3">
        <v>216000</v>
      </c>
      <c r="F1623" s="2" t="s">
        <v>16</v>
      </c>
      <c r="G1623">
        <v>5.1999999999999998E-2</v>
      </c>
      <c r="H1623" s="9">
        <f t="shared" si="25"/>
        <v>0</v>
      </c>
      <c r="I1623" t="s">
        <v>97</v>
      </c>
      <c r="J1623" t="s">
        <v>98</v>
      </c>
    </row>
    <row r="1624" spans="1:10" x14ac:dyDescent="0.3">
      <c r="A1624" s="2" t="s">
        <v>13530</v>
      </c>
      <c r="B1624" s="2" t="s">
        <v>11068</v>
      </c>
      <c r="C1624" s="2" t="s">
        <v>11069</v>
      </c>
      <c r="D1624" s="3">
        <v>562860</v>
      </c>
      <c r="E1624" s="3">
        <v>562860</v>
      </c>
      <c r="F1624" s="2" t="s">
        <v>16</v>
      </c>
      <c r="G1624">
        <v>3.0499999999999999E-2</v>
      </c>
      <c r="H1624" s="9">
        <f t="shared" si="25"/>
        <v>0</v>
      </c>
      <c r="I1624" t="s">
        <v>11068</v>
      </c>
      <c r="J1624" t="s">
        <v>11069</v>
      </c>
    </row>
    <row r="1625" spans="1:10" x14ac:dyDescent="0.3">
      <c r="A1625" s="2" t="s">
        <v>13547</v>
      </c>
      <c r="B1625" s="2" t="s">
        <v>11040</v>
      </c>
      <c r="C1625" s="2" t="s">
        <v>11041</v>
      </c>
      <c r="D1625" s="3">
        <v>180540</v>
      </c>
      <c r="E1625" s="3">
        <v>180540</v>
      </c>
      <c r="F1625" s="2" t="s">
        <v>16</v>
      </c>
      <c r="G1625">
        <v>3.0499999999999999E-2</v>
      </c>
      <c r="H1625" s="9">
        <f t="shared" si="25"/>
        <v>0</v>
      </c>
      <c r="I1625" t="s">
        <v>11040</v>
      </c>
      <c r="J1625" t="s">
        <v>11041</v>
      </c>
    </row>
    <row r="1626" spans="1:10" x14ac:dyDescent="0.3">
      <c r="A1626" s="2" t="s">
        <v>13564</v>
      </c>
      <c r="B1626" s="2" t="s">
        <v>70</v>
      </c>
      <c r="C1626" s="2" t="s">
        <v>71</v>
      </c>
      <c r="D1626" s="3">
        <v>120384</v>
      </c>
      <c r="E1626" s="3">
        <v>120384</v>
      </c>
      <c r="F1626" s="2" t="s">
        <v>16</v>
      </c>
      <c r="G1626">
        <v>3.5999999999999997E-2</v>
      </c>
      <c r="H1626" s="9">
        <f t="shared" si="25"/>
        <v>0</v>
      </c>
      <c r="I1626" t="s">
        <v>70</v>
      </c>
      <c r="J1626" t="s">
        <v>71</v>
      </c>
    </row>
    <row r="1627" spans="1:10" x14ac:dyDescent="0.3">
      <c r="A1627" s="2" t="s">
        <v>13564</v>
      </c>
      <c r="B1627" s="2" t="s">
        <v>65</v>
      </c>
      <c r="C1627" s="2" t="s">
        <v>66</v>
      </c>
      <c r="D1627" s="5">
        <v>-456</v>
      </c>
      <c r="E1627" s="5">
        <v>-456</v>
      </c>
      <c r="F1627" s="2" t="s">
        <v>23</v>
      </c>
      <c r="G1627">
        <v>3.5999999999999997E-2</v>
      </c>
      <c r="H1627" s="9">
        <f t="shared" si="25"/>
        <v>-12666.666666666668</v>
      </c>
      <c r="I1627" t="s">
        <v>70</v>
      </c>
      <c r="J1627" t="s">
        <v>71</v>
      </c>
    </row>
    <row r="1628" spans="1:10" x14ac:dyDescent="0.3">
      <c r="A1628" s="2" t="s">
        <v>13585</v>
      </c>
      <c r="B1628" s="2" t="s">
        <v>11068</v>
      </c>
      <c r="C1628" s="2" t="s">
        <v>11069</v>
      </c>
      <c r="D1628" s="3">
        <v>637200</v>
      </c>
      <c r="E1628" s="3">
        <v>637200</v>
      </c>
      <c r="F1628" s="2" t="s">
        <v>16</v>
      </c>
      <c r="G1628">
        <v>3.0499999999999999E-2</v>
      </c>
      <c r="H1628" s="9">
        <f t="shared" si="25"/>
        <v>0</v>
      </c>
      <c r="I1628" t="s">
        <v>11068</v>
      </c>
      <c r="J1628" t="s">
        <v>11069</v>
      </c>
    </row>
    <row r="1629" spans="1:10" x14ac:dyDescent="0.3">
      <c r="A1629" s="2" t="s">
        <v>13594</v>
      </c>
      <c r="B1629" s="2" t="s">
        <v>97</v>
      </c>
      <c r="C1629" s="2" t="s">
        <v>98</v>
      </c>
      <c r="D1629" s="3">
        <v>326400</v>
      </c>
      <c r="E1629" s="3">
        <v>326400</v>
      </c>
      <c r="F1629" s="2" t="s">
        <v>16</v>
      </c>
      <c r="G1629">
        <v>5.1999999999999998E-2</v>
      </c>
      <c r="H1629" s="9">
        <f t="shared" si="25"/>
        <v>0</v>
      </c>
      <c r="I1629" t="s">
        <v>97</v>
      </c>
      <c r="J1629" t="s">
        <v>98</v>
      </c>
    </row>
    <row r="1630" spans="1:10" x14ac:dyDescent="0.3">
      <c r="A1630" s="2" t="s">
        <v>13599</v>
      </c>
      <c r="B1630" s="2" t="s">
        <v>65</v>
      </c>
      <c r="C1630" s="2" t="s">
        <v>66</v>
      </c>
      <c r="D1630" s="5">
        <v>-152</v>
      </c>
      <c r="E1630" s="5">
        <v>-152</v>
      </c>
      <c r="F1630" s="2" t="s">
        <v>23</v>
      </c>
      <c r="G1630">
        <v>3.5999999999999997E-2</v>
      </c>
      <c r="H1630" s="9">
        <f t="shared" si="25"/>
        <v>-4222.2222222222226</v>
      </c>
      <c r="I1630" t="s">
        <v>2086</v>
      </c>
      <c r="J1630" t="s">
        <v>2087</v>
      </c>
    </row>
    <row r="1631" spans="1:10" x14ac:dyDescent="0.3">
      <c r="A1631" s="2" t="s">
        <v>13599</v>
      </c>
      <c r="B1631" s="2" t="s">
        <v>2086</v>
      </c>
      <c r="C1631" s="2" t="s">
        <v>2087</v>
      </c>
      <c r="D1631" s="3">
        <v>59136</v>
      </c>
      <c r="E1631" s="3">
        <v>59136</v>
      </c>
      <c r="F1631" s="2" t="s">
        <v>16</v>
      </c>
      <c r="G1631">
        <v>3.5999999999999997E-2</v>
      </c>
      <c r="H1631" s="9">
        <f t="shared" si="25"/>
        <v>0</v>
      </c>
      <c r="I1631" t="s">
        <v>2086</v>
      </c>
      <c r="J1631" t="s">
        <v>2087</v>
      </c>
    </row>
    <row r="1632" spans="1:10" x14ac:dyDescent="0.3">
      <c r="A1632" s="2" t="s">
        <v>13612</v>
      </c>
      <c r="B1632" s="2" t="s">
        <v>517</v>
      </c>
      <c r="C1632" s="2" t="s">
        <v>518</v>
      </c>
      <c r="D1632" s="3">
        <v>624960</v>
      </c>
      <c r="E1632" s="3">
        <v>624960</v>
      </c>
      <c r="F1632" s="2" t="s">
        <v>16</v>
      </c>
      <c r="G1632">
        <v>2.6600000000000002E-2</v>
      </c>
      <c r="H1632" s="9">
        <f t="shared" si="25"/>
        <v>0</v>
      </c>
      <c r="I1632" t="s">
        <v>517</v>
      </c>
      <c r="J1632" t="s">
        <v>518</v>
      </c>
    </row>
    <row r="1633" spans="1:10" x14ac:dyDescent="0.3">
      <c r="A1633" s="2" t="s">
        <v>13621</v>
      </c>
      <c r="B1633" s="2" t="s">
        <v>4365</v>
      </c>
      <c r="C1633" s="2" t="s">
        <v>4366</v>
      </c>
      <c r="D1633" s="3">
        <v>37800</v>
      </c>
      <c r="E1633" s="3">
        <v>0</v>
      </c>
      <c r="F1633" s="2" t="s">
        <v>16</v>
      </c>
      <c r="G1633">
        <v>0.85</v>
      </c>
      <c r="H1633" s="9">
        <f t="shared" si="25"/>
        <v>0</v>
      </c>
      <c r="I1633" t="s">
        <v>18392</v>
      </c>
      <c r="J1633" t="s">
        <v>18393</v>
      </c>
    </row>
    <row r="1634" spans="1:10" x14ac:dyDescent="0.3">
      <c r="A1634" s="2" t="s">
        <v>13650</v>
      </c>
      <c r="B1634" s="2" t="s">
        <v>4365</v>
      </c>
      <c r="C1634" s="2" t="s">
        <v>4366</v>
      </c>
      <c r="D1634" s="3">
        <v>37800</v>
      </c>
      <c r="E1634" s="3">
        <v>37800</v>
      </c>
      <c r="F1634" s="2" t="s">
        <v>16</v>
      </c>
      <c r="G1634">
        <v>0.85</v>
      </c>
      <c r="H1634" s="9">
        <f t="shared" si="25"/>
        <v>0</v>
      </c>
      <c r="I1634" t="s">
        <v>18435</v>
      </c>
      <c r="J1634" t="s">
        <v>18436</v>
      </c>
    </row>
    <row r="1635" spans="1:10" x14ac:dyDescent="0.3">
      <c r="A1635" s="2" t="s">
        <v>13684</v>
      </c>
      <c r="B1635" s="2" t="s">
        <v>11068</v>
      </c>
      <c r="C1635" s="2" t="s">
        <v>11069</v>
      </c>
      <c r="D1635" s="3">
        <v>244260</v>
      </c>
      <c r="E1635" s="3">
        <v>244260</v>
      </c>
      <c r="F1635" s="2" t="s">
        <v>16</v>
      </c>
      <c r="G1635">
        <v>3.0499999999999999E-2</v>
      </c>
      <c r="H1635" s="9">
        <f t="shared" si="25"/>
        <v>0</v>
      </c>
      <c r="I1635" t="e">
        <v>#N/A</v>
      </c>
      <c r="J1635" t="e">
        <v>#N/A</v>
      </c>
    </row>
    <row r="1636" spans="1:10" x14ac:dyDescent="0.3">
      <c r="A1636" s="2" t="s">
        <v>13684</v>
      </c>
      <c r="B1636" s="2" t="s">
        <v>21</v>
      </c>
      <c r="C1636" s="2" t="s">
        <v>22</v>
      </c>
      <c r="D1636" s="5">
        <v>-646</v>
      </c>
      <c r="E1636" s="5">
        <v>-646</v>
      </c>
      <c r="F1636" s="2" t="s">
        <v>23</v>
      </c>
      <c r="G1636">
        <f>30.5/1000</f>
        <v>3.0499999999999999E-2</v>
      </c>
      <c r="H1636" s="9">
        <f t="shared" si="25"/>
        <v>-21180.327868852459</v>
      </c>
      <c r="I1636" t="e">
        <v>#N/A</v>
      </c>
      <c r="J1636" t="e">
        <v>#N/A</v>
      </c>
    </row>
    <row r="1637" spans="1:10" x14ac:dyDescent="0.3">
      <c r="A1637" s="2" t="s">
        <v>13705</v>
      </c>
      <c r="B1637" s="2" t="s">
        <v>11257</v>
      </c>
      <c r="C1637" s="2" t="s">
        <v>11258</v>
      </c>
      <c r="D1637" s="3">
        <v>138060</v>
      </c>
      <c r="E1637" s="3">
        <v>138060</v>
      </c>
      <c r="F1637" s="2" t="s">
        <v>16</v>
      </c>
      <c r="G1637">
        <v>3.0499999999999999E-2</v>
      </c>
      <c r="H1637" s="9">
        <f t="shared" si="25"/>
        <v>0</v>
      </c>
      <c r="I1637" t="s">
        <v>11068</v>
      </c>
      <c r="J1637" t="s">
        <v>11069</v>
      </c>
    </row>
    <row r="1638" spans="1:10" x14ac:dyDescent="0.3">
      <c r="A1638" s="2" t="s">
        <v>13722</v>
      </c>
      <c r="B1638" s="2" t="s">
        <v>97</v>
      </c>
      <c r="C1638" s="2" t="s">
        <v>98</v>
      </c>
      <c r="D1638" s="3">
        <v>249600</v>
      </c>
      <c r="E1638" s="3">
        <v>249600</v>
      </c>
      <c r="F1638" s="2" t="s">
        <v>16</v>
      </c>
      <c r="G1638">
        <v>5.1999999999999998E-2</v>
      </c>
      <c r="H1638" s="9">
        <f t="shared" si="25"/>
        <v>0</v>
      </c>
      <c r="I1638" t="s">
        <v>97</v>
      </c>
      <c r="J1638" t="s">
        <v>98</v>
      </c>
    </row>
    <row r="1639" spans="1:10" x14ac:dyDescent="0.3">
      <c r="A1639" s="2" t="s">
        <v>13731</v>
      </c>
      <c r="B1639" s="2" t="s">
        <v>517</v>
      </c>
      <c r="C1639" s="2" t="s">
        <v>518</v>
      </c>
      <c r="D1639" s="3">
        <v>483840</v>
      </c>
      <c r="E1639" s="3">
        <v>483840</v>
      </c>
      <c r="F1639" s="2" t="s">
        <v>16</v>
      </c>
      <c r="G1639">
        <v>2.6600000000000002E-2</v>
      </c>
      <c r="H1639" s="9">
        <f t="shared" si="25"/>
        <v>0</v>
      </c>
      <c r="I1639" t="s">
        <v>517</v>
      </c>
      <c r="J1639" t="s">
        <v>518</v>
      </c>
    </row>
    <row r="1640" spans="1:10" x14ac:dyDescent="0.3">
      <c r="A1640" s="2" t="s">
        <v>13740</v>
      </c>
      <c r="B1640" s="2" t="s">
        <v>11040</v>
      </c>
      <c r="C1640" s="2" t="s">
        <v>11041</v>
      </c>
      <c r="D1640" s="3">
        <v>361080</v>
      </c>
      <c r="E1640" s="3">
        <v>361080</v>
      </c>
      <c r="F1640" s="2" t="s">
        <v>16</v>
      </c>
      <c r="G1640">
        <v>3.0499999999999999E-2</v>
      </c>
      <c r="H1640" s="9">
        <f t="shared" si="25"/>
        <v>0</v>
      </c>
      <c r="I1640" t="s">
        <v>11040</v>
      </c>
      <c r="J1640" t="s">
        <v>11041</v>
      </c>
    </row>
    <row r="1641" spans="1:10" x14ac:dyDescent="0.3">
      <c r="A1641" s="2" t="s">
        <v>13749</v>
      </c>
      <c r="B1641" s="2" t="s">
        <v>2121</v>
      </c>
      <c r="C1641" s="2" t="s">
        <v>2122</v>
      </c>
      <c r="D1641" s="3">
        <v>24840</v>
      </c>
      <c r="E1641" s="3">
        <v>24840</v>
      </c>
      <c r="F1641" s="2" t="s">
        <v>16</v>
      </c>
      <c r="G1641">
        <v>3.4000000000000002E-2</v>
      </c>
      <c r="H1641" s="9">
        <f t="shared" si="25"/>
        <v>0</v>
      </c>
      <c r="I1641" t="s">
        <v>2121</v>
      </c>
      <c r="J1641" t="s">
        <v>2122</v>
      </c>
    </row>
    <row r="1642" spans="1:10" x14ac:dyDescent="0.3">
      <c r="A1642" s="2" t="s">
        <v>13758</v>
      </c>
      <c r="B1642" s="2" t="s">
        <v>4365</v>
      </c>
      <c r="C1642" s="2" t="s">
        <v>4366</v>
      </c>
      <c r="D1642" s="3">
        <v>18900</v>
      </c>
      <c r="E1642" s="3">
        <v>18900</v>
      </c>
      <c r="F1642" s="2" t="s">
        <v>16</v>
      </c>
      <c r="G1642">
        <v>0.85</v>
      </c>
      <c r="H1642" s="9">
        <f t="shared" si="25"/>
        <v>0</v>
      </c>
      <c r="I1642" t="s">
        <v>18435</v>
      </c>
      <c r="J1642" t="s">
        <v>18436</v>
      </c>
    </row>
    <row r="1643" spans="1:10" x14ac:dyDescent="0.3">
      <c r="A1643" s="2" t="s">
        <v>13787</v>
      </c>
      <c r="B1643" s="2" t="s">
        <v>11040</v>
      </c>
      <c r="C1643" s="2" t="s">
        <v>11041</v>
      </c>
      <c r="D1643" s="3">
        <v>679680</v>
      </c>
      <c r="E1643" s="3">
        <v>679680</v>
      </c>
      <c r="F1643" s="2" t="s">
        <v>16</v>
      </c>
      <c r="G1643">
        <v>3.0499999999999999E-2</v>
      </c>
      <c r="H1643" s="9">
        <f t="shared" si="25"/>
        <v>0</v>
      </c>
      <c r="I1643" t="s">
        <v>11040</v>
      </c>
      <c r="J1643" t="s">
        <v>11041</v>
      </c>
    </row>
    <row r="1644" spans="1:10" x14ac:dyDescent="0.3">
      <c r="A1644" s="2" t="s">
        <v>13796</v>
      </c>
      <c r="B1644" s="2" t="s">
        <v>97</v>
      </c>
      <c r="C1644" s="2" t="s">
        <v>98</v>
      </c>
      <c r="D1644" s="3">
        <v>312000</v>
      </c>
      <c r="E1644" s="3">
        <v>312000</v>
      </c>
      <c r="F1644" s="2" t="s">
        <v>16</v>
      </c>
      <c r="G1644">
        <v>5.1999999999999998E-2</v>
      </c>
      <c r="H1644" s="9">
        <f t="shared" si="25"/>
        <v>0</v>
      </c>
      <c r="I1644" t="s">
        <v>97</v>
      </c>
      <c r="J1644" t="s">
        <v>98</v>
      </c>
    </row>
    <row r="1645" spans="1:10" x14ac:dyDescent="0.3">
      <c r="A1645" s="2" t="s">
        <v>13805</v>
      </c>
      <c r="B1645" s="2" t="s">
        <v>13810</v>
      </c>
      <c r="C1645" s="2" t="s">
        <v>13811</v>
      </c>
      <c r="D1645" s="3">
        <v>138060</v>
      </c>
      <c r="E1645" s="3">
        <v>138060</v>
      </c>
      <c r="F1645" s="2" t="s">
        <v>16</v>
      </c>
      <c r="G1645">
        <v>3.0499999999999999E-2</v>
      </c>
      <c r="H1645" s="9">
        <f t="shared" si="25"/>
        <v>0</v>
      </c>
      <c r="I1645" t="s">
        <v>11040</v>
      </c>
      <c r="J1645" t="s">
        <v>11041</v>
      </c>
    </row>
    <row r="1646" spans="1:10" x14ac:dyDescent="0.3">
      <c r="A1646" s="2" t="s">
        <v>13815</v>
      </c>
      <c r="B1646" s="2" t="s">
        <v>2121</v>
      </c>
      <c r="C1646" s="2" t="s">
        <v>2122</v>
      </c>
      <c r="D1646" s="3">
        <v>9936</v>
      </c>
      <c r="E1646" s="3">
        <v>9936</v>
      </c>
      <c r="F1646" s="2" t="s">
        <v>16</v>
      </c>
      <c r="G1646">
        <v>3.4000000000000002E-2</v>
      </c>
      <c r="H1646" s="9">
        <f t="shared" si="25"/>
        <v>0</v>
      </c>
      <c r="I1646" t="s">
        <v>2121</v>
      </c>
      <c r="J1646" t="s">
        <v>2122</v>
      </c>
    </row>
    <row r="1647" spans="1:10" x14ac:dyDescent="0.3">
      <c r="A1647" s="2" t="s">
        <v>13824</v>
      </c>
      <c r="B1647" s="2" t="s">
        <v>4365</v>
      </c>
      <c r="C1647" s="2" t="s">
        <v>4366</v>
      </c>
      <c r="D1647" s="3">
        <v>18900</v>
      </c>
      <c r="E1647" s="3">
        <v>18900</v>
      </c>
      <c r="F1647" s="2" t="s">
        <v>16</v>
      </c>
      <c r="G1647">
        <v>0.85</v>
      </c>
      <c r="H1647" s="9">
        <f t="shared" si="25"/>
        <v>0</v>
      </c>
      <c r="I1647" t="s">
        <v>18435</v>
      </c>
      <c r="J1647" t="s">
        <v>18436</v>
      </c>
    </row>
    <row r="1648" spans="1:10" x14ac:dyDescent="0.3">
      <c r="A1648" s="2" t="s">
        <v>13849</v>
      </c>
      <c r="B1648" s="2" t="s">
        <v>65</v>
      </c>
      <c r="C1648" s="2" t="s">
        <v>66</v>
      </c>
      <c r="D1648" s="5">
        <v>-323</v>
      </c>
      <c r="E1648" s="5">
        <v>-323</v>
      </c>
      <c r="F1648" s="2" t="s">
        <v>23</v>
      </c>
      <c r="G1648">
        <v>3.0499999999999999E-2</v>
      </c>
      <c r="H1648" s="9">
        <f t="shared" si="25"/>
        <v>-10590.163934426229</v>
      </c>
      <c r="I1648" t="s">
        <v>11040</v>
      </c>
      <c r="J1648" t="s">
        <v>11041</v>
      </c>
    </row>
    <row r="1649" spans="1:10" x14ac:dyDescent="0.3">
      <c r="A1649" s="2" t="s">
        <v>13849</v>
      </c>
      <c r="B1649" s="2" t="s">
        <v>11040</v>
      </c>
      <c r="C1649" s="2" t="s">
        <v>11041</v>
      </c>
      <c r="D1649" s="3">
        <v>191160</v>
      </c>
      <c r="E1649" s="3">
        <v>191160</v>
      </c>
      <c r="F1649" s="2" t="s">
        <v>16</v>
      </c>
      <c r="G1649">
        <v>3.0499999999999999E-2</v>
      </c>
      <c r="H1649" s="9">
        <f t="shared" si="25"/>
        <v>0</v>
      </c>
      <c r="I1649" t="s">
        <v>11040</v>
      </c>
      <c r="J1649" t="s">
        <v>11041</v>
      </c>
    </row>
    <row r="1650" spans="1:10" x14ac:dyDescent="0.3">
      <c r="A1650" s="2" t="s">
        <v>13862</v>
      </c>
      <c r="B1650" s="2" t="s">
        <v>97</v>
      </c>
      <c r="C1650" s="2" t="s">
        <v>98</v>
      </c>
      <c r="D1650" s="3">
        <v>120000</v>
      </c>
      <c r="E1650" s="3">
        <v>120000</v>
      </c>
      <c r="F1650" s="2" t="s">
        <v>16</v>
      </c>
      <c r="G1650">
        <v>5.1999999999999998E-2</v>
      </c>
      <c r="H1650" s="9">
        <f t="shared" si="25"/>
        <v>0</v>
      </c>
      <c r="I1650" t="s">
        <v>97</v>
      </c>
      <c r="J1650" t="s">
        <v>98</v>
      </c>
    </row>
    <row r="1651" spans="1:10" x14ac:dyDescent="0.3">
      <c r="A1651" s="2" t="s">
        <v>13871</v>
      </c>
      <c r="B1651" s="2" t="s">
        <v>103</v>
      </c>
      <c r="C1651" s="2" t="s">
        <v>104</v>
      </c>
      <c r="D1651" s="3">
        <v>509760</v>
      </c>
      <c r="E1651" s="3">
        <v>509760</v>
      </c>
      <c r="F1651" s="2" t="s">
        <v>16</v>
      </c>
      <c r="G1651">
        <v>3.0499999999999999E-2</v>
      </c>
      <c r="H1651" s="9">
        <f t="shared" si="25"/>
        <v>0</v>
      </c>
      <c r="I1651" t="s">
        <v>103</v>
      </c>
      <c r="J1651" t="s">
        <v>104</v>
      </c>
    </row>
    <row r="1652" spans="1:10" x14ac:dyDescent="0.3">
      <c r="A1652" s="2" t="s">
        <v>13880</v>
      </c>
      <c r="B1652" s="2" t="s">
        <v>5357</v>
      </c>
      <c r="C1652" s="2" t="s">
        <v>5358</v>
      </c>
      <c r="D1652" s="3">
        <v>317952</v>
      </c>
      <c r="E1652" s="3">
        <v>317952</v>
      </c>
      <c r="F1652" s="2" t="s">
        <v>16</v>
      </c>
      <c r="G1652">
        <v>4.4999999999999998E-2</v>
      </c>
      <c r="H1652" s="9">
        <f t="shared" si="25"/>
        <v>0</v>
      </c>
      <c r="I1652" t="s">
        <v>5357</v>
      </c>
      <c r="J1652" t="s">
        <v>5358</v>
      </c>
    </row>
    <row r="1653" spans="1:10" x14ac:dyDescent="0.3">
      <c r="A1653" s="2" t="s">
        <v>13889</v>
      </c>
      <c r="B1653" s="2" t="s">
        <v>1027</v>
      </c>
      <c r="C1653" s="2" t="s">
        <v>1028</v>
      </c>
      <c r="D1653" s="3">
        <v>446040</v>
      </c>
      <c r="E1653" s="3">
        <v>446040</v>
      </c>
      <c r="F1653" s="2" t="s">
        <v>16</v>
      </c>
      <c r="G1653">
        <v>3.0499999999999999E-2</v>
      </c>
      <c r="H1653" s="9">
        <f t="shared" si="25"/>
        <v>0</v>
      </c>
      <c r="I1653" t="s">
        <v>1027</v>
      </c>
      <c r="J1653" t="s">
        <v>1028</v>
      </c>
    </row>
    <row r="1654" spans="1:10" x14ac:dyDescent="0.3">
      <c r="A1654" s="2" t="s">
        <v>13889</v>
      </c>
      <c r="B1654" s="2" t="s">
        <v>21</v>
      </c>
      <c r="C1654" s="2" t="s">
        <v>22</v>
      </c>
      <c r="D1654" s="5">
        <v>-1269</v>
      </c>
      <c r="E1654" s="5">
        <v>-1269</v>
      </c>
      <c r="F1654" s="2" t="s">
        <v>23</v>
      </c>
      <c r="G1654">
        <v>3.0499999999999999E-2</v>
      </c>
      <c r="H1654" s="9">
        <f t="shared" si="25"/>
        <v>-41606.557377049183</v>
      </c>
      <c r="I1654" t="s">
        <v>1027</v>
      </c>
      <c r="J1654" t="s">
        <v>1028</v>
      </c>
    </row>
    <row r="1655" spans="1:10" x14ac:dyDescent="0.3">
      <c r="A1655" s="2" t="s">
        <v>13937</v>
      </c>
      <c r="B1655" s="2" t="s">
        <v>4365</v>
      </c>
      <c r="C1655" s="2" t="s">
        <v>4366</v>
      </c>
      <c r="D1655" s="3">
        <v>49140</v>
      </c>
      <c r="E1655" s="3">
        <v>49140</v>
      </c>
      <c r="F1655" s="2" t="s">
        <v>16</v>
      </c>
      <c r="G1655">
        <v>0.85</v>
      </c>
      <c r="H1655" s="9">
        <f t="shared" si="25"/>
        <v>0</v>
      </c>
      <c r="I1655" t="s">
        <v>18435</v>
      </c>
      <c r="J1655" t="s">
        <v>18436</v>
      </c>
    </row>
    <row r="1656" spans="1:10" x14ac:dyDescent="0.3">
      <c r="A1656" s="2" t="s">
        <v>13966</v>
      </c>
      <c r="B1656" s="2" t="s">
        <v>13967</v>
      </c>
      <c r="C1656" s="2" t="s">
        <v>13968</v>
      </c>
      <c r="D1656" s="3">
        <v>12192</v>
      </c>
      <c r="E1656" s="3">
        <v>12192</v>
      </c>
      <c r="F1656" s="2" t="s">
        <v>16</v>
      </c>
      <c r="G1656">
        <v>1.4E-2</v>
      </c>
      <c r="H1656" s="9">
        <f t="shared" si="25"/>
        <v>0</v>
      </c>
      <c r="I1656" t="s">
        <v>13967</v>
      </c>
      <c r="J1656" t="s">
        <v>13968</v>
      </c>
    </row>
    <row r="1657" spans="1:10" x14ac:dyDescent="0.3">
      <c r="A1657" s="2" t="s">
        <v>13971</v>
      </c>
      <c r="B1657" s="2" t="s">
        <v>103</v>
      </c>
      <c r="C1657" s="2" t="s">
        <v>104</v>
      </c>
      <c r="D1657" s="3">
        <v>509760</v>
      </c>
      <c r="E1657" s="3">
        <v>509760</v>
      </c>
      <c r="F1657" s="2" t="s">
        <v>16</v>
      </c>
      <c r="G1657">
        <v>3.0499999999999999E-2</v>
      </c>
      <c r="H1657" s="9">
        <f t="shared" si="25"/>
        <v>0</v>
      </c>
      <c r="I1657" t="s">
        <v>103</v>
      </c>
      <c r="J1657" t="s">
        <v>104</v>
      </c>
    </row>
    <row r="1658" spans="1:10" x14ac:dyDescent="0.3">
      <c r="A1658" s="2" t="s">
        <v>13980</v>
      </c>
      <c r="B1658" s="2" t="s">
        <v>5357</v>
      </c>
      <c r="C1658" s="2" t="s">
        <v>5358</v>
      </c>
      <c r="D1658" s="3">
        <v>317952</v>
      </c>
      <c r="E1658" s="3">
        <v>317952</v>
      </c>
      <c r="F1658" s="2" t="s">
        <v>16</v>
      </c>
      <c r="G1658">
        <v>4.4999999999999998E-2</v>
      </c>
      <c r="H1658" s="9">
        <f t="shared" si="25"/>
        <v>0</v>
      </c>
      <c r="I1658" t="s">
        <v>5357</v>
      </c>
      <c r="J1658" t="s">
        <v>5358</v>
      </c>
    </row>
    <row r="1659" spans="1:10" x14ac:dyDescent="0.3">
      <c r="A1659" s="2" t="s">
        <v>13989</v>
      </c>
      <c r="B1659" s="2" t="s">
        <v>13967</v>
      </c>
      <c r="C1659" s="2" t="s">
        <v>13968</v>
      </c>
      <c r="D1659" s="3">
        <v>36576</v>
      </c>
      <c r="E1659" s="3">
        <v>36576</v>
      </c>
      <c r="F1659" s="2" t="s">
        <v>16</v>
      </c>
      <c r="G1659">
        <v>1.4E-2</v>
      </c>
      <c r="H1659" s="9">
        <f t="shared" si="25"/>
        <v>0</v>
      </c>
      <c r="I1659" t="s">
        <v>13967</v>
      </c>
      <c r="J1659" t="s">
        <v>13968</v>
      </c>
    </row>
    <row r="1660" spans="1:10" x14ac:dyDescent="0.3">
      <c r="A1660" s="2" t="s">
        <v>13996</v>
      </c>
      <c r="B1660" s="2" t="s">
        <v>11068</v>
      </c>
      <c r="C1660" s="2" t="s">
        <v>11069</v>
      </c>
      <c r="D1660" s="3">
        <v>10620</v>
      </c>
      <c r="E1660" s="3">
        <v>10620</v>
      </c>
      <c r="F1660" s="2" t="s">
        <v>16</v>
      </c>
      <c r="G1660">
        <v>3.0499999999999999E-2</v>
      </c>
      <c r="H1660" s="9">
        <f t="shared" si="25"/>
        <v>0</v>
      </c>
      <c r="I1660" t="s">
        <v>11068</v>
      </c>
      <c r="J1660" t="s">
        <v>11069</v>
      </c>
    </row>
    <row r="1661" spans="1:10" x14ac:dyDescent="0.3">
      <c r="A1661" s="2" t="s">
        <v>14001</v>
      </c>
      <c r="B1661" s="2" t="s">
        <v>21</v>
      </c>
      <c r="C1661" s="2" t="s">
        <v>22</v>
      </c>
      <c r="D1661" s="5">
        <v>-323</v>
      </c>
      <c r="E1661" s="5">
        <v>-323</v>
      </c>
      <c r="F1661" s="2" t="s">
        <v>23</v>
      </c>
      <c r="G1661">
        <v>3.0499999999999999E-2</v>
      </c>
      <c r="H1661" s="9">
        <f t="shared" si="25"/>
        <v>-10590.163934426229</v>
      </c>
      <c r="I1661" t="s">
        <v>1027</v>
      </c>
      <c r="J1661" t="s">
        <v>1028</v>
      </c>
    </row>
    <row r="1662" spans="1:10" x14ac:dyDescent="0.3">
      <c r="A1662" s="2" t="s">
        <v>14001</v>
      </c>
      <c r="B1662" s="2" t="s">
        <v>1027</v>
      </c>
      <c r="C1662" s="2" t="s">
        <v>1028</v>
      </c>
      <c r="D1662" s="3">
        <v>63720</v>
      </c>
      <c r="E1662" s="3">
        <v>63720</v>
      </c>
      <c r="F1662" s="2" t="s">
        <v>16</v>
      </c>
      <c r="G1662">
        <v>3.0499999999999999E-2</v>
      </c>
      <c r="H1662" s="9">
        <f t="shared" si="25"/>
        <v>0</v>
      </c>
      <c r="I1662" t="s">
        <v>1027</v>
      </c>
      <c r="J1662" t="s">
        <v>1028</v>
      </c>
    </row>
    <row r="1663" spans="1:10" x14ac:dyDescent="0.3">
      <c r="A1663" s="2" t="s">
        <v>14050</v>
      </c>
      <c r="B1663" s="2" t="s">
        <v>65</v>
      </c>
      <c r="C1663" s="2" t="s">
        <v>66</v>
      </c>
      <c r="D1663" s="5">
        <v>-1340</v>
      </c>
      <c r="E1663" s="5">
        <v>-1340</v>
      </c>
      <c r="F1663" s="2" t="s">
        <v>23</v>
      </c>
      <c r="G1663">
        <v>3.0499999999999999E-2</v>
      </c>
      <c r="H1663" s="9">
        <f t="shared" si="25"/>
        <v>-43934.426229508201</v>
      </c>
      <c r="I1663" t="s">
        <v>103</v>
      </c>
      <c r="J1663" t="s">
        <v>104</v>
      </c>
    </row>
    <row r="1664" spans="1:10" x14ac:dyDescent="0.3">
      <c r="A1664" s="2" t="s">
        <v>14050</v>
      </c>
      <c r="B1664" s="2" t="s">
        <v>103</v>
      </c>
      <c r="C1664" s="2" t="s">
        <v>104</v>
      </c>
      <c r="D1664" s="3">
        <v>98140</v>
      </c>
      <c r="E1664" s="3">
        <v>98140</v>
      </c>
      <c r="F1664" s="2" t="s">
        <v>16</v>
      </c>
      <c r="G1664">
        <v>3.0499999999999999E-2</v>
      </c>
      <c r="H1664" s="9">
        <f t="shared" si="25"/>
        <v>0</v>
      </c>
      <c r="I1664" t="s">
        <v>103</v>
      </c>
      <c r="J1664" t="s">
        <v>104</v>
      </c>
    </row>
    <row r="1665" spans="1:10" x14ac:dyDescent="0.3">
      <c r="A1665" s="2" t="s">
        <v>14063</v>
      </c>
      <c r="B1665" s="2" t="s">
        <v>97</v>
      </c>
      <c r="C1665" s="2" t="s">
        <v>98</v>
      </c>
      <c r="D1665" s="3">
        <v>100800</v>
      </c>
      <c r="E1665" s="3">
        <v>100800</v>
      </c>
      <c r="F1665" s="2" t="s">
        <v>16</v>
      </c>
      <c r="G1665">
        <v>5.1999999999999998E-2</v>
      </c>
      <c r="H1665" s="9">
        <f t="shared" si="25"/>
        <v>0</v>
      </c>
      <c r="I1665" t="s">
        <v>97</v>
      </c>
      <c r="J1665" t="s">
        <v>98</v>
      </c>
    </row>
    <row r="1666" spans="1:10" x14ac:dyDescent="0.3">
      <c r="A1666" s="2" t="s">
        <v>14068</v>
      </c>
      <c r="B1666" s="2" t="s">
        <v>21</v>
      </c>
      <c r="C1666" s="2" t="s">
        <v>22</v>
      </c>
      <c r="D1666" s="5">
        <v>-323</v>
      </c>
      <c r="E1666" s="5">
        <v>-323</v>
      </c>
      <c r="F1666" s="2" t="s">
        <v>23</v>
      </c>
      <c r="G1666">
        <v>3.0499999999999999E-2</v>
      </c>
      <c r="H1666" s="9">
        <f t="shared" si="25"/>
        <v>-10590.163934426229</v>
      </c>
      <c r="I1666" t="s">
        <v>1027</v>
      </c>
      <c r="J1666" t="s">
        <v>1028</v>
      </c>
    </row>
    <row r="1667" spans="1:10" x14ac:dyDescent="0.3">
      <c r="A1667" s="2" t="s">
        <v>14068</v>
      </c>
      <c r="B1667" s="2" t="s">
        <v>1027</v>
      </c>
      <c r="C1667" s="2" t="s">
        <v>1028</v>
      </c>
      <c r="D1667" s="3">
        <v>488520</v>
      </c>
      <c r="E1667" s="3">
        <v>488520</v>
      </c>
      <c r="F1667" s="2" t="s">
        <v>16</v>
      </c>
      <c r="G1667">
        <v>3.0499999999999999E-2</v>
      </c>
      <c r="H1667" s="9">
        <f t="shared" ref="H1667:H1730" si="26">IFERROR(IF(LEFT(B1667,1)="F",E1667/G1667,0),0)</f>
        <v>0</v>
      </c>
      <c r="I1667" t="s">
        <v>1027</v>
      </c>
      <c r="J1667" t="s">
        <v>1028</v>
      </c>
    </row>
    <row r="1668" spans="1:10" x14ac:dyDescent="0.3">
      <c r="A1668" s="2" t="s">
        <v>14077</v>
      </c>
      <c r="B1668" s="2" t="s">
        <v>65</v>
      </c>
      <c r="C1668" s="2" t="s">
        <v>66</v>
      </c>
      <c r="D1668" s="5">
        <v>-170</v>
      </c>
      <c r="E1668" s="5">
        <v>-170</v>
      </c>
      <c r="F1668" s="2" t="s">
        <v>23</v>
      </c>
      <c r="G1668">
        <v>1.4E-2</v>
      </c>
      <c r="H1668" s="9">
        <f t="shared" si="26"/>
        <v>-12142.857142857143</v>
      </c>
      <c r="I1668" t="s">
        <v>13967</v>
      </c>
      <c r="J1668" t="s">
        <v>13968</v>
      </c>
    </row>
    <row r="1669" spans="1:10" x14ac:dyDescent="0.3">
      <c r="A1669" s="2" t="s">
        <v>14077</v>
      </c>
      <c r="B1669" s="2" t="s">
        <v>13967</v>
      </c>
      <c r="C1669" s="2" t="s">
        <v>13968</v>
      </c>
      <c r="D1669" s="3">
        <v>48768</v>
      </c>
      <c r="E1669" s="3">
        <v>48768</v>
      </c>
      <c r="F1669" s="2" t="s">
        <v>16</v>
      </c>
      <c r="G1669">
        <v>1.4E-2</v>
      </c>
      <c r="H1669" s="9">
        <f t="shared" si="26"/>
        <v>0</v>
      </c>
      <c r="I1669" t="s">
        <v>13967</v>
      </c>
      <c r="J1669" t="s">
        <v>13968</v>
      </c>
    </row>
    <row r="1670" spans="1:10" x14ac:dyDescent="0.3">
      <c r="A1670" s="2" t="s">
        <v>14087</v>
      </c>
      <c r="B1670" s="2" t="s">
        <v>97</v>
      </c>
      <c r="C1670" s="2" t="s">
        <v>98</v>
      </c>
      <c r="D1670" s="3">
        <v>67200</v>
      </c>
      <c r="E1670" s="3">
        <v>67200</v>
      </c>
      <c r="F1670" s="2" t="s">
        <v>16</v>
      </c>
      <c r="G1670">
        <v>5.1999999999999998E-2</v>
      </c>
      <c r="H1670" s="9">
        <f t="shared" si="26"/>
        <v>0</v>
      </c>
      <c r="I1670" t="s">
        <v>97</v>
      </c>
      <c r="J1670" t="s">
        <v>98</v>
      </c>
    </row>
    <row r="1671" spans="1:10" x14ac:dyDescent="0.3">
      <c r="A1671" s="2" t="s">
        <v>14096</v>
      </c>
      <c r="B1671" s="2" t="s">
        <v>14101</v>
      </c>
      <c r="C1671" s="2" t="s">
        <v>14102</v>
      </c>
      <c r="D1671" s="3">
        <v>41760</v>
      </c>
      <c r="E1671" s="3">
        <v>41760</v>
      </c>
      <c r="F1671" s="2" t="s">
        <v>16</v>
      </c>
      <c r="G1671">
        <v>1.15E-2</v>
      </c>
      <c r="H1671" s="9">
        <f t="shared" si="26"/>
        <v>0</v>
      </c>
      <c r="I1671" t="s">
        <v>14101</v>
      </c>
      <c r="J1671" t="s">
        <v>14102</v>
      </c>
    </row>
    <row r="1672" spans="1:10" x14ac:dyDescent="0.3">
      <c r="A1672" s="2" t="s">
        <v>14106</v>
      </c>
      <c r="B1672" s="2" t="s">
        <v>5357</v>
      </c>
      <c r="C1672" s="2" t="s">
        <v>5358</v>
      </c>
      <c r="D1672" s="3">
        <v>291456</v>
      </c>
      <c r="E1672" s="3">
        <v>291456</v>
      </c>
      <c r="F1672" s="2" t="s">
        <v>16</v>
      </c>
      <c r="G1672">
        <v>4.4999999999999998E-2</v>
      </c>
      <c r="H1672" s="9">
        <f t="shared" si="26"/>
        <v>0</v>
      </c>
      <c r="I1672" t="s">
        <v>5357</v>
      </c>
      <c r="J1672" t="s">
        <v>5358</v>
      </c>
    </row>
    <row r="1673" spans="1:10" x14ac:dyDescent="0.3">
      <c r="A1673" s="2" t="s">
        <v>14115</v>
      </c>
      <c r="B1673" s="2" t="s">
        <v>5477</v>
      </c>
      <c r="C1673" s="2" t="s">
        <v>5478</v>
      </c>
      <c r="D1673" s="3">
        <v>26496</v>
      </c>
      <c r="E1673" s="3">
        <v>26496</v>
      </c>
      <c r="F1673" s="2" t="s">
        <v>16</v>
      </c>
      <c r="G1673">
        <v>4.4999999999999998E-2</v>
      </c>
      <c r="H1673" s="9">
        <f t="shared" si="26"/>
        <v>0</v>
      </c>
      <c r="I1673" t="s">
        <v>5357</v>
      </c>
      <c r="J1673" t="s">
        <v>5358</v>
      </c>
    </row>
    <row r="1674" spans="1:10" x14ac:dyDescent="0.3">
      <c r="A1674" s="2" t="s">
        <v>14124</v>
      </c>
      <c r="B1674" s="2" t="s">
        <v>86</v>
      </c>
      <c r="C1674" s="2" t="s">
        <v>87</v>
      </c>
      <c r="D1674" s="5">
        <v>-240</v>
      </c>
      <c r="E1674" s="5">
        <v>-240</v>
      </c>
      <c r="F1674" s="2" t="s">
        <v>23</v>
      </c>
      <c r="G1674">
        <v>1.15E-2</v>
      </c>
      <c r="H1674" s="9">
        <f t="shared" si="26"/>
        <v>-20869.565217391304</v>
      </c>
      <c r="I1674" t="s">
        <v>1667</v>
      </c>
      <c r="J1674" t="s">
        <v>1668</v>
      </c>
    </row>
    <row r="1675" spans="1:10" x14ac:dyDescent="0.3">
      <c r="A1675" s="2" t="s">
        <v>14124</v>
      </c>
      <c r="B1675" s="2" t="s">
        <v>1667</v>
      </c>
      <c r="C1675" s="2" t="s">
        <v>1668</v>
      </c>
      <c r="D1675" s="3">
        <v>730800</v>
      </c>
      <c r="E1675" s="3">
        <v>730800</v>
      </c>
      <c r="F1675" s="2" t="s">
        <v>16</v>
      </c>
      <c r="G1675">
        <v>1.15E-2</v>
      </c>
      <c r="H1675" s="9">
        <f t="shared" si="26"/>
        <v>0</v>
      </c>
      <c r="I1675" t="s">
        <v>1667</v>
      </c>
      <c r="J1675" t="s">
        <v>1668</v>
      </c>
    </row>
    <row r="1676" spans="1:10" x14ac:dyDescent="0.3">
      <c r="A1676" s="2" t="s">
        <v>14137</v>
      </c>
      <c r="B1676" s="2" t="s">
        <v>2127</v>
      </c>
      <c r="C1676" s="2" t="s">
        <v>2128</v>
      </c>
      <c r="D1676" s="3">
        <v>9936</v>
      </c>
      <c r="E1676" s="3">
        <v>9936</v>
      </c>
      <c r="F1676" s="2" t="s">
        <v>16</v>
      </c>
      <c r="G1676">
        <v>3.4000000000000002E-2</v>
      </c>
      <c r="H1676" s="9">
        <f t="shared" si="26"/>
        <v>0</v>
      </c>
      <c r="I1676" t="s">
        <v>2127</v>
      </c>
      <c r="J1676" t="s">
        <v>2128</v>
      </c>
    </row>
    <row r="1677" spans="1:10" x14ac:dyDescent="0.3">
      <c r="A1677" s="2" t="s">
        <v>14146</v>
      </c>
      <c r="B1677" s="2" t="s">
        <v>97</v>
      </c>
      <c r="C1677" s="2" t="s">
        <v>98</v>
      </c>
      <c r="D1677" s="3">
        <v>398400</v>
      </c>
      <c r="E1677" s="3">
        <v>398400</v>
      </c>
      <c r="F1677" s="2" t="s">
        <v>16</v>
      </c>
      <c r="G1677">
        <v>5.1999999999999998E-2</v>
      </c>
      <c r="H1677" s="9">
        <f t="shared" si="26"/>
        <v>0</v>
      </c>
      <c r="I1677" t="s">
        <v>97</v>
      </c>
      <c r="J1677" t="s">
        <v>98</v>
      </c>
    </row>
    <row r="1678" spans="1:10" x14ac:dyDescent="0.3">
      <c r="A1678" s="2" t="s">
        <v>14155</v>
      </c>
      <c r="B1678" s="2" t="s">
        <v>21</v>
      </c>
      <c r="C1678" s="2" t="s">
        <v>22</v>
      </c>
      <c r="D1678" s="5">
        <v>-323</v>
      </c>
      <c r="E1678" s="5">
        <v>-323</v>
      </c>
      <c r="F1678" s="2" t="s">
        <v>23</v>
      </c>
      <c r="G1678">
        <v>3.0499999999999999E-2</v>
      </c>
      <c r="H1678" s="9">
        <f t="shared" si="26"/>
        <v>-10590.163934426229</v>
      </c>
      <c r="I1678" t="s">
        <v>1027</v>
      </c>
      <c r="J1678" t="s">
        <v>1028</v>
      </c>
    </row>
    <row r="1679" spans="1:10" x14ac:dyDescent="0.3">
      <c r="A1679" s="2" t="s">
        <v>14155</v>
      </c>
      <c r="B1679" s="2" t="s">
        <v>1027</v>
      </c>
      <c r="C1679" s="2" t="s">
        <v>1028</v>
      </c>
      <c r="D1679" s="3">
        <v>690300</v>
      </c>
      <c r="E1679" s="3">
        <v>690300</v>
      </c>
      <c r="F1679" s="2" t="s">
        <v>16</v>
      </c>
      <c r="G1679">
        <v>3.0499999999999999E-2</v>
      </c>
      <c r="H1679" s="9">
        <f t="shared" si="26"/>
        <v>0</v>
      </c>
      <c r="I1679" t="s">
        <v>1027</v>
      </c>
      <c r="J1679" t="s">
        <v>1028</v>
      </c>
    </row>
    <row r="1680" spans="1:10" x14ac:dyDescent="0.3">
      <c r="A1680" s="2" t="s">
        <v>14168</v>
      </c>
      <c r="B1680" s="2" t="s">
        <v>65</v>
      </c>
      <c r="C1680" s="2" t="s">
        <v>66</v>
      </c>
      <c r="D1680" s="5">
        <v>-140</v>
      </c>
      <c r="E1680" s="5">
        <v>-140</v>
      </c>
      <c r="F1680" s="2" t="s">
        <v>23</v>
      </c>
      <c r="G1680">
        <v>3.4000000000000002E-2</v>
      </c>
      <c r="H1680" s="9">
        <f t="shared" si="26"/>
        <v>-4117.6470588235288</v>
      </c>
      <c r="I1680" t="s">
        <v>2127</v>
      </c>
      <c r="J1680" t="s">
        <v>2128</v>
      </c>
    </row>
    <row r="1681" spans="1:10" x14ac:dyDescent="0.3">
      <c r="A1681" s="2" t="s">
        <v>14168</v>
      </c>
      <c r="B1681" s="2" t="s">
        <v>2127</v>
      </c>
      <c r="C1681" s="2" t="s">
        <v>2128</v>
      </c>
      <c r="D1681" s="3">
        <v>24840</v>
      </c>
      <c r="E1681" s="3">
        <v>24840</v>
      </c>
      <c r="F1681" s="2" t="s">
        <v>16</v>
      </c>
      <c r="G1681">
        <v>3.4000000000000002E-2</v>
      </c>
      <c r="H1681" s="9">
        <f t="shared" si="26"/>
        <v>0</v>
      </c>
      <c r="I1681" t="s">
        <v>2127</v>
      </c>
      <c r="J1681" t="s">
        <v>2128</v>
      </c>
    </row>
    <row r="1682" spans="1:10" x14ac:dyDescent="0.3">
      <c r="A1682" s="2" t="s">
        <v>14181</v>
      </c>
      <c r="B1682" s="2" t="s">
        <v>86</v>
      </c>
      <c r="C1682" s="2" t="s">
        <v>87</v>
      </c>
      <c r="D1682" s="5">
        <v>-222</v>
      </c>
      <c r="E1682" s="5">
        <v>-222</v>
      </c>
      <c r="F1682" s="2" t="s">
        <v>23</v>
      </c>
      <c r="G1682">
        <v>7.45E-3</v>
      </c>
      <c r="H1682" s="9">
        <f t="shared" si="26"/>
        <v>-29798.657718120805</v>
      </c>
      <c r="I1682" t="s">
        <v>6182</v>
      </c>
      <c r="J1682" t="s">
        <v>6183</v>
      </c>
    </row>
    <row r="1683" spans="1:10" x14ac:dyDescent="0.3">
      <c r="A1683" s="2" t="s">
        <v>14181</v>
      </c>
      <c r="B1683" s="2" t="s">
        <v>6182</v>
      </c>
      <c r="C1683" s="2" t="s">
        <v>6183</v>
      </c>
      <c r="D1683" s="3">
        <v>149400</v>
      </c>
      <c r="E1683" s="3">
        <v>149400</v>
      </c>
      <c r="F1683" s="2" t="s">
        <v>16</v>
      </c>
      <c r="G1683">
        <v>7.45E-3</v>
      </c>
      <c r="H1683" s="9">
        <f t="shared" si="26"/>
        <v>0</v>
      </c>
      <c r="I1683" t="s">
        <v>6182</v>
      </c>
      <c r="J1683" t="s">
        <v>6183</v>
      </c>
    </row>
    <row r="1684" spans="1:10" x14ac:dyDescent="0.3">
      <c r="A1684" s="2" t="s">
        <v>14194</v>
      </c>
      <c r="B1684" s="2" t="s">
        <v>5357</v>
      </c>
      <c r="C1684" s="2" t="s">
        <v>5358</v>
      </c>
      <c r="D1684" s="3">
        <v>317952</v>
      </c>
      <c r="E1684" s="3">
        <v>317952</v>
      </c>
      <c r="F1684" s="2" t="s">
        <v>16</v>
      </c>
      <c r="G1684">
        <v>4.4999999999999998E-2</v>
      </c>
      <c r="H1684" s="9">
        <f t="shared" si="26"/>
        <v>0</v>
      </c>
      <c r="I1684" t="s">
        <v>5357</v>
      </c>
      <c r="J1684" t="s">
        <v>5358</v>
      </c>
    </row>
    <row r="1685" spans="1:10" x14ac:dyDescent="0.3">
      <c r="A1685" s="2" t="s">
        <v>14203</v>
      </c>
      <c r="B1685" s="2" t="s">
        <v>5357</v>
      </c>
      <c r="C1685" s="2" t="s">
        <v>5358</v>
      </c>
      <c r="D1685" s="3">
        <v>99360</v>
      </c>
      <c r="E1685" s="3">
        <v>99360</v>
      </c>
      <c r="F1685" s="2" t="s">
        <v>16</v>
      </c>
      <c r="G1685">
        <v>4.4999999999999998E-2</v>
      </c>
      <c r="H1685" s="9">
        <f t="shared" si="26"/>
        <v>0</v>
      </c>
      <c r="I1685" t="s">
        <v>5357</v>
      </c>
      <c r="J1685" t="s">
        <v>5358</v>
      </c>
    </row>
    <row r="1686" spans="1:10" x14ac:dyDescent="0.3">
      <c r="A1686" s="2" t="s">
        <v>14212</v>
      </c>
      <c r="B1686" s="2" t="s">
        <v>86</v>
      </c>
      <c r="C1686" s="2" t="s">
        <v>87</v>
      </c>
      <c r="D1686" s="5">
        <v>-480</v>
      </c>
      <c r="E1686" s="5">
        <v>-480</v>
      </c>
      <c r="F1686" s="2" t="s">
        <v>23</v>
      </c>
      <c r="G1686">
        <v>1.15E-2</v>
      </c>
      <c r="H1686" s="9">
        <f t="shared" si="26"/>
        <v>-41739.130434782608</v>
      </c>
      <c r="I1686" t="s">
        <v>1667</v>
      </c>
      <c r="J1686" t="s">
        <v>1668</v>
      </c>
    </row>
    <row r="1687" spans="1:10" x14ac:dyDescent="0.3">
      <c r="A1687" s="2" t="s">
        <v>14212</v>
      </c>
      <c r="B1687" s="2" t="s">
        <v>1667</v>
      </c>
      <c r="C1687" s="2" t="s">
        <v>1668</v>
      </c>
      <c r="D1687" s="3">
        <v>1002240</v>
      </c>
      <c r="E1687" s="3">
        <v>1002240</v>
      </c>
      <c r="F1687" s="2" t="s">
        <v>16</v>
      </c>
      <c r="G1687">
        <v>1.15E-2</v>
      </c>
      <c r="H1687" s="9">
        <f t="shared" si="26"/>
        <v>0</v>
      </c>
      <c r="I1687" t="s">
        <v>1667</v>
      </c>
      <c r="J1687" t="s">
        <v>1668</v>
      </c>
    </row>
    <row r="1688" spans="1:10" x14ac:dyDescent="0.3">
      <c r="A1688" s="2" t="s">
        <v>14225</v>
      </c>
      <c r="B1688" s="2" t="s">
        <v>65</v>
      </c>
      <c r="C1688" s="2" t="s">
        <v>66</v>
      </c>
      <c r="D1688" s="5">
        <v>-366</v>
      </c>
      <c r="E1688" s="5">
        <v>-366</v>
      </c>
      <c r="F1688" s="2" t="s">
        <v>23</v>
      </c>
      <c r="G1688">
        <v>5.0999999999999997E-2</v>
      </c>
      <c r="H1688" s="9">
        <f t="shared" si="26"/>
        <v>-7176.4705882352946</v>
      </c>
      <c r="I1688" t="s">
        <v>2115</v>
      </c>
      <c r="J1688" t="s">
        <v>2116</v>
      </c>
    </row>
    <row r="1689" spans="1:10" x14ac:dyDescent="0.3">
      <c r="A1689" s="2" t="s">
        <v>14225</v>
      </c>
      <c r="B1689" s="2" t="s">
        <v>2115</v>
      </c>
      <c r="C1689" s="2" t="s">
        <v>2116</v>
      </c>
      <c r="D1689" s="3">
        <v>25200</v>
      </c>
      <c r="E1689" s="3">
        <v>25200</v>
      </c>
      <c r="F1689" s="2" t="s">
        <v>16</v>
      </c>
      <c r="G1689">
        <v>5.0999999999999997E-2</v>
      </c>
      <c r="H1689" s="9">
        <f t="shared" si="26"/>
        <v>0</v>
      </c>
      <c r="I1689" t="s">
        <v>2115</v>
      </c>
      <c r="J1689" t="s">
        <v>2116</v>
      </c>
    </row>
    <row r="1690" spans="1:10" x14ac:dyDescent="0.3">
      <c r="A1690" s="2" t="s">
        <v>14238</v>
      </c>
      <c r="B1690" s="2" t="s">
        <v>65</v>
      </c>
      <c r="C1690" s="2" t="s">
        <v>66</v>
      </c>
      <c r="D1690" s="5">
        <v>-135</v>
      </c>
      <c r="E1690" s="5">
        <v>-135</v>
      </c>
      <c r="F1690" s="2" t="s">
        <v>23</v>
      </c>
      <c r="G1690">
        <v>1.2699999999999999E-2</v>
      </c>
      <c r="H1690" s="9">
        <f t="shared" si="26"/>
        <v>-10629.92125984252</v>
      </c>
      <c r="I1690" t="s">
        <v>2611</v>
      </c>
      <c r="J1690" t="s">
        <v>2612</v>
      </c>
    </row>
    <row r="1691" spans="1:10" x14ac:dyDescent="0.3">
      <c r="A1691" s="2" t="s">
        <v>14238</v>
      </c>
      <c r="B1691" s="2" t="s">
        <v>2611</v>
      </c>
      <c r="C1691" s="2" t="s">
        <v>2612</v>
      </c>
      <c r="D1691" s="3">
        <v>53280</v>
      </c>
      <c r="E1691" s="3">
        <v>53280</v>
      </c>
      <c r="F1691" s="2" t="s">
        <v>16</v>
      </c>
      <c r="G1691">
        <v>1.2699999999999999E-2</v>
      </c>
      <c r="H1691" s="9">
        <f t="shared" si="26"/>
        <v>0</v>
      </c>
      <c r="I1691" t="s">
        <v>2611</v>
      </c>
      <c r="J1691" t="s">
        <v>2612</v>
      </c>
    </row>
    <row r="1692" spans="1:10" x14ac:dyDescent="0.3">
      <c r="A1692" s="2" t="s">
        <v>14251</v>
      </c>
      <c r="B1692" s="2" t="s">
        <v>293</v>
      </c>
      <c r="C1692" s="2" t="s">
        <v>294</v>
      </c>
      <c r="D1692" s="3">
        <v>10656</v>
      </c>
      <c r="E1692" s="3">
        <v>10656</v>
      </c>
      <c r="F1692" s="2" t="s">
        <v>16</v>
      </c>
      <c r="G1692">
        <v>1.2699999999999999E-2</v>
      </c>
      <c r="H1692" s="9">
        <f t="shared" si="26"/>
        <v>0</v>
      </c>
      <c r="I1692" t="s">
        <v>293</v>
      </c>
      <c r="J1692" t="s">
        <v>294</v>
      </c>
    </row>
    <row r="1693" spans="1:10" x14ac:dyDescent="0.3">
      <c r="A1693" s="2" t="s">
        <v>14260</v>
      </c>
      <c r="B1693" s="2" t="s">
        <v>1667</v>
      </c>
      <c r="C1693" s="2" t="s">
        <v>1668</v>
      </c>
      <c r="D1693" s="3">
        <v>334080</v>
      </c>
      <c r="E1693" s="3">
        <v>334080</v>
      </c>
      <c r="F1693" s="2" t="s">
        <v>16</v>
      </c>
      <c r="G1693">
        <v>1.15E-2</v>
      </c>
      <c r="H1693" s="9">
        <f t="shared" si="26"/>
        <v>0</v>
      </c>
      <c r="I1693" t="s">
        <v>1667</v>
      </c>
      <c r="J1693" t="s">
        <v>1668</v>
      </c>
    </row>
    <row r="1694" spans="1:10" x14ac:dyDescent="0.3">
      <c r="A1694" s="2" t="s">
        <v>14269</v>
      </c>
      <c r="B1694" s="2" t="s">
        <v>341</v>
      </c>
      <c r="C1694" s="2" t="s">
        <v>342</v>
      </c>
      <c r="D1694" s="3">
        <v>15120</v>
      </c>
      <c r="E1694" s="3">
        <v>15120</v>
      </c>
      <c r="F1694" s="2" t="s">
        <v>16</v>
      </c>
      <c r="G1694">
        <v>0</v>
      </c>
      <c r="H1694" s="9">
        <f t="shared" si="26"/>
        <v>0</v>
      </c>
      <c r="I1694" t="s">
        <v>86</v>
      </c>
      <c r="J1694" t="s">
        <v>87</v>
      </c>
    </row>
    <row r="1695" spans="1:10" x14ac:dyDescent="0.3">
      <c r="A1695" s="2" t="s">
        <v>14273</v>
      </c>
      <c r="B1695" s="2" t="s">
        <v>426</v>
      </c>
      <c r="C1695" s="2" t="s">
        <v>427</v>
      </c>
      <c r="D1695" s="3">
        <v>6624</v>
      </c>
      <c r="E1695" s="3">
        <v>6624</v>
      </c>
      <c r="F1695" s="2" t="s">
        <v>16</v>
      </c>
      <c r="G1695">
        <v>0</v>
      </c>
      <c r="H1695" s="9">
        <f t="shared" si="26"/>
        <v>0</v>
      </c>
      <c r="I1695" t="s">
        <v>65</v>
      </c>
      <c r="J1695" t="s">
        <v>66</v>
      </c>
    </row>
    <row r="1696" spans="1:10" x14ac:dyDescent="0.3">
      <c r="A1696" s="2" t="s">
        <v>14277</v>
      </c>
      <c r="B1696" s="2" t="s">
        <v>740</v>
      </c>
      <c r="C1696" s="2" t="s">
        <v>741</v>
      </c>
      <c r="D1696" s="3">
        <v>10620</v>
      </c>
      <c r="E1696" s="3">
        <v>10620</v>
      </c>
      <c r="F1696" s="2" t="s">
        <v>16</v>
      </c>
      <c r="G1696">
        <v>0</v>
      </c>
      <c r="H1696" s="9">
        <f t="shared" si="26"/>
        <v>0</v>
      </c>
      <c r="I1696" t="s">
        <v>65</v>
      </c>
      <c r="J1696" t="s">
        <v>66</v>
      </c>
    </row>
    <row r="1697" spans="1:10" x14ac:dyDescent="0.3">
      <c r="A1697" s="2" t="s">
        <v>14281</v>
      </c>
      <c r="B1697" s="2" t="s">
        <v>5357</v>
      </c>
      <c r="C1697" s="2" t="s">
        <v>5358</v>
      </c>
      <c r="D1697" s="3">
        <v>6624</v>
      </c>
      <c r="E1697" s="3">
        <v>6624</v>
      </c>
      <c r="F1697" s="2" t="s">
        <v>16</v>
      </c>
      <c r="G1697">
        <v>0</v>
      </c>
      <c r="H1697" s="9">
        <f t="shared" si="26"/>
        <v>0</v>
      </c>
      <c r="I1697" t="s">
        <v>21</v>
      </c>
      <c r="J1697" t="s">
        <v>22</v>
      </c>
    </row>
    <row r="1698" spans="1:10" x14ac:dyDescent="0.3">
      <c r="A1698" s="2" t="s">
        <v>14285</v>
      </c>
      <c r="B1698" s="2" t="s">
        <v>2475</v>
      </c>
      <c r="C1698" s="2" t="s">
        <v>2476</v>
      </c>
      <c r="D1698" s="3">
        <v>6624</v>
      </c>
      <c r="E1698" s="3">
        <v>6624</v>
      </c>
      <c r="F1698" s="2" t="s">
        <v>16</v>
      </c>
      <c r="G1698">
        <v>0</v>
      </c>
      <c r="H1698" s="9">
        <f t="shared" si="26"/>
        <v>0</v>
      </c>
      <c r="I1698" t="s">
        <v>21</v>
      </c>
      <c r="J1698" t="s">
        <v>22</v>
      </c>
    </row>
    <row r="1699" spans="1:10" x14ac:dyDescent="0.3">
      <c r="A1699" s="2" t="s">
        <v>14289</v>
      </c>
      <c r="B1699" s="2" t="s">
        <v>5357</v>
      </c>
      <c r="C1699" s="2" t="s">
        <v>5358</v>
      </c>
      <c r="D1699" s="3">
        <v>635904</v>
      </c>
      <c r="E1699" s="3">
        <v>635904</v>
      </c>
      <c r="F1699" s="2" t="s">
        <v>16</v>
      </c>
      <c r="G1699">
        <v>4.4999999999999998E-2</v>
      </c>
      <c r="H1699" s="9">
        <f t="shared" si="26"/>
        <v>0</v>
      </c>
      <c r="I1699" t="s">
        <v>5357</v>
      </c>
      <c r="J1699" t="s">
        <v>5358</v>
      </c>
    </row>
    <row r="1700" spans="1:10" x14ac:dyDescent="0.3">
      <c r="A1700" s="2" t="s">
        <v>14298</v>
      </c>
      <c r="B1700" s="2" t="s">
        <v>86</v>
      </c>
      <c r="C1700" s="2" t="s">
        <v>87</v>
      </c>
      <c r="D1700" s="5">
        <v>-240</v>
      </c>
      <c r="E1700" s="5">
        <v>-240</v>
      </c>
      <c r="F1700" s="2" t="s">
        <v>23</v>
      </c>
      <c r="G1700">
        <v>1.15E-2</v>
      </c>
      <c r="H1700" s="9">
        <f t="shared" si="26"/>
        <v>-20869.565217391304</v>
      </c>
      <c r="I1700" t="s">
        <v>1667</v>
      </c>
      <c r="J1700" t="s">
        <v>1668</v>
      </c>
    </row>
    <row r="1701" spans="1:10" x14ac:dyDescent="0.3">
      <c r="A1701" s="2" t="s">
        <v>14298</v>
      </c>
      <c r="B1701" s="2" t="s">
        <v>1667</v>
      </c>
      <c r="C1701" s="2" t="s">
        <v>1668</v>
      </c>
      <c r="D1701" s="3">
        <v>563760</v>
      </c>
      <c r="E1701" s="3">
        <v>563760</v>
      </c>
      <c r="F1701" s="2" t="s">
        <v>16</v>
      </c>
      <c r="G1701">
        <v>1.15E-2</v>
      </c>
      <c r="H1701" s="9">
        <f t="shared" si="26"/>
        <v>0</v>
      </c>
      <c r="I1701" t="s">
        <v>1667</v>
      </c>
      <c r="J1701" t="s">
        <v>1668</v>
      </c>
    </row>
    <row r="1702" spans="1:10" x14ac:dyDescent="0.3">
      <c r="A1702" s="2" t="s">
        <v>14311</v>
      </c>
      <c r="B1702" s="2" t="s">
        <v>86</v>
      </c>
      <c r="C1702" s="2" t="s">
        <v>87</v>
      </c>
      <c r="D1702" s="5">
        <v>-240</v>
      </c>
      <c r="E1702" s="5">
        <v>-240</v>
      </c>
      <c r="F1702" s="2" t="s">
        <v>23</v>
      </c>
      <c r="G1702">
        <v>1.15E-2</v>
      </c>
      <c r="H1702" s="9">
        <f t="shared" si="26"/>
        <v>-20869.565217391304</v>
      </c>
      <c r="I1702" t="s">
        <v>1667</v>
      </c>
      <c r="J1702" t="s">
        <v>1668</v>
      </c>
    </row>
    <row r="1703" spans="1:10" x14ac:dyDescent="0.3">
      <c r="A1703" s="2" t="s">
        <v>14311</v>
      </c>
      <c r="B1703" s="2" t="s">
        <v>1667</v>
      </c>
      <c r="C1703" s="2" t="s">
        <v>1668</v>
      </c>
      <c r="D1703" s="3">
        <v>292320</v>
      </c>
      <c r="E1703" s="3">
        <v>292320</v>
      </c>
      <c r="F1703" s="2" t="s">
        <v>16</v>
      </c>
      <c r="G1703">
        <v>1.15E-2</v>
      </c>
      <c r="H1703" s="9">
        <f t="shared" si="26"/>
        <v>0</v>
      </c>
      <c r="I1703" t="s">
        <v>1667</v>
      </c>
      <c r="J1703" t="s">
        <v>1668</v>
      </c>
    </row>
    <row r="1704" spans="1:10" x14ac:dyDescent="0.3">
      <c r="A1704" s="2" t="s">
        <v>14324</v>
      </c>
      <c r="B1704" s="2" t="s">
        <v>2934</v>
      </c>
      <c r="C1704" s="2" t="s">
        <v>2935</v>
      </c>
      <c r="D1704" s="3">
        <v>32832</v>
      </c>
      <c r="E1704" s="3">
        <v>32832</v>
      </c>
      <c r="F1704" s="2" t="s">
        <v>16</v>
      </c>
      <c r="G1704">
        <v>1.7999999999999999E-2</v>
      </c>
      <c r="H1704" s="9">
        <f t="shared" si="26"/>
        <v>0</v>
      </c>
      <c r="I1704" t="s">
        <v>2934</v>
      </c>
      <c r="J1704" t="s">
        <v>2935</v>
      </c>
    </row>
    <row r="1705" spans="1:10" x14ac:dyDescent="0.3">
      <c r="A1705" s="2" t="s">
        <v>14333</v>
      </c>
      <c r="B1705" s="2" t="s">
        <v>65</v>
      </c>
      <c r="C1705" s="2" t="s">
        <v>66</v>
      </c>
      <c r="D1705" s="5">
        <v>-183</v>
      </c>
      <c r="E1705" s="5">
        <v>-183</v>
      </c>
      <c r="F1705" s="2" t="s">
        <v>23</v>
      </c>
      <c r="G1705">
        <v>5.0999999999999997E-2</v>
      </c>
      <c r="H1705" s="9">
        <f t="shared" si="26"/>
        <v>-3588.2352941176473</v>
      </c>
      <c r="I1705" t="s">
        <v>2115</v>
      </c>
      <c r="J1705" t="s">
        <v>2116</v>
      </c>
    </row>
    <row r="1706" spans="1:10" x14ac:dyDescent="0.3">
      <c r="A1706" s="2" t="s">
        <v>14333</v>
      </c>
      <c r="B1706" s="2" t="s">
        <v>2115</v>
      </c>
      <c r="C1706" s="2" t="s">
        <v>2116</v>
      </c>
      <c r="D1706" s="3">
        <v>14400</v>
      </c>
      <c r="E1706" s="3">
        <v>14400</v>
      </c>
      <c r="F1706" s="2" t="s">
        <v>16</v>
      </c>
      <c r="G1706">
        <v>5.0999999999999997E-2</v>
      </c>
      <c r="H1706" s="9">
        <f t="shared" si="26"/>
        <v>0</v>
      </c>
      <c r="I1706" t="s">
        <v>2115</v>
      </c>
      <c r="J1706" t="s">
        <v>2116</v>
      </c>
    </row>
    <row r="1707" spans="1:10" x14ac:dyDescent="0.3">
      <c r="A1707" s="2" t="s">
        <v>14346</v>
      </c>
      <c r="B1707" s="2" t="s">
        <v>11068</v>
      </c>
      <c r="C1707" s="2" t="s">
        <v>11069</v>
      </c>
      <c r="D1707" s="3">
        <v>180540</v>
      </c>
      <c r="E1707" s="3">
        <v>180540</v>
      </c>
      <c r="F1707" s="2" t="s">
        <v>16</v>
      </c>
      <c r="G1707">
        <v>3.0499999999999999E-2</v>
      </c>
      <c r="H1707" s="9">
        <f t="shared" si="26"/>
        <v>0</v>
      </c>
      <c r="I1707" t="s">
        <v>11068</v>
      </c>
      <c r="J1707" t="s">
        <v>11069</v>
      </c>
    </row>
    <row r="1708" spans="1:10" x14ac:dyDescent="0.3">
      <c r="A1708" s="2" t="s">
        <v>14355</v>
      </c>
      <c r="B1708" s="2" t="s">
        <v>5357</v>
      </c>
      <c r="C1708" s="2" t="s">
        <v>5358</v>
      </c>
      <c r="D1708" s="3">
        <v>231840</v>
      </c>
      <c r="E1708" s="3">
        <v>231840</v>
      </c>
      <c r="F1708" s="2" t="s">
        <v>16</v>
      </c>
      <c r="G1708">
        <v>4.4999999999999998E-2</v>
      </c>
      <c r="H1708" s="9">
        <f t="shared" si="26"/>
        <v>0</v>
      </c>
      <c r="I1708" t="s">
        <v>5357</v>
      </c>
      <c r="J1708" t="s">
        <v>5358</v>
      </c>
    </row>
    <row r="1709" spans="1:10" x14ac:dyDescent="0.3">
      <c r="A1709" s="2" t="s">
        <v>14364</v>
      </c>
      <c r="B1709" s="2" t="s">
        <v>1027</v>
      </c>
      <c r="C1709" s="2" t="s">
        <v>1028</v>
      </c>
      <c r="D1709" s="3">
        <v>361080</v>
      </c>
      <c r="E1709" s="3">
        <v>361080</v>
      </c>
      <c r="F1709" s="2" t="s">
        <v>16</v>
      </c>
      <c r="G1709">
        <v>3.0499999999999999E-2</v>
      </c>
      <c r="H1709" s="9">
        <f t="shared" si="26"/>
        <v>0</v>
      </c>
      <c r="I1709" t="s">
        <v>1027</v>
      </c>
      <c r="J1709" t="s">
        <v>1028</v>
      </c>
    </row>
    <row r="1710" spans="1:10" x14ac:dyDescent="0.3">
      <c r="A1710" s="2" t="s">
        <v>14373</v>
      </c>
      <c r="B1710" s="2" t="s">
        <v>1093</v>
      </c>
      <c r="C1710" s="2" t="s">
        <v>1094</v>
      </c>
      <c r="D1710" s="3">
        <v>2004480</v>
      </c>
      <c r="E1710" s="3">
        <v>2004480</v>
      </c>
      <c r="F1710" s="2" t="s">
        <v>16</v>
      </c>
      <c r="G1710">
        <v>1.2500000000000001E-2</v>
      </c>
      <c r="H1710" s="9">
        <f t="shared" si="26"/>
        <v>0</v>
      </c>
      <c r="I1710" t="s">
        <v>1093</v>
      </c>
      <c r="J1710" t="s">
        <v>1094</v>
      </c>
    </row>
    <row r="1711" spans="1:10" x14ac:dyDescent="0.3">
      <c r="A1711" s="2" t="s">
        <v>14382</v>
      </c>
      <c r="B1711" s="2" t="s">
        <v>1093</v>
      </c>
      <c r="C1711" s="2" t="s">
        <v>1094</v>
      </c>
      <c r="D1711" s="3">
        <v>20880</v>
      </c>
      <c r="E1711" s="3">
        <v>20880</v>
      </c>
      <c r="F1711" s="2" t="s">
        <v>16</v>
      </c>
      <c r="G1711">
        <v>1.2500000000000001E-2</v>
      </c>
      <c r="H1711" s="9">
        <f t="shared" si="26"/>
        <v>0</v>
      </c>
      <c r="I1711" t="s">
        <v>1093</v>
      </c>
      <c r="J1711" t="s">
        <v>1094</v>
      </c>
    </row>
    <row r="1712" spans="1:10" x14ac:dyDescent="0.3">
      <c r="A1712" s="2" t="s">
        <v>14387</v>
      </c>
      <c r="B1712" s="2" t="s">
        <v>517</v>
      </c>
      <c r="C1712" s="2" t="s">
        <v>518</v>
      </c>
      <c r="D1712" s="3">
        <v>171360</v>
      </c>
      <c r="E1712" s="3">
        <v>171360</v>
      </c>
      <c r="F1712" s="2" t="s">
        <v>16</v>
      </c>
      <c r="G1712">
        <v>2.6600000000000002E-2</v>
      </c>
      <c r="H1712" s="9">
        <f t="shared" si="26"/>
        <v>0</v>
      </c>
      <c r="I1712" t="s">
        <v>517</v>
      </c>
      <c r="J1712" t="s">
        <v>518</v>
      </c>
    </row>
    <row r="1713" spans="1:10" x14ac:dyDescent="0.3">
      <c r="A1713" s="2" t="s">
        <v>14392</v>
      </c>
      <c r="B1713" s="2" t="s">
        <v>1027</v>
      </c>
      <c r="C1713" s="2" t="s">
        <v>1028</v>
      </c>
      <c r="D1713" s="3">
        <v>700920</v>
      </c>
      <c r="E1713" s="3">
        <v>700920</v>
      </c>
      <c r="F1713" s="2" t="s">
        <v>16</v>
      </c>
      <c r="G1713">
        <v>3.0499999999999999E-2</v>
      </c>
      <c r="H1713" s="9">
        <f t="shared" si="26"/>
        <v>0</v>
      </c>
      <c r="I1713" t="s">
        <v>1027</v>
      </c>
      <c r="J1713" t="s">
        <v>1028</v>
      </c>
    </row>
    <row r="1714" spans="1:10" x14ac:dyDescent="0.3">
      <c r="A1714" s="2" t="s">
        <v>14397</v>
      </c>
      <c r="B1714" s="2" t="s">
        <v>5357</v>
      </c>
      <c r="C1714" s="2" t="s">
        <v>5358</v>
      </c>
      <c r="D1714" s="3">
        <v>423936</v>
      </c>
      <c r="E1714" s="3">
        <v>423936</v>
      </c>
      <c r="F1714" s="2" t="s">
        <v>16</v>
      </c>
      <c r="G1714">
        <v>4.4999999999999998E-2</v>
      </c>
      <c r="H1714" s="9">
        <f t="shared" si="26"/>
        <v>0</v>
      </c>
      <c r="I1714" t="s">
        <v>5357</v>
      </c>
      <c r="J1714" t="s">
        <v>5358</v>
      </c>
    </row>
    <row r="1715" spans="1:10" x14ac:dyDescent="0.3">
      <c r="A1715" s="2" t="s">
        <v>14402</v>
      </c>
      <c r="B1715" s="2" t="s">
        <v>2086</v>
      </c>
      <c r="C1715" s="2" t="s">
        <v>2087</v>
      </c>
      <c r="D1715" s="3">
        <v>25344</v>
      </c>
      <c r="E1715" s="3">
        <v>25344</v>
      </c>
      <c r="F1715" s="2" t="s">
        <v>16</v>
      </c>
      <c r="G1715">
        <v>3.5999999999999997E-2</v>
      </c>
      <c r="H1715" s="9">
        <f t="shared" si="26"/>
        <v>0</v>
      </c>
      <c r="I1715" t="s">
        <v>2086</v>
      </c>
      <c r="J1715" t="s">
        <v>2087</v>
      </c>
    </row>
    <row r="1716" spans="1:10" x14ac:dyDescent="0.3">
      <c r="A1716" s="2" t="s">
        <v>14407</v>
      </c>
      <c r="B1716" s="2" t="s">
        <v>517</v>
      </c>
      <c r="C1716" s="2" t="s">
        <v>518</v>
      </c>
      <c r="D1716" s="3">
        <v>493920</v>
      </c>
      <c r="E1716" s="3">
        <v>493920</v>
      </c>
      <c r="F1716" s="2" t="s">
        <v>16</v>
      </c>
      <c r="G1716">
        <v>2.6600000000000002E-2</v>
      </c>
      <c r="H1716" s="9">
        <f t="shared" si="26"/>
        <v>0</v>
      </c>
      <c r="I1716" t="s">
        <v>517</v>
      </c>
      <c r="J1716" t="s">
        <v>518</v>
      </c>
    </row>
    <row r="1717" spans="1:10" x14ac:dyDescent="0.3">
      <c r="A1717" s="2" t="s">
        <v>14412</v>
      </c>
      <c r="B1717" s="2" t="s">
        <v>1027</v>
      </c>
      <c r="C1717" s="2" t="s">
        <v>1028</v>
      </c>
      <c r="D1717" s="3">
        <v>658440</v>
      </c>
      <c r="E1717" s="3">
        <v>658440</v>
      </c>
      <c r="F1717" s="2" t="s">
        <v>16</v>
      </c>
      <c r="G1717">
        <v>3.0499999999999999E-2</v>
      </c>
      <c r="H1717" s="9">
        <f t="shared" si="26"/>
        <v>0</v>
      </c>
      <c r="I1717" t="s">
        <v>1027</v>
      </c>
      <c r="J1717" t="s">
        <v>1028</v>
      </c>
    </row>
    <row r="1718" spans="1:10" x14ac:dyDescent="0.3">
      <c r="A1718" s="2" t="s">
        <v>14429</v>
      </c>
      <c r="B1718" s="2" t="s">
        <v>5357</v>
      </c>
      <c r="C1718" s="2" t="s">
        <v>5358</v>
      </c>
      <c r="D1718" s="3">
        <v>417312</v>
      </c>
      <c r="E1718" s="3">
        <v>417312</v>
      </c>
      <c r="F1718" s="2" t="s">
        <v>16</v>
      </c>
      <c r="G1718">
        <v>4.4999999999999998E-2</v>
      </c>
      <c r="H1718" s="9">
        <f t="shared" si="26"/>
        <v>0</v>
      </c>
      <c r="I1718" t="s">
        <v>5357</v>
      </c>
      <c r="J1718" t="s">
        <v>5358</v>
      </c>
    </row>
    <row r="1719" spans="1:10" x14ac:dyDescent="0.3">
      <c r="A1719" s="2" t="s">
        <v>14446</v>
      </c>
      <c r="B1719" s="2" t="s">
        <v>1027</v>
      </c>
      <c r="C1719" s="2" t="s">
        <v>1028</v>
      </c>
      <c r="D1719" s="3">
        <v>148680</v>
      </c>
      <c r="E1719" s="3">
        <v>148680</v>
      </c>
      <c r="F1719" s="2" t="s">
        <v>16</v>
      </c>
      <c r="G1719">
        <v>3.0499999999999999E-2</v>
      </c>
      <c r="H1719" s="9">
        <f t="shared" si="26"/>
        <v>0</v>
      </c>
      <c r="I1719" t="s">
        <v>1027</v>
      </c>
      <c r="J1719" t="s">
        <v>1028</v>
      </c>
    </row>
    <row r="1720" spans="1:10" x14ac:dyDescent="0.3">
      <c r="A1720" s="2" t="s">
        <v>14463</v>
      </c>
      <c r="B1720" s="2" t="s">
        <v>740</v>
      </c>
      <c r="C1720" s="2" t="s">
        <v>741</v>
      </c>
      <c r="D1720" s="3">
        <v>509760</v>
      </c>
      <c r="E1720" s="3">
        <v>509760</v>
      </c>
      <c r="F1720" s="2" t="s">
        <v>16</v>
      </c>
      <c r="G1720">
        <v>3.0499999999999999E-2</v>
      </c>
      <c r="H1720" s="9">
        <f t="shared" si="26"/>
        <v>0</v>
      </c>
      <c r="I1720" t="s">
        <v>740</v>
      </c>
      <c r="J1720" t="s">
        <v>741</v>
      </c>
    </row>
    <row r="1721" spans="1:10" x14ac:dyDescent="0.3">
      <c r="A1721" s="2" t="s">
        <v>14468</v>
      </c>
      <c r="B1721" s="2" t="s">
        <v>1027</v>
      </c>
      <c r="C1721" s="2" t="s">
        <v>1028</v>
      </c>
      <c r="D1721" s="3">
        <v>541620</v>
      </c>
      <c r="E1721" s="3">
        <v>541620</v>
      </c>
      <c r="F1721" s="2" t="s">
        <v>16</v>
      </c>
      <c r="G1721">
        <v>3.0499999999999999E-2</v>
      </c>
      <c r="H1721" s="9">
        <f t="shared" si="26"/>
        <v>0</v>
      </c>
      <c r="I1721" t="s">
        <v>1027</v>
      </c>
      <c r="J1721" t="s">
        <v>1028</v>
      </c>
    </row>
    <row r="1722" spans="1:10" x14ac:dyDescent="0.3">
      <c r="A1722" s="2" t="s">
        <v>14473</v>
      </c>
      <c r="B1722" s="2" t="s">
        <v>517</v>
      </c>
      <c r="C1722" s="2" t="s">
        <v>518</v>
      </c>
      <c r="D1722" s="3">
        <v>413280</v>
      </c>
      <c r="E1722" s="3">
        <v>413280</v>
      </c>
      <c r="F1722" s="2" t="s">
        <v>16</v>
      </c>
      <c r="G1722">
        <v>2.6600000000000002E-2</v>
      </c>
      <c r="H1722" s="9">
        <f t="shared" si="26"/>
        <v>0</v>
      </c>
      <c r="I1722" t="s">
        <v>517</v>
      </c>
      <c r="J1722" t="s">
        <v>518</v>
      </c>
    </row>
    <row r="1723" spans="1:10" x14ac:dyDescent="0.3">
      <c r="A1723" s="2" t="s">
        <v>14478</v>
      </c>
      <c r="B1723" s="2" t="s">
        <v>5357</v>
      </c>
      <c r="C1723" s="2" t="s">
        <v>5358</v>
      </c>
      <c r="D1723" s="3">
        <v>86112</v>
      </c>
      <c r="E1723" s="3">
        <v>86112</v>
      </c>
      <c r="F1723" s="2" t="s">
        <v>16</v>
      </c>
      <c r="G1723">
        <v>4.4999999999999998E-2</v>
      </c>
      <c r="H1723" s="9">
        <f t="shared" si="26"/>
        <v>0</v>
      </c>
      <c r="I1723" t="s">
        <v>5357</v>
      </c>
      <c r="J1723" t="s">
        <v>5358</v>
      </c>
    </row>
    <row r="1724" spans="1:10" x14ac:dyDescent="0.3">
      <c r="A1724" s="2" t="s">
        <v>14495</v>
      </c>
      <c r="B1724" s="2" t="s">
        <v>97</v>
      </c>
      <c r="C1724" s="2" t="s">
        <v>98</v>
      </c>
      <c r="D1724" s="3">
        <v>264000</v>
      </c>
      <c r="E1724" s="3">
        <v>264000</v>
      </c>
      <c r="F1724" s="2" t="s">
        <v>16</v>
      </c>
      <c r="G1724">
        <v>5.1999999999999998E-2</v>
      </c>
      <c r="H1724" s="9">
        <f t="shared" si="26"/>
        <v>0</v>
      </c>
      <c r="I1724" t="s">
        <v>97</v>
      </c>
      <c r="J1724" t="s">
        <v>98</v>
      </c>
    </row>
    <row r="1725" spans="1:10" x14ac:dyDescent="0.3">
      <c r="A1725" s="2" t="s">
        <v>14509</v>
      </c>
      <c r="B1725" s="2" t="s">
        <v>1027</v>
      </c>
      <c r="C1725" s="2" t="s">
        <v>1028</v>
      </c>
      <c r="D1725" s="3">
        <v>669060</v>
      </c>
      <c r="E1725" s="3">
        <v>669060</v>
      </c>
      <c r="F1725" s="2" t="s">
        <v>16</v>
      </c>
      <c r="G1725">
        <v>3.0499999999999999E-2</v>
      </c>
      <c r="H1725" s="9">
        <f t="shared" si="26"/>
        <v>0</v>
      </c>
      <c r="I1725" t="s">
        <v>1027</v>
      </c>
      <c r="J1725" t="s">
        <v>1028</v>
      </c>
    </row>
    <row r="1726" spans="1:10" x14ac:dyDescent="0.3">
      <c r="A1726" s="2" t="s">
        <v>14514</v>
      </c>
      <c r="B1726" s="2" t="s">
        <v>517</v>
      </c>
      <c r="C1726" s="2" t="s">
        <v>518</v>
      </c>
      <c r="D1726" s="3">
        <v>393120</v>
      </c>
      <c r="E1726" s="3">
        <v>393120</v>
      </c>
      <c r="F1726" s="2" t="s">
        <v>16</v>
      </c>
      <c r="G1726">
        <v>2.6600000000000002E-2</v>
      </c>
      <c r="H1726" s="9">
        <f t="shared" si="26"/>
        <v>0</v>
      </c>
      <c r="I1726" t="s">
        <v>517</v>
      </c>
      <c r="J1726" t="s">
        <v>518</v>
      </c>
    </row>
    <row r="1727" spans="1:10" x14ac:dyDescent="0.3">
      <c r="A1727" s="2" t="s">
        <v>14519</v>
      </c>
      <c r="B1727" s="2" t="s">
        <v>740</v>
      </c>
      <c r="C1727" s="2" t="s">
        <v>741</v>
      </c>
      <c r="D1727" s="3">
        <v>807120</v>
      </c>
      <c r="E1727" s="3">
        <v>807120</v>
      </c>
      <c r="F1727" s="2" t="s">
        <v>16</v>
      </c>
      <c r="G1727">
        <v>3.0499999999999999E-2</v>
      </c>
      <c r="H1727" s="9">
        <f t="shared" si="26"/>
        <v>0</v>
      </c>
      <c r="I1727" t="s">
        <v>740</v>
      </c>
      <c r="J1727" t="s">
        <v>741</v>
      </c>
    </row>
    <row r="1728" spans="1:10" x14ac:dyDescent="0.3">
      <c r="A1728" s="2" t="s">
        <v>14524</v>
      </c>
      <c r="B1728" s="2" t="s">
        <v>97</v>
      </c>
      <c r="C1728" s="2" t="s">
        <v>98</v>
      </c>
      <c r="D1728" s="3">
        <v>384000</v>
      </c>
      <c r="E1728" s="3">
        <v>384000</v>
      </c>
      <c r="F1728" s="2" t="s">
        <v>16</v>
      </c>
      <c r="G1728">
        <v>5.1999999999999998E-2</v>
      </c>
      <c r="H1728" s="9">
        <f t="shared" si="26"/>
        <v>0</v>
      </c>
      <c r="I1728" t="e">
        <v>#N/A</v>
      </c>
      <c r="J1728" t="e">
        <v>#N/A</v>
      </c>
    </row>
    <row r="1729" spans="1:10" x14ac:dyDescent="0.3">
      <c r="A1729" s="2" t="s">
        <v>14542</v>
      </c>
      <c r="B1729" s="2" t="s">
        <v>1027</v>
      </c>
      <c r="C1729" s="2" t="s">
        <v>1028</v>
      </c>
      <c r="D1729" s="3">
        <v>584100</v>
      </c>
      <c r="E1729" s="3">
        <v>584100</v>
      </c>
      <c r="F1729" s="2" t="s">
        <v>16</v>
      </c>
      <c r="G1729">
        <v>3.0499999999999999E-2</v>
      </c>
      <c r="H1729" s="9">
        <f t="shared" si="26"/>
        <v>0</v>
      </c>
      <c r="I1729" t="s">
        <v>1027</v>
      </c>
      <c r="J1729" t="s">
        <v>1028</v>
      </c>
    </row>
    <row r="1730" spans="1:10" x14ac:dyDescent="0.3">
      <c r="A1730" s="2" t="s">
        <v>14542</v>
      </c>
      <c r="B1730" s="2" t="s">
        <v>21</v>
      </c>
      <c r="C1730" s="2" t="s">
        <v>22</v>
      </c>
      <c r="D1730" s="5">
        <v>-3230</v>
      </c>
      <c r="E1730" s="5">
        <v>-3230</v>
      </c>
      <c r="F1730" s="2" t="s">
        <v>23</v>
      </c>
      <c r="G1730">
        <v>3.0499999999999999E-2</v>
      </c>
      <c r="H1730" s="9">
        <f t="shared" si="26"/>
        <v>-105901.63934426229</v>
      </c>
      <c r="I1730" t="s">
        <v>1027</v>
      </c>
      <c r="J1730" t="s">
        <v>1028</v>
      </c>
    </row>
    <row r="1731" spans="1:10" x14ac:dyDescent="0.3">
      <c r="A1731" s="2" t="s">
        <v>14563</v>
      </c>
      <c r="B1731" s="2" t="s">
        <v>740</v>
      </c>
      <c r="C1731" s="2" t="s">
        <v>741</v>
      </c>
      <c r="D1731" s="3">
        <v>870840</v>
      </c>
      <c r="E1731" s="3">
        <v>870840</v>
      </c>
      <c r="F1731" s="2" t="s">
        <v>16</v>
      </c>
      <c r="G1731">
        <v>3.0499999999999999E-2</v>
      </c>
      <c r="H1731" s="9">
        <f t="shared" ref="H1731:H1793" si="27">IFERROR(IF(LEFT(B1731,1)="F",E1731/G1731,0),0)</f>
        <v>0</v>
      </c>
      <c r="I1731" t="s">
        <v>740</v>
      </c>
      <c r="J1731" t="s">
        <v>741</v>
      </c>
    </row>
    <row r="1732" spans="1:10" x14ac:dyDescent="0.3">
      <c r="A1732" s="2" t="s">
        <v>14568</v>
      </c>
      <c r="B1732" s="2" t="s">
        <v>97</v>
      </c>
      <c r="C1732" s="2" t="s">
        <v>98</v>
      </c>
      <c r="D1732" s="3">
        <v>374400</v>
      </c>
      <c r="E1732" s="3">
        <v>374400</v>
      </c>
      <c r="F1732" s="2" t="s">
        <v>16</v>
      </c>
      <c r="G1732">
        <v>5.1999999999999998E-2</v>
      </c>
      <c r="H1732" s="9">
        <f t="shared" si="27"/>
        <v>0</v>
      </c>
      <c r="I1732" t="s">
        <v>97</v>
      </c>
      <c r="J1732" t="s">
        <v>98</v>
      </c>
    </row>
    <row r="1733" spans="1:10" x14ac:dyDescent="0.3">
      <c r="A1733" s="2" t="s">
        <v>14585</v>
      </c>
      <c r="B1733" s="2" t="s">
        <v>5357</v>
      </c>
      <c r="C1733" s="2" t="s">
        <v>5358</v>
      </c>
      <c r="D1733" s="3">
        <v>635904</v>
      </c>
      <c r="E1733" s="3">
        <v>635904</v>
      </c>
      <c r="F1733" s="2" t="s">
        <v>16</v>
      </c>
      <c r="G1733">
        <v>4.4999999999999998E-2</v>
      </c>
      <c r="H1733" s="9">
        <f t="shared" si="27"/>
        <v>0</v>
      </c>
      <c r="I1733" t="s">
        <v>5477</v>
      </c>
      <c r="J1733" t="s">
        <v>5478</v>
      </c>
    </row>
    <row r="1734" spans="1:10" x14ac:dyDescent="0.3">
      <c r="A1734" s="2" t="s">
        <v>14602</v>
      </c>
      <c r="B1734" s="2" t="s">
        <v>97</v>
      </c>
      <c r="C1734" s="2" t="s">
        <v>98</v>
      </c>
      <c r="D1734" s="3">
        <v>292800</v>
      </c>
      <c r="E1734" s="3">
        <v>292800</v>
      </c>
      <c r="F1734" s="2" t="s">
        <v>16</v>
      </c>
      <c r="G1734">
        <v>5.1999999999999998E-2</v>
      </c>
      <c r="H1734" s="9">
        <f t="shared" si="27"/>
        <v>0</v>
      </c>
      <c r="I1734" t="s">
        <v>97</v>
      </c>
      <c r="J1734" t="s">
        <v>98</v>
      </c>
    </row>
    <row r="1735" spans="1:10" x14ac:dyDescent="0.3">
      <c r="A1735" s="2" t="s">
        <v>14611</v>
      </c>
      <c r="B1735" s="2" t="s">
        <v>5477</v>
      </c>
      <c r="C1735" s="2" t="s">
        <v>5478</v>
      </c>
      <c r="D1735" s="3">
        <v>423936</v>
      </c>
      <c r="E1735" s="3">
        <v>423936</v>
      </c>
      <c r="F1735" s="2" t="s">
        <v>16</v>
      </c>
      <c r="G1735">
        <v>4.4999999999999998E-2</v>
      </c>
      <c r="H1735" s="9">
        <f t="shared" si="27"/>
        <v>0</v>
      </c>
      <c r="I1735" t="s">
        <v>5477</v>
      </c>
      <c r="J1735" t="s">
        <v>5478</v>
      </c>
    </row>
    <row r="1736" spans="1:10" x14ac:dyDescent="0.3">
      <c r="A1736" s="2" t="s">
        <v>14620</v>
      </c>
      <c r="B1736" s="2" t="s">
        <v>5357</v>
      </c>
      <c r="C1736" s="2" t="s">
        <v>5358</v>
      </c>
      <c r="D1736" s="3">
        <v>6624</v>
      </c>
      <c r="E1736" s="3">
        <v>6624</v>
      </c>
      <c r="F1736" s="2" t="s">
        <v>16</v>
      </c>
      <c r="G1736">
        <v>4.4999999999999998E-2</v>
      </c>
      <c r="H1736" s="9">
        <f t="shared" si="27"/>
        <v>0</v>
      </c>
      <c r="I1736" t="s">
        <v>5357</v>
      </c>
      <c r="J1736" t="s">
        <v>5358</v>
      </c>
    </row>
    <row r="1737" spans="1:10" x14ac:dyDescent="0.3">
      <c r="A1737" s="2" t="s">
        <v>14629</v>
      </c>
      <c r="B1737" s="2" t="s">
        <v>5357</v>
      </c>
      <c r="C1737" s="2" t="s">
        <v>5358</v>
      </c>
      <c r="D1737" s="3">
        <v>6624</v>
      </c>
      <c r="E1737" s="3">
        <v>6624</v>
      </c>
      <c r="F1737" s="2" t="s">
        <v>16</v>
      </c>
      <c r="G1737">
        <v>4.4999999999999998E-2</v>
      </c>
      <c r="H1737" s="9">
        <f t="shared" si="27"/>
        <v>0</v>
      </c>
      <c r="I1737" t="s">
        <v>5357</v>
      </c>
      <c r="J1737" t="s">
        <v>5358</v>
      </c>
    </row>
    <row r="1738" spans="1:10" x14ac:dyDescent="0.3">
      <c r="A1738" s="2" t="s">
        <v>14638</v>
      </c>
      <c r="B1738" s="2" t="s">
        <v>740</v>
      </c>
      <c r="C1738" s="2" t="s">
        <v>741</v>
      </c>
      <c r="D1738" s="3">
        <v>21240</v>
      </c>
      <c r="E1738" s="3">
        <v>21240</v>
      </c>
      <c r="F1738" s="2" t="s">
        <v>16</v>
      </c>
      <c r="G1738">
        <v>3.0499999999999999E-2</v>
      </c>
      <c r="H1738" s="9">
        <f t="shared" si="27"/>
        <v>0</v>
      </c>
      <c r="I1738" t="s">
        <v>740</v>
      </c>
      <c r="J1738" t="s">
        <v>741</v>
      </c>
    </row>
    <row r="1739" spans="1:10" x14ac:dyDescent="0.3">
      <c r="A1739" s="2" t="s">
        <v>14647</v>
      </c>
      <c r="B1739" s="2" t="s">
        <v>1027</v>
      </c>
      <c r="C1739" s="2" t="s">
        <v>1028</v>
      </c>
      <c r="D1739" s="3">
        <v>350460</v>
      </c>
      <c r="E1739" s="3">
        <v>350460</v>
      </c>
      <c r="F1739" s="2" t="s">
        <v>16</v>
      </c>
      <c r="G1739">
        <v>3.0499999999999999E-2</v>
      </c>
      <c r="H1739" s="9">
        <f t="shared" si="27"/>
        <v>0</v>
      </c>
      <c r="I1739" t="s">
        <v>1027</v>
      </c>
      <c r="J1739" t="s">
        <v>1028</v>
      </c>
    </row>
    <row r="1740" spans="1:10" x14ac:dyDescent="0.3">
      <c r="A1740" s="2" t="s">
        <v>14656</v>
      </c>
      <c r="B1740" s="2" t="s">
        <v>2023</v>
      </c>
      <c r="C1740" s="2" t="s">
        <v>2024</v>
      </c>
      <c r="D1740" s="3">
        <v>61920</v>
      </c>
      <c r="E1740" s="3">
        <v>61920</v>
      </c>
      <c r="F1740" s="2" t="s">
        <v>16</v>
      </c>
      <c r="G1740">
        <v>1.4E-2</v>
      </c>
      <c r="H1740" s="9">
        <f t="shared" si="27"/>
        <v>0</v>
      </c>
      <c r="I1740" t="s">
        <v>2023</v>
      </c>
      <c r="J1740" t="s">
        <v>2024</v>
      </c>
    </row>
    <row r="1741" spans="1:10" x14ac:dyDescent="0.3">
      <c r="A1741" s="2" t="s">
        <v>14665</v>
      </c>
      <c r="B1741" s="2" t="s">
        <v>5477</v>
      </c>
      <c r="C1741" s="2" t="s">
        <v>5478</v>
      </c>
      <c r="D1741" s="3">
        <v>457056</v>
      </c>
      <c r="E1741" s="3">
        <v>457056</v>
      </c>
      <c r="F1741" s="2" t="s">
        <v>16</v>
      </c>
      <c r="G1741">
        <v>4.4999999999999998E-2</v>
      </c>
      <c r="H1741" s="9">
        <f t="shared" si="27"/>
        <v>0</v>
      </c>
      <c r="I1741" t="s">
        <v>5477</v>
      </c>
      <c r="J1741" t="s">
        <v>5478</v>
      </c>
    </row>
    <row r="1742" spans="1:10" x14ac:dyDescent="0.3">
      <c r="A1742" s="2" t="s">
        <v>14674</v>
      </c>
      <c r="B1742" s="2" t="s">
        <v>21</v>
      </c>
      <c r="C1742" s="2" t="s">
        <v>22</v>
      </c>
      <c r="D1742" s="5">
        <v>-288</v>
      </c>
      <c r="E1742" s="5">
        <v>-288</v>
      </c>
      <c r="F1742" s="2" t="s">
        <v>23</v>
      </c>
      <c r="G1742">
        <v>1.4E-2</v>
      </c>
      <c r="H1742" s="9">
        <f t="shared" si="27"/>
        <v>-20571.428571428572</v>
      </c>
      <c r="I1742" t="s">
        <v>2023</v>
      </c>
      <c r="J1742" t="s">
        <v>2024</v>
      </c>
    </row>
    <row r="1743" spans="1:10" x14ac:dyDescent="0.3">
      <c r="A1743" s="2" t="s">
        <v>14674</v>
      </c>
      <c r="B1743" s="2" t="s">
        <v>2023</v>
      </c>
      <c r="C1743" s="2" t="s">
        <v>2024</v>
      </c>
      <c r="D1743" s="3">
        <v>123840</v>
      </c>
      <c r="E1743" s="3">
        <v>123840</v>
      </c>
      <c r="F1743" s="2" t="s">
        <v>16</v>
      </c>
      <c r="G1743">
        <v>1.4E-2</v>
      </c>
      <c r="H1743" s="9">
        <f t="shared" si="27"/>
        <v>0</v>
      </c>
      <c r="I1743" t="s">
        <v>2023</v>
      </c>
      <c r="J1743" t="s">
        <v>2024</v>
      </c>
    </row>
    <row r="1744" spans="1:10" x14ac:dyDescent="0.3">
      <c r="A1744" s="2" t="s">
        <v>14687</v>
      </c>
      <c r="B1744" s="2" t="s">
        <v>1027</v>
      </c>
      <c r="C1744" s="2" t="s">
        <v>1028</v>
      </c>
      <c r="D1744" s="3">
        <v>1019520</v>
      </c>
      <c r="E1744" s="3">
        <v>1019520</v>
      </c>
      <c r="F1744" s="2" t="s">
        <v>16</v>
      </c>
      <c r="G1744">
        <v>3.0499999999999999E-2</v>
      </c>
      <c r="H1744" s="9">
        <f t="shared" si="27"/>
        <v>0</v>
      </c>
      <c r="I1744" t="s">
        <v>1027</v>
      </c>
      <c r="J1744" t="s">
        <v>1028</v>
      </c>
    </row>
    <row r="1745" spans="1:10" x14ac:dyDescent="0.3">
      <c r="A1745" s="2" t="s">
        <v>14696</v>
      </c>
      <c r="B1745" s="2" t="s">
        <v>65</v>
      </c>
      <c r="C1745" s="2" t="s">
        <v>66</v>
      </c>
      <c r="D1745" s="5">
        <v>-140</v>
      </c>
      <c r="E1745" s="5">
        <v>-140</v>
      </c>
      <c r="F1745" s="2" t="s">
        <v>23</v>
      </c>
      <c r="G1745">
        <v>5.0999999999999997E-2</v>
      </c>
      <c r="H1745" s="9">
        <f t="shared" si="27"/>
        <v>-2745.0980392156866</v>
      </c>
      <c r="I1745" t="s">
        <v>2115</v>
      </c>
      <c r="J1745" t="s">
        <v>2116</v>
      </c>
    </row>
    <row r="1746" spans="1:10" x14ac:dyDescent="0.3">
      <c r="A1746" s="2" t="s">
        <v>14696</v>
      </c>
      <c r="B1746" s="2" t="s">
        <v>2115</v>
      </c>
      <c r="C1746" s="2" t="s">
        <v>2116</v>
      </c>
      <c r="D1746" s="3">
        <v>54000</v>
      </c>
      <c r="E1746" s="3">
        <v>54000</v>
      </c>
      <c r="F1746" s="2" t="s">
        <v>16</v>
      </c>
      <c r="G1746">
        <v>5.0999999999999997E-2</v>
      </c>
      <c r="H1746" s="9">
        <f t="shared" si="27"/>
        <v>0</v>
      </c>
      <c r="I1746" t="s">
        <v>2115</v>
      </c>
      <c r="J1746" t="s">
        <v>2116</v>
      </c>
    </row>
    <row r="1747" spans="1:10" x14ac:dyDescent="0.3">
      <c r="A1747" s="2" t="s">
        <v>14709</v>
      </c>
      <c r="B1747" s="2" t="s">
        <v>5477</v>
      </c>
      <c r="C1747" s="2" t="s">
        <v>5478</v>
      </c>
      <c r="D1747" s="3">
        <v>72864</v>
      </c>
      <c r="E1747" s="3">
        <v>72864</v>
      </c>
      <c r="F1747" s="2" t="s">
        <v>16</v>
      </c>
      <c r="G1747">
        <v>4.4999999999999998E-2</v>
      </c>
      <c r="H1747" s="9">
        <f t="shared" si="27"/>
        <v>0</v>
      </c>
      <c r="I1747" t="s">
        <v>5477</v>
      </c>
      <c r="J1747" t="s">
        <v>5478</v>
      </c>
    </row>
    <row r="1748" spans="1:10" x14ac:dyDescent="0.3">
      <c r="A1748" s="2" t="s">
        <v>14726</v>
      </c>
      <c r="B1748" s="2" t="s">
        <v>797</v>
      </c>
      <c r="C1748" s="2" t="s">
        <v>798</v>
      </c>
      <c r="D1748" s="3">
        <v>1434240</v>
      </c>
      <c r="E1748" s="3">
        <v>1434240</v>
      </c>
      <c r="F1748" s="2" t="s">
        <v>16</v>
      </c>
      <c r="G1748">
        <v>7.45E-3</v>
      </c>
      <c r="H1748" s="9">
        <f t="shared" si="27"/>
        <v>0</v>
      </c>
      <c r="I1748" t="s">
        <v>3759</v>
      </c>
      <c r="J1748" t="s">
        <v>3760</v>
      </c>
    </row>
    <row r="1749" spans="1:10" x14ac:dyDescent="0.3">
      <c r="A1749" s="2" t="s">
        <v>14739</v>
      </c>
      <c r="B1749" s="2" t="s">
        <v>5357</v>
      </c>
      <c r="C1749" s="2" t="s">
        <v>5358</v>
      </c>
      <c r="D1749" s="3">
        <v>390816</v>
      </c>
      <c r="E1749" s="3">
        <v>390816</v>
      </c>
      <c r="F1749" s="2" t="s">
        <v>16</v>
      </c>
      <c r="G1749">
        <v>4.4999999999999998E-2</v>
      </c>
      <c r="H1749" s="9">
        <f t="shared" si="27"/>
        <v>0</v>
      </c>
      <c r="I1749" t="s">
        <v>5357</v>
      </c>
      <c r="J1749" t="s">
        <v>5358</v>
      </c>
    </row>
    <row r="1750" spans="1:10" x14ac:dyDescent="0.3">
      <c r="A1750" s="2" t="s">
        <v>14748</v>
      </c>
      <c r="B1750" s="2" t="s">
        <v>740</v>
      </c>
      <c r="C1750" s="2" t="s">
        <v>741</v>
      </c>
      <c r="D1750" s="3">
        <v>849600</v>
      </c>
      <c r="E1750" s="3">
        <v>849600</v>
      </c>
      <c r="F1750" s="2" t="s">
        <v>16</v>
      </c>
      <c r="G1750">
        <v>3.0499999999999999E-2</v>
      </c>
      <c r="H1750" s="9">
        <f t="shared" si="27"/>
        <v>0</v>
      </c>
      <c r="I1750" t="s">
        <v>740</v>
      </c>
      <c r="J1750" t="s">
        <v>741</v>
      </c>
    </row>
    <row r="1751" spans="1:10" x14ac:dyDescent="0.3">
      <c r="A1751" s="2" t="s">
        <v>14757</v>
      </c>
      <c r="B1751" s="2" t="s">
        <v>86</v>
      </c>
      <c r="C1751" s="2" t="s">
        <v>87</v>
      </c>
      <c r="D1751" s="5">
        <v>-239</v>
      </c>
      <c r="E1751" s="5">
        <v>-239</v>
      </c>
      <c r="F1751" s="2" t="s">
        <v>23</v>
      </c>
      <c r="G1751">
        <v>9.4000000000000004E-3</v>
      </c>
      <c r="H1751" s="9">
        <f t="shared" si="27"/>
        <v>-25425.531914893618</v>
      </c>
      <c r="I1751" t="s">
        <v>11241</v>
      </c>
      <c r="J1751" t="s">
        <v>11242</v>
      </c>
    </row>
    <row r="1752" spans="1:10" x14ac:dyDescent="0.3">
      <c r="A1752" s="2" t="s">
        <v>14757</v>
      </c>
      <c r="B1752" s="2" t="s">
        <v>11241</v>
      </c>
      <c r="C1752" s="2" t="s">
        <v>11242</v>
      </c>
      <c r="D1752" s="3">
        <v>355320</v>
      </c>
      <c r="E1752" s="3">
        <v>355320</v>
      </c>
      <c r="F1752" s="2" t="s">
        <v>16</v>
      </c>
      <c r="G1752">
        <v>9.4000000000000004E-3</v>
      </c>
      <c r="H1752" s="9">
        <f t="shared" si="27"/>
        <v>0</v>
      </c>
      <c r="I1752" t="s">
        <v>11241</v>
      </c>
      <c r="J1752" t="s">
        <v>11242</v>
      </c>
    </row>
    <row r="1753" spans="1:10" x14ac:dyDescent="0.3">
      <c r="A1753" s="2" t="s">
        <v>14770</v>
      </c>
      <c r="B1753" s="2" t="s">
        <v>6977</v>
      </c>
      <c r="C1753" s="2" t="s">
        <v>6978</v>
      </c>
      <c r="D1753" s="3">
        <v>76140</v>
      </c>
      <c r="E1753" s="3">
        <v>76140</v>
      </c>
      <c r="F1753" s="2" t="s">
        <v>16</v>
      </c>
      <c r="G1753">
        <v>9.4000000000000004E-3</v>
      </c>
      <c r="H1753" s="9">
        <f t="shared" si="27"/>
        <v>0</v>
      </c>
      <c r="I1753" t="s">
        <v>11241</v>
      </c>
      <c r="J1753" t="s">
        <v>11242</v>
      </c>
    </row>
    <row r="1754" spans="1:10" x14ac:dyDescent="0.3">
      <c r="A1754" s="2" t="s">
        <v>14779</v>
      </c>
      <c r="B1754" s="2" t="s">
        <v>86</v>
      </c>
      <c r="C1754" s="2" t="s">
        <v>87</v>
      </c>
      <c r="D1754" s="5">
        <v>-536</v>
      </c>
      <c r="E1754" s="5">
        <v>-536</v>
      </c>
      <c r="F1754" s="2" t="s">
        <v>23</v>
      </c>
      <c r="G1754">
        <v>2.6600000000000002E-2</v>
      </c>
      <c r="H1754" s="9">
        <f t="shared" si="27"/>
        <v>-20150.375939849622</v>
      </c>
      <c r="I1754" t="s">
        <v>11210</v>
      </c>
      <c r="J1754" t="s">
        <v>11211</v>
      </c>
    </row>
    <row r="1755" spans="1:10" x14ac:dyDescent="0.3">
      <c r="A1755" s="2" t="s">
        <v>14779</v>
      </c>
      <c r="B1755" s="2" t="s">
        <v>11210</v>
      </c>
      <c r="C1755" s="2" t="s">
        <v>11211</v>
      </c>
      <c r="D1755" s="3">
        <v>171360</v>
      </c>
      <c r="E1755" s="3">
        <v>171360</v>
      </c>
      <c r="F1755" s="2" t="s">
        <v>16</v>
      </c>
      <c r="G1755">
        <v>2.6600000000000002E-2</v>
      </c>
      <c r="H1755" s="9">
        <f t="shared" si="27"/>
        <v>0</v>
      </c>
      <c r="I1755" t="s">
        <v>11210</v>
      </c>
      <c r="J1755" t="s">
        <v>11211</v>
      </c>
    </row>
    <row r="1756" spans="1:10" x14ac:dyDescent="0.3">
      <c r="A1756" s="2" t="s">
        <v>14792</v>
      </c>
      <c r="B1756" s="2" t="s">
        <v>65</v>
      </c>
      <c r="C1756" s="2" t="s">
        <v>66</v>
      </c>
      <c r="D1756" s="5">
        <v>-183</v>
      </c>
      <c r="E1756" s="5">
        <v>-183</v>
      </c>
      <c r="F1756" s="2" t="s">
        <v>23</v>
      </c>
      <c r="G1756">
        <v>5.0999999999999997E-2</v>
      </c>
      <c r="H1756" s="9">
        <f t="shared" si="27"/>
        <v>-3588.2352941176473</v>
      </c>
      <c r="I1756" t="s">
        <v>2115</v>
      </c>
      <c r="J1756" t="s">
        <v>2116</v>
      </c>
    </row>
    <row r="1757" spans="1:10" x14ac:dyDescent="0.3">
      <c r="A1757" s="2" t="s">
        <v>14792</v>
      </c>
      <c r="B1757" s="2" t="s">
        <v>2115</v>
      </c>
      <c r="C1757" s="2" t="s">
        <v>2116</v>
      </c>
      <c r="D1757" s="3">
        <v>18000</v>
      </c>
      <c r="E1757" s="3">
        <v>18000</v>
      </c>
      <c r="F1757" s="2" t="s">
        <v>16</v>
      </c>
      <c r="G1757">
        <v>5.0999999999999997E-2</v>
      </c>
      <c r="H1757" s="9">
        <f t="shared" si="27"/>
        <v>0</v>
      </c>
      <c r="I1757" t="s">
        <v>2115</v>
      </c>
      <c r="J1757" t="s">
        <v>2116</v>
      </c>
    </row>
    <row r="1758" spans="1:10" x14ac:dyDescent="0.3">
      <c r="A1758" s="2" t="s">
        <v>14805</v>
      </c>
      <c r="B1758" s="2" t="s">
        <v>14810</v>
      </c>
      <c r="C1758" s="2" t="s">
        <v>14811</v>
      </c>
      <c r="D1758" s="3">
        <v>19008</v>
      </c>
      <c r="E1758" s="3">
        <v>19008</v>
      </c>
      <c r="F1758" s="2" t="s">
        <v>16</v>
      </c>
      <c r="G1758">
        <v>3.7999999999999999E-2</v>
      </c>
      <c r="H1758" s="9">
        <f t="shared" si="27"/>
        <v>0</v>
      </c>
      <c r="I1758" t="s">
        <v>14810</v>
      </c>
      <c r="J1758" t="s">
        <v>14811</v>
      </c>
    </row>
    <row r="1759" spans="1:10" x14ac:dyDescent="0.3">
      <c r="A1759" s="2" t="s">
        <v>14815</v>
      </c>
      <c r="B1759" s="2" t="s">
        <v>70</v>
      </c>
      <c r="C1759" s="2" t="s">
        <v>71</v>
      </c>
      <c r="D1759" s="3">
        <v>6336</v>
      </c>
      <c r="E1759" s="3">
        <v>6336</v>
      </c>
      <c r="F1759" s="2" t="s">
        <v>16</v>
      </c>
      <c r="G1759">
        <v>3.5999999999999997E-2</v>
      </c>
      <c r="H1759" s="9">
        <f t="shared" si="27"/>
        <v>0</v>
      </c>
      <c r="I1759" t="s">
        <v>4237</v>
      </c>
      <c r="J1759" t="s">
        <v>4238</v>
      </c>
    </row>
    <row r="1760" spans="1:10" x14ac:dyDescent="0.3">
      <c r="A1760" s="2" t="s">
        <v>14820</v>
      </c>
      <c r="B1760" s="2" t="s">
        <v>4365</v>
      </c>
      <c r="C1760" s="2" t="s">
        <v>4366</v>
      </c>
      <c r="D1760" s="3">
        <v>7560</v>
      </c>
      <c r="E1760" s="3">
        <v>7560</v>
      </c>
      <c r="F1760" s="2" t="s">
        <v>16</v>
      </c>
      <c r="G1760">
        <v>0.85</v>
      </c>
      <c r="H1760" s="9">
        <f t="shared" si="27"/>
        <v>0</v>
      </c>
      <c r="I1760" t="s">
        <v>18435</v>
      </c>
      <c r="J1760" t="s">
        <v>18436</v>
      </c>
    </row>
    <row r="1761" spans="1:10" x14ac:dyDescent="0.3">
      <c r="A1761" s="2" t="s">
        <v>14845</v>
      </c>
      <c r="B1761" s="2" t="s">
        <v>5357</v>
      </c>
      <c r="C1761" s="2" t="s">
        <v>5358</v>
      </c>
      <c r="D1761" s="3">
        <v>563040</v>
      </c>
      <c r="E1761" s="3">
        <v>563040</v>
      </c>
      <c r="F1761" s="2" t="s">
        <v>16</v>
      </c>
      <c r="G1761">
        <v>4.4999999999999998E-2</v>
      </c>
      <c r="H1761" s="9">
        <f t="shared" si="27"/>
        <v>0</v>
      </c>
      <c r="I1761" t="s">
        <v>5357</v>
      </c>
      <c r="J1761" t="s">
        <v>5358</v>
      </c>
    </row>
    <row r="1762" spans="1:10" x14ac:dyDescent="0.3">
      <c r="A1762" s="2" t="s">
        <v>14854</v>
      </c>
      <c r="B1762" s="2" t="s">
        <v>86</v>
      </c>
      <c r="C1762" s="2" t="s">
        <v>87</v>
      </c>
      <c r="D1762" s="5">
        <v>-522</v>
      </c>
      <c r="E1762" s="5">
        <v>-522</v>
      </c>
      <c r="F1762" s="2" t="s">
        <v>23</v>
      </c>
      <c r="G1762">
        <v>1.2500000000000001E-2</v>
      </c>
      <c r="H1762" s="9">
        <f t="shared" si="27"/>
        <v>-41760</v>
      </c>
      <c r="I1762" t="s">
        <v>11332</v>
      </c>
      <c r="J1762" t="s">
        <v>11333</v>
      </c>
    </row>
    <row r="1763" spans="1:10" x14ac:dyDescent="0.3">
      <c r="A1763" s="2" t="s">
        <v>14854</v>
      </c>
      <c r="B1763" s="2" t="s">
        <v>11332</v>
      </c>
      <c r="C1763" s="2" t="s">
        <v>11333</v>
      </c>
      <c r="D1763" s="3">
        <v>438480</v>
      </c>
      <c r="E1763" s="3">
        <v>438480</v>
      </c>
      <c r="F1763" s="2" t="s">
        <v>16</v>
      </c>
      <c r="G1763">
        <v>1.2500000000000001E-2</v>
      </c>
      <c r="H1763" s="9">
        <f t="shared" si="27"/>
        <v>0</v>
      </c>
      <c r="I1763" t="s">
        <v>11332</v>
      </c>
      <c r="J1763" t="s">
        <v>11333</v>
      </c>
    </row>
    <row r="1764" spans="1:10" x14ac:dyDescent="0.3">
      <c r="A1764" s="2" t="s">
        <v>14867</v>
      </c>
      <c r="B1764" s="2" t="s">
        <v>740</v>
      </c>
      <c r="C1764" s="2" t="s">
        <v>741</v>
      </c>
      <c r="D1764" s="3">
        <v>509760</v>
      </c>
      <c r="E1764" s="3">
        <v>509760</v>
      </c>
      <c r="F1764" s="2" t="s">
        <v>16</v>
      </c>
      <c r="G1764">
        <v>3.0499999999999999E-2</v>
      </c>
      <c r="H1764" s="9">
        <f t="shared" si="27"/>
        <v>0</v>
      </c>
      <c r="I1764" t="s">
        <v>740</v>
      </c>
      <c r="J1764" t="s">
        <v>741</v>
      </c>
    </row>
    <row r="1765" spans="1:10" x14ac:dyDescent="0.3">
      <c r="A1765" s="2" t="s">
        <v>14876</v>
      </c>
      <c r="B1765" s="2" t="s">
        <v>65</v>
      </c>
      <c r="C1765" s="2" t="s">
        <v>66</v>
      </c>
      <c r="D1765" s="5">
        <v>-268</v>
      </c>
      <c r="E1765" s="5">
        <v>-268</v>
      </c>
      <c r="F1765" s="2" t="s">
        <v>23</v>
      </c>
      <c r="G1765">
        <v>2.6600000000000002E-2</v>
      </c>
      <c r="H1765" s="9">
        <f t="shared" si="27"/>
        <v>-10075.187969924811</v>
      </c>
      <c r="I1765" t="s">
        <v>517</v>
      </c>
      <c r="J1765" t="s">
        <v>518</v>
      </c>
    </row>
    <row r="1766" spans="1:10" x14ac:dyDescent="0.3">
      <c r="A1766" s="2" t="s">
        <v>14876</v>
      </c>
      <c r="B1766" s="2" t="s">
        <v>517</v>
      </c>
      <c r="C1766" s="2" t="s">
        <v>518</v>
      </c>
      <c r="D1766" s="3">
        <v>221760</v>
      </c>
      <c r="E1766" s="3">
        <v>221760</v>
      </c>
      <c r="F1766" s="2" t="s">
        <v>16</v>
      </c>
      <c r="G1766">
        <v>2.6600000000000002E-2</v>
      </c>
      <c r="H1766" s="9">
        <f t="shared" si="27"/>
        <v>0</v>
      </c>
      <c r="I1766" t="s">
        <v>517</v>
      </c>
      <c r="J1766" t="s">
        <v>518</v>
      </c>
    </row>
    <row r="1767" spans="1:10" x14ac:dyDescent="0.3">
      <c r="A1767" s="2" t="s">
        <v>14889</v>
      </c>
      <c r="B1767" s="2" t="s">
        <v>5477</v>
      </c>
      <c r="C1767" s="2" t="s">
        <v>5478</v>
      </c>
      <c r="D1767" s="3">
        <v>357696</v>
      </c>
      <c r="E1767" s="3">
        <v>357696</v>
      </c>
      <c r="F1767" s="2" t="s">
        <v>16</v>
      </c>
      <c r="G1767">
        <v>4.4999999999999998E-2</v>
      </c>
      <c r="H1767" s="9">
        <f t="shared" si="27"/>
        <v>0</v>
      </c>
      <c r="I1767" t="s">
        <v>5357</v>
      </c>
      <c r="J1767" t="s">
        <v>5358</v>
      </c>
    </row>
    <row r="1768" spans="1:10" x14ac:dyDescent="0.3">
      <c r="A1768" s="2" t="s">
        <v>14898</v>
      </c>
      <c r="B1768" s="2" t="s">
        <v>517</v>
      </c>
      <c r="C1768" s="2" t="s">
        <v>518</v>
      </c>
      <c r="D1768" s="3">
        <v>544320</v>
      </c>
      <c r="E1768" s="3">
        <v>544320</v>
      </c>
      <c r="F1768" s="2" t="s">
        <v>16</v>
      </c>
      <c r="G1768">
        <v>2.6600000000000002E-2</v>
      </c>
      <c r="H1768" s="9">
        <f t="shared" si="27"/>
        <v>0</v>
      </c>
      <c r="I1768" t="s">
        <v>517</v>
      </c>
      <c r="J1768" t="s">
        <v>518</v>
      </c>
    </row>
    <row r="1769" spans="1:10" x14ac:dyDescent="0.3">
      <c r="A1769" s="2" t="s">
        <v>14907</v>
      </c>
      <c r="B1769" s="2" t="s">
        <v>65</v>
      </c>
      <c r="C1769" s="2" t="s">
        <v>66</v>
      </c>
      <c r="D1769" s="5">
        <v>-534</v>
      </c>
      <c r="E1769" s="5">
        <v>-534</v>
      </c>
      <c r="F1769" s="2" t="s">
        <v>23</v>
      </c>
      <c r="G1769">
        <v>2.6600000000000002E-2</v>
      </c>
      <c r="H1769" s="9">
        <f t="shared" si="27"/>
        <v>-20075.187969924809</v>
      </c>
      <c r="I1769" t="s">
        <v>517</v>
      </c>
      <c r="J1769" t="s">
        <v>518</v>
      </c>
    </row>
    <row r="1770" spans="1:10" x14ac:dyDescent="0.3">
      <c r="A1770" s="2" t="s">
        <v>14907</v>
      </c>
      <c r="B1770" s="2" t="s">
        <v>517</v>
      </c>
      <c r="C1770" s="2" t="s">
        <v>518</v>
      </c>
      <c r="D1770" s="3">
        <v>321567</v>
      </c>
      <c r="E1770" s="3">
        <v>321567</v>
      </c>
      <c r="F1770" s="2" t="s">
        <v>16</v>
      </c>
      <c r="G1770">
        <v>2.6600000000000002E-2</v>
      </c>
      <c r="H1770" s="9">
        <f t="shared" si="27"/>
        <v>0</v>
      </c>
      <c r="I1770" t="s">
        <v>517</v>
      </c>
      <c r="J1770" t="s">
        <v>518</v>
      </c>
    </row>
    <row r="1771" spans="1:10" x14ac:dyDescent="0.3">
      <c r="A1771" s="2" t="s">
        <v>14924</v>
      </c>
      <c r="B1771" s="2" t="s">
        <v>65</v>
      </c>
      <c r="C1771" s="2" t="s">
        <v>66</v>
      </c>
      <c r="D1771" s="5">
        <v>-804</v>
      </c>
      <c r="E1771" s="5">
        <v>-804</v>
      </c>
      <c r="F1771" s="2" t="s">
        <v>23</v>
      </c>
      <c r="G1771">
        <v>2.6600000000000002E-2</v>
      </c>
      <c r="H1771" s="9">
        <f t="shared" si="27"/>
        <v>-30225.563909774435</v>
      </c>
      <c r="I1771" t="s">
        <v>517</v>
      </c>
      <c r="J1771" t="s">
        <v>518</v>
      </c>
    </row>
    <row r="1772" spans="1:10" x14ac:dyDescent="0.3">
      <c r="A1772" s="2" t="s">
        <v>14924</v>
      </c>
      <c r="B1772" s="2" t="s">
        <v>2008</v>
      </c>
      <c r="C1772" s="2" t="s">
        <v>2009</v>
      </c>
      <c r="D1772" s="3">
        <v>110880</v>
      </c>
      <c r="E1772" s="3">
        <v>80640</v>
      </c>
      <c r="F1772" s="2" t="s">
        <v>16</v>
      </c>
      <c r="G1772">
        <v>2.6600000000000002E-2</v>
      </c>
      <c r="H1772" s="9">
        <f t="shared" si="27"/>
        <v>0</v>
      </c>
      <c r="I1772" t="s">
        <v>517</v>
      </c>
      <c r="J1772" t="s">
        <v>518</v>
      </c>
    </row>
    <row r="1773" spans="1:10" x14ac:dyDescent="0.3">
      <c r="A1773" s="2" t="s">
        <v>14941</v>
      </c>
      <c r="B1773" s="2" t="s">
        <v>5477</v>
      </c>
      <c r="C1773" s="2" t="s">
        <v>5478</v>
      </c>
      <c r="D1773" s="3">
        <v>258336</v>
      </c>
      <c r="E1773" s="3">
        <v>258336</v>
      </c>
      <c r="F1773" s="2" t="s">
        <v>16</v>
      </c>
      <c r="G1773">
        <v>4.4999999999999998E-2</v>
      </c>
      <c r="H1773" s="9">
        <f t="shared" si="27"/>
        <v>0</v>
      </c>
      <c r="I1773" t="s">
        <v>5357</v>
      </c>
      <c r="J1773" t="s">
        <v>5358</v>
      </c>
    </row>
    <row r="1774" spans="1:10" x14ac:dyDescent="0.3">
      <c r="A1774" s="2" t="s">
        <v>14954</v>
      </c>
      <c r="B1774" s="2" t="s">
        <v>5477</v>
      </c>
      <c r="C1774" s="2" t="s">
        <v>5478</v>
      </c>
      <c r="D1774" s="3">
        <v>264960</v>
      </c>
      <c r="E1774" s="3">
        <v>264960</v>
      </c>
      <c r="F1774" s="2" t="s">
        <v>16</v>
      </c>
      <c r="G1774">
        <v>4.4999999999999998E-2</v>
      </c>
      <c r="H1774" s="9">
        <f t="shared" si="27"/>
        <v>0</v>
      </c>
      <c r="I1774" t="s">
        <v>5357</v>
      </c>
      <c r="J1774" t="s">
        <v>5358</v>
      </c>
    </row>
    <row r="1775" spans="1:10" x14ac:dyDescent="0.3">
      <c r="A1775" s="2" t="s">
        <v>14967</v>
      </c>
      <c r="B1775" s="2" t="s">
        <v>11068</v>
      </c>
      <c r="C1775" s="2" t="s">
        <v>11069</v>
      </c>
      <c r="D1775" s="3">
        <v>509760</v>
      </c>
      <c r="E1775" s="3">
        <v>509760</v>
      </c>
      <c r="F1775" s="2" t="s">
        <v>16</v>
      </c>
      <c r="G1775">
        <v>3.0499999999999999E-2</v>
      </c>
      <c r="H1775" s="9">
        <f t="shared" si="27"/>
        <v>0</v>
      </c>
      <c r="I1775" t="s">
        <v>11068</v>
      </c>
      <c r="J1775" t="s">
        <v>11069</v>
      </c>
    </row>
    <row r="1776" spans="1:10" x14ac:dyDescent="0.3">
      <c r="A1776" s="2" t="s">
        <v>14976</v>
      </c>
      <c r="B1776" s="2" t="s">
        <v>65</v>
      </c>
      <c r="C1776" s="2" t="s">
        <v>66</v>
      </c>
      <c r="D1776" s="5">
        <v>-63</v>
      </c>
      <c r="E1776" s="5">
        <v>-63</v>
      </c>
      <c r="F1776" s="2" t="s">
        <v>23</v>
      </c>
      <c r="G1776">
        <v>1.2699999999999999E-2</v>
      </c>
      <c r="H1776" s="9">
        <f t="shared" si="27"/>
        <v>-4960.6299212598424</v>
      </c>
      <c r="I1776" t="s">
        <v>2611</v>
      </c>
      <c r="J1776" t="s">
        <v>2612</v>
      </c>
    </row>
    <row r="1777" spans="1:10" x14ac:dyDescent="0.3">
      <c r="A1777" s="2" t="s">
        <v>14976</v>
      </c>
      <c r="B1777" s="2" t="s">
        <v>2611</v>
      </c>
      <c r="C1777" s="2" t="s">
        <v>2612</v>
      </c>
      <c r="D1777" s="3">
        <v>63936</v>
      </c>
      <c r="E1777" s="3">
        <v>63936</v>
      </c>
      <c r="F1777" s="2" t="s">
        <v>16</v>
      </c>
      <c r="G1777">
        <v>1.2699999999999999E-2</v>
      </c>
      <c r="H1777" s="9">
        <f t="shared" si="27"/>
        <v>0</v>
      </c>
      <c r="I1777" t="s">
        <v>2611</v>
      </c>
      <c r="J1777" t="s">
        <v>2612</v>
      </c>
    </row>
    <row r="1778" spans="1:10" x14ac:dyDescent="0.3">
      <c r="A1778" s="2" t="s">
        <v>14989</v>
      </c>
      <c r="B1778" s="2" t="s">
        <v>86</v>
      </c>
      <c r="C1778" s="2" t="s">
        <v>87</v>
      </c>
      <c r="D1778" s="5">
        <v>-252</v>
      </c>
      <c r="E1778" s="5">
        <v>-252</v>
      </c>
      <c r="F1778" s="2" t="s">
        <v>23</v>
      </c>
      <c r="G1778">
        <v>2.6600000000000002E-2</v>
      </c>
      <c r="H1778" s="9">
        <f t="shared" si="27"/>
        <v>-9473.6842105263149</v>
      </c>
      <c r="I1778" t="s">
        <v>2803</v>
      </c>
      <c r="J1778" t="s">
        <v>2804</v>
      </c>
    </row>
    <row r="1779" spans="1:10" x14ac:dyDescent="0.3">
      <c r="A1779" s="2" t="s">
        <v>14989</v>
      </c>
      <c r="B1779" s="2" t="s">
        <v>2803</v>
      </c>
      <c r="C1779" s="2" t="s">
        <v>2804</v>
      </c>
      <c r="D1779" s="3">
        <v>40320</v>
      </c>
      <c r="E1779" s="3">
        <v>40320</v>
      </c>
      <c r="F1779" s="2" t="s">
        <v>16</v>
      </c>
      <c r="G1779">
        <v>2.6600000000000002E-2</v>
      </c>
      <c r="H1779" s="9">
        <f t="shared" si="27"/>
        <v>0</v>
      </c>
      <c r="I1779" t="s">
        <v>2803</v>
      </c>
      <c r="J1779" t="s">
        <v>2804</v>
      </c>
    </row>
    <row r="1780" spans="1:10" x14ac:dyDescent="0.3">
      <c r="A1780" s="2" t="s">
        <v>15006</v>
      </c>
      <c r="B1780" s="2" t="s">
        <v>5357</v>
      </c>
      <c r="C1780" s="2" t="s">
        <v>5358</v>
      </c>
      <c r="D1780" s="3">
        <v>46368</v>
      </c>
      <c r="E1780" s="3">
        <v>46368</v>
      </c>
      <c r="F1780" s="2" t="s">
        <v>16</v>
      </c>
      <c r="G1780">
        <v>4.4999999999999998E-2</v>
      </c>
      <c r="H1780" s="9">
        <f t="shared" si="27"/>
        <v>0</v>
      </c>
      <c r="I1780" t="s">
        <v>5357</v>
      </c>
      <c r="J1780" t="s">
        <v>5358</v>
      </c>
    </row>
    <row r="1781" spans="1:10" x14ac:dyDescent="0.3">
      <c r="A1781" s="2" t="s">
        <v>15023</v>
      </c>
      <c r="B1781" s="2" t="s">
        <v>11068</v>
      </c>
      <c r="C1781" s="2" t="s">
        <v>11069</v>
      </c>
      <c r="D1781" s="3">
        <v>509760</v>
      </c>
      <c r="E1781" s="3">
        <v>509760</v>
      </c>
      <c r="F1781" s="2" t="s">
        <v>16</v>
      </c>
      <c r="G1781">
        <v>3.0499999999999999E-2</v>
      </c>
      <c r="H1781" s="9">
        <f t="shared" si="27"/>
        <v>0</v>
      </c>
      <c r="I1781" t="s">
        <v>11068</v>
      </c>
      <c r="J1781" t="s">
        <v>11069</v>
      </c>
    </row>
    <row r="1782" spans="1:10" x14ac:dyDescent="0.3">
      <c r="A1782" s="2" t="s">
        <v>15032</v>
      </c>
      <c r="B1782" s="2" t="s">
        <v>97</v>
      </c>
      <c r="C1782" s="2" t="s">
        <v>98</v>
      </c>
      <c r="D1782" s="3">
        <v>249600</v>
      </c>
      <c r="E1782" s="3">
        <v>249600</v>
      </c>
      <c r="F1782" s="2" t="s">
        <v>16</v>
      </c>
      <c r="G1782">
        <v>5.1999999999999998E-2</v>
      </c>
      <c r="H1782" s="9">
        <f t="shared" si="27"/>
        <v>0</v>
      </c>
      <c r="I1782" t="s">
        <v>97</v>
      </c>
      <c r="J1782" t="s">
        <v>98</v>
      </c>
    </row>
    <row r="1783" spans="1:10" x14ac:dyDescent="0.3">
      <c r="A1783" s="2" t="s">
        <v>15045</v>
      </c>
      <c r="B1783" s="2" t="s">
        <v>11068</v>
      </c>
      <c r="C1783" s="2" t="s">
        <v>11069</v>
      </c>
      <c r="D1783" s="3">
        <v>1019520</v>
      </c>
      <c r="E1783" s="3">
        <v>1019520</v>
      </c>
      <c r="F1783" s="2" t="s">
        <v>16</v>
      </c>
      <c r="G1783">
        <v>3.0499999999999999E-2</v>
      </c>
      <c r="H1783" s="9">
        <f t="shared" si="27"/>
        <v>0</v>
      </c>
      <c r="I1783" t="s">
        <v>11068</v>
      </c>
      <c r="J1783" t="s">
        <v>11069</v>
      </c>
    </row>
    <row r="1784" spans="1:10" x14ac:dyDescent="0.3">
      <c r="A1784" s="2" t="s">
        <v>15054</v>
      </c>
      <c r="B1784" s="2" t="s">
        <v>97</v>
      </c>
      <c r="C1784" s="2" t="s">
        <v>98</v>
      </c>
      <c r="D1784" s="3">
        <v>549600</v>
      </c>
      <c r="E1784" s="3">
        <v>549600</v>
      </c>
      <c r="F1784" s="2" t="s">
        <v>16</v>
      </c>
      <c r="G1784">
        <v>5.1999999999999998E-2</v>
      </c>
      <c r="H1784" s="9">
        <f t="shared" si="27"/>
        <v>0</v>
      </c>
      <c r="I1784" t="s">
        <v>97</v>
      </c>
      <c r="J1784" t="s">
        <v>98</v>
      </c>
    </row>
    <row r="1785" spans="1:10" x14ac:dyDescent="0.3">
      <c r="A1785" s="2" t="s">
        <v>15067</v>
      </c>
      <c r="B1785" s="2" t="s">
        <v>97</v>
      </c>
      <c r="C1785" s="2" t="s">
        <v>98</v>
      </c>
      <c r="D1785" s="3">
        <v>549600</v>
      </c>
      <c r="E1785" s="3">
        <v>549600</v>
      </c>
      <c r="F1785" s="2" t="s">
        <v>16</v>
      </c>
      <c r="G1785">
        <v>5.1999999999999998E-2</v>
      </c>
      <c r="H1785" s="9">
        <f t="shared" si="27"/>
        <v>0</v>
      </c>
      <c r="I1785" t="s">
        <v>97</v>
      </c>
      <c r="J1785" t="s">
        <v>98</v>
      </c>
    </row>
    <row r="1786" spans="1:10" x14ac:dyDescent="0.3">
      <c r="A1786" s="2" t="s">
        <v>15076</v>
      </c>
      <c r="B1786" s="2" t="s">
        <v>97</v>
      </c>
      <c r="C1786" s="2" t="s">
        <v>98</v>
      </c>
      <c r="D1786" s="3">
        <v>4800</v>
      </c>
      <c r="E1786" s="3">
        <v>0</v>
      </c>
      <c r="F1786" s="2" t="s">
        <v>16</v>
      </c>
      <c r="G1786">
        <v>5.1999999999999998E-2</v>
      </c>
      <c r="H1786" s="9">
        <f t="shared" si="27"/>
        <v>0</v>
      </c>
      <c r="I1786" t="s">
        <v>18454</v>
      </c>
      <c r="J1786" t="s">
        <v>18458</v>
      </c>
    </row>
    <row r="1787" spans="1:10" x14ac:dyDescent="0.3">
      <c r="A1787" s="2" t="s">
        <v>15081</v>
      </c>
      <c r="B1787" s="2" t="s">
        <v>1027</v>
      </c>
      <c r="C1787" s="2" t="s">
        <v>1028</v>
      </c>
      <c r="D1787" s="3">
        <v>9500</v>
      </c>
      <c r="E1787" s="3">
        <v>9500</v>
      </c>
      <c r="F1787" s="2" t="s">
        <v>16</v>
      </c>
      <c r="G1787">
        <v>0</v>
      </c>
      <c r="H1787" s="9">
        <f t="shared" si="27"/>
        <v>0</v>
      </c>
      <c r="I1787" t="s">
        <v>21</v>
      </c>
      <c r="J1787" t="s">
        <v>22</v>
      </c>
    </row>
    <row r="1788" spans="1:10" x14ac:dyDescent="0.3">
      <c r="A1788" s="2" t="s">
        <v>15085</v>
      </c>
      <c r="B1788" s="2" t="s">
        <v>97</v>
      </c>
      <c r="C1788" s="2" t="s">
        <v>98</v>
      </c>
      <c r="D1788" s="3">
        <v>748800</v>
      </c>
      <c r="E1788" s="3">
        <v>748800</v>
      </c>
      <c r="F1788" s="2" t="s">
        <v>16</v>
      </c>
      <c r="G1788">
        <v>5.1999999999999998E-2</v>
      </c>
      <c r="H1788" s="9">
        <f t="shared" si="27"/>
        <v>0</v>
      </c>
      <c r="I1788" t="s">
        <v>18454</v>
      </c>
      <c r="J1788" t="s">
        <v>18458</v>
      </c>
    </row>
    <row r="1789" spans="1:10" x14ac:dyDescent="0.3">
      <c r="A1789" s="2" t="s">
        <v>15102</v>
      </c>
      <c r="B1789" s="2" t="s">
        <v>2086</v>
      </c>
      <c r="C1789" s="2" t="s">
        <v>2087</v>
      </c>
      <c r="D1789" s="3">
        <v>92928</v>
      </c>
      <c r="E1789" s="3">
        <v>92928</v>
      </c>
      <c r="F1789" s="2" t="s">
        <v>16</v>
      </c>
      <c r="G1789">
        <v>3.5999999999999997E-2</v>
      </c>
      <c r="H1789" s="9">
        <f t="shared" si="27"/>
        <v>0</v>
      </c>
      <c r="I1789" t="s">
        <v>2086</v>
      </c>
      <c r="J1789" t="s">
        <v>2087</v>
      </c>
    </row>
    <row r="1790" spans="1:10" x14ac:dyDescent="0.3">
      <c r="A1790" s="2" t="s">
        <v>15102</v>
      </c>
      <c r="B1790" s="2" t="s">
        <v>65</v>
      </c>
      <c r="C1790" s="2" t="s">
        <v>66</v>
      </c>
      <c r="D1790" s="5">
        <v>-152</v>
      </c>
      <c r="E1790" s="5">
        <v>-152</v>
      </c>
      <c r="F1790" s="2" t="s">
        <v>23</v>
      </c>
      <c r="G1790">
        <v>3.5999999999999997E-2</v>
      </c>
      <c r="H1790" s="9">
        <f t="shared" si="27"/>
        <v>-4222.2222222222226</v>
      </c>
      <c r="I1790" t="s">
        <v>2086</v>
      </c>
      <c r="J1790" t="s">
        <v>2087</v>
      </c>
    </row>
    <row r="1791" spans="1:10" x14ac:dyDescent="0.3">
      <c r="A1791" s="2" t="s">
        <v>15123</v>
      </c>
      <c r="B1791" s="2" t="s">
        <v>11068</v>
      </c>
      <c r="C1791" s="2" t="s">
        <v>11069</v>
      </c>
      <c r="D1791" s="3">
        <v>509760</v>
      </c>
      <c r="E1791" s="3">
        <v>509760</v>
      </c>
      <c r="F1791" s="2" t="s">
        <v>16</v>
      </c>
      <c r="G1791">
        <v>3.0499999999999999E-2</v>
      </c>
      <c r="H1791" s="9">
        <f t="shared" si="27"/>
        <v>0</v>
      </c>
      <c r="I1791" t="s">
        <v>11068</v>
      </c>
      <c r="J1791" t="s">
        <v>11069</v>
      </c>
    </row>
    <row r="1792" spans="1:10" x14ac:dyDescent="0.3">
      <c r="A1792" s="2" t="s">
        <v>15140</v>
      </c>
      <c r="B1792" s="2" t="s">
        <v>11068</v>
      </c>
      <c r="C1792" s="2" t="s">
        <v>11069</v>
      </c>
      <c r="D1792" s="3">
        <v>509760</v>
      </c>
      <c r="E1792" s="3">
        <v>509760</v>
      </c>
      <c r="F1792" s="2" t="s">
        <v>16</v>
      </c>
      <c r="G1792">
        <v>3.0499999999999999E-2</v>
      </c>
      <c r="H1792" s="9">
        <f t="shared" si="27"/>
        <v>0</v>
      </c>
      <c r="I1792" t="s">
        <v>11068</v>
      </c>
      <c r="J1792" t="s">
        <v>11069</v>
      </c>
    </row>
    <row r="1793" spans="1:10" x14ac:dyDescent="0.3">
      <c r="A1793" s="2" t="s">
        <v>15149</v>
      </c>
      <c r="B1793" s="2" t="s">
        <v>4791</v>
      </c>
      <c r="C1793" s="2" t="s">
        <v>4792</v>
      </c>
      <c r="D1793" s="3">
        <v>317952</v>
      </c>
      <c r="E1793" s="3">
        <v>317952</v>
      </c>
      <c r="F1793" s="2" t="s">
        <v>16</v>
      </c>
      <c r="G1793">
        <v>4.4999999999999998E-2</v>
      </c>
      <c r="H1793" s="9">
        <f t="shared" si="27"/>
        <v>0</v>
      </c>
      <c r="I1793" t="s">
        <v>4791</v>
      </c>
      <c r="J1793" t="s">
        <v>4792</v>
      </c>
    </row>
  </sheetData>
  <autoFilter ref="A1:J1793" xr:uid="{A995E391-74F8-47CE-A1F1-D74A8385AB8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5542D2-B570-49BF-91F0-33306AF84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ZZZ_Part_Id_</vt:lpstr>
      <vt:lpstr>Summary</vt:lpstr>
      <vt:lpstr>Rejection_PC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Godwin Rodrigues</cp:lastModifiedBy>
  <cp:revision>1</cp:revision>
  <dcterms:modified xsi:type="dcterms:W3CDTF">2026-10-07T14:35:11Z</dcterms:modified>
  <cp:category/>
</cp:coreProperties>
</file>